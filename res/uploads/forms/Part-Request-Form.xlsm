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radS\Desktop\"/>
    </mc:Choice>
  </mc:AlternateContent>
  <bookViews>
    <workbookView xWindow="0" yWindow="0" windowWidth="15345" windowHeight="5100"/>
  </bookViews>
  <sheets>
    <sheet name="Parts Request" sheetId="1" r:id="rId1"/>
    <sheet name="RMA Form" sheetId="6" r:id="rId2"/>
    <sheet name="Test" sheetId="5" state="hidden" r:id="rId3"/>
    <sheet name="VGT Locations" sheetId="2" state="hidden" r:id="rId4"/>
    <sheet name="Sheet2" sheetId="4" state="hidden" r:id="rId5"/>
  </sheets>
  <functionGroups builtInGroupCount="18"/>
  <definedNames>
    <definedName name="_xlnm._FilterDatabase" localSheetId="0" hidden="1">'Parts Request'!$A$1:$U$853</definedName>
    <definedName name="_xlnm._FilterDatabase" localSheetId="2" hidden="1">Test!$A$1:$T$1174</definedName>
    <definedName name="_xlnm.Print_Area" localSheetId="0">'Parts Request'!$A$2:$D$66</definedName>
    <definedName name="_xlnm.Print_Area" localSheetId="1">'RMA Form'!$A$1:$E$43</definedName>
    <definedName name="_xlnm.Print_Area" localSheetId="2">Test!$A$1:$D$70</definedName>
  </definedNames>
  <calcPr calcId="152511"/>
</workbook>
</file>

<file path=xl/calcChain.xml><?xml version="1.0" encoding="utf-8"?>
<calcChain xmlns="http://schemas.openxmlformats.org/spreadsheetml/2006/main">
  <c r="B8" i="1" l="1"/>
  <c r="B22" i="1"/>
  <c r="D14" i="1"/>
  <c r="B18" i="1"/>
  <c r="C18" i="1" s="1"/>
  <c r="B17" i="1"/>
  <c r="C17" i="1" s="1"/>
  <c r="B16" i="1"/>
  <c r="C16" i="1" s="1"/>
  <c r="B15" i="1"/>
  <c r="C15" i="1" s="1"/>
  <c r="B14" i="1"/>
  <c r="C14" i="1" s="1"/>
  <c r="A11" i="1"/>
  <c r="B9" i="1"/>
  <c r="B20" i="5" l="1"/>
  <c r="B19" i="5"/>
  <c r="B14" i="5"/>
  <c r="C14" i="5" s="1"/>
  <c r="A14" i="5"/>
  <c r="B13" i="5"/>
  <c r="C13" i="5" s="1"/>
  <c r="A13" i="5"/>
  <c r="B12" i="5"/>
  <c r="C12" i="5" s="1"/>
  <c r="A12" i="5"/>
  <c r="B11" i="5"/>
  <c r="C11" i="5" s="1"/>
  <c r="A11" i="5"/>
  <c r="D10" i="5"/>
  <c r="B10" i="5"/>
  <c r="C10" i="5" s="1"/>
  <c r="A10" i="5"/>
  <c r="A7" i="5"/>
  <c r="B5" i="5"/>
  <c r="D30" i="6"/>
  <c r="C30" i="6"/>
  <c r="B30" i="6"/>
  <c r="D28" i="6"/>
  <c r="C28" i="6"/>
  <c r="B28" i="6"/>
  <c r="D26" i="6"/>
  <c r="C26" i="6"/>
  <c r="B26" i="6"/>
  <c r="D24" i="6"/>
  <c r="C24" i="6"/>
  <c r="B24" i="6"/>
  <c r="D22" i="6"/>
  <c r="C22" i="6"/>
  <c r="B22" i="6"/>
  <c r="C7" i="6"/>
  <c r="C9" i="6" s="1"/>
  <c r="C5" i="6"/>
  <c r="B60" i="1"/>
  <c r="C17" i="6"/>
  <c r="A18" i="1"/>
  <c r="A17" i="1"/>
  <c r="A16" i="1"/>
  <c r="A15" i="1"/>
  <c r="A14" i="1"/>
  <c r="C15" i="6"/>
</calcChain>
</file>

<file path=xl/sharedStrings.xml><?xml version="1.0" encoding="utf-8"?>
<sst xmlns="http://schemas.openxmlformats.org/spreadsheetml/2006/main" count="34006" uniqueCount="8638">
  <si>
    <t>BEL MAR COUNTRY CLUB &amp; GOLF INC.</t>
  </si>
  <si>
    <t>SPIRIT OF SILVER LTD.</t>
  </si>
  <si>
    <t>MUGGSY'S, INC.</t>
  </si>
  <si>
    <t>PARKSIDE, INC.</t>
  </si>
  <si>
    <t>PLAYERS PUB &amp; GRILL, LLC</t>
  </si>
  <si>
    <t>12 STRIKE LLC</t>
  </si>
  <si>
    <t>MR. SALSAS, INC.</t>
  </si>
  <si>
    <t>LA FLAMA DE ORO ENTERPRISES, INC.</t>
  </si>
  <si>
    <t>KELLY MENNENGA</t>
  </si>
  <si>
    <t>NE'S PLACE, INC.</t>
  </si>
  <si>
    <t>BETTY JEAN ROSS</t>
  </si>
  <si>
    <t>BAP'S TAP SPORTS BAR &amp; GRILL, INC.</t>
  </si>
  <si>
    <t>B &amp; D INVESTMENTS OF ILLINOIS, INC.</t>
  </si>
  <si>
    <t>UNCLE JOHN'S PLACE, INC.</t>
  </si>
  <si>
    <t>JIM &amp; JO'S BAR &amp; GRILL CORPORATION</t>
  </si>
  <si>
    <t>CYNTHIA BURNETT</t>
  </si>
  <si>
    <t>BOB'S PUMP HOUSE, INC.</t>
  </si>
  <si>
    <t>JERRY WILSON</t>
  </si>
  <si>
    <t>WATERFRONT MARINE, INC.</t>
  </si>
  <si>
    <t>R&amp;C LONGBRANCH INC.</t>
  </si>
  <si>
    <t>MAX BRANDON UMBARGER</t>
  </si>
  <si>
    <t>MAYBERRY, INC.</t>
  </si>
  <si>
    <t>MY BROTHER'S PLACE, INC.</t>
  </si>
  <si>
    <t>GERALD J. &amp; KAREN M MEYER</t>
  </si>
  <si>
    <t>QCFEC, LLC</t>
  </si>
  <si>
    <t>BIG FOOT, INC.</t>
  </si>
  <si>
    <t>NO NAME PUB, INC.</t>
  </si>
  <si>
    <t>JOHNNY K'S RESTAURANT, INC.</t>
  </si>
  <si>
    <t>STEAK-N-EGGER, CHICAGO AIRPORT, INC.</t>
  </si>
  <si>
    <t>FRATERNAL ORDER OF EAGLES AERIE #545</t>
  </si>
  <si>
    <t>DANVILLE LODGE NO. 1001, LOYAL ORDER OF MOOSE</t>
  </si>
  <si>
    <t>RIVER PARK LODGE NO. 2578, LOYAL ORDER OF MOOSE</t>
  </si>
  <si>
    <t>BRIDGEVIEW MEMORIAL AMVETS POST 192</t>
  </si>
  <si>
    <t>LAZAR BROTHERS ENTERPRISES, INC.</t>
  </si>
  <si>
    <t>EVERLAST OIL, INC.</t>
  </si>
  <si>
    <t>A.B.E., INC.</t>
  </si>
  <si>
    <t>SAUNDERS FAMILY PROPERTIES, INC.</t>
  </si>
  <si>
    <t>WESTMONT UPTOWN, INC.</t>
  </si>
  <si>
    <t>LOKE, INC.</t>
  </si>
  <si>
    <t>WILD WILD WESTMOR LANES, LLC</t>
  </si>
  <si>
    <t>KEVIN SCHMIDT B-G LLC,</t>
  </si>
  <si>
    <t>STUDIO 25, LLC</t>
  </si>
  <si>
    <t>THE FOX RANCH, INC.</t>
  </si>
  <si>
    <t>TCB 123 LLC</t>
  </si>
  <si>
    <t>GOT FAT INC.</t>
  </si>
  <si>
    <t>RHOADS INC.</t>
  </si>
  <si>
    <t>RHOADS INC</t>
  </si>
  <si>
    <t>REPRISE CORP.</t>
  </si>
  <si>
    <t>EXPRESS LANE GAS &amp; FOOD MART (DIXON EAST)</t>
  </si>
  <si>
    <t>KJM LLC</t>
  </si>
  <si>
    <t>CHERRY RED ROASTERS BBQ, LLC</t>
  </si>
  <si>
    <t>SOUTH STREET SALOON, INC.</t>
  </si>
  <si>
    <t>THE FRANCHISE SPORTS BAR &amp; GRILL, INC.</t>
  </si>
  <si>
    <t>14136 LOUNGE, INC.</t>
  </si>
  <si>
    <t>PENNY, INC.</t>
  </si>
  <si>
    <t>LONGFORD PUB, INC.</t>
  </si>
  <si>
    <t>DODGE LANES, INC.</t>
  </si>
  <si>
    <t>RSB FUELS, INC.</t>
  </si>
  <si>
    <t>L &amp; J LANES, INC.</t>
  </si>
  <si>
    <t>B2Z INC.</t>
  </si>
  <si>
    <t>SF &amp; SM, LLC</t>
  </si>
  <si>
    <t>ILLINOIS LODGE #147, I.B.P.O.E. OF W.</t>
  </si>
  <si>
    <t>PORTS PETROLEUM COMPANY, INC.</t>
  </si>
  <si>
    <t>SNSK, INC.</t>
  </si>
  <si>
    <t>V-BAR, INC.</t>
  </si>
  <si>
    <t>LAROSA'S PIZZA &amp; PASTA, INC.</t>
  </si>
  <si>
    <t>Location Name</t>
  </si>
  <si>
    <t>100 SOUTH 2ND STREET</t>
  </si>
  <si>
    <t>2713 W 2ND ST</t>
  </si>
  <si>
    <t>3 3RD STREET</t>
  </si>
  <si>
    <t>320 MAIN ST</t>
  </si>
  <si>
    <t>4322 N PROSPECT RD</t>
  </si>
  <si>
    <t>1585 MONMOUTH BLVD</t>
  </si>
  <si>
    <t>15875 SHIPMAN RD</t>
  </si>
  <si>
    <t>1820 FOURTH STREET</t>
  </si>
  <si>
    <t>4001 STATE ROUTE 159</t>
  </si>
  <si>
    <t>285 E MAIN ST</t>
  </si>
  <si>
    <t>3400 W 127TH ST</t>
  </si>
  <si>
    <t>2325 E LINCOLN WAY</t>
  </si>
  <si>
    <t>101 S PARIS BOX 837</t>
  </si>
  <si>
    <t>43 W 478 RT 72</t>
  </si>
  <si>
    <t>106 N JACKSON</t>
  </si>
  <si>
    <t>14 N CENTER ST</t>
  </si>
  <si>
    <t>1101 E GRANT HWY</t>
  </si>
  <si>
    <t>1601 9TH AVENUE</t>
  </si>
  <si>
    <t>1840 S VINCENTS AVE</t>
  </si>
  <si>
    <t>5635 W 87TH ST</t>
  </si>
  <si>
    <t>104 N STATE ST</t>
  </si>
  <si>
    <t>1031 RIDGEWAY</t>
  </si>
  <si>
    <t>134 S RANGE ST</t>
  </si>
  <si>
    <t>904 E SHAWNEE ST</t>
  </si>
  <si>
    <t>900 W ROLLINS</t>
  </si>
  <si>
    <t>209 W. MAIN STREET</t>
  </si>
  <si>
    <t>7901 N. ALPINE</t>
  </si>
  <si>
    <t>21060 HWY 113</t>
  </si>
  <si>
    <t>4578 HARRISON AVE</t>
  </si>
  <si>
    <t>416 WEST WASHINGTON ST</t>
  </si>
  <si>
    <t>123 MAIN ST</t>
  </si>
  <si>
    <t>106 E FRONT ST</t>
  </si>
  <si>
    <t>249 N DIVISION</t>
  </si>
  <si>
    <t>6840 CERMAK RD</t>
  </si>
  <si>
    <t>14401 SHERMAN AVE</t>
  </si>
  <si>
    <t>205 N MAIN ST</t>
  </si>
  <si>
    <t>719 W ELM</t>
  </si>
  <si>
    <t>1030 VIADUCT RD</t>
  </si>
  <si>
    <t>110 STEPHEN ST</t>
  </si>
  <si>
    <t>305 ELEVENTH AVE</t>
  </si>
  <si>
    <t>211-213 MAIN ST</t>
  </si>
  <si>
    <t>45 CHURCH ST</t>
  </si>
  <si>
    <t>507 THEODORE ST</t>
  </si>
  <si>
    <t>3523 AUBURN ST</t>
  </si>
  <si>
    <t>323 W HIGH ST</t>
  </si>
  <si>
    <t>13404 OLDE WESTERN AVE</t>
  </si>
  <si>
    <t>3207 N MAIN ST</t>
  </si>
  <si>
    <t>12401 S ASHLAND AVE</t>
  </si>
  <si>
    <t>421 N CHALLENGE</t>
  </si>
  <si>
    <t>306 N GALENA</t>
  </si>
  <si>
    <t>2826 CHICAGO ROAD</t>
  </si>
  <si>
    <t>573 E AIRLINE DR</t>
  </si>
  <si>
    <t>1211 N RIVER RD</t>
  </si>
  <si>
    <t>253 CLUBHOUSE DRIVE</t>
  </si>
  <si>
    <t>240 SINSINAWA AVENUE</t>
  </si>
  <si>
    <t>23 SINSINAWA AVE</t>
  </si>
  <si>
    <t>712 N DIVISION</t>
  </si>
  <si>
    <t>228 W BROADWAY</t>
  </si>
  <si>
    <t>288 SINSINAWA AVE</t>
  </si>
  <si>
    <t>103 E LINCOLN</t>
  </si>
  <si>
    <t>5207 1/2 W 95TH STREET</t>
  </si>
  <si>
    <t>228 W MORTON</t>
  </si>
  <si>
    <t>602 N MADISON</t>
  </si>
  <si>
    <t>200 N MAIN ST</t>
  </si>
  <si>
    <t>63 N MAIN PO BOX 427</t>
  </si>
  <si>
    <t>111 EAST FRONT ST</t>
  </si>
  <si>
    <t>1420 1/2 SALEM ROAD</t>
  </si>
  <si>
    <t>1613 CAMP JACKSON RD</t>
  </si>
  <si>
    <t>13351 S AULWURM</t>
  </si>
  <si>
    <t>1 W POCAHONTAS RD</t>
  </si>
  <si>
    <t>11860 S CICERO AVE</t>
  </si>
  <si>
    <t>2234 N GREENBAY RD</t>
  </si>
  <si>
    <t>210 N 2ND ST PO BOX 65</t>
  </si>
  <si>
    <t>1501 W MAIN</t>
  </si>
  <si>
    <t>9126 S ROBERTS ROAD</t>
  </si>
  <si>
    <t>130 N 4TH</t>
  </si>
  <si>
    <t>106 N MAIN ST</t>
  </si>
  <si>
    <t>106 E MAIN</t>
  </si>
  <si>
    <t>128 E CRESCENT</t>
  </si>
  <si>
    <t>10501 S RIDGELAND</t>
  </si>
  <si>
    <t>104 W WALNUT ST</t>
  </si>
  <si>
    <t>310 N PARK STREET</t>
  </si>
  <si>
    <t>504 N US HIGHWAY 45</t>
  </si>
  <si>
    <t>148 155TH ST</t>
  </si>
  <si>
    <t>2973 N ROUTE 71</t>
  </si>
  <si>
    <t>646 N POPLAR</t>
  </si>
  <si>
    <t>9358 W 171ST ST</t>
  </si>
  <si>
    <t>2005 N 35TH RD</t>
  </si>
  <si>
    <t>436 WEST 34TH STREET</t>
  </si>
  <si>
    <t>9515 W 191ST ST</t>
  </si>
  <si>
    <t>15745 KEDZIE</t>
  </si>
  <si>
    <t>311 W 2ND STREET</t>
  </si>
  <si>
    <t>127 N CHESTNUT</t>
  </si>
  <si>
    <t>22 N DIXIE HWY</t>
  </si>
  <si>
    <t>68 SINSINAWA AVE</t>
  </si>
  <si>
    <t>501 E CRESCENT</t>
  </si>
  <si>
    <t>118 S FRANKLIN ST</t>
  </si>
  <si>
    <t>9953 SOUTHWEST HIGHWAY</t>
  </si>
  <si>
    <t>225 S STATE ST</t>
  </si>
  <si>
    <t>109 W MAIN ST</t>
  </si>
  <si>
    <t>219 1ST AVE</t>
  </si>
  <si>
    <t>1 COOPERS ISLAND</t>
  </si>
  <si>
    <t>2302 ESSINGTON RD</t>
  </si>
  <si>
    <t>8301 OLD ST LOUIS RD</t>
  </si>
  <si>
    <t>101 SOUTH CHESTNUT</t>
  </si>
  <si>
    <t>6500 W MAIN ST</t>
  </si>
  <si>
    <t>206 E FRANKLIN</t>
  </si>
  <si>
    <t>25665 S GOVERNORS HWY</t>
  </si>
  <si>
    <t>6501 S KANE AVENUE</t>
  </si>
  <si>
    <t>4307 W MAIN</t>
  </si>
  <si>
    <t>113 WEST MAIN ST</t>
  </si>
  <si>
    <t>214 N 5TH</t>
  </si>
  <si>
    <t>32 SINSINAWA AVENUE</t>
  </si>
  <si>
    <t>100 SOUTH STATE ST.</t>
  </si>
  <si>
    <t>12431 S WESTERN AVE</t>
  </si>
  <si>
    <t>722 E BONNER RD</t>
  </si>
  <si>
    <t>6955 S ROBERTS</t>
  </si>
  <si>
    <t>292 SINSINAWA AVE</t>
  </si>
  <si>
    <t>2745 ROUTE 34</t>
  </si>
  <si>
    <t>525 S STATE ST STE A</t>
  </si>
  <si>
    <t>108 W 4TH ST RT 71</t>
  </si>
  <si>
    <t>8 O'FALLON RD</t>
  </si>
  <si>
    <t>8100 S ROBERTS RD</t>
  </si>
  <si>
    <t>2503 MAIN ST</t>
  </si>
  <si>
    <t>610 7TH ST</t>
  </si>
  <si>
    <t>9032 N 2ND ST</t>
  </si>
  <si>
    <t>728 SHERIDAN RD</t>
  </si>
  <si>
    <t>211 S FOURTH ST</t>
  </si>
  <si>
    <t>37 EAST 34TH STREET</t>
  </si>
  <si>
    <t>9308 W 47TH STREET</t>
  </si>
  <si>
    <t>1003 W MAIN</t>
  </si>
  <si>
    <t>1801 WEST STATION</t>
  </si>
  <si>
    <t>2402 LATHAM ST</t>
  </si>
  <si>
    <t>1207 N NICHOLSON STREET</t>
  </si>
  <si>
    <t>110 WABASH ST</t>
  </si>
  <si>
    <t>117-121 W WALNUT</t>
  </si>
  <si>
    <t>306 NORTH PARK BLVD.</t>
  </si>
  <si>
    <t>936 15TH AVE</t>
  </si>
  <si>
    <t>704 MOEN AVE</t>
  </si>
  <si>
    <t>415 N CENTER ST</t>
  </si>
  <si>
    <t>225 S. MAIN STREET</t>
  </si>
  <si>
    <t>101 W STATION ST</t>
  </si>
  <si>
    <t>68 MAIN ST</t>
  </si>
  <si>
    <t>15427 S CICERO AVE</t>
  </si>
  <si>
    <t>119 W MAIN ST</t>
  </si>
  <si>
    <t>10-12 WEST MARKET STREET</t>
  </si>
  <si>
    <t>1321 N LA SALLE ST</t>
  </si>
  <si>
    <t>1902 WEST WILLIAMS STREET</t>
  </si>
  <si>
    <t>201 S RANGE ST</t>
  </si>
  <si>
    <t>110 S 5TH AVE BOX 445</t>
  </si>
  <si>
    <t>310 MEADOWS AVE</t>
  </si>
  <si>
    <t>106 W MAIN ST</t>
  </si>
  <si>
    <t>202 E HITT ST</t>
  </si>
  <si>
    <t>1011 SE 2ND ST</t>
  </si>
  <si>
    <t>105 DEPOT ST</t>
  </si>
  <si>
    <t>102 E HARRISON AVE</t>
  </si>
  <si>
    <t>679 OLD NATIONAL TRAIL</t>
  </si>
  <si>
    <t>76 S CHERRY</t>
  </si>
  <si>
    <t>4419 COOKSON RD</t>
  </si>
  <si>
    <t>1685 GRAND AVE</t>
  </si>
  <si>
    <t>201 S MAIN ST</t>
  </si>
  <si>
    <t>100 S MAIN ST</t>
  </si>
  <si>
    <t>714 S HENDERSON</t>
  </si>
  <si>
    <t>105 S MAIN</t>
  </si>
  <si>
    <t>634 S 1ST ST</t>
  </si>
  <si>
    <t>103 MARKET ALLEY</t>
  </si>
  <si>
    <t>300 EAST 11TH AVE</t>
  </si>
  <si>
    <t>120 SOUTH A STREET</t>
  </si>
  <si>
    <t>107 N MACOUPIN</t>
  </si>
  <si>
    <t>122 N KENTUCKY</t>
  </si>
  <si>
    <t>2320 GRAND AVENUE</t>
  </si>
  <si>
    <t>420 BROADWAY STREET</t>
  </si>
  <si>
    <t>9016 W 31ST</t>
  </si>
  <si>
    <t>1124 FOURTH AVENUE</t>
  </si>
  <si>
    <t>607 E MAIN</t>
  </si>
  <si>
    <t>1011 FAIRFAX ST</t>
  </si>
  <si>
    <t>119 E 4TH STREET</t>
  </si>
  <si>
    <t>316 W 1ST ST</t>
  </si>
  <si>
    <t>172 E ELM ST</t>
  </si>
  <si>
    <t>1243 SOUTH STATE ST SUITE 109 -B110</t>
  </si>
  <si>
    <t>826 MAIN ST</t>
  </si>
  <si>
    <t>17 N RIVER RD</t>
  </si>
  <si>
    <t>1374 MONMOUTH BLVD</t>
  </si>
  <si>
    <t>285 KNOX HIGHWAY #2</t>
  </si>
  <si>
    <t>800 E MAIN ST</t>
  </si>
  <si>
    <t>135 WEST WALNUT STREET</t>
  </si>
  <si>
    <t>102 N MAIN</t>
  </si>
  <si>
    <t>114 W OAK ST</t>
  </si>
  <si>
    <t>1576 N HENDERSON ST</t>
  </si>
  <si>
    <t>525 DIXIE HWY</t>
  </si>
  <si>
    <t>715 WILSON AVE</t>
  </si>
  <si>
    <t>102 W MAIN ST</t>
  </si>
  <si>
    <t>1358 MAIN ST</t>
  </si>
  <si>
    <t>553 E BROOKS</t>
  </si>
  <si>
    <t>111 W MAIN</t>
  </si>
  <si>
    <t>3912 E 752ND RD PO BOX 95</t>
  </si>
  <si>
    <t>4913 W 95TH ST</t>
  </si>
  <si>
    <t>9828 W RT 150</t>
  </si>
  <si>
    <t>111 WEST  LOCUST ST</t>
  </si>
  <si>
    <t>218 S MCCOY ST</t>
  </si>
  <si>
    <t>124 W MAIN</t>
  </si>
  <si>
    <t>5524 AUBURN ROAD</t>
  </si>
  <si>
    <t>253 9TH ST</t>
  </si>
  <si>
    <t>635 E LINN ST</t>
  </si>
  <si>
    <t>1539 MADISON AVE</t>
  </si>
  <si>
    <t>1402 WEST PERU STREET</t>
  </si>
  <si>
    <t>19 S GREEN</t>
  </si>
  <si>
    <t>1711 W 4TH ST</t>
  </si>
  <si>
    <t>110 SOUTH ST</t>
  </si>
  <si>
    <t>164 W SAUK TRAIL</t>
  </si>
  <si>
    <t>119 W WASHINGTON</t>
  </si>
  <si>
    <t>903 W WOOD ST</t>
  </si>
  <si>
    <t>1801 SPRUCE ST</t>
  </si>
  <si>
    <t>1935 S TAYLORVILLE RD</t>
  </si>
  <si>
    <t>221 MAIN STREET</t>
  </si>
  <si>
    <t>908 W RIVERSIDE BLVD</t>
  </si>
  <si>
    <t>11134 HARBOR DELL</t>
  </si>
  <si>
    <t>112 S MAIN</t>
  </si>
  <si>
    <t>1401 WARRINGTON AVE</t>
  </si>
  <si>
    <t>9 N STATE</t>
  </si>
  <si>
    <t>6233  W ROOSEVELT ROAD</t>
  </si>
  <si>
    <t>1200 IOWA ST</t>
  </si>
  <si>
    <t>7403 RADNOR ROAD</t>
  </si>
  <si>
    <t>301 S MC COY</t>
  </si>
  <si>
    <t>7 W FERGUSON</t>
  </si>
  <si>
    <t>889 N LAFOX ST</t>
  </si>
  <si>
    <t>219-225 S MAIN</t>
  </si>
  <si>
    <t>2401 EDWARDS ST</t>
  </si>
  <si>
    <t>2526 GEORGETOWN RD</t>
  </si>
  <si>
    <t>109 WEST MAIN STREET</t>
  </si>
  <si>
    <t>826 GREENWOOD ST</t>
  </si>
  <si>
    <t>121 W MAIN</t>
  </si>
  <si>
    <t>119 W EDWARDS</t>
  </si>
  <si>
    <t>260 S WABASH</t>
  </si>
  <si>
    <t>200 S 8TH ST</t>
  </si>
  <si>
    <t>838 E 7TH ST</t>
  </si>
  <si>
    <t>1369 EDWARDSVILLE</t>
  </si>
  <si>
    <t>212 WILSON</t>
  </si>
  <si>
    <t>2ND &amp; NORTH AVE</t>
  </si>
  <si>
    <t>208 MAIN</t>
  </si>
  <si>
    <t>260 E LINCOLN HIGHWAY</t>
  </si>
  <si>
    <t>218 E ST LOUIS ST</t>
  </si>
  <si>
    <t>835 S WABASH</t>
  </si>
  <si>
    <t>1022 E BROADWAY</t>
  </si>
  <si>
    <t>14042 CROISSANT DRIVE</t>
  </si>
  <si>
    <t>301 SPELTER</t>
  </si>
  <si>
    <t>1617 S MILL ST</t>
  </si>
  <si>
    <t>1033 FULTON STREET</t>
  </si>
  <si>
    <t>18105 DIXIE HWY</t>
  </si>
  <si>
    <t>12456 S WESTERN AVE</t>
  </si>
  <si>
    <t>1805 S WEST AVE</t>
  </si>
  <si>
    <t>2678 N 48TH RD</t>
  </si>
  <si>
    <t>310 E MAIN ST</t>
  </si>
  <si>
    <t>315 W STATE</t>
  </si>
  <si>
    <t>1726 S WEST AVENUE</t>
  </si>
  <si>
    <t>204 W GALLATIN</t>
  </si>
  <si>
    <t>206 MAIN ST</t>
  </si>
  <si>
    <t>118 W 4TH ST</t>
  </si>
  <si>
    <t>4503 INTERSTATE BOULVARD</t>
  </si>
  <si>
    <t>9716 WEST 191ST STREET</t>
  </si>
  <si>
    <t>12600 187TH STREET</t>
  </si>
  <si>
    <t>1200 NORTH 27TH STREET DEEBENNETT ROAD</t>
  </si>
  <si>
    <t>2ND &amp; JOLIET</t>
  </si>
  <si>
    <t>1205 LOGAN AVE</t>
  </si>
  <si>
    <t>24 N CASS AVENUE</t>
  </si>
  <si>
    <t>124 E HENRY ST</t>
  </si>
  <si>
    <t>3415 MEADOW AVE</t>
  </si>
  <si>
    <t>1800 UNION AVE</t>
  </si>
  <si>
    <t>1040 W MAIN ST</t>
  </si>
  <si>
    <t>333 EAST N AVENUE</t>
  </si>
  <si>
    <t>1002 E CHURCH ST</t>
  </si>
  <si>
    <t>3051 E 18TH RD</t>
  </si>
  <si>
    <t>100 EAGLE DR</t>
  </si>
  <si>
    <t>903 DUNLAP</t>
  </si>
  <si>
    <t>126 15TH AVE</t>
  </si>
  <si>
    <t>12414 RT 150 WEST</t>
  </si>
  <si>
    <t>211 E 12TH ST</t>
  </si>
  <si>
    <t>321 W 2ND / PO BOX 805</t>
  </si>
  <si>
    <t>125 MAIN ST</t>
  </si>
  <si>
    <t>601 E SOUTH ST</t>
  </si>
  <si>
    <t>1339 N EUCLID</t>
  </si>
  <si>
    <t>4801 MARYVILLE RD</t>
  </si>
  <si>
    <t>9480 OLD LINCOLN TR PO BOX 4035</t>
  </si>
  <si>
    <t>207 NORTH JACKSON</t>
  </si>
  <si>
    <t>7536 S. HARLEM AVE.</t>
  </si>
  <si>
    <t>1204 S 4TH STREET</t>
  </si>
  <si>
    <t>210 E CT ST</t>
  </si>
  <si>
    <t>903 EAST MORTON RD</t>
  </si>
  <si>
    <t>415 N LONG ST</t>
  </si>
  <si>
    <t>528 GOULD PO BOX 54</t>
  </si>
  <si>
    <t>7731 S HARLEM #192</t>
  </si>
  <si>
    <t>309 N 16 ST</t>
  </si>
  <si>
    <t>205 N WALNUT STREET</t>
  </si>
  <si>
    <t>718 COURT STREET</t>
  </si>
  <si>
    <t>506 S OLD RT 66</t>
  </si>
  <si>
    <t>117 N WALNUT P O BOX 641</t>
  </si>
  <si>
    <t>201 EILER RD</t>
  </si>
  <si>
    <t>546 ILLINOIS RT 41</t>
  </si>
  <si>
    <t>705 S LARKIN AVE</t>
  </si>
  <si>
    <t>3400 CENTURY DR</t>
  </si>
  <si>
    <t>1132 N CENTURY AVE PO BOX 665</t>
  </si>
  <si>
    <t>1110 N 11TH STREET</t>
  </si>
  <si>
    <t>8 PINE STREET</t>
  </si>
  <si>
    <t>739 S SANDBAR ROAD</t>
  </si>
  <si>
    <t>428 WEST ORANGE ST</t>
  </si>
  <si>
    <t>1631 WESTERN AVE</t>
  </si>
  <si>
    <t>217 1ST AVE</t>
  </si>
  <si>
    <t>922 7TH STREET</t>
  </si>
  <si>
    <t>10537 S RIDGELAND AVE</t>
  </si>
  <si>
    <t>318 4TH AVE</t>
  </si>
  <si>
    <t>418 E PARK ROW</t>
  </si>
  <si>
    <t>15123 N LEGION LN</t>
  </si>
  <si>
    <t>1194 JERICHO RD</t>
  </si>
  <si>
    <t>409 W MARKET</t>
  </si>
  <si>
    <t>664 HIRSCH ST</t>
  </si>
  <si>
    <t>115 E MAIN ST</t>
  </si>
  <si>
    <t>700 N MCHENRY RD</t>
  </si>
  <si>
    <t>9701 S KEDZIE AVE</t>
  </si>
  <si>
    <t>2018 WINDSOR RD</t>
  </si>
  <si>
    <t>22341 GOVERNORS HIGHWAY</t>
  </si>
  <si>
    <t>1043 S CRESCENT ST</t>
  </si>
  <si>
    <t>11700 STATE RT 127</t>
  </si>
  <si>
    <t>410 E CLINTON AVE</t>
  </si>
  <si>
    <t>107 N OAK</t>
  </si>
  <si>
    <t>110-112 W 2ND ST</t>
  </si>
  <si>
    <t>16 W REYNOLDS RD</t>
  </si>
  <si>
    <t>20857 S CICERO</t>
  </si>
  <si>
    <t>554 B EAST DEVON AVE</t>
  </si>
  <si>
    <t>5403 RIVERVIEW RD</t>
  </si>
  <si>
    <t>530 EAST RICE RD</t>
  </si>
  <si>
    <t>1115 5TH AVE</t>
  </si>
  <si>
    <t>123 MEADOW AVE</t>
  </si>
  <si>
    <t>11173 DUNDEE RD</t>
  </si>
  <si>
    <t>306 E MAIN STREET</t>
  </si>
  <si>
    <t>901 CARLYE ROAD</t>
  </si>
  <si>
    <t>7267 HARLEM AVE</t>
  </si>
  <si>
    <t>213 W 3RD ST</t>
  </si>
  <si>
    <t>101 S STATE</t>
  </si>
  <si>
    <t>10716 LINCOLN TRAIL</t>
  </si>
  <si>
    <t>104 E BROADWAY</t>
  </si>
  <si>
    <t>1520 HALSTED ST</t>
  </si>
  <si>
    <t>1108 1ST STREET</t>
  </si>
  <si>
    <t>294 N DIVISION ST</t>
  </si>
  <si>
    <t>2911 CLAIRE BLVD</t>
  </si>
  <si>
    <t>7905 N ALPINE RD</t>
  </si>
  <si>
    <t>207 W SI JOHNSON AVE</t>
  </si>
  <si>
    <t>114 MARKET ST</t>
  </si>
  <si>
    <t>108 E NORTH ST</t>
  </si>
  <si>
    <t>306 S MAIN</t>
  </si>
  <si>
    <t>357 GEORGETOWN SQUARE</t>
  </si>
  <si>
    <t>701 LEWIS DR</t>
  </si>
  <si>
    <t>7 E PARKER ST</t>
  </si>
  <si>
    <t>31851 S RT 50</t>
  </si>
  <si>
    <t>201 W WARREN ST</t>
  </si>
  <si>
    <t>RR STEAKHOUSE</t>
  </si>
  <si>
    <t>4309 W STATE ST</t>
  </si>
  <si>
    <t>110 MAIN ST</t>
  </si>
  <si>
    <t>306 10TH AVE</t>
  </si>
  <si>
    <t>801 BELT LINE RD</t>
  </si>
  <si>
    <t>5986 E RTE 17</t>
  </si>
  <si>
    <t>8 EAST PORT PLAZA DR</t>
  </si>
  <si>
    <t>176 WEST JACKSON</t>
  </si>
  <si>
    <t>14136 S BELL RD</t>
  </si>
  <si>
    <t>50 S HILL</t>
  </si>
  <si>
    <t>5257 SWANSON RD STE 6</t>
  </si>
  <si>
    <t>334 ST LOUIS RD</t>
  </si>
  <si>
    <t>1007 S MAIN ST</t>
  </si>
  <si>
    <t>13001 W 143RD ST</t>
  </si>
  <si>
    <t>3457 MERCHANDISE ROAD</t>
  </si>
  <si>
    <t>108 EAST A ST</t>
  </si>
  <si>
    <t>1951 COLLINSVILLE RD</t>
  </si>
  <si>
    <t>490 JEROME LANE</t>
  </si>
  <si>
    <t>2401 MOUSETTE LANE</t>
  </si>
  <si>
    <t>901 W DELMAR</t>
  </si>
  <si>
    <t>6312 S HARLEM AVE</t>
  </si>
  <si>
    <t>1101 CASEYVILLE RD SUITE J</t>
  </si>
  <si>
    <t>253 E WALNUT ST</t>
  </si>
  <si>
    <t>5506 CLAYTON CIRCLE</t>
  </si>
  <si>
    <t>2755 WASHINGTON ST</t>
  </si>
  <si>
    <t>645 JOLIET RD</t>
  </si>
  <si>
    <t>948 N CO RD 1525 E</t>
  </si>
  <si>
    <t>ROUTE 100</t>
  </si>
  <si>
    <t>13287 E ROUTE 114</t>
  </si>
  <si>
    <t>1414 S MAIN STREET</t>
  </si>
  <si>
    <t>2117 W FARMINGTON ROAD</t>
  </si>
  <si>
    <t>426 E WAR MEMORIAL DR</t>
  </si>
  <si>
    <t>1001 W GALENA AVE</t>
  </si>
  <si>
    <t>2511 GEORGETOWN RD</t>
  </si>
  <si>
    <t>112 W COLLINS ST</t>
  </si>
  <si>
    <t>101 S WARSAW ST</t>
  </si>
  <si>
    <t>853 E FAIRCHILD</t>
  </si>
  <si>
    <t>505 EAST STATE STREET</t>
  </si>
  <si>
    <t>4624 WEST 103RD STREET</t>
  </si>
  <si>
    <t>208 W. MILLER</t>
  </si>
  <si>
    <t>113 E 3RD STREET</t>
  </si>
  <si>
    <t>625 MCCLURE ST</t>
  </si>
  <si>
    <t>100 E 5TH ST</t>
  </si>
  <si>
    <t>9510 COLLINSVILLE RD</t>
  </si>
  <si>
    <t>109 N MAIN ST</t>
  </si>
  <si>
    <t>279 E MAIN</t>
  </si>
  <si>
    <t>621 RIDGEVIEW DRIVE</t>
  </si>
  <si>
    <t>402 S WASHINGTON</t>
  </si>
  <si>
    <t>1667 HOOVER RD</t>
  </si>
  <si>
    <t>11770 ELLWOOD GREENS</t>
  </si>
  <si>
    <t>633 N 12TH</t>
  </si>
  <si>
    <t>901 N 12 TH ST</t>
  </si>
  <si>
    <t>3900 NAMEOKI RD</t>
  </si>
  <si>
    <t>1708 SE 3RD STREET P O BOX 268</t>
  </si>
  <si>
    <t>312 LOCUST ST</t>
  </si>
  <si>
    <t>8401 S ROBERTS RD</t>
  </si>
  <si>
    <t>303 E MAIN ST</t>
  </si>
  <si>
    <t>701 FRANKLIN STREET</t>
  </si>
  <si>
    <t>102 W DIVISION</t>
  </si>
  <si>
    <t>115 S MAIN ST</t>
  </si>
  <si>
    <t>101 MOOSE DRIVE</t>
  </si>
  <si>
    <t>209 S ANNIE GLIDDEN RD</t>
  </si>
  <si>
    <t>887 SHOP RD</t>
  </si>
  <si>
    <t>3220 W 159TH ST</t>
  </si>
  <si>
    <t>323 OLD HICKORY RD</t>
  </si>
  <si>
    <t>203 W HILL ST</t>
  </si>
  <si>
    <t>712 4TH AVENUE</t>
  </si>
  <si>
    <t>5247 TROMPETER ROAD</t>
  </si>
  <si>
    <t>306 N CANAL ST</t>
  </si>
  <si>
    <t>1250 FRANKLIN GROVE RD</t>
  </si>
  <si>
    <t>1302 RAYMOND DR</t>
  </si>
  <si>
    <t>891  MAIN ST</t>
  </si>
  <si>
    <t>101 WAUBONSEE DRIVE</t>
  </si>
  <si>
    <t>114 W GREEN ST</t>
  </si>
  <si>
    <t>12515 N WOODLAWN LANE</t>
  </si>
  <si>
    <t>2880 N OAKLAND</t>
  </si>
  <si>
    <t>1503 CLEMENT STREET</t>
  </si>
  <si>
    <t>1023 W MAIN</t>
  </si>
  <si>
    <t>305 W 2ND ST</t>
  </si>
  <si>
    <t>13127 GRAPE CREEK RD</t>
  </si>
  <si>
    <t>10222 CAMP JOY RD</t>
  </si>
  <si>
    <t>3701 W MAIN</t>
  </si>
  <si>
    <t>1903 CORA ST</t>
  </si>
  <si>
    <t>207 E DELAWARE ST</t>
  </si>
  <si>
    <t>102 N MAIN ST</t>
  </si>
  <si>
    <t>6910 W WINDSOR AVE</t>
  </si>
  <si>
    <t>515 N WESTERN AVE</t>
  </si>
  <si>
    <t>118 S MAGNOLIA</t>
  </si>
  <si>
    <t>206 SOUTH STREET</t>
  </si>
  <si>
    <t>532 N KASKASKIA ST</t>
  </si>
  <si>
    <t>101 N MAIN ST</t>
  </si>
  <si>
    <t>1815 2ND AVE</t>
  </si>
  <si>
    <t>101 ELM ST</t>
  </si>
  <si>
    <t>35 E SIMMONS ST</t>
  </si>
  <si>
    <t>1 W HIGH ST</t>
  </si>
  <si>
    <t>830 S RAND RD</t>
  </si>
  <si>
    <t>5755 ELEVATOR RD</t>
  </si>
  <si>
    <t>4607 W LAKE ST</t>
  </si>
  <si>
    <t>2853 N ILLINOIS 178 RD</t>
  </si>
  <si>
    <t>6 S HENNING RD</t>
  </si>
  <si>
    <t>112 E GARFIELD AVE</t>
  </si>
  <si>
    <t>205 E BALTIMORE ST</t>
  </si>
  <si>
    <t>701 W MAIN ST</t>
  </si>
  <si>
    <t>4231 ALGONQUIN RD</t>
  </si>
  <si>
    <t>1207 E US HWY 36</t>
  </si>
  <si>
    <t>2717 RIDGELAND AVE</t>
  </si>
  <si>
    <t>1428 N MAIN ST</t>
  </si>
  <si>
    <t>402 W ROOSEVELT</t>
  </si>
  <si>
    <t>OREGON</t>
  </si>
  <si>
    <t>ALTA</t>
  </si>
  <si>
    <t>MAQUON</t>
  </si>
  <si>
    <t>GALESBURG</t>
  </si>
  <si>
    <t>CARLINVILLE</t>
  </si>
  <si>
    <t>PERU</t>
  </si>
  <si>
    <t>SMITHTON</t>
  </si>
  <si>
    <t>BRAIDWOOD</t>
  </si>
  <si>
    <t>BLUE ISLAND</t>
  </si>
  <si>
    <t>STERLING</t>
  </si>
  <si>
    <t>CATLIN</t>
  </si>
  <si>
    <t>HAMPSHIRE</t>
  </si>
  <si>
    <t>BRIMFIELD</t>
  </si>
  <si>
    <t>PLANO</t>
  </si>
  <si>
    <t>MARENGO</t>
  </si>
  <si>
    <t>FULTON</t>
  </si>
  <si>
    <t>LA SALLE</t>
  </si>
  <si>
    <t>OAK LAWN</t>
  </si>
  <si>
    <t>AURORA</t>
  </si>
  <si>
    <t>OBLONG</t>
  </si>
  <si>
    <t>FREEPORT</t>
  </si>
  <si>
    <t>ROUND LAKE HEIGHTS</t>
  </si>
  <si>
    <t>ESSEX</t>
  </si>
  <si>
    <t>CUSTER PARK</t>
  </si>
  <si>
    <t>ROCKFORD</t>
  </si>
  <si>
    <t>VICTORIA</t>
  </si>
  <si>
    <t>HARVARD</t>
  </si>
  <si>
    <t>WOODHULL</t>
  </si>
  <si>
    <t>BERWYN</t>
  </si>
  <si>
    <t>POSEN</t>
  </si>
  <si>
    <t>LIMESTONE</t>
  </si>
  <si>
    <t>GALENA</t>
  </si>
  <si>
    <t>ELBURN</t>
  </si>
  <si>
    <t>HOOPESTON</t>
  </si>
  <si>
    <t>SAVANNA</t>
  </si>
  <si>
    <t>LEMONT</t>
  </si>
  <si>
    <t>GERMAN VALLEY</t>
  </si>
  <si>
    <t>JOLIET</t>
  </si>
  <si>
    <t>ORANGEVILLE</t>
  </si>
  <si>
    <t>MCHENRY</t>
  </si>
  <si>
    <t>CALUMET PARK</t>
  </si>
  <si>
    <t>SOUTH CHICAGO HEIGHTS</t>
  </si>
  <si>
    <t>CHERRY VALLEY</t>
  </si>
  <si>
    <t>EAST DUBUQUE</t>
  </si>
  <si>
    <t>POLO</t>
  </si>
  <si>
    <t>BRADLEY</t>
  </si>
  <si>
    <t>BUCKLEY</t>
  </si>
  <si>
    <t>JACKSONVILLE</t>
  </si>
  <si>
    <t>WAUKEGAN</t>
  </si>
  <si>
    <t>CREST HILL</t>
  </si>
  <si>
    <t>ELIZABETH</t>
  </si>
  <si>
    <t>MANTENO</t>
  </si>
  <si>
    <t>STOCKTON</t>
  </si>
  <si>
    <t>MT VERNON</t>
  </si>
  <si>
    <t>CAHOKIA</t>
  </si>
  <si>
    <t>GRANTFORK</t>
  </si>
  <si>
    <t>ALSIP</t>
  </si>
  <si>
    <t>NORTH CHICAGO</t>
  </si>
  <si>
    <t>PEOTONE</t>
  </si>
  <si>
    <t>BELLEVILLE</t>
  </si>
  <si>
    <t>HICKORY HILLS</t>
  </si>
  <si>
    <t>SHELDON</t>
  </si>
  <si>
    <t>GLENWOOD</t>
  </si>
  <si>
    <t>ASHKUM</t>
  </si>
  <si>
    <t>GILMAN</t>
  </si>
  <si>
    <t>CHICAGO RIDGE</t>
  </si>
  <si>
    <t>WATSEKA</t>
  </si>
  <si>
    <t>STREATOR</t>
  </si>
  <si>
    <t>CALUMET CITY</t>
  </si>
  <si>
    <t>OTTAWA</t>
  </si>
  <si>
    <t>CENTRALIA</t>
  </si>
  <si>
    <t>ORLAND HILLS</t>
  </si>
  <si>
    <t>STEGER</t>
  </si>
  <si>
    <t>MARKHAM</t>
  </si>
  <si>
    <t>ROCK FALLS</t>
  </si>
  <si>
    <t>ONARGA</t>
  </si>
  <si>
    <t>MOMENCE</t>
  </si>
  <si>
    <t>FORRESTON</t>
  </si>
  <si>
    <t>DWIGHT</t>
  </si>
  <si>
    <t>MANHATTAN</t>
  </si>
  <si>
    <t>SHELBYVILLE</t>
  </si>
  <si>
    <t>PEKIN</t>
  </si>
  <si>
    <t>CANTON</t>
  </si>
  <si>
    <t>ASHMORE</t>
  </si>
  <si>
    <t>PESOTUM</t>
  </si>
  <si>
    <t>SESSER</t>
  </si>
  <si>
    <t>MONEE</t>
  </si>
  <si>
    <t>HODGKINS</t>
  </si>
  <si>
    <t>MONTICELLO</t>
  </si>
  <si>
    <t>WAUCONDA</t>
  </si>
  <si>
    <t>BRIDGEVIEW</t>
  </si>
  <si>
    <t>OSWEGO</t>
  </si>
  <si>
    <t>CEDAR POINT</t>
  </si>
  <si>
    <t>POCAHONTAS</t>
  </si>
  <si>
    <t>JUSTICE</t>
  </si>
  <si>
    <t>FAYETTEVILLE</t>
  </si>
  <si>
    <t>MACHESNEY PARK</t>
  </si>
  <si>
    <t>WINTHROP HARBOR</t>
  </si>
  <si>
    <t>BROOKFIELD</t>
  </si>
  <si>
    <t>OLNEY</t>
  </si>
  <si>
    <t>KANKAKEE</t>
  </si>
  <si>
    <t>EMINGTON</t>
  </si>
  <si>
    <t>EAST MOLINE</t>
  </si>
  <si>
    <t>ROCKDALE</t>
  </si>
  <si>
    <t>DURAND</t>
  </si>
  <si>
    <t>BLANDINSVILLE</t>
  </si>
  <si>
    <t>ST ANNE</t>
  </si>
  <si>
    <t>WALNUT HILL</t>
  </si>
  <si>
    <t>OAK FOREST</t>
  </si>
  <si>
    <t>TOULON</t>
  </si>
  <si>
    <t>SHANNON</t>
  </si>
  <si>
    <t>DANVILLE</t>
  </si>
  <si>
    <t>NEW WINDSOR</t>
  </si>
  <si>
    <t>EAST PEORIA</t>
  </si>
  <si>
    <t>ELMWOOD</t>
  </si>
  <si>
    <t>MT MORRIS</t>
  </si>
  <si>
    <t>GALVA</t>
  </si>
  <si>
    <t>DEPUE</t>
  </si>
  <si>
    <t>VILLA GROVE</t>
  </si>
  <si>
    <t>ABINGDON</t>
  </si>
  <si>
    <t>ROSEVILLE</t>
  </si>
  <si>
    <t>MONMOUTH</t>
  </si>
  <si>
    <t>GILLESPIE</t>
  </si>
  <si>
    <t>RANTOUL</t>
  </si>
  <si>
    <t>VENICE</t>
  </si>
  <si>
    <t>ASHLEY</t>
  </si>
  <si>
    <t>CARLYLE</t>
  </si>
  <si>
    <t>DIXON</t>
  </si>
  <si>
    <t>THOMSON</t>
  </si>
  <si>
    <t>RIO</t>
  </si>
  <si>
    <t>IROQUOIS</t>
  </si>
  <si>
    <t>OGLESBY</t>
  </si>
  <si>
    <t>TAMPICO</t>
  </si>
  <si>
    <t>CHICAGO HEIGHTS</t>
  </si>
  <si>
    <t>EAST GALESBURG</t>
  </si>
  <si>
    <t>CRETE</t>
  </si>
  <si>
    <t>YATES CITY</t>
  </si>
  <si>
    <t>URBANA</t>
  </si>
  <si>
    <t>EDWARDS</t>
  </si>
  <si>
    <t>FIELDON</t>
  </si>
  <si>
    <t>GRANVILLE</t>
  </si>
  <si>
    <t>CHAMPAIGN</t>
  </si>
  <si>
    <t>GRANITE CITY</t>
  </si>
  <si>
    <t>CRESCENT CITY</t>
  </si>
  <si>
    <t>PRINCETON</t>
  </si>
  <si>
    <t>BEAVERVILLE</t>
  </si>
  <si>
    <t>ROYAL</t>
  </si>
  <si>
    <t>NORA</t>
  </si>
  <si>
    <t>LUDLOW</t>
  </si>
  <si>
    <t>MORRIS</t>
  </si>
  <si>
    <t>BLOOMINGTON</t>
  </si>
  <si>
    <t>DECATUR</t>
  </si>
  <si>
    <t>GODFREY</t>
  </si>
  <si>
    <t>WALNUT</t>
  </si>
  <si>
    <t>MARSEILLES</t>
  </si>
  <si>
    <t>RIDGE FARM</t>
  </si>
  <si>
    <t>MILFORD</t>
  </si>
  <si>
    <t>MADISON</t>
  </si>
  <si>
    <t>PEORIA</t>
  </si>
  <si>
    <t>WOOD RIVER</t>
  </si>
  <si>
    <t>SOUTH ELGIN</t>
  </si>
  <si>
    <t>WESTVILLE</t>
  </si>
  <si>
    <t>EARLVILLE</t>
  </si>
  <si>
    <t>MT OLIVE</t>
  </si>
  <si>
    <t>LITCHFIELD</t>
  </si>
  <si>
    <t>GEORGETOWN</t>
  </si>
  <si>
    <t>BENLD</t>
  </si>
  <si>
    <t>WILMINGTON</t>
  </si>
  <si>
    <t>ALTON</t>
  </si>
  <si>
    <t>WILSONVILLE</t>
  </si>
  <si>
    <t>NASON</t>
  </si>
  <si>
    <t>TAMAROA</t>
  </si>
  <si>
    <t>TROY GROVE</t>
  </si>
  <si>
    <t>BATCHTOWN</t>
  </si>
  <si>
    <t>DEKALB</t>
  </si>
  <si>
    <t>HOYLETON</t>
  </si>
  <si>
    <t>BRADFORD</t>
  </si>
  <si>
    <t>BURNHAM</t>
  </si>
  <si>
    <t>TILTON</t>
  </si>
  <si>
    <t>NASHVILLE</t>
  </si>
  <si>
    <t>SOMONAUK</t>
  </si>
  <si>
    <t>VANDALIA</t>
  </si>
  <si>
    <t>CHANDLERVILLE</t>
  </si>
  <si>
    <t>LOVES PARK</t>
  </si>
  <si>
    <t>MOKENA</t>
  </si>
  <si>
    <t>FOREST VIEW</t>
  </si>
  <si>
    <t>KAMPSVILLE</t>
  </si>
  <si>
    <t>BELVIDERE</t>
  </si>
  <si>
    <t>WESTMONT</t>
  </si>
  <si>
    <t>STAUNTON</t>
  </si>
  <si>
    <t>MASCOUTAH</t>
  </si>
  <si>
    <t>FLORA</t>
  </si>
  <si>
    <t>SANDWICH</t>
  </si>
  <si>
    <t>SAVOY</t>
  </si>
  <si>
    <t>OAKWOOD</t>
  </si>
  <si>
    <t>MENDOTA</t>
  </si>
  <si>
    <t>MCLEANSBORO</t>
  </si>
  <si>
    <t>CASEYVILLE</t>
  </si>
  <si>
    <t>BEECHER</t>
  </si>
  <si>
    <t>HERRIN</t>
  </si>
  <si>
    <t>WORTH</t>
  </si>
  <si>
    <t>BELLWOOD</t>
  </si>
  <si>
    <t>PETERSBURG</t>
  </si>
  <si>
    <t>ROCHELLE</t>
  </si>
  <si>
    <t>HENRY</t>
  </si>
  <si>
    <t>BLUFORD</t>
  </si>
  <si>
    <t>PRINCEVILLE</t>
  </si>
  <si>
    <t>WHEELING</t>
  </si>
  <si>
    <t>EVERGREEN PARK</t>
  </si>
  <si>
    <t>RICHTON PARK</t>
  </si>
  <si>
    <t>PINGREE GROVE</t>
  </si>
  <si>
    <t>LODA</t>
  </si>
  <si>
    <t>JERSEYVILLE</t>
  </si>
  <si>
    <t>BYRON</t>
  </si>
  <si>
    <t>MATTESON</t>
  </si>
  <si>
    <t>ELK GROVE VILLAGE</t>
  </si>
  <si>
    <t>EAST BROOKLYN</t>
  </si>
  <si>
    <t>HUNTLEY</t>
  </si>
  <si>
    <t>KEWANEE</t>
  </si>
  <si>
    <t>WEST BROOKLYN</t>
  </si>
  <si>
    <t>FAIRVIEW HEIGHTS</t>
  </si>
  <si>
    <t>ASTORIA</t>
  </si>
  <si>
    <t>ROBBINS</t>
  </si>
  <si>
    <t>SHERIDAN</t>
  </si>
  <si>
    <t>SIDELL</t>
  </si>
  <si>
    <t>GIFFORD</t>
  </si>
  <si>
    <t>WOOD DALE</t>
  </si>
  <si>
    <t>BENTON</t>
  </si>
  <si>
    <t>PINCKNEYVILLE</t>
  </si>
  <si>
    <t>BUNKER HILL</t>
  </si>
  <si>
    <t>LEAF RIVER</t>
  </si>
  <si>
    <t>ORION</t>
  </si>
  <si>
    <t>COLLINSVILLE</t>
  </si>
  <si>
    <t>SENECA</t>
  </si>
  <si>
    <t>HOMER GLEN</t>
  </si>
  <si>
    <t>WINCHESTER</t>
  </si>
  <si>
    <t>ROSCOE</t>
  </si>
  <si>
    <t>FAIRMONT CITY</t>
  </si>
  <si>
    <t>SUMMIT</t>
  </si>
  <si>
    <t>WILLOWBROOK</t>
  </si>
  <si>
    <t>CAMARGO</t>
  </si>
  <si>
    <t>MICHAEL</t>
  </si>
  <si>
    <t>WEST PEORIA</t>
  </si>
  <si>
    <t>MENDON</t>
  </si>
  <si>
    <t>URSA</t>
  </si>
  <si>
    <t>FARMINGTON</t>
  </si>
  <si>
    <t>FITHIAN</t>
  </si>
  <si>
    <t>DU QUOIN</t>
  </si>
  <si>
    <t>DEER GROVE</t>
  </si>
  <si>
    <t>HARDIN</t>
  </si>
  <si>
    <t>GENOA</t>
  </si>
  <si>
    <t>QUINCY</t>
  </si>
  <si>
    <t>ALEDO</t>
  </si>
  <si>
    <t>MARINE</t>
  </si>
  <si>
    <t>ALEXIS</t>
  </si>
  <si>
    <t>NEW LENOX</t>
  </si>
  <si>
    <t>ANNAWAN</t>
  </si>
  <si>
    <t>VIRGINIA</t>
  </si>
  <si>
    <t>MEREDOSIA</t>
  </si>
  <si>
    <t>POPLAR GROVE</t>
  </si>
  <si>
    <t>WOODLAWN</t>
  </si>
  <si>
    <t>CARROLLTON</t>
  </si>
  <si>
    <t>SOUTH BELOIT</t>
  </si>
  <si>
    <t>WINSLOW</t>
  </si>
  <si>
    <t>HARTFORD</t>
  </si>
  <si>
    <t>LAKE ZURICH</t>
  </si>
  <si>
    <t>ANTIOCH</t>
  </si>
  <si>
    <t>NEW BADEN</t>
  </si>
  <si>
    <t>RIVER GROVE</t>
  </si>
  <si>
    <t>ROCK ISLAND</t>
  </si>
  <si>
    <t>LENA</t>
  </si>
  <si>
    <t>FREEBURG</t>
  </si>
  <si>
    <t>STEELEVILLE</t>
  </si>
  <si>
    <t>DOLTON</t>
  </si>
  <si>
    <t>MELROSE PARK</t>
  </si>
  <si>
    <t>NORMAL</t>
  </si>
  <si>
    <t>CRESTWOOD</t>
  </si>
  <si>
    <t>UTICA</t>
  </si>
  <si>
    <t>MCNABB</t>
  </si>
  <si>
    <t>CISSNA PARK</t>
  </si>
  <si>
    <t>CICERO</t>
  </si>
  <si>
    <t>LONDON MILLS</t>
  </si>
  <si>
    <t>WOODSTOCK</t>
  </si>
  <si>
    <t>HIGHLAND</t>
  </si>
  <si>
    <t>ELDORADO</t>
  </si>
  <si>
    <t>DIAMOND</t>
  </si>
  <si>
    <t>LAKE IN THE HILLS</t>
  </si>
  <si>
    <t>LORAINE</t>
  </si>
  <si>
    <t>MONTGOMERY</t>
  </si>
  <si>
    <t>STILLMAN VALLEY</t>
  </si>
  <si>
    <t>WN64AB120600210</t>
  </si>
  <si>
    <t>B130583986</t>
  </si>
  <si>
    <t>Cabinet Model</t>
  </si>
  <si>
    <t>PRIORITY</t>
  </si>
  <si>
    <t>COMPANY</t>
  </si>
  <si>
    <t>LEGAL LOCATION NAME</t>
  </si>
  <si>
    <t>ADDRESS</t>
  </si>
  <si>
    <t>CITY</t>
  </si>
  <si>
    <t>SERVICE REGION</t>
  </si>
  <si>
    <t>VGT #1</t>
  </si>
  <si>
    <t>VGT #2</t>
  </si>
  <si>
    <t>VGT #3</t>
  </si>
  <si>
    <t>VGT #4</t>
  </si>
  <si>
    <t>VGT #5</t>
  </si>
  <si>
    <t>RT</t>
  </si>
  <si>
    <t>GAMING LICENSE #</t>
  </si>
  <si>
    <t>RM</t>
  </si>
  <si>
    <t>ATM TERMINAL ID</t>
  </si>
  <si>
    <t>PHONE NUMBER</t>
  </si>
  <si>
    <t>VGT LIVE DATE</t>
  </si>
  <si>
    <t>X</t>
  </si>
  <si>
    <t>NERO'S PIZZA &amp; PUB</t>
  </si>
  <si>
    <t>FISHOLEE ENTERPRISES, INC.</t>
  </si>
  <si>
    <t>300 EASTGATE</t>
  </si>
  <si>
    <t>ALGONQUIN</t>
  </si>
  <si>
    <t>CHICAGOLAND</t>
  </si>
  <si>
    <t>B130583976</t>
  </si>
  <si>
    <t>812-0305926</t>
  </si>
  <si>
    <t>Mark Serry</t>
  </si>
  <si>
    <t>NRTA0449</t>
  </si>
  <si>
    <t>(847) 458-0282</t>
  </si>
  <si>
    <t>9/23/2013</t>
  </si>
  <si>
    <t>ALSIP MEMORIAL V.F.W. POST 450</t>
  </si>
  <si>
    <t>ALSIP MEMORIAL V.F.W. POST 450, INC.</t>
  </si>
  <si>
    <t>11800 S CICERO AVE</t>
  </si>
  <si>
    <t>B141118707</t>
  </si>
  <si>
    <t>812-0401216</t>
  </si>
  <si>
    <t>Dan Lanno</t>
  </si>
  <si>
    <t>(708) 388-2387</t>
  </si>
  <si>
    <t>RIDDLES COMEDY CLUB</t>
  </si>
  <si>
    <t>T B K COMEDY INC</t>
  </si>
  <si>
    <t>5055 W 111TH STREET</t>
  </si>
  <si>
    <t>B131091587</t>
  </si>
  <si>
    <t>W2304188</t>
  </si>
  <si>
    <t>812-0305977</t>
  </si>
  <si>
    <t>NRTA0664</t>
  </si>
  <si>
    <t>(708) 636-7940</t>
  </si>
  <si>
    <t>12/30/2013</t>
  </si>
  <si>
    <t>NAUTI-KNOTS BAR &amp; GRILLE</t>
  </si>
  <si>
    <t>H2G1, INC.</t>
  </si>
  <si>
    <t>25276 W GRASS LAKE RD, SUITE 1</t>
  </si>
  <si>
    <t>W2244009</t>
  </si>
  <si>
    <t>812-0401189</t>
  </si>
  <si>
    <t>NRTA1211</t>
  </si>
  <si>
    <t/>
  </si>
  <si>
    <t>AROMA PARK AMERICAN LEGION POST #1019</t>
  </si>
  <si>
    <t>AROMA PARK POST 1019 AMERICAN LEGION</t>
  </si>
  <si>
    <t>AROMA PARK</t>
  </si>
  <si>
    <t>B130277626</t>
  </si>
  <si>
    <t>812-0211771</t>
  </si>
  <si>
    <t>Ange Yangas</t>
  </si>
  <si>
    <t>NRTA0143</t>
  </si>
  <si>
    <t>(815) 939-9438</t>
  </si>
  <si>
    <t>12/18/2012</t>
  </si>
  <si>
    <t>AMVETS POST 103</t>
  </si>
  <si>
    <t>AMVETS POST #103</t>
  </si>
  <si>
    <t>B131092556</t>
  </si>
  <si>
    <t>812-0313707</t>
  </si>
  <si>
    <t>Bill Parrott</t>
  </si>
  <si>
    <t>NRTA1023</t>
  </si>
  <si>
    <t>(630) 892-1194</t>
  </si>
  <si>
    <t>5/23/2014</t>
  </si>
  <si>
    <t>AURORA ATHLETIC CLUB</t>
  </si>
  <si>
    <t>AURORA ATHLETIC CLUB, INC.</t>
  </si>
  <si>
    <t>550 CLEARWATER DRIVE</t>
  </si>
  <si>
    <t>B130173758</t>
  </si>
  <si>
    <t>812-0316168</t>
  </si>
  <si>
    <t>Tatjana Lockhart</t>
  </si>
  <si>
    <t>NRTA0749</t>
  </si>
  <si>
    <t>(630) 897-5577</t>
  </si>
  <si>
    <t>TAV 12/31/2014</t>
  </si>
  <si>
    <t>AURORA MOOSE LODGE # 400</t>
  </si>
  <si>
    <t>AURORA MOOSE LODGE # 400 LOYAL ORDER OF MOOSE</t>
  </si>
  <si>
    <t>83 NORTH LINCOLN AVENUE</t>
  </si>
  <si>
    <t>B121067248</t>
  </si>
  <si>
    <t>VR-1052</t>
  </si>
  <si>
    <t>812-0310389</t>
  </si>
  <si>
    <t>(630) 897-0400</t>
  </si>
  <si>
    <t>AURORA TURNERS CLUB</t>
  </si>
  <si>
    <t>TURN-VEREIN FRISCH AUF</t>
  </si>
  <si>
    <t>1335 MITCHELL ROAD</t>
  </si>
  <si>
    <t>B120556052</t>
  </si>
  <si>
    <t>B121067249</t>
  </si>
  <si>
    <t>812-0205827</t>
  </si>
  <si>
    <t>NRTA0019</t>
  </si>
  <si>
    <t>(630) 859-2267</t>
  </si>
  <si>
    <t>BLACK DOOR PUB</t>
  </si>
  <si>
    <t>255 GROUP LTD.</t>
  </si>
  <si>
    <t>255 E INDIAN TRAIL</t>
  </si>
  <si>
    <t>B150222400</t>
  </si>
  <si>
    <t>W2267985</t>
  </si>
  <si>
    <t>812-0408320</t>
  </si>
  <si>
    <t>HOUNDS BLUE MOON</t>
  </si>
  <si>
    <t>MUTLEY, INC.</t>
  </si>
  <si>
    <t>2124 W GALENA BLVD SUITE 107</t>
  </si>
  <si>
    <t>W2303964</t>
  </si>
  <si>
    <t>812-0401068</t>
  </si>
  <si>
    <t>NRTA1231</t>
  </si>
  <si>
    <t>(630) 966-0600</t>
  </si>
  <si>
    <t>LA FLAMA</t>
  </si>
  <si>
    <t>746 S LINCOLN AVENUE</t>
  </si>
  <si>
    <t>B130277277</t>
  </si>
  <si>
    <t>B130378782</t>
  </si>
  <si>
    <t>812-0401108</t>
  </si>
  <si>
    <t>NRTA0113</t>
  </si>
  <si>
    <t>(630) 264-7191</t>
  </si>
  <si>
    <t>LA VILLITA LIQUORS II</t>
  </si>
  <si>
    <t>AURORA LA VILLITA, INC.</t>
  </si>
  <si>
    <t>1415 E NEW YORK STREET</t>
  </si>
  <si>
    <t>B130378750</t>
  </si>
  <si>
    <t>B130991452</t>
  </si>
  <si>
    <t>812-0310450</t>
  </si>
  <si>
    <t>NRTA0492</t>
  </si>
  <si>
    <t>(630) 898-6985</t>
  </si>
  <si>
    <t>LUXEMBURGER CLUB</t>
  </si>
  <si>
    <t>AMERICAN LUXEMBURGER CLUB, INC.</t>
  </si>
  <si>
    <t>416 HIGH STREET</t>
  </si>
  <si>
    <t>B131092470</t>
  </si>
  <si>
    <t>B131193194</t>
  </si>
  <si>
    <t>812-0310433</t>
  </si>
  <si>
    <t>NRTA0590</t>
  </si>
  <si>
    <t>(630) 898-9729</t>
  </si>
  <si>
    <t>MIDTOWN PUB &amp; GRILL</t>
  </si>
  <si>
    <t>MP3, LTD.</t>
  </si>
  <si>
    <t>1 S. STOLP AVENUE</t>
  </si>
  <si>
    <t>B130991458</t>
  </si>
  <si>
    <t>812-0305842</t>
  </si>
  <si>
    <t>NRTA0493</t>
  </si>
  <si>
    <t>(630) 264-5000</t>
  </si>
  <si>
    <t>MIKE &amp; DENISE'S PIZZERIA &amp; PUB</t>
  </si>
  <si>
    <t>ATTITUDES RESTAURANT &amp; BAR, LTD.</t>
  </si>
  <si>
    <t>1760 N FARNSWORTH</t>
  </si>
  <si>
    <t>B130277283</t>
  </si>
  <si>
    <t>B130378785</t>
  </si>
  <si>
    <t>812-0205836</t>
  </si>
  <si>
    <t>NRTA0230</t>
  </si>
  <si>
    <t>(630) 820-7447</t>
  </si>
  <si>
    <t>PARKSIDE LANES</t>
  </si>
  <si>
    <t>34W185 MONTGOMERY ROAD</t>
  </si>
  <si>
    <t>B120556051</t>
  </si>
  <si>
    <t>W2322069</t>
  </si>
  <si>
    <t>B120964622</t>
  </si>
  <si>
    <t>812-0205948</t>
  </si>
  <si>
    <t>NRTA0011</t>
  </si>
  <si>
    <t>(630) 898-5678</t>
  </si>
  <si>
    <t>PHOENIX CLUB</t>
  </si>
  <si>
    <t>PHOENIX CLUB, INC.</t>
  </si>
  <si>
    <t>515 PHOENIX CT.</t>
  </si>
  <si>
    <t>B140301902</t>
  </si>
  <si>
    <t>B140504674</t>
  </si>
  <si>
    <t>812-0404138</t>
  </si>
  <si>
    <t>NRTA1079</t>
  </si>
  <si>
    <t>(630) 896-1411</t>
  </si>
  <si>
    <t>RUDY'S PLACE</t>
  </si>
  <si>
    <t>RUDY'S LOUNGE &amp; GRILL INC.</t>
  </si>
  <si>
    <t>900 HILL AVENUE</t>
  </si>
  <si>
    <t>B140607253</t>
  </si>
  <si>
    <t>B140504693</t>
  </si>
  <si>
    <t>812-0401217</t>
  </si>
  <si>
    <t>NRTA1159</t>
  </si>
  <si>
    <t>(630) 898-7769</t>
  </si>
  <si>
    <t>STONEY'S TAP</t>
  </si>
  <si>
    <t>STONEY'S INCORPORATED</t>
  </si>
  <si>
    <t>B130275475</t>
  </si>
  <si>
    <t>B121170960</t>
  </si>
  <si>
    <t>812-0211536</t>
  </si>
  <si>
    <t>NRTA0220</t>
  </si>
  <si>
    <t>(630) 859-9588</t>
  </si>
  <si>
    <t>3/5/2013</t>
  </si>
  <si>
    <t>THE FOUNDRY</t>
  </si>
  <si>
    <t>THE FOUNDRY, INC.</t>
  </si>
  <si>
    <t>85 EXECUTIVE DRIVE</t>
  </si>
  <si>
    <t>B130991451</t>
  </si>
  <si>
    <t>B130174528</t>
  </si>
  <si>
    <t>812-0305882</t>
  </si>
  <si>
    <t>NRTA0469</t>
  </si>
  <si>
    <t>(630) 978-2088</t>
  </si>
  <si>
    <t>AMVETS LOUNGE</t>
  </si>
  <si>
    <t>BEECHER VETERANS ASSOCIATION</t>
  </si>
  <si>
    <t>B121068004</t>
  </si>
  <si>
    <t>812-0211540</t>
  </si>
  <si>
    <t>NRTA1257</t>
  </si>
  <si>
    <t>(708) 946-2440</t>
  </si>
  <si>
    <t>10/19/2012</t>
  </si>
  <si>
    <t>BELLWOOD VFW HALL POST 5081</t>
  </si>
  <si>
    <t>BELLWOOD MEMORIAL POST NO 5081 VETERANS OF FORIEGN WARS</t>
  </si>
  <si>
    <t>2817 ST CHARLES RD</t>
  </si>
  <si>
    <t>B130584043</t>
  </si>
  <si>
    <t xml:space="preserve">812-0304348 </t>
  </si>
  <si>
    <t>Darren Ferris</t>
  </si>
  <si>
    <t>NRTA0523</t>
  </si>
  <si>
    <t>(708) 547-6366</t>
  </si>
  <si>
    <t>12/17/2012</t>
  </si>
  <si>
    <t>INN BETWEEN</t>
  </si>
  <si>
    <t>WILJAC, INC.</t>
  </si>
  <si>
    <t>1300 W IRVING PARK ROAD</t>
  </si>
  <si>
    <t>BENSENVILLE</t>
  </si>
  <si>
    <t>B130991453</t>
  </si>
  <si>
    <t>812-0310374</t>
  </si>
  <si>
    <t>NRTA0490</t>
  </si>
  <si>
    <t>(630) 595-9059</t>
  </si>
  <si>
    <t>WAGNER'S LOUNGE</t>
  </si>
  <si>
    <t>RANDI M WAGNER</t>
  </si>
  <si>
    <t>B130277484</t>
  </si>
  <si>
    <t>WN64AB120500016</t>
  </si>
  <si>
    <t>(708) 484-9887</t>
  </si>
  <si>
    <t>10/18/2012</t>
  </si>
  <si>
    <t>JOHN L'S II</t>
  </si>
  <si>
    <t>JOHN L'S II, INC.</t>
  </si>
  <si>
    <t>B130991413</t>
  </si>
  <si>
    <t>812-0211746</t>
  </si>
  <si>
    <t>NRTA0576</t>
  </si>
  <si>
    <t>(708) 597-6313</t>
  </si>
  <si>
    <t>12/3/2013</t>
  </si>
  <si>
    <t>THE FORGE</t>
  </si>
  <si>
    <t>HANK RUSIN LTD</t>
  </si>
  <si>
    <t>B130275501</t>
  </si>
  <si>
    <t>812-0317955</t>
  </si>
  <si>
    <t>Teri McElliott</t>
  </si>
  <si>
    <t>(708) 388-7919</t>
  </si>
  <si>
    <t>11/26/2012</t>
  </si>
  <si>
    <t>DONALD &amp; DEBBIE'S DOG HOUSE</t>
  </si>
  <si>
    <t>DEBRA SIMS</t>
  </si>
  <si>
    <t>B131091647</t>
  </si>
  <si>
    <t>W2212899</t>
  </si>
  <si>
    <t>WN64AB120800590</t>
  </si>
  <si>
    <t>LK250819</t>
  </si>
  <si>
    <t>(815) 939-0579</t>
  </si>
  <si>
    <t>1/3/2013</t>
  </si>
  <si>
    <t>THE KORNER KEG &amp; KITCHEN</t>
  </si>
  <si>
    <t>KORNER KEG &amp; KITCHEN, INC</t>
  </si>
  <si>
    <t>B130275467</t>
  </si>
  <si>
    <t>B130275525</t>
  </si>
  <si>
    <t>812-0304433</t>
  </si>
  <si>
    <t>NRTA0374</t>
  </si>
  <si>
    <t>(815) 458-2867</t>
  </si>
  <si>
    <t>12/3/2012</t>
  </si>
  <si>
    <t>SOUTHWEST MOOSE 44</t>
  </si>
  <si>
    <t>CHICAGO SOUTHWEST LODGE NO. 44 LOYAL ORDER OF MOOSE</t>
  </si>
  <si>
    <t>B131193288</t>
  </si>
  <si>
    <t>812-0313696</t>
  </si>
  <si>
    <t>NRTA0684</t>
  </si>
  <si>
    <t>(708) 594-5774</t>
  </si>
  <si>
    <t>1/27/2014</t>
  </si>
  <si>
    <t>VENETIAN GARDENS</t>
  </si>
  <si>
    <t>V. GARDENS INC</t>
  </si>
  <si>
    <t>B130584042</t>
  </si>
  <si>
    <t>VR-1040</t>
  </si>
  <si>
    <t>WN64AB120800512</t>
  </si>
  <si>
    <t>LK215136</t>
  </si>
  <si>
    <t>(708) 458-0900</t>
  </si>
  <si>
    <t>12/4/2012</t>
  </si>
  <si>
    <t>WINNIE'S BISTRO</t>
  </si>
  <si>
    <t>WINNIE'S CAFE OF BRIDGEVIEW LLC</t>
  </si>
  <si>
    <t>B131193244</t>
  </si>
  <si>
    <t>812-0316146</t>
  </si>
  <si>
    <t>NRTA0708</t>
  </si>
  <si>
    <t>2/25/2014</t>
  </si>
  <si>
    <t>SALT CREEK WINE BAR</t>
  </si>
  <si>
    <t>TOLIN, INC.</t>
  </si>
  <si>
    <t>8900 FAIRVIEW AVE</t>
  </si>
  <si>
    <t xml:space="preserve">812-0317942 </t>
  </si>
  <si>
    <t>NRTA1151</t>
  </si>
  <si>
    <t>(708) 387-2432</t>
  </si>
  <si>
    <t>WATERFRONT MARINE</t>
  </si>
  <si>
    <t>B131193249</t>
  </si>
  <si>
    <t xml:space="preserve">812-0304309 </t>
  </si>
  <si>
    <t>(708) 878-5934</t>
  </si>
  <si>
    <t>2/7/2014</t>
  </si>
  <si>
    <r>
      <t xml:space="preserve">BOSS' </t>
    </r>
    <r>
      <rPr>
        <b/>
        <sz val="11"/>
        <color theme="1"/>
        <rFont val="Calibri"/>
        <family val="2"/>
        <scheme val="minor"/>
      </rPr>
      <t>(SECURITY ROUTE)</t>
    </r>
  </si>
  <si>
    <t>BOSS' INC</t>
  </si>
  <si>
    <t>W2320183</t>
  </si>
  <si>
    <t>B130173531</t>
  </si>
  <si>
    <t>B130275523</t>
  </si>
  <si>
    <t>WN64AB120600500</t>
  </si>
  <si>
    <t>(708) 891-9073</t>
  </si>
  <si>
    <t>12/6/2012</t>
  </si>
  <si>
    <r>
      <t xml:space="preserve">EHINGER BROS POST 8141 </t>
    </r>
    <r>
      <rPr>
        <b/>
        <sz val="11"/>
        <color theme="1"/>
        <rFont val="Calibri"/>
        <family val="2"/>
        <scheme val="minor"/>
      </rPr>
      <t>(SECURITY ROUTE)</t>
    </r>
  </si>
  <si>
    <t>EHINGER BROS. POST #8141, VETERANS OF FOREIGN WARS</t>
  </si>
  <si>
    <t>B130584007</t>
  </si>
  <si>
    <t>812-0305861</t>
  </si>
  <si>
    <t>NRTA0483</t>
  </si>
  <si>
    <t>(708) 862-7913</t>
  </si>
  <si>
    <t>10/16/2013</t>
  </si>
  <si>
    <r>
      <t xml:space="preserve">JOHN L'S </t>
    </r>
    <r>
      <rPr>
        <b/>
        <sz val="11"/>
        <color theme="1"/>
        <rFont val="Calibri"/>
        <family val="2"/>
        <scheme val="minor"/>
      </rPr>
      <t>(SECURITY ROUTE)</t>
    </r>
  </si>
  <si>
    <t>JOHN D. LATTANZI</t>
  </si>
  <si>
    <t>335 154TH PLACE</t>
  </si>
  <si>
    <t>B130583982</t>
  </si>
  <si>
    <t>812-0305988</t>
  </si>
  <si>
    <t>NRTA0502</t>
  </si>
  <si>
    <t>(708) 862-2386</t>
  </si>
  <si>
    <r>
      <t xml:space="preserve">PETE'S SPORTS LOUNGE </t>
    </r>
    <r>
      <rPr>
        <b/>
        <sz val="11"/>
        <color theme="1"/>
        <rFont val="Calibri"/>
        <family val="2"/>
        <scheme val="minor"/>
      </rPr>
      <t>(SECURITY ROUTE</t>
    </r>
    <r>
      <rPr>
        <sz val="10"/>
        <rFont val="Arial"/>
        <family val="2"/>
      </rPr>
      <t>)</t>
    </r>
  </si>
  <si>
    <t>BOUND ENTERPRISE INCORPORATED</t>
  </si>
  <si>
    <t>148 154TH PL</t>
  </si>
  <si>
    <t>B130173523</t>
  </si>
  <si>
    <t>812-0211773</t>
  </si>
  <si>
    <t>NRTA0134</t>
  </si>
  <si>
    <t>(708) 891-2414</t>
  </si>
  <si>
    <t>3/20/2013</t>
  </si>
  <si>
    <r>
      <t xml:space="preserve">GENO'S PLACE </t>
    </r>
    <r>
      <rPr>
        <b/>
        <sz val="11"/>
        <color theme="1"/>
        <rFont val="Calibri"/>
        <family val="2"/>
        <scheme val="minor"/>
      </rPr>
      <t>(SECURITY ROUTE)</t>
    </r>
  </si>
  <si>
    <t>GENOS PLACE INC</t>
  </si>
  <si>
    <t>WN64AB120600332</t>
  </si>
  <si>
    <t>(708) 385-3100</t>
  </si>
  <si>
    <t>3/4/2013</t>
  </si>
  <si>
    <t>BUM'S TAVERN</t>
  </si>
  <si>
    <t>BUM'S TAVERN, INC.</t>
  </si>
  <si>
    <t>790 N 6TH ST</t>
  </si>
  <si>
    <t>CARBON HILL</t>
  </si>
  <si>
    <t>812-0401128</t>
  </si>
  <si>
    <t>NRTA1220</t>
  </si>
  <si>
    <t>(815) 634-0148</t>
  </si>
  <si>
    <r>
      <t xml:space="preserve">GENO'S FOOD &amp; LIQUORS </t>
    </r>
    <r>
      <rPr>
        <b/>
        <sz val="11"/>
        <color theme="1"/>
        <rFont val="Calibri"/>
        <family val="2"/>
        <scheme val="minor"/>
      </rPr>
      <t>(SECURITY ROUTE)</t>
    </r>
  </si>
  <si>
    <t>GENO'S FOOD &amp; LIQUOR, INC.</t>
  </si>
  <si>
    <t>B130991387</t>
  </si>
  <si>
    <t>W2303966</t>
  </si>
  <si>
    <t>812-0305896</t>
  </si>
  <si>
    <t>NRTA0581</t>
  </si>
  <si>
    <t>(708) 755-7892</t>
  </si>
  <si>
    <t>12/10/2013</t>
  </si>
  <si>
    <t>LAVUE BAR &amp; GRILL</t>
  </si>
  <si>
    <t>LAVUE MANAGEMENT CORPORATION</t>
  </si>
  <si>
    <t>707 S HALSTED</t>
  </si>
  <si>
    <t>B131091619</t>
  </si>
  <si>
    <t>812-0401115</t>
  </si>
  <si>
    <t>NRTA1091</t>
  </si>
  <si>
    <t>(708) 755-0024</t>
  </si>
  <si>
    <t>PARK FOREST A L POST# 1198</t>
  </si>
  <si>
    <t>AMERICAN LEGION POST 1198</t>
  </si>
  <si>
    <t>812-0211535</t>
  </si>
  <si>
    <t>NRTA0363</t>
  </si>
  <si>
    <t>(708) 481-3055</t>
  </si>
  <si>
    <t>3/1/2013</t>
  </si>
  <si>
    <t>CHICAGO RIDGE VFW POST 177</t>
  </si>
  <si>
    <t>MC DONALD LINN CHICAGO RIDGE POST NO 177 VETERANS OF FOREIGN WARS OF THE UNITED STATES</t>
  </si>
  <si>
    <t>B130275520</t>
  </si>
  <si>
    <t>812-0302288</t>
  </si>
  <si>
    <t>NRTA0193</t>
  </si>
  <si>
    <t>(708) 636-3220</t>
  </si>
  <si>
    <t>5/20/2013</t>
  </si>
  <si>
    <t>EL PATRON SPORTS BAR</t>
  </si>
  <si>
    <t>EL PATRON SPORTS BAR, INC.</t>
  </si>
  <si>
    <t>2260 S CICERO AVE</t>
  </si>
  <si>
    <t>812-0401223</t>
  </si>
  <si>
    <t>NRTA1223</t>
  </si>
  <si>
    <t>(708) 222-9800</t>
  </si>
  <si>
    <t>LOBO DE MAR RESTAURANT</t>
  </si>
  <si>
    <t>CERMACK HOSPITALITY, INC.</t>
  </si>
  <si>
    <t>5503 W CERMAK</t>
  </si>
  <si>
    <t>812-0106359</t>
  </si>
  <si>
    <t>NRTA0628</t>
  </si>
  <si>
    <t>(708) 298-9327</t>
  </si>
  <si>
    <t>1/2/2014</t>
  </si>
  <si>
    <t>STEAK-N-EGGER</t>
  </si>
  <si>
    <t>STEAK-N-EGGER, ROOSEVELT, INC.</t>
  </si>
  <si>
    <t>5601 W ROOSEVELT RD</t>
  </si>
  <si>
    <t>W2315339</t>
  </si>
  <si>
    <t>B131193241</t>
  </si>
  <si>
    <t>B141118692</t>
  </si>
  <si>
    <t>812-0401227</t>
  </si>
  <si>
    <t>Nick Lennox</t>
  </si>
  <si>
    <t>NRTA1213</t>
  </si>
  <si>
    <t>CHANEY PROGRESSIVE CLUB</t>
  </si>
  <si>
    <t>CHANEY PROGRESSIVE CLUB, INC.</t>
  </si>
  <si>
    <t>812-0304301</t>
  </si>
  <si>
    <t>NRTA1162</t>
  </si>
  <si>
    <t>(815) 723-8814</t>
  </si>
  <si>
    <t>VITO'S ON BOADWAY</t>
  </si>
  <si>
    <t>MACADOO INC</t>
  </si>
  <si>
    <t>1823 N BROADWAY</t>
  </si>
  <si>
    <t>B130173541</t>
  </si>
  <si>
    <t>812-0106349</t>
  </si>
  <si>
    <t>NRTA0167</t>
  </si>
  <si>
    <t>(815) 723-7305</t>
  </si>
  <si>
    <t>12/13/2012</t>
  </si>
  <si>
    <t>CHUCK'S PLACE</t>
  </si>
  <si>
    <t>CHAVEZ &amp; RIDDER INC</t>
  </si>
  <si>
    <t>WN64AB120600404</t>
  </si>
  <si>
    <t>(708) 672-9449</t>
  </si>
  <si>
    <t>OLD TOWN TAP</t>
  </si>
  <si>
    <t>OLD TOWN TAP, INC.</t>
  </si>
  <si>
    <t>475 W BURVILLE</t>
  </si>
  <si>
    <t>B130480921</t>
  </si>
  <si>
    <t>812-0302366</t>
  </si>
  <si>
    <t>NRTA0232</t>
  </si>
  <si>
    <t>(708) 672-9616</t>
  </si>
  <si>
    <t>6/26/2013</t>
  </si>
  <si>
    <t>CUSTER'S KEG</t>
  </si>
  <si>
    <t>KORNER KEG &amp; KITCHEN INC</t>
  </si>
  <si>
    <t>B131194557</t>
  </si>
  <si>
    <t>812-0304418</t>
  </si>
  <si>
    <t>NRTA0317</t>
  </si>
  <si>
    <t>(815) 458-0696</t>
  </si>
  <si>
    <t>DRY DOCK INN INC.</t>
  </si>
  <si>
    <t>1125 N FRONTAGE RD</t>
  </si>
  <si>
    <t>DARIEN</t>
  </si>
  <si>
    <t>B130583990</t>
  </si>
  <si>
    <t>812-0404102</t>
  </si>
  <si>
    <t>NRTA1293</t>
  </si>
  <si>
    <t>(630) 963-0808</t>
  </si>
  <si>
    <t>AMERICAN LEGION POST 66</t>
  </si>
  <si>
    <t>DEKALB POST #66 OF THE AMERICAN LEGION DEPARTMENT OF ILLINOIS</t>
  </si>
  <si>
    <t>B131193286</t>
  </si>
  <si>
    <t>812-0316185</t>
  </si>
  <si>
    <t>NRTA0846</t>
  </si>
  <si>
    <t>(815) 756-4551</t>
  </si>
  <si>
    <t>4/10/2014</t>
  </si>
  <si>
    <t>DEKALB COLUMBUS CLUB</t>
  </si>
  <si>
    <t>DEKALB COLUMBUS CLUB, INC.</t>
  </si>
  <si>
    <t>1336 E LINCOLN HWY</t>
  </si>
  <si>
    <t>B130378821</t>
  </si>
  <si>
    <t>W2303999</t>
  </si>
  <si>
    <t>812-0404106</t>
  </si>
  <si>
    <t>NRTA1288</t>
  </si>
  <si>
    <t>DEKALB LODGE 765</t>
  </si>
  <si>
    <t>DEKALB LODGE NO. 765 BENEVOLENT AND PROTECTIVE ORDER OF ELK</t>
  </si>
  <si>
    <t>B131194583</t>
  </si>
  <si>
    <t xml:space="preserve">812-0302318 </t>
  </si>
  <si>
    <t>NRTA0922</t>
  </si>
  <si>
    <t>(815) 756-6912</t>
  </si>
  <si>
    <t>4/23/2014</t>
  </si>
  <si>
    <t>O'LEARY'S IRISH PUB &amp; GRILL</t>
  </si>
  <si>
    <t>UNIVERSAL RESTAURANT GROUP INC</t>
  </si>
  <si>
    <t>B121169889</t>
  </si>
  <si>
    <t>B130275482</t>
  </si>
  <si>
    <t>B121170959</t>
  </si>
  <si>
    <t>812-0211533</t>
  </si>
  <si>
    <t>NRTA0062</t>
  </si>
  <si>
    <t>(815) 748-0000</t>
  </si>
  <si>
    <t>3/12/2013</t>
  </si>
  <si>
    <t>SULLIVAN'S TAVERN</t>
  </si>
  <si>
    <t>SULLIVAN'S TAVERN, INC.</t>
  </si>
  <si>
    <t>722 E LINCOLN HWY</t>
  </si>
  <si>
    <t>B130480907</t>
  </si>
  <si>
    <t>812-0302322</t>
  </si>
  <si>
    <t>NRTA0204</t>
  </si>
  <si>
    <t>(815) 756-4324</t>
  </si>
  <si>
    <t>6/25/2013</t>
  </si>
  <si>
    <t>T.D. PETE'S</t>
  </si>
  <si>
    <t>B. P. MARKETS, INC.</t>
  </si>
  <si>
    <t>3195 E DIVISION ST</t>
  </si>
  <si>
    <t>W2241463</t>
  </si>
  <si>
    <t>B130991399</t>
  </si>
  <si>
    <t>W2303940</t>
  </si>
  <si>
    <t>812-0403207</t>
  </si>
  <si>
    <t>NRTA1204</t>
  </si>
  <si>
    <t>14136 LOUNGE</t>
  </si>
  <si>
    <t>14136 CHICAGO RD</t>
  </si>
  <si>
    <t>W2269448</t>
  </si>
  <si>
    <t>WN64AB120900651</t>
  </si>
  <si>
    <t>(708) 841-6497</t>
  </si>
  <si>
    <t>ALBERT TUNBERG VFW POST #2608</t>
  </si>
  <si>
    <t>VETERANS OF FOREIGN WARS ALBERT TUNBERG POST 2608</t>
  </si>
  <si>
    <t>B130275460</t>
  </si>
  <si>
    <t xml:space="preserve">812-0304445 </t>
  </si>
  <si>
    <t>NRTA0343</t>
  </si>
  <si>
    <t>(815) 584-9807</t>
  </si>
  <si>
    <t>2/19/2013</t>
  </si>
  <si>
    <t>CHERRY RED ROASTERS BBQ</t>
  </si>
  <si>
    <t>W2256560</t>
  </si>
  <si>
    <t>812-0313711</t>
  </si>
  <si>
    <t>NRTA1206</t>
  </si>
  <si>
    <t>(815) 584-1227</t>
  </si>
  <si>
    <t>WILLY'S PUB INC</t>
  </si>
  <si>
    <t>B131194581</t>
  </si>
  <si>
    <t>812-0211522</t>
  </si>
  <si>
    <t>NRTA0074</t>
  </si>
  <si>
    <t>2/20/2013</t>
  </si>
  <si>
    <t>RECO'S ROADHOUSE</t>
  </si>
  <si>
    <t>KORNER KEG &amp; KITCHEN, INC.</t>
  </si>
  <si>
    <t>B131091635</t>
  </si>
  <si>
    <t>812-0305819</t>
  </si>
  <si>
    <t>NRTA0612</t>
  </si>
  <si>
    <t>(815) 237-8050</t>
  </si>
  <si>
    <t>12/23/2013</t>
  </si>
  <si>
    <t>BLACKBERRY BAR &amp; GRILL</t>
  </si>
  <si>
    <t>BBINN, INC.</t>
  </si>
  <si>
    <t>1S731 ROUTE 47</t>
  </si>
  <si>
    <t>B120556009</t>
  </si>
  <si>
    <t>B120556045</t>
  </si>
  <si>
    <t>812-0401197</t>
  </si>
  <si>
    <t>NRTA0001</t>
  </si>
  <si>
    <t>(630) 365-9740</t>
  </si>
  <si>
    <t>KNUCKLEHEAD'S TAVERN</t>
  </si>
  <si>
    <t>KNUCKLEHEAD'S TAVERN, INC.</t>
  </si>
  <si>
    <t>B131091566</t>
  </si>
  <si>
    <t xml:space="preserve">812-0305877 </t>
  </si>
  <si>
    <t>NRTA0569</t>
  </si>
  <si>
    <t>(630) 365-9164</t>
  </si>
  <si>
    <t>12/27/2013</t>
  </si>
  <si>
    <t>SCHMIDTS TOWNE TAP</t>
  </si>
  <si>
    <t>107 N MAIN STREER</t>
  </si>
  <si>
    <t>B131092122</t>
  </si>
  <si>
    <t>B131092462</t>
  </si>
  <si>
    <t>812-0310414</t>
  </si>
  <si>
    <t>NRTA0535</t>
  </si>
  <si>
    <t>(630) 365-0100</t>
  </si>
  <si>
    <t>FATSOZ</t>
  </si>
  <si>
    <t>959 VILLA STREET</t>
  </si>
  <si>
    <t>ELGIN</t>
  </si>
  <si>
    <t>B131092461</t>
  </si>
  <si>
    <t>812-0305912</t>
  </si>
  <si>
    <t>NRTA0537</t>
  </si>
  <si>
    <t>(847) 742-5858</t>
  </si>
  <si>
    <t>ISLAS MARIAS</t>
  </si>
  <si>
    <t>ISLAS MARIAS RESTAURANT INC.</t>
  </si>
  <si>
    <t>938 E. CHICAGO STREET</t>
  </si>
  <si>
    <t xml:space="preserve">812-0304378 </t>
  </si>
  <si>
    <t>NRTA0353</t>
  </si>
  <si>
    <t>(847) 531-8240</t>
  </si>
  <si>
    <t>8/19/2013</t>
  </si>
  <si>
    <t>AT THE POST</t>
  </si>
  <si>
    <t>AT THE POST, LLC</t>
  </si>
  <si>
    <t>B131193283</t>
  </si>
  <si>
    <t>812-0316177</t>
  </si>
  <si>
    <t>NRTA0727</t>
  </si>
  <si>
    <t>(847) 364-0044</t>
  </si>
  <si>
    <t>2/12/2014</t>
  </si>
  <si>
    <t>SALT CREEK PIZZA &amp; PUB</t>
  </si>
  <si>
    <t>SALT CREEK TAVERN, INC.</t>
  </si>
  <si>
    <t>66 E DEVON AVE</t>
  </si>
  <si>
    <t>812-0318033</t>
  </si>
  <si>
    <t>(847) 593-5930</t>
  </si>
  <si>
    <t>MAIN STREET BAR &amp; GRILL</t>
  </si>
  <si>
    <t>B130173504</t>
  </si>
  <si>
    <t>812-0211508</t>
  </si>
  <si>
    <t>NRTA0217</t>
  </si>
  <si>
    <t>(815) 365-3075</t>
  </si>
  <si>
    <t>12/5/2012</t>
  </si>
  <si>
    <t>THE ESSEX INN</t>
  </si>
  <si>
    <t>EDWARD P. FOLEY</t>
  </si>
  <si>
    <t>213 W MAIN ST</t>
  </si>
  <si>
    <t>812-0401191</t>
  </si>
  <si>
    <t>NRTA1225</t>
  </si>
  <si>
    <t>(815) 365-4440</t>
  </si>
  <si>
    <t>EVERGREEN PARK AMERICAN LEGION</t>
  </si>
  <si>
    <t>EVERGREEN PARK POST NO. 854, THE AMERICAN LEGION</t>
  </si>
  <si>
    <t>B130275505</t>
  </si>
  <si>
    <t>B121067991</t>
  </si>
  <si>
    <t>W2293380</t>
  </si>
  <si>
    <t>812-0211532</t>
  </si>
  <si>
    <t>NRTA0085</t>
  </si>
  <si>
    <t>(708) 422-9513</t>
  </si>
  <si>
    <t>3/11/2013</t>
  </si>
  <si>
    <t>NO NAME PUB</t>
  </si>
  <si>
    <t>4511 S HARLEM AVE</t>
  </si>
  <si>
    <t>B130583983</t>
  </si>
  <si>
    <t>812-0305938</t>
  </si>
  <si>
    <t>NRTA0414</t>
  </si>
  <si>
    <t>(708) 484-4479</t>
  </si>
  <si>
    <t>GLENWOOD OAKS RESTAURANT</t>
  </si>
  <si>
    <t>GLENWOOD OAKS, INC</t>
  </si>
  <si>
    <t>W2315741</t>
  </si>
  <si>
    <t>B130275529</t>
  </si>
  <si>
    <t>812-0106297</t>
  </si>
  <si>
    <t>NRTA0038</t>
  </si>
  <si>
    <t>(708) 758-4400</t>
  </si>
  <si>
    <t>11/14/2012</t>
  </si>
  <si>
    <t>OLD STARKS TAVERN</t>
  </si>
  <si>
    <t>GD &amp; K, INC</t>
  </si>
  <si>
    <t xml:space="preserve">2177150		</t>
  </si>
  <si>
    <t>B131091638</t>
  </si>
  <si>
    <t xml:space="preserve">3300001674		</t>
  </si>
  <si>
    <t>812-0304340</t>
  </si>
  <si>
    <t>NRTA0362</t>
  </si>
  <si>
    <t>(847) 683-0014</t>
  </si>
  <si>
    <t>11/13/2012</t>
  </si>
  <si>
    <t>BUCK'S PIT STOP</t>
  </si>
  <si>
    <t>BUCK'S PIT STOP INC</t>
  </si>
  <si>
    <t>812-0211547</t>
  </si>
  <si>
    <t>NRTA0065</t>
  </si>
  <si>
    <t>(708) 588-0095</t>
  </si>
  <si>
    <t>HOMETOWN POST 9773 VFW</t>
  </si>
  <si>
    <t>HOMETOWN POST 9773 VETERANS OF FOREIGN WARS OF THE UNITED STATES</t>
  </si>
  <si>
    <t>9092 SOUTH MAIN STREET</t>
  </si>
  <si>
    <t>HOMETOWN</t>
  </si>
  <si>
    <t>B130173524</t>
  </si>
  <si>
    <t>812-0211677</t>
  </si>
  <si>
    <t>NRTA0098</t>
  </si>
  <si>
    <t>(708) 422-9800</t>
  </si>
  <si>
    <t>4/10/2013</t>
  </si>
  <si>
    <t>TEE 2 GREEN INDOOR GOLF</t>
  </si>
  <si>
    <t>TEE 2 GREEN INDOOR GOLF, LLC</t>
  </si>
  <si>
    <t>B130277136</t>
  </si>
  <si>
    <t xml:space="preserve">812-0317933 </t>
  </si>
  <si>
    <t>NRTA0933</t>
  </si>
  <si>
    <t>5/12/2014</t>
  </si>
  <si>
    <t>MCHENRY LODGE LOYAL ORDER OF MOOSE</t>
  </si>
  <si>
    <t>MCHENRY LODGE NO. 691, LOYAL ORDER OF MOOSE, INCORPORATED</t>
  </si>
  <si>
    <t>3535 N RICHMOND</t>
  </si>
  <si>
    <t>JOHNSBURG</t>
  </si>
  <si>
    <t>B130480918</t>
  </si>
  <si>
    <t>812-0302314</t>
  </si>
  <si>
    <t>John Deppe</t>
  </si>
  <si>
    <t>NRTA0218</t>
  </si>
  <si>
    <t>(815) 385-6955</t>
  </si>
  <si>
    <t>6/10/2013</t>
  </si>
  <si>
    <t>AMERICAN LEGION HARWOOD POST NO. 5</t>
  </si>
  <si>
    <t>HARWOOD POST NO. 5 THE AMERICAN LEGION DEPARTMENT OF ILLINOIS</t>
  </si>
  <si>
    <t>W2303954</t>
  </si>
  <si>
    <t>WN64AB120900802</t>
  </si>
  <si>
    <t>(815) 725-4333</t>
  </si>
  <si>
    <t>3/18/2013</t>
  </si>
  <si>
    <t>CROATIAN CULTURAL CLUB</t>
  </si>
  <si>
    <t>B131194598</t>
  </si>
  <si>
    <t>812-0316191</t>
  </si>
  <si>
    <t>NRTA0905</t>
  </si>
  <si>
    <t>(815) 723-3154</t>
  </si>
  <si>
    <t>4/28/2014</t>
  </si>
  <si>
    <t>DELTA-SONIC</t>
  </si>
  <si>
    <t>DELTA-SONIC CARWASH SYSTEMS, INC.</t>
  </si>
  <si>
    <t>1812 JEFFERSON ST</t>
  </si>
  <si>
    <t>W2304019</t>
  </si>
  <si>
    <t>B150222386</t>
  </si>
  <si>
    <t>812-0401211</t>
  </si>
  <si>
    <t>HOT PAN</t>
  </si>
  <si>
    <t>HOT PAN, LLC</t>
  </si>
  <si>
    <t>W2324730</t>
  </si>
  <si>
    <t xml:space="preserve">812-0316187 </t>
  </si>
  <si>
    <t>NRTA0869</t>
  </si>
  <si>
    <t>(815) 254-6088</t>
  </si>
  <si>
    <t>IZZY'S</t>
  </si>
  <si>
    <t>ALFONSO IZQUIERDO, JR. / IZZY'S LLC</t>
  </si>
  <si>
    <t>B141118699</t>
  </si>
  <si>
    <t>WN64AB120500053</t>
  </si>
  <si>
    <t>(815) 727-4999</t>
  </si>
  <si>
    <t>9/19/2012</t>
  </si>
  <si>
    <t>JOE'S BAR</t>
  </si>
  <si>
    <t>4220 WEST JEFFERSON STREET</t>
  </si>
  <si>
    <t>B131092129</t>
  </si>
  <si>
    <t>812-0302331</t>
  </si>
  <si>
    <t>NRTA0198</t>
  </si>
  <si>
    <t>(815) 846-2612</t>
  </si>
  <si>
    <t>7/1/2013</t>
  </si>
  <si>
    <t>LOS TRES HERMANOS</t>
  </si>
  <si>
    <t>LOS TRES HERMANOUS INC</t>
  </si>
  <si>
    <t>670 E JACKSON ST</t>
  </si>
  <si>
    <t>B130991386</t>
  </si>
  <si>
    <t>812-0106350</t>
  </si>
  <si>
    <t>NRTA0215</t>
  </si>
  <si>
    <t>(815) 740-1668</t>
  </si>
  <si>
    <t>5/6/2013</t>
  </si>
  <si>
    <t>MORAN ATHLETIC CLUB</t>
  </si>
  <si>
    <t>B131091655</t>
  </si>
  <si>
    <t>812-0304352</t>
  </si>
  <si>
    <t>NRTA0704</t>
  </si>
  <si>
    <t>(815) 722-5713</t>
  </si>
  <si>
    <t>2/3/2014</t>
  </si>
  <si>
    <t>RIO GRANDE FRESH MARKET</t>
  </si>
  <si>
    <t>SUPER RIO GRANDE FRESH MARKET, INC</t>
  </si>
  <si>
    <t>1115 W PLAINFIELD RD</t>
  </si>
  <si>
    <t>B130991407</t>
  </si>
  <si>
    <t>812-0305908</t>
  </si>
  <si>
    <t>NRTA0613</t>
  </si>
  <si>
    <t>(815) 774-3140</t>
  </si>
  <si>
    <t>STEFANICH RESTAURANT</t>
  </si>
  <si>
    <t>STEFANICH RESTAURANT INC</t>
  </si>
  <si>
    <t>457 N SCOTT ST</t>
  </si>
  <si>
    <t>B140299506</t>
  </si>
  <si>
    <t>812-0302327</t>
  </si>
  <si>
    <t>NRTA0219</t>
  </si>
  <si>
    <t>(815) 740-1000</t>
  </si>
  <si>
    <t>5/21/2013</t>
  </si>
  <si>
    <t>STONE CITY POST VFW 2199</t>
  </si>
  <si>
    <t>STONE CITY POST #2199, VETERANS OF FOREIGN WARS OF THE UNITED STATES, INC.</t>
  </si>
  <si>
    <t>124 STONE CITY DRIVE</t>
  </si>
  <si>
    <t>B130277487</t>
  </si>
  <si>
    <t>W2324741</t>
  </si>
  <si>
    <t>812-0302326</t>
  </si>
  <si>
    <t>NRTA0234</t>
  </si>
  <si>
    <t>(815) 722-7122</t>
  </si>
  <si>
    <t>THE OFFICE</t>
  </si>
  <si>
    <t>JOJACKY INC.</t>
  </si>
  <si>
    <t>B140299495</t>
  </si>
  <si>
    <t>B131091597</t>
  </si>
  <si>
    <t xml:space="preserve">812-0305789 </t>
  </si>
  <si>
    <t>NRTA0568</t>
  </si>
  <si>
    <t>(815) 937-9757</t>
  </si>
  <si>
    <t>7/16/2013</t>
  </si>
  <si>
    <t>VICTORY LANES BOWLING</t>
  </si>
  <si>
    <t>MURJEN INC</t>
  </si>
  <si>
    <t>B130584015</t>
  </si>
  <si>
    <t>WN64AB120800584</t>
  </si>
  <si>
    <t>(815) 939-2695</t>
  </si>
  <si>
    <t>2/20/2014</t>
  </si>
  <si>
    <t>THE GROVE MART</t>
  </si>
  <si>
    <t>GLOGOVSKY OIL COMPANYV, INC.</t>
  </si>
  <si>
    <t>W2237232</t>
  </si>
  <si>
    <t>812-0316204</t>
  </si>
  <si>
    <t>CHASERS SPORTS BAR &amp; GRILL</t>
  </si>
  <si>
    <t>CHASERS SPORTS BAR &amp; GRILL INC.</t>
  </si>
  <si>
    <t>B130277482</t>
  </si>
  <si>
    <t xml:space="preserve">812-0401086 </t>
  </si>
  <si>
    <t>NRTA1147</t>
  </si>
  <si>
    <t>SCOREBOARD BAR &amp; GRILL</t>
  </si>
  <si>
    <t>PB &amp; S INVESTMENTS LLC</t>
  </si>
  <si>
    <t>84 N OLD RAND RD</t>
  </si>
  <si>
    <t>B131091603</t>
  </si>
  <si>
    <t>812-0305915</t>
  </si>
  <si>
    <t>NRTA1175</t>
  </si>
  <si>
    <t>(847) 550-6003</t>
  </si>
  <si>
    <t>JOHNNY K'S RESTAURANT</t>
  </si>
  <si>
    <t>17816 TORRENCE AVE</t>
  </si>
  <si>
    <t>LANSING</t>
  </si>
  <si>
    <t>B130583979</t>
  </si>
  <si>
    <t xml:space="preserve">812-0305807 </t>
  </si>
  <si>
    <t>NRTA0411</t>
  </si>
  <si>
    <t>(708) 895-1500</t>
  </si>
  <si>
    <t>FRAN'S ON 17</t>
  </si>
  <si>
    <t>F.D. NOE, INC.</t>
  </si>
  <si>
    <t>7096 W RT 17</t>
  </si>
  <si>
    <t>812-0403152</t>
  </si>
  <si>
    <t>(815) 932-6986</t>
  </si>
  <si>
    <t>BIT O'BLARNEY PUB</t>
  </si>
  <si>
    <t>GALVEZ FAMILY DINING INC</t>
  </si>
  <si>
    <t>B131091637</t>
  </si>
  <si>
    <t>812-0403206</t>
  </si>
  <si>
    <t>NRTA0453</t>
  </si>
  <si>
    <t>(815) 478-7820</t>
  </si>
  <si>
    <t>11/29/2012</t>
  </si>
  <si>
    <t>FRITZ'S SALOON</t>
  </si>
  <si>
    <t>FRITZ'S LTD</t>
  </si>
  <si>
    <t>B131091643</t>
  </si>
  <si>
    <t>WN64AB120600330</t>
  </si>
  <si>
    <t>(815) 478-3665</t>
  </si>
  <si>
    <t>ANTHONY'S PIZZERIA &amp; PUB</t>
  </si>
  <si>
    <t>ANTHONY'S PIZZERIA &amp; PUB INC</t>
  </si>
  <si>
    <t>B131091625</t>
  </si>
  <si>
    <t>WN64AB120600411</t>
  </si>
  <si>
    <t>(815) 468-3484</t>
  </si>
  <si>
    <t>11/19/2012</t>
  </si>
  <si>
    <t>MANTENO AMER LEGION POST #755</t>
  </si>
  <si>
    <t>MANTENO AMERICAN LEGION POST NO 755</t>
  </si>
  <si>
    <t>B130584010</t>
  </si>
  <si>
    <t xml:space="preserve">812-0318018 </t>
  </si>
  <si>
    <t>NRTA0977</t>
  </si>
  <si>
    <t>(815) 468-8324</t>
  </si>
  <si>
    <t>ROUTE FIFTY NORTH</t>
  </si>
  <si>
    <t>I &amp; L TAP LIMITED</t>
  </si>
  <si>
    <t>178 N LOCUST</t>
  </si>
  <si>
    <t>B130277469</t>
  </si>
  <si>
    <t>WN64AB120900642</t>
  </si>
  <si>
    <t>(815) 468-8242</t>
  </si>
  <si>
    <t>5/14/2013</t>
  </si>
  <si>
    <t>WINNIE'S CAFÉ OF ILLINOIS, LLC</t>
  </si>
  <si>
    <t>287 S CREEK DR</t>
  </si>
  <si>
    <t>B130277197</t>
  </si>
  <si>
    <t>812-0401050</t>
  </si>
  <si>
    <t>NRTA1119</t>
  </si>
  <si>
    <t>MAPLE PARK PUB &amp; GRILL</t>
  </si>
  <si>
    <t>ROBINSON BROTHERS, LTD.</t>
  </si>
  <si>
    <t>MAPLE PARK</t>
  </si>
  <si>
    <t>B130991454</t>
  </si>
  <si>
    <t>B130378751</t>
  </si>
  <si>
    <t>812-0310444</t>
  </si>
  <si>
    <t>NRTA0491</t>
  </si>
  <si>
    <t>(815) 827-3452</t>
  </si>
  <si>
    <t>WINNERS CIRCLE BAR &amp; GRILL</t>
  </si>
  <si>
    <t>WINNER'S CIRCLE &amp; ASSOCIATES INC</t>
  </si>
  <si>
    <t>50 W 226 OLD STATE ROAD</t>
  </si>
  <si>
    <t xml:space="preserve">2171966	</t>
  </si>
  <si>
    <t>12/14/2012</t>
  </si>
  <si>
    <r>
      <t xml:space="preserve">GEORGE'S PLACE </t>
    </r>
    <r>
      <rPr>
        <b/>
        <sz val="11"/>
        <color theme="1"/>
        <rFont val="Calibri"/>
        <family val="2"/>
        <scheme val="minor"/>
      </rPr>
      <t>(SECURITY ROUTE)</t>
    </r>
  </si>
  <si>
    <t>GWP CORPORATION</t>
  </si>
  <si>
    <t>B130277481</t>
  </si>
  <si>
    <t>WN64AB120900773</t>
  </si>
  <si>
    <t>(708) 225-1844</t>
  </si>
  <si>
    <t>2/13/2013</t>
  </si>
  <si>
    <r>
      <t xml:space="preserve">MARKHAM MEM POST #9801 V F W </t>
    </r>
    <r>
      <rPr>
        <b/>
        <sz val="11"/>
        <color theme="1"/>
        <rFont val="Calibri"/>
        <family val="2"/>
        <scheme val="minor"/>
      </rPr>
      <t>(SECURITY ROUTE)</t>
    </r>
  </si>
  <si>
    <t>MARKHAM MEMORIAL POST #9801, VETERANS OF FOREIGN WARS.</t>
  </si>
  <si>
    <t>B130277488</t>
  </si>
  <si>
    <t>812-0302446</t>
  </si>
  <si>
    <t>NRTA0259</t>
  </si>
  <si>
    <t>(708) 596-6990</t>
  </si>
  <si>
    <t>6/27/2013</t>
  </si>
  <si>
    <t>MR BENNY'S</t>
  </si>
  <si>
    <t>MR. BENNY'S STEAK &amp; LOBSTER HOUSE OF MATTESON, INC.</t>
  </si>
  <si>
    <t>B131193250</t>
  </si>
  <si>
    <t>812-0316139</t>
  </si>
  <si>
    <t>NRTA0890</t>
  </si>
  <si>
    <t>(708) 481-5800</t>
  </si>
  <si>
    <t>4/21/2014</t>
  </si>
  <si>
    <t>STEAK N EGGER</t>
  </si>
  <si>
    <t>8408 JOLIET RD</t>
  </si>
  <si>
    <t>MCCOOK</t>
  </si>
  <si>
    <t>B130584009</t>
  </si>
  <si>
    <t>812-0401060</t>
  </si>
  <si>
    <t>NRTA0421</t>
  </si>
  <si>
    <t>10/7/2013</t>
  </si>
  <si>
    <t>MAIN STREET STATION</t>
  </si>
  <si>
    <t>TREY &amp; TOM CORP</t>
  </si>
  <si>
    <t>4005 W MAIN ST</t>
  </si>
  <si>
    <t>812-0106313</t>
  </si>
  <si>
    <t>NRTA0157</t>
  </si>
  <si>
    <t>(815) 385-4110</t>
  </si>
  <si>
    <t>12/10/2012</t>
  </si>
  <si>
    <t>NICOLINO'S TRACKSIDE</t>
  </si>
  <si>
    <t>W2315739</t>
  </si>
  <si>
    <t>B131091591</t>
  </si>
  <si>
    <t>812-0401078</t>
  </si>
  <si>
    <t>NRTA0578</t>
  </si>
  <si>
    <t>(815) 344-9800</t>
  </si>
  <si>
    <t>VICKIES PLACE</t>
  </si>
  <si>
    <t>R.V.V.J. LTD</t>
  </si>
  <si>
    <t>B130275521</t>
  </si>
  <si>
    <t>812-0305822</t>
  </si>
  <si>
    <t>NRTA0339</t>
  </si>
  <si>
    <t>(815) 385-2014</t>
  </si>
  <si>
    <t>12/12/2012</t>
  </si>
  <si>
    <t>FAT BOYZ PIZZA &amp; STUFF</t>
  </si>
  <si>
    <t>MY WAY CORP.</t>
  </si>
  <si>
    <t>408 W MONDAMIN ST</t>
  </si>
  <si>
    <t>MINOOKA</t>
  </si>
  <si>
    <t>W2304025</t>
  </si>
  <si>
    <t>B131091610</t>
  </si>
  <si>
    <t>812-0407916</t>
  </si>
  <si>
    <t>NRTA2504</t>
  </si>
  <si>
    <t>(815) 467-9100</t>
  </si>
  <si>
    <t>MR. BENNY'S STEAK &amp; LOBSTER HOUSE</t>
  </si>
  <si>
    <t>19200 EVERETTE LN</t>
  </si>
  <si>
    <t>W2303961</t>
  </si>
  <si>
    <t>812-0310448</t>
  </si>
  <si>
    <t>NRTA1256</t>
  </si>
  <si>
    <t>(708) 478-5800</t>
  </si>
  <si>
    <t>SCREMENTI'S RESTAURANT MOKENA INC</t>
  </si>
  <si>
    <t>SCREMENTI'S ITALIAN GRILL INC.</t>
  </si>
  <si>
    <t>B130991415</t>
  </si>
  <si>
    <t>812-0305914</t>
  </si>
  <si>
    <t>NRTA0586</t>
  </si>
  <si>
    <t>(708) 755-7200</t>
  </si>
  <si>
    <t>12/9/2013</t>
  </si>
  <si>
    <t>WILLIAM MARTIN VFW POST 725</t>
  </si>
  <si>
    <t>WILLIAM MARTIN POST 725</t>
  </si>
  <si>
    <t>19852 WOLF RD</t>
  </si>
  <si>
    <t>812-0401192</t>
  </si>
  <si>
    <t>NRTA1222</t>
  </si>
  <si>
    <t>(708) 479-5022</t>
  </si>
  <si>
    <t>WILLOW RUN COUNTRY CLUB</t>
  </si>
  <si>
    <t>LANE ENTERPRISES, INC.</t>
  </si>
  <si>
    <t>B130378822</t>
  </si>
  <si>
    <t>812-0316133</t>
  </si>
  <si>
    <t>NRTA0797</t>
  </si>
  <si>
    <t>(815) 485-2119</t>
  </si>
  <si>
    <t>3/17/2014</t>
  </si>
  <si>
    <t>BORDER TOWN PUB</t>
  </si>
  <si>
    <t>BORDER TOWN PUB INC</t>
  </si>
  <si>
    <t>B130277628</t>
  </si>
  <si>
    <t>B130275514</t>
  </si>
  <si>
    <t>812-0211788</t>
  </si>
  <si>
    <t>NRTA0133</t>
  </si>
  <si>
    <t>(815) 472-4340</t>
  </si>
  <si>
    <t>2/21/2013</t>
  </si>
  <si>
    <t>MUGGS &amp; SUDDS MOMENCE</t>
  </si>
  <si>
    <t>MUGGS &amp; SUDDS MOMENCE, INC.</t>
  </si>
  <si>
    <t>B130583997</t>
  </si>
  <si>
    <t>B150222391</t>
  </si>
  <si>
    <t>812-0302465</t>
  </si>
  <si>
    <t>NRTA0416</t>
  </si>
  <si>
    <t>(815) 472-3158</t>
  </si>
  <si>
    <t>BRIAN'S PLACE</t>
  </si>
  <si>
    <t>BRIPLACE INC</t>
  </si>
  <si>
    <t>B131193257</t>
  </si>
  <si>
    <t>812-0206000</t>
  </si>
  <si>
    <t>(708) 534-8833</t>
  </si>
  <si>
    <t>MULLIGAN'S PUB</t>
  </si>
  <si>
    <t>HOLE IN ONE INC</t>
  </si>
  <si>
    <t>25861 GOVERNORS HWY / PO BOX 487</t>
  </si>
  <si>
    <t>B130173503</t>
  </si>
  <si>
    <t>812-0211710</t>
  </si>
  <si>
    <t>(708) 534-2769</t>
  </si>
  <si>
    <t>3/25/2013</t>
  </si>
  <si>
    <t>VILLAGE INN</t>
  </si>
  <si>
    <t>REGIN INC</t>
  </si>
  <si>
    <t>5355 MAIN ST BOX 254</t>
  </si>
  <si>
    <t>B130173512</t>
  </si>
  <si>
    <t>WN64AB120600267</t>
  </si>
  <si>
    <t>(708) 534-7177</t>
  </si>
  <si>
    <t>3/21/2013</t>
  </si>
  <si>
    <t>GARIO'S PIZZA VILLA</t>
  </si>
  <si>
    <t>GARIO'S PIZZA VILLA, LTD.</t>
  </si>
  <si>
    <t>813 MONTGOMERY ROAD</t>
  </si>
  <si>
    <t>B130482052</t>
  </si>
  <si>
    <t>B120556049</t>
  </si>
  <si>
    <t>812-0305839</t>
  </si>
  <si>
    <t>NRTA0397</t>
  </si>
  <si>
    <t>(630) 898-5300</t>
  </si>
  <si>
    <t>MARATHON</t>
  </si>
  <si>
    <t>425 N RT 25</t>
  </si>
  <si>
    <t>B131194570</t>
  </si>
  <si>
    <t>W2304015</t>
  </si>
  <si>
    <t>812-0404090</t>
  </si>
  <si>
    <t>ORCHARD STOP CITGO</t>
  </si>
  <si>
    <t>ORCHARD STOP, LLC</t>
  </si>
  <si>
    <t>1700 ORCHARD RD</t>
  </si>
  <si>
    <t>B130378880</t>
  </si>
  <si>
    <t xml:space="preserve">812-0317944 </t>
  </si>
  <si>
    <t>1/7/2014</t>
  </si>
  <si>
    <t>AMERICAN LEGION POST 1977</t>
  </si>
  <si>
    <t>THOMAS E. HARTUNG AMERICAN LEGION POST 1977</t>
  </si>
  <si>
    <t>14414 W FORD DR</t>
  </si>
  <si>
    <t>B130991404</t>
  </si>
  <si>
    <t>B130991408</t>
  </si>
  <si>
    <t>812-0305973</t>
  </si>
  <si>
    <t>NRTA0629</t>
  </si>
  <si>
    <t>(815) 485-4651</t>
  </si>
  <si>
    <t>HARRY E ANDERSON VFW POST 9545</t>
  </si>
  <si>
    <t>HARRY E. ANDERSON POST 9545 VETERANS OF FOREIGN WARS</t>
  </si>
  <si>
    <t>B130991419</t>
  </si>
  <si>
    <t>812-0211723</t>
  </si>
  <si>
    <t>NRTA0627</t>
  </si>
  <si>
    <t>(815) 485-8369</t>
  </si>
  <si>
    <t>THE LITTLE RED SCHOOL HOUSE</t>
  </si>
  <si>
    <t>LINDSAY BEVERAGE ENTERPRISES, INC.</t>
  </si>
  <si>
    <t>110 S. LINCOLNWAY</t>
  </si>
  <si>
    <t>NORTH AURORA</t>
  </si>
  <si>
    <t>B120556053</t>
  </si>
  <si>
    <t>B121067251</t>
  </si>
  <si>
    <t>812-0206001</t>
  </si>
  <si>
    <t>NRTA0023</t>
  </si>
  <si>
    <t>(630) 859-0252</t>
  </si>
  <si>
    <t>FRANK'S LOUNGE</t>
  </si>
  <si>
    <t>STANLEY FRANK</t>
  </si>
  <si>
    <t>B130584032</t>
  </si>
  <si>
    <t>812-0304446</t>
  </si>
  <si>
    <t>NRTA0340</t>
  </si>
  <si>
    <t>(847) 473-0651</t>
  </si>
  <si>
    <t>10/15/2012</t>
  </si>
  <si>
    <t>TAP'S PUB</t>
  </si>
  <si>
    <t>MICHELE FUGIEL</t>
  </si>
  <si>
    <t>B131193246</t>
  </si>
  <si>
    <t>812-0401203</t>
  </si>
  <si>
    <t>NRTA1255</t>
  </si>
  <si>
    <t>(708) 535-6374</t>
  </si>
  <si>
    <t>12/7/2012</t>
  </si>
  <si>
    <t>PJ'S POUR HOUSE</t>
  </si>
  <si>
    <t>PJ'S POUR HOUSE INC</t>
  </si>
  <si>
    <t>B130480903</t>
  </si>
  <si>
    <t>WN64AB120600445</t>
  </si>
  <si>
    <t>(708) 229-0850</t>
  </si>
  <si>
    <t>CANTINA AND GRILL</t>
  </si>
  <si>
    <t>CANTINA, INC.</t>
  </si>
  <si>
    <t>B131194554</t>
  </si>
  <si>
    <t>B131092460</t>
  </si>
  <si>
    <t>812-0310438</t>
  </si>
  <si>
    <t>NRTA0536</t>
  </si>
  <si>
    <t>(630) 554-9631</t>
  </si>
  <si>
    <t>F.V.KICKERS, NFP</t>
  </si>
  <si>
    <t>1015 HARVEY ROAD</t>
  </si>
  <si>
    <t>B140301944</t>
  </si>
  <si>
    <t>B140302017</t>
  </si>
  <si>
    <t>812-0318022</t>
  </si>
  <si>
    <t>NRTA0961</t>
  </si>
  <si>
    <t>(630) 554-8481</t>
  </si>
  <si>
    <t>OSWEGO INN</t>
  </si>
  <si>
    <t>312 CORPORATION</t>
  </si>
  <si>
    <t>54 MAIN ST</t>
  </si>
  <si>
    <t>B130584002</t>
  </si>
  <si>
    <t>812-0305969</t>
  </si>
  <si>
    <t>(630) 554-9812</t>
  </si>
  <si>
    <t>6/13/2014</t>
  </si>
  <si>
    <t>EDWIN'S</t>
  </si>
  <si>
    <t>EDWIN'S INC.</t>
  </si>
  <si>
    <t>B131091621</t>
  </si>
  <si>
    <t>812-0305851</t>
  </si>
  <si>
    <t>NRTA0557</t>
  </si>
  <si>
    <t>(708) 258-3393</t>
  </si>
  <si>
    <t>12/2/2013</t>
  </si>
  <si>
    <t>PEOTONE AMERICAN LEGION</t>
  </si>
  <si>
    <t>PEOTONE AMERICAN LEGION POST 392</t>
  </si>
  <si>
    <t>109 E NORTH STREET P.O. BOX 392</t>
  </si>
  <si>
    <t>B130277468</t>
  </si>
  <si>
    <t>812-0106343</t>
  </si>
  <si>
    <t>NRTA0194</t>
  </si>
  <si>
    <t>(708) 258-9378</t>
  </si>
  <si>
    <t>PEOTONE BOWL &amp; LOUNGE</t>
  </si>
  <si>
    <t>JURRES INC</t>
  </si>
  <si>
    <t>WN64AB120600397</t>
  </si>
  <si>
    <t>(708) 258-9353</t>
  </si>
  <si>
    <t>1/2/2013</t>
  </si>
  <si>
    <t>STARKS CORNER (LAZAR BROTHERS ENTERPRISES)</t>
  </si>
  <si>
    <t>15N454 RT 47</t>
  </si>
  <si>
    <t>B130584029</t>
  </si>
  <si>
    <t>B130480919</t>
  </si>
  <si>
    <t>W2320173</t>
  </si>
  <si>
    <t>812-0302422</t>
  </si>
  <si>
    <t>(847) 683-2295</t>
  </si>
  <si>
    <t>C-STOP TRUCK STOP</t>
  </si>
  <si>
    <t>C-STOP LLC</t>
  </si>
  <si>
    <t>B131194582</t>
  </si>
  <si>
    <t xml:space="preserve">812-0316189 </t>
  </si>
  <si>
    <t>THE FOX RANCH</t>
  </si>
  <si>
    <t>12474 ROUTE 34</t>
  </si>
  <si>
    <t>B120761538</t>
  </si>
  <si>
    <t>812-0304318</t>
  </si>
  <si>
    <t>NRTA0589</t>
  </si>
  <si>
    <t>(630) 552-8311</t>
  </si>
  <si>
    <t>THE FRIENDLY TAP</t>
  </si>
  <si>
    <t>HAS INC</t>
  </si>
  <si>
    <t>W2212909</t>
  </si>
  <si>
    <t>B130584027</t>
  </si>
  <si>
    <t xml:space="preserve">5045694	</t>
  </si>
  <si>
    <t xml:space="preserve">2171967		</t>
  </si>
  <si>
    <t>812-0403156</t>
  </si>
  <si>
    <t>NRTA1261</t>
  </si>
  <si>
    <t>(630) 552-3696</t>
  </si>
  <si>
    <t>12/9/2012</t>
  </si>
  <si>
    <t>D &amp; D'S TAP</t>
  </si>
  <si>
    <t>D &amp; D'S TAP, INC</t>
  </si>
  <si>
    <t>B130584028</t>
  </si>
  <si>
    <t>WN64AB120500032</t>
  </si>
  <si>
    <t>(708) 597-4378</t>
  </si>
  <si>
    <t>PLAYERS PUB &amp; GRILL</t>
  </si>
  <si>
    <t>1250 S RIVER ROAD</t>
  </si>
  <si>
    <t>PROSPECT HEIGHTS</t>
  </si>
  <si>
    <t>B130583995</t>
  </si>
  <si>
    <t>B141118697</t>
  </si>
  <si>
    <t>812-0205967</t>
  </si>
  <si>
    <t>(847) 693-7323</t>
  </si>
  <si>
    <t>10/18/2013</t>
  </si>
  <si>
    <t>BANKERS PUB</t>
  </si>
  <si>
    <t>ROBERT ROGGENBURG</t>
  </si>
  <si>
    <t>120 S WABASH BOX 633</t>
  </si>
  <si>
    <t>REDDICK</t>
  </si>
  <si>
    <t>W2237244</t>
  </si>
  <si>
    <t>B130277490</t>
  </si>
  <si>
    <t>812-0302332</t>
  </si>
  <si>
    <t>NRTA0293</t>
  </si>
  <si>
    <t>(815) 365-2214</t>
  </si>
  <si>
    <t>BENJAMIN O DAVIS VFW POST 311</t>
  </si>
  <si>
    <t>BENJAMIN O. DAVIS POST NO. 311</t>
  </si>
  <si>
    <t>B130991390</t>
  </si>
  <si>
    <t>812-0106286</t>
  </si>
  <si>
    <t>NRTA0571</t>
  </si>
  <si>
    <t>(708) 679-0995</t>
  </si>
  <si>
    <t>D'AGOSTINOS PIZZA &amp; PUB</t>
  </si>
  <si>
    <t>D'AGOSTINOS RIVER GROVE, INC.</t>
  </si>
  <si>
    <t>3131 THATCHER AVE</t>
  </si>
  <si>
    <t>B131091601</t>
  </si>
  <si>
    <t>812-0401107</t>
  </si>
  <si>
    <t>(708) 452-3131</t>
  </si>
  <si>
    <t>LOYAL ORDER OF MOOSE #2578</t>
  </si>
  <si>
    <t>8601 W FULLERTON AVE</t>
  </si>
  <si>
    <t>B130480915</t>
  </si>
  <si>
    <t>W2278558</t>
  </si>
  <si>
    <t>812-0302295</t>
  </si>
  <si>
    <t>(708) 456-1560</t>
  </si>
  <si>
    <t>7/3/2013</t>
  </si>
  <si>
    <r>
      <t xml:space="preserve">MANNY'S BLUE ROOM </t>
    </r>
    <r>
      <rPr>
        <b/>
        <sz val="11"/>
        <color theme="1"/>
        <rFont val="Calibri"/>
        <family val="2"/>
        <scheme val="minor"/>
      </rPr>
      <t>(SECURITY ROUTE)</t>
    </r>
  </si>
  <si>
    <t>THE NEW BLUE ROOM CORPORATION</t>
  </si>
  <si>
    <t>B121170961</t>
  </si>
  <si>
    <t xml:space="preserve">812-0316160 </t>
  </si>
  <si>
    <t>(708) 388-4545</t>
  </si>
  <si>
    <t>3/20/2014</t>
  </si>
  <si>
    <t>DALE ATHLETIC CLUB</t>
  </si>
  <si>
    <t>THE DALE ATHLETIC CLUB</t>
  </si>
  <si>
    <t>B131091658</t>
  </si>
  <si>
    <t>812-0316149</t>
  </si>
  <si>
    <t>NRTA0685</t>
  </si>
  <si>
    <t>(815) 725-9527</t>
  </si>
  <si>
    <t>RICHARDS CHICKEN</t>
  </si>
  <si>
    <t>ERL CORP</t>
  </si>
  <si>
    <t xml:space="preserve">3300001236		</t>
  </si>
  <si>
    <t>W2297772</t>
  </si>
  <si>
    <t xml:space="preserve">3300001234		</t>
  </si>
  <si>
    <t xml:space="preserve">B120863137	</t>
  </si>
  <si>
    <t>812-0205904</t>
  </si>
  <si>
    <t>NRTA0063</t>
  </si>
  <si>
    <t>(847) 546-6900</t>
  </si>
  <si>
    <t>LOYAL ORDER OF MOOSE #1016</t>
  </si>
  <si>
    <t>LOYAL ORDER OF MOOSE #1016 CORP</t>
  </si>
  <si>
    <t>B130173510</t>
  </si>
  <si>
    <t>B130173544</t>
  </si>
  <si>
    <t>812-0211792</t>
  </si>
  <si>
    <t>NRTA0121</t>
  </si>
  <si>
    <t>(815) 786-7111</t>
  </si>
  <si>
    <t>OLD TYME INN</t>
  </si>
  <si>
    <t>WYATT VENTURES, INC.</t>
  </si>
  <si>
    <t xml:space="preserve">109 S. MAIN STREET </t>
  </si>
  <si>
    <t>W2322082</t>
  </si>
  <si>
    <t>B120862819</t>
  </si>
  <si>
    <t>B120556050</t>
  </si>
  <si>
    <t>812-0205960</t>
  </si>
  <si>
    <t>NRTA0003</t>
  </si>
  <si>
    <t>(815) 786-9700</t>
  </si>
  <si>
    <t>3 MONKEYS</t>
  </si>
  <si>
    <t>3 MONKEYS INC</t>
  </si>
  <si>
    <t>B131193278</t>
  </si>
  <si>
    <t>812-0211521</t>
  </si>
  <si>
    <t>NRTA0088</t>
  </si>
  <si>
    <t>(708) 248-5159</t>
  </si>
  <si>
    <t>BAP'S TAP SPORTS BAR &amp; GRILL</t>
  </si>
  <si>
    <t>B130277489</t>
  </si>
  <si>
    <t>812-0302351</t>
  </si>
  <si>
    <t>NRTA0247</t>
  </si>
  <si>
    <t>(708) 755-2277</t>
  </si>
  <si>
    <t>7/5/2013</t>
  </si>
  <si>
    <t>OUR PLACE</t>
  </si>
  <si>
    <t>KENDI INC</t>
  </si>
  <si>
    <t>B130173509</t>
  </si>
  <si>
    <t>812-0211705</t>
  </si>
  <si>
    <t>NRTA0106</t>
  </si>
  <si>
    <t>(847) 742-0221</t>
  </si>
  <si>
    <t>BAMBINO'S FAMILY RESTAURANT</t>
  </si>
  <si>
    <t>TIG, INCORPORATED</t>
  </si>
  <si>
    <t>B130584040</t>
  </si>
  <si>
    <t>B150222397</t>
  </si>
  <si>
    <t>812-0211776</t>
  </si>
  <si>
    <t>NRTA0345</t>
  </si>
  <si>
    <t>(708) 755-6200</t>
  </si>
  <si>
    <t>11/18/2012</t>
  </si>
  <si>
    <r>
      <t xml:space="preserve">JACK'S BAR &amp; GRILL </t>
    </r>
    <r>
      <rPr>
        <b/>
        <sz val="11"/>
        <color theme="1"/>
        <rFont val="Calibri"/>
        <family val="2"/>
        <scheme val="minor"/>
      </rPr>
      <t>(SECURITY ROUTE)</t>
    </r>
  </si>
  <si>
    <t>PAIR OF J'S, INC</t>
  </si>
  <si>
    <t>B131194580</t>
  </si>
  <si>
    <t>812-0304369</t>
  </si>
  <si>
    <t>NRTA0356</t>
  </si>
  <si>
    <t>(708) 754-7000</t>
  </si>
  <si>
    <t>11/17/2012</t>
  </si>
  <si>
    <t>SCREMENTI'S RESTAURANT BANQUETS</t>
  </si>
  <si>
    <t>SCREMENTI'S RESTAURANT INCORPORATED</t>
  </si>
  <si>
    <t>3760 CHICAGO RD</t>
  </si>
  <si>
    <t>812-0211731</t>
  </si>
  <si>
    <t>NRTA0369</t>
  </si>
  <si>
    <t>(708) 755-0624</t>
  </si>
  <si>
    <t>CALAMITY JANE'S</t>
  </si>
  <si>
    <t>JANIE B'S OF SUGAR GROVE, INC.</t>
  </si>
  <si>
    <t>9S593 ROUTE 47</t>
  </si>
  <si>
    <t>SUGAR GROVE</t>
  </si>
  <si>
    <t>B120556054</t>
  </si>
  <si>
    <t>B130173728</t>
  </si>
  <si>
    <t>812-0205928</t>
  </si>
  <si>
    <t>NRTA0079</t>
  </si>
  <si>
    <t>(630) 466-4427</t>
  </si>
  <si>
    <t>COUNTRYSTOP</t>
  </si>
  <si>
    <t>COUNTRYSTOP CORPORATION</t>
  </si>
  <si>
    <t>9 SOUTH 595 IL RT 47</t>
  </si>
  <si>
    <t>B130991431</t>
  </si>
  <si>
    <t>812-0304394</t>
  </si>
  <si>
    <t>(630) 466-4699</t>
  </si>
  <si>
    <t>1/15/2014</t>
  </si>
  <si>
    <t>ROUNDUP SPORTS BAR &amp; GRILL</t>
  </si>
  <si>
    <t>INNOVATIVE HORIZONS INC.</t>
  </si>
  <si>
    <t>1942 US ROUTE 30</t>
  </si>
  <si>
    <t>B140302016</t>
  </si>
  <si>
    <t>812-0310418</t>
  </si>
  <si>
    <t>NRTA0964</t>
  </si>
  <si>
    <t>(630) 277-8050</t>
  </si>
  <si>
    <t>SUGAR GROVE LEGION</t>
  </si>
  <si>
    <t>SUGAR GROVE AMERICAN LEGION POST # 1271, INC.</t>
  </si>
  <si>
    <t>65 FIRST STREET</t>
  </si>
  <si>
    <t>B130173781</t>
  </si>
  <si>
    <t>B121067250</t>
  </si>
  <si>
    <t>812-0106388</t>
  </si>
  <si>
    <t>NRTA0081</t>
  </si>
  <si>
    <t>(630) 466-9700</t>
  </si>
  <si>
    <t>CHESTER'S TAVERN</t>
  </si>
  <si>
    <t>ORSI'S TAVERN INC</t>
  </si>
  <si>
    <t>6255 S ARCHER RD</t>
  </si>
  <si>
    <t>B130277627</t>
  </si>
  <si>
    <t>W2278863</t>
  </si>
  <si>
    <t>812-0211670</t>
  </si>
  <si>
    <t>NRTA0145</t>
  </si>
  <si>
    <t>(708) 458-1117</t>
  </si>
  <si>
    <t>5/1/2013</t>
  </si>
  <si>
    <t>CORNER JOYNT</t>
  </si>
  <si>
    <t>MARTENS CREATIVE LANDSCAPING, INC.</t>
  </si>
  <si>
    <t>7600 W 60TH PLACE</t>
  </si>
  <si>
    <t>B130480906</t>
  </si>
  <si>
    <t>WN64AB120800582</t>
  </si>
  <si>
    <t>FAT DADDYZ BAR &amp; GRILL</t>
  </si>
  <si>
    <t>FAT JEM ENTERPRISES INC</t>
  </si>
  <si>
    <t>5437 CENTER AVE</t>
  </si>
  <si>
    <t>W2296155</t>
  </si>
  <si>
    <t>B130173547</t>
  </si>
  <si>
    <t>B130173517</t>
  </si>
  <si>
    <t>WN64AB120600353</t>
  </si>
  <si>
    <t>(708) 563-0807</t>
  </si>
  <si>
    <t>FERGIE &amp; FOZ</t>
  </si>
  <si>
    <t>FERGIE &amp; FOZ, INC.</t>
  </si>
  <si>
    <t>7245 W ARCHER AVE</t>
  </si>
  <si>
    <t>W2275731</t>
  </si>
  <si>
    <t>B130584041</t>
  </si>
  <si>
    <t>812-0401104</t>
  </si>
  <si>
    <t>NRTA1291</t>
  </si>
  <si>
    <t>GRAND DUKES RESTAURANT</t>
  </si>
  <si>
    <t>GRAND DUKES RESTAURANT AND DELI INC</t>
  </si>
  <si>
    <t>B131092131</t>
  </si>
  <si>
    <t>WN64AB120800515</t>
  </si>
  <si>
    <t>(708) 594-5622</t>
  </si>
  <si>
    <t>2/11/2014</t>
  </si>
  <si>
    <t>LUCKY CORNER</t>
  </si>
  <si>
    <t>LUCKY CORNER CAFE INC.</t>
  </si>
  <si>
    <t>5724 S HARLEM AVE</t>
  </si>
  <si>
    <t>B130991432</t>
  </si>
  <si>
    <t>812-0317978</t>
  </si>
  <si>
    <t>UNCLE JOHN'S PLACE</t>
  </si>
  <si>
    <t>5721 SOUTH ARCHER ROAD</t>
  </si>
  <si>
    <t>B130583978</t>
  </si>
  <si>
    <t>WN64AB120800535</t>
  </si>
  <si>
    <t>(708) 458-5810</t>
  </si>
  <si>
    <t>10/3/2013</t>
  </si>
  <si>
    <t>BONNER ROAD INN</t>
  </si>
  <si>
    <t>722 BONNER, LLC</t>
  </si>
  <si>
    <t>B131091639</t>
  </si>
  <si>
    <t>812-0304328</t>
  </si>
  <si>
    <t>NRTA0341</t>
  </si>
  <si>
    <t>(847) 526-8550</t>
  </si>
  <si>
    <t>CASEY'S CORNER</t>
  </si>
  <si>
    <t>ROBERT H CASEY</t>
  </si>
  <si>
    <t>1540 GREENBAY RD</t>
  </si>
  <si>
    <t>B141118686</t>
  </si>
  <si>
    <t>W2293947</t>
  </si>
  <si>
    <t>B130583974</t>
  </si>
  <si>
    <t>812-0211665</t>
  </si>
  <si>
    <t>(847) 662-0112</t>
  </si>
  <si>
    <t>CLUB 18</t>
  </si>
  <si>
    <t>BGB TRADERS INC</t>
  </si>
  <si>
    <t>1816 WASHINGTON STREET</t>
  </si>
  <si>
    <t>B130584016</t>
  </si>
  <si>
    <t>B141118698</t>
  </si>
  <si>
    <t>812-0305794</t>
  </si>
  <si>
    <t>NRTA0475</t>
  </si>
  <si>
    <t>(847) 244-1888</t>
  </si>
  <si>
    <t>10/15/2013</t>
  </si>
  <si>
    <t>LIVE STAR BANQUET HALL, INC.</t>
  </si>
  <si>
    <t>B131193287</t>
  </si>
  <si>
    <t xml:space="preserve">812-0313691 </t>
  </si>
  <si>
    <t>NRTA0683</t>
  </si>
  <si>
    <t>1/30/2014</t>
  </si>
  <si>
    <t>SMITH SPAID POST 1293 VFW</t>
  </si>
  <si>
    <t>SMITH SPAID POST 1293 VETERANS OF FOREIGN WARS</t>
  </si>
  <si>
    <t>1550 GRAND AVE  SUITE C</t>
  </si>
  <si>
    <t>B130584019</t>
  </si>
  <si>
    <t>812-0304409</t>
  </si>
  <si>
    <t>NRTA0278</t>
  </si>
  <si>
    <t>(708) 912-1656</t>
  </si>
  <si>
    <t>7/22/2013</t>
  </si>
  <si>
    <t>POT BELLY PUB</t>
  </si>
  <si>
    <t>CHARLES PLUMB</t>
  </si>
  <si>
    <t>B130991389</t>
  </si>
  <si>
    <t>812-0302395</t>
  </si>
  <si>
    <t>(630) 512-0485</t>
  </si>
  <si>
    <t>12/11/2013</t>
  </si>
  <si>
    <t>THE WESTMONT UPTOWN</t>
  </si>
  <si>
    <t>12 W BURLINGTON</t>
  </si>
  <si>
    <t>B130584001</t>
  </si>
  <si>
    <t>W2269442</t>
  </si>
  <si>
    <t>812-0211777</t>
  </si>
  <si>
    <t>NRTA0474</t>
  </si>
  <si>
    <t>(630) 969-4717</t>
  </si>
  <si>
    <t>PHILLIP CARPENTER POST 66 AMVETS</t>
  </si>
  <si>
    <t>PHILLIP CARPENTER POST 66 AMVET BUILDING CORPORATION</t>
  </si>
  <si>
    <t>B131091632</t>
  </si>
  <si>
    <t>WN64AB120500005</t>
  </si>
  <si>
    <t>LK121153</t>
  </si>
  <si>
    <t>(847) 537-0440</t>
  </si>
  <si>
    <t>12/6/2013</t>
  </si>
  <si>
    <t>DELL RHEA'S CHICKEN BASKET</t>
  </si>
  <si>
    <t>DELLCO CORPORATION</t>
  </si>
  <si>
    <t>W2212895</t>
  </si>
  <si>
    <t>B131091657</t>
  </si>
  <si>
    <t>812-0316620</t>
  </si>
  <si>
    <t>NRTA1252</t>
  </si>
  <si>
    <t>(630) 325-0780</t>
  </si>
  <si>
    <t>HAYDEN'S CROSSING</t>
  </si>
  <si>
    <t>HAYDEN'S CROSSING INC</t>
  </si>
  <si>
    <t>107-109 N WATER STREET</t>
  </si>
  <si>
    <t>W2304000</t>
  </si>
  <si>
    <t>812-0211542</t>
  </si>
  <si>
    <t>NRTA0060</t>
  </si>
  <si>
    <t>(815) 476-9857</t>
  </si>
  <si>
    <t>WILMINGTON LODGE NO. 241</t>
  </si>
  <si>
    <t>WILMINGTON LODGE NO. 241, LOYAL ORDER OF MOOSE</t>
  </si>
  <si>
    <t>32050 W RIVER RD</t>
  </si>
  <si>
    <t xml:space="preserve">Fthe </t>
  </si>
  <si>
    <t>NRTA1219</t>
  </si>
  <si>
    <t>(815) 476-6472</t>
  </si>
  <si>
    <t>WILMINGTON PIZZERIA</t>
  </si>
  <si>
    <t>MANGIA &amp; BEVA, INC.</t>
  </si>
  <si>
    <t>W2244000</t>
  </si>
  <si>
    <t>812-0401118</t>
  </si>
  <si>
    <t>NRTA1218</t>
  </si>
  <si>
    <t>THE TAVERN ON SHERIDAN ROAD</t>
  </si>
  <si>
    <t>728 INC.</t>
  </si>
  <si>
    <t>B130277622</t>
  </si>
  <si>
    <t>VR-1012</t>
  </si>
  <si>
    <t>812-0211804</t>
  </si>
  <si>
    <t>NRTA0126</t>
  </si>
  <si>
    <t>(847) 872-3370</t>
  </si>
  <si>
    <t>5/13/2013</t>
  </si>
  <si>
    <t>YUE-SUN JAPANESE STEAK HOUSE</t>
  </si>
  <si>
    <t>YUE-SUN, INC</t>
  </si>
  <si>
    <t>B131194577</t>
  </si>
  <si>
    <t>812-0317985</t>
  </si>
  <si>
    <t>NRTA0893</t>
  </si>
  <si>
    <t>(630) 595-2288</t>
  </si>
  <si>
    <t>4/16/2014</t>
  </si>
  <si>
    <t>TEQUILAVILLE CANTINA &amp; GRILL</t>
  </si>
  <si>
    <t>135 WASHINGTON ST</t>
  </si>
  <si>
    <t>B131194566</t>
  </si>
  <si>
    <t>W2246285</t>
  </si>
  <si>
    <t>812-0404152</t>
  </si>
  <si>
    <t>NRTA1297</t>
  </si>
  <si>
    <t>WAYNE'S LANES (8 LANES A WEEK)</t>
  </si>
  <si>
    <t>8 LANES A WEEK INC.</t>
  </si>
  <si>
    <t>109 E CHURCH STREET</t>
  </si>
  <si>
    <t xml:space="preserve">812-0304326 </t>
  </si>
  <si>
    <t>NRTA0640</t>
  </si>
  <si>
    <t>(815) 337-1085</t>
  </si>
  <si>
    <t>1/16/2014</t>
  </si>
  <si>
    <t>MARRS MEYER AMERICAN LEGION POST 991</t>
  </si>
  <si>
    <t>11001 S DEPOT ST</t>
  </si>
  <si>
    <t>B121169891</t>
  </si>
  <si>
    <t>812-0106338</t>
  </si>
  <si>
    <t>NRTA0159</t>
  </si>
  <si>
    <t>(708) 448-7006</t>
  </si>
  <si>
    <t>5/7/2013</t>
  </si>
  <si>
    <t>AMERICAN LEGION YORKVILLE</t>
  </si>
  <si>
    <t>AMERICAN LEGION POST 489</t>
  </si>
  <si>
    <t>9054 VETERANS PARKWAY</t>
  </si>
  <si>
    <t>YORKVILLE</t>
  </si>
  <si>
    <t>B130378650</t>
  </si>
  <si>
    <t>B130378793</t>
  </si>
  <si>
    <t>812-0304403</t>
  </si>
  <si>
    <t>NRTA0267</t>
  </si>
  <si>
    <t>(630) 553-7117</t>
  </si>
  <si>
    <t>MIKE &amp; DENISE'S PIZZERIA</t>
  </si>
  <si>
    <t>MIKE &amp; DENISE'S PIGEON HILL DINER, INC.</t>
  </si>
  <si>
    <t>728 VETERANS PARKWAY</t>
  </si>
  <si>
    <t>B131296338</t>
  </si>
  <si>
    <t>B131194646</t>
  </si>
  <si>
    <t>812-0305792</t>
  </si>
  <si>
    <t>NRTA0637</t>
  </si>
  <si>
    <t>ROWDYS</t>
  </si>
  <si>
    <t>210 S BRIDGE STREET</t>
  </si>
  <si>
    <t>B131296339</t>
  </si>
  <si>
    <t>B131194643</t>
  </si>
  <si>
    <t>812-0313670</t>
  </si>
  <si>
    <t>NRTA0687</t>
  </si>
  <si>
    <t>(630) 553-5054</t>
  </si>
  <si>
    <t>WINGS ETC. GRILL &amp; PUB</t>
  </si>
  <si>
    <t>MJAM ENTERPRISES INC.</t>
  </si>
  <si>
    <t>1447 CANNONBALL TRAIL</t>
  </si>
  <si>
    <t>W2300426</t>
  </si>
  <si>
    <t>B131092554</t>
  </si>
  <si>
    <t>B130173525</t>
  </si>
  <si>
    <t>812-0401066</t>
  </si>
  <si>
    <t>NRTA1283</t>
  </si>
  <si>
    <t>(312) 504-6453</t>
  </si>
  <si>
    <t>GODSON'S</t>
  </si>
  <si>
    <t>MCCREERY LLC</t>
  </si>
  <si>
    <t>CHICAGOLAND (ADVANCED)</t>
  </si>
  <si>
    <t>B13027759</t>
  </si>
  <si>
    <t>812-0313702</t>
  </si>
  <si>
    <t>NRTA0981</t>
  </si>
  <si>
    <t>TONY'S VILLA ROSA RESTAURANT</t>
  </si>
  <si>
    <t>525 GRILL &amp; BAR, INC.</t>
  </si>
  <si>
    <t>B130991392</t>
  </si>
  <si>
    <t>B141118688</t>
  </si>
  <si>
    <t>WN64AB120600386</t>
  </si>
  <si>
    <t>(708) 756-3737</t>
  </si>
  <si>
    <t>12/4/2013</t>
  </si>
  <si>
    <t>SOUTHSIDE'S</t>
  </si>
  <si>
    <t>BEG SNAKE JOHNSON LLC</t>
  </si>
  <si>
    <t>CHICAGOLAND (SHAMROCK)</t>
  </si>
  <si>
    <t>B130583987</t>
  </si>
  <si>
    <t>WN64AB120800577</t>
  </si>
  <si>
    <t>(708) 371-1133</t>
  </si>
  <si>
    <t>CHRIS' NORTH SIDE INN</t>
  </si>
  <si>
    <t>DANGLES CORPORATION</t>
  </si>
  <si>
    <t>B131091630</t>
  </si>
  <si>
    <t>B141118702</t>
  </si>
  <si>
    <t>W2294820</t>
  </si>
  <si>
    <t>812-0211699</t>
  </si>
  <si>
    <t>(708) 371-2488</t>
  </si>
  <si>
    <t>11/21/2012</t>
  </si>
  <si>
    <t>RIVERSIDE TAP</t>
  </si>
  <si>
    <t>RIV TAP INC</t>
  </si>
  <si>
    <t>B130583992</t>
  </si>
  <si>
    <t>WN64AB120600476</t>
  </si>
  <si>
    <t>(708) 389-8900</t>
  </si>
  <si>
    <t>THE HIDEAWAY</t>
  </si>
  <si>
    <t>LERMAC, INC</t>
  </si>
  <si>
    <t>B130584036</t>
  </si>
  <si>
    <t>WN64AB120600424</t>
  </si>
  <si>
    <t>(708) 389-3865</t>
  </si>
  <si>
    <t>WEST LAWN MEMORIAL AMVETS POST 192</t>
  </si>
  <si>
    <t>B120964616</t>
  </si>
  <si>
    <t>812-0211525</t>
  </si>
  <si>
    <t>NRTA0110</t>
  </si>
  <si>
    <t>(708) 233-3960</t>
  </si>
  <si>
    <t>BLUE WATER BAR</t>
  </si>
  <si>
    <t>BLUE WATER BAR INC</t>
  </si>
  <si>
    <t>812-0211507</t>
  </si>
  <si>
    <t>NRTA0090</t>
  </si>
  <si>
    <t>(708) 485-9287</t>
  </si>
  <si>
    <t>SLAGER'S ON 47TH</t>
  </si>
  <si>
    <t>B130277467</t>
  </si>
  <si>
    <t>812-0313724</t>
  </si>
  <si>
    <t>NRTA0826</t>
  </si>
  <si>
    <t>(708) 243-1998</t>
  </si>
  <si>
    <t>JENNY'S STEAK HOUSE</t>
  </si>
  <si>
    <t>JENNY'S STEAK HOUSE LTD</t>
  </si>
  <si>
    <t>11041 S MENARD</t>
  </si>
  <si>
    <t>W2301397</t>
  </si>
  <si>
    <t>B131193275</t>
  </si>
  <si>
    <t>812-0211767</t>
  </si>
  <si>
    <t>NRTA0184</t>
  </si>
  <si>
    <t>(708) 229-2272</t>
  </si>
  <si>
    <t>4/29/2013</t>
  </si>
  <si>
    <t>JESSE'S TAVERN</t>
  </si>
  <si>
    <t>JESSE'S TAVERN INC</t>
  </si>
  <si>
    <t>B130584021</t>
  </si>
  <si>
    <t>812-0317939</t>
  </si>
  <si>
    <t>NRTA0837</t>
  </si>
  <si>
    <t>(708) 499-0048</t>
  </si>
  <si>
    <t>11/6/2012</t>
  </si>
  <si>
    <t>LONGFORD PUB</t>
  </si>
  <si>
    <t>13813-15 S CICERO AVE</t>
  </si>
  <si>
    <t>B130480917</t>
  </si>
  <si>
    <t>812-0404096</t>
  </si>
  <si>
    <t>NRTA1184</t>
  </si>
  <si>
    <t>(708) 597-2415</t>
  </si>
  <si>
    <t>OLD TOWN</t>
  </si>
  <si>
    <t>DOFI INC</t>
  </si>
  <si>
    <t>5599 W 127TH</t>
  </si>
  <si>
    <t>B130173506</t>
  </si>
  <si>
    <t>812-0211736</t>
  </si>
  <si>
    <t>NRTA1185</t>
  </si>
  <si>
    <t>(708) 910-5445</t>
  </si>
  <si>
    <t>4/2/2013</t>
  </si>
  <si>
    <t>JANOSIK BANQUETS</t>
  </si>
  <si>
    <t>JANOSIK BANQUET INC</t>
  </si>
  <si>
    <t>WN64AB120800552</t>
  </si>
  <si>
    <t>(708) 430-8888</t>
  </si>
  <si>
    <t>DAVIDSON'S BAR &amp; GRILL</t>
  </si>
  <si>
    <t>DAVIDSON'S BAR &amp; GRILL, INC.</t>
  </si>
  <si>
    <t>B130275459</t>
  </si>
  <si>
    <t>812-0313659</t>
  </si>
  <si>
    <t>NRTA0642</t>
  </si>
  <si>
    <t>(708) 645-0000</t>
  </si>
  <si>
    <t>ENZO'S PIZZERIA</t>
  </si>
  <si>
    <t>N &amp; S SAUSAGE INC.</t>
  </si>
  <si>
    <t>B131193290</t>
  </si>
  <si>
    <t>812-0313719</t>
  </si>
  <si>
    <t>NRTA0726</t>
  </si>
  <si>
    <t>(708) 645-7170</t>
  </si>
  <si>
    <t>2/1/2014</t>
  </si>
  <si>
    <t>FIFTH QUARTER PRESS ROOM &amp; EATERY</t>
  </si>
  <si>
    <t>HOMEWOOD</t>
  </si>
  <si>
    <t>B141118696</t>
  </si>
  <si>
    <t>B131194584</t>
  </si>
  <si>
    <t>WN64AB120600364</t>
  </si>
  <si>
    <t>(708) 798-2710</t>
  </si>
  <si>
    <t>SZAROTKA'S HIDEAWAY</t>
  </si>
  <si>
    <t>SZAROKTKA'S INC</t>
  </si>
  <si>
    <t>B130275518</t>
  </si>
  <si>
    <t>B121067992</t>
  </si>
  <si>
    <t>W2324749</t>
  </si>
  <si>
    <t>812-0211513</t>
  </si>
  <si>
    <t>NRTA0076</t>
  </si>
  <si>
    <t>(708) 458-1400</t>
  </si>
  <si>
    <t>3/19/2013</t>
  </si>
  <si>
    <t>NICK'S TAVERN</t>
  </si>
  <si>
    <t>MQ2, INC.</t>
  </si>
  <si>
    <t>812-0316227</t>
  </si>
  <si>
    <t>NRTA0947</t>
  </si>
  <si>
    <t>(630) 257-6564</t>
  </si>
  <si>
    <t>5/27/2014</t>
  </si>
  <si>
    <t>TAP HOUSE GRILL LEMONT</t>
  </si>
  <si>
    <t>TAP HOUSE GRILL LEMONT, LLC</t>
  </si>
  <si>
    <t>B130991433</t>
  </si>
  <si>
    <t>812-0211667</t>
  </si>
  <si>
    <t>NRTA0641</t>
  </si>
  <si>
    <t>(630) 257-8116</t>
  </si>
  <si>
    <t>TOM'S PLACE</t>
  </si>
  <si>
    <t>TOMS PLACE INC</t>
  </si>
  <si>
    <t>B121169840</t>
  </si>
  <si>
    <t>WN64AB120600294</t>
  </si>
  <si>
    <t>(630) 257-9875</t>
  </si>
  <si>
    <t>BEGGAR'S PIZZA</t>
  </si>
  <si>
    <t>MANDY ENTERPRISES INC</t>
  </si>
  <si>
    <t>812-0304380</t>
  </si>
  <si>
    <t>NRTA0329</t>
  </si>
  <si>
    <t>(708) 479-7600</t>
  </si>
  <si>
    <t>7/31/2013</t>
  </si>
  <si>
    <t>CLANCYS OAK LAWN</t>
  </si>
  <si>
    <t>CLANCY'S OAK LAWN LTD</t>
  </si>
  <si>
    <t>B131092135</t>
  </si>
  <si>
    <t>W2244010</t>
  </si>
  <si>
    <t>812-0313704</t>
  </si>
  <si>
    <t>NRTA0713</t>
  </si>
  <si>
    <t>2/10/2014</t>
  </si>
  <si>
    <t>CULLEN'S PUB LTD</t>
  </si>
  <si>
    <t>B130275522</t>
  </si>
  <si>
    <t>812-0318001</t>
  </si>
  <si>
    <t>(708) 424-7286</t>
  </si>
  <si>
    <t>GOAL POST</t>
  </si>
  <si>
    <t>EMERALD POST CORPORATION</t>
  </si>
  <si>
    <t>B130583980</t>
  </si>
  <si>
    <t>B150222389</t>
  </si>
  <si>
    <t>WN64AB120600325</t>
  </si>
  <si>
    <t>(708) 424-4758</t>
  </si>
  <si>
    <t>THE HOT CORNER</t>
  </si>
  <si>
    <t>THE HOT CORNER INC</t>
  </si>
  <si>
    <t>B130277609</t>
  </si>
  <si>
    <t>812-0211704</t>
  </si>
  <si>
    <t>NRTA1258</t>
  </si>
  <si>
    <t>(708) 422-1884</t>
  </si>
  <si>
    <t>DAN'D JAC'S</t>
  </si>
  <si>
    <t>DAN "D" JAC'S INC</t>
  </si>
  <si>
    <t>W2290424</t>
  </si>
  <si>
    <t>B130584034</t>
  </si>
  <si>
    <t xml:space="preserve">812-0316140 </t>
  </si>
  <si>
    <t>(708) 460-8773</t>
  </si>
  <si>
    <t>16TH STREET LIQUORS INC</t>
  </si>
  <si>
    <t>16TH STREET LIQUORS, INC.</t>
  </si>
  <si>
    <t>6808 W 16TH STREET</t>
  </si>
  <si>
    <t>CHICAGOLAND (VINNIE)</t>
  </si>
  <si>
    <t>B130480913</t>
  </si>
  <si>
    <t>B130991396</t>
  </si>
  <si>
    <t>812-0302362</t>
  </si>
  <si>
    <t>NRTA0275</t>
  </si>
  <si>
    <t>(708) 788-1741</t>
  </si>
  <si>
    <t>COMMODORE BARRY POST #256</t>
  </si>
  <si>
    <t>COMMODORE BARRY POST NO. 256, ILLINOIS DEPARTMENT OF THE AMERICAN LEGION</t>
  </si>
  <si>
    <t>6919 W ROOSEVELT RD</t>
  </si>
  <si>
    <t>B140299499</t>
  </si>
  <si>
    <t>812-0313653</t>
  </si>
  <si>
    <t>NRTA0941</t>
  </si>
  <si>
    <t>(708) 484-9599</t>
  </si>
  <si>
    <t>5/20/2014</t>
  </si>
  <si>
    <t>MR D'S 12TH STREET RAG</t>
  </si>
  <si>
    <t>MR D'S 12TH STREET RAG INC</t>
  </si>
  <si>
    <t>7023 W ROOSEVELT ROAD</t>
  </si>
  <si>
    <t>B130277309</t>
  </si>
  <si>
    <t>B130991400</t>
  </si>
  <si>
    <t>812-0302431</t>
  </si>
  <si>
    <t>NRTA0384</t>
  </si>
  <si>
    <t>NONNA D'S</t>
  </si>
  <si>
    <t>CAFÉ AMORE, INC.</t>
  </si>
  <si>
    <t>6909 W ROOSEVELT RD</t>
  </si>
  <si>
    <t>B130277597</t>
  </si>
  <si>
    <t>812-0305936</t>
  </si>
  <si>
    <t>NRTA1259</t>
  </si>
  <si>
    <t>NONNA D'S PIZZERIA</t>
  </si>
  <si>
    <t>NONNA D'S PIZZERIA, INC.</t>
  </si>
  <si>
    <t>7109 W ROOSEVELT RD</t>
  </si>
  <si>
    <t>B131194588</t>
  </si>
  <si>
    <t>B150222395</t>
  </si>
  <si>
    <t>812-0407919</t>
  </si>
  <si>
    <t>NRTA2500</t>
  </si>
  <si>
    <t>PAPARAZZI ON 12TH STREET</t>
  </si>
  <si>
    <t>EPM 12TH STREET COMPANY</t>
  </si>
  <si>
    <t>6907 ROOSEVELT ROAD</t>
  </si>
  <si>
    <t>B131091634</t>
  </si>
  <si>
    <t>B131091633</t>
  </si>
  <si>
    <t>812-0318027</t>
  </si>
  <si>
    <t>NRTA0978</t>
  </si>
  <si>
    <t>PRIMOS PIZZERIA</t>
  </si>
  <si>
    <t>BARRA BAR AND GRILL INC</t>
  </si>
  <si>
    <t>WN64AB120800605</t>
  </si>
  <si>
    <t>(708) 484-6799</t>
  </si>
  <si>
    <t>V-BAR</t>
  </si>
  <si>
    <t>B130275506</t>
  </si>
  <si>
    <t>W2304010</t>
  </si>
  <si>
    <t>812-0404159</t>
  </si>
  <si>
    <t>NRTA1284</t>
  </si>
  <si>
    <t>(708) 484-9100</t>
  </si>
  <si>
    <t>VINNY'S CAFÉ</t>
  </si>
  <si>
    <t>VINNY'S GAMBLING CAFÉ GROUP, INC.</t>
  </si>
  <si>
    <t>7005 ROOSEVELT</t>
  </si>
  <si>
    <t>B141118685</t>
  </si>
  <si>
    <t>W2296249</t>
  </si>
  <si>
    <t>812-0404084</t>
  </si>
  <si>
    <t>NRTA1285</t>
  </si>
  <si>
    <t>GRANNY'S COUNTRY KITCHEN</t>
  </si>
  <si>
    <t>GRANNY'S COUNTRY KITCHEN LLC</t>
  </si>
  <si>
    <t>B130991426</t>
  </si>
  <si>
    <t>WN64AB120800574</t>
  </si>
  <si>
    <t>2/24/2014</t>
  </si>
  <si>
    <t>EL JEFE AZTECA INC.</t>
  </si>
  <si>
    <t>B131194593</t>
  </si>
  <si>
    <t>W2303955</t>
  </si>
  <si>
    <t>812-0316194</t>
  </si>
  <si>
    <t>NRTA1244</t>
  </si>
  <si>
    <t>BURRITO MEX RESTAURANT</t>
  </si>
  <si>
    <t>BURRITO MEX INC</t>
  </si>
  <si>
    <t>6033 S ARCHER RD</t>
  </si>
  <si>
    <t>VR-1044</t>
  </si>
  <si>
    <t>B130378824</t>
  </si>
  <si>
    <t>812-0316182</t>
  </si>
  <si>
    <t>NRTA0073</t>
  </si>
  <si>
    <t>(708) 594-8046</t>
  </si>
  <si>
    <t>10/28/2013</t>
  </si>
  <si>
    <t>STRAWN BAR 2</t>
  </si>
  <si>
    <t>STRAWN BAR 2 INC.</t>
  </si>
  <si>
    <t>101 E WALTER ST</t>
  </si>
  <si>
    <t>STRAWN</t>
  </si>
  <si>
    <t>EAST (?)</t>
  </si>
  <si>
    <t>B130277604</t>
  </si>
  <si>
    <t>W2248441</t>
  </si>
  <si>
    <t>812-0407908</t>
  </si>
  <si>
    <t>DOWN THE STREET</t>
  </si>
  <si>
    <t>ASBS INC</t>
  </si>
  <si>
    <t>105-109 W ASHMORE</t>
  </si>
  <si>
    <t>EAST (CHAMPAIGN)</t>
  </si>
  <si>
    <t>B120964609</t>
  </si>
  <si>
    <t>812-0316203</t>
  </si>
  <si>
    <t>Larry Harris</t>
  </si>
  <si>
    <t>NRTA0887</t>
  </si>
  <si>
    <t>(217) 349-8215</t>
  </si>
  <si>
    <t>LINCOLN STREET LOUNGE</t>
  </si>
  <si>
    <t>DORIS JONES</t>
  </si>
  <si>
    <t>112 S LINCOLN</t>
  </si>
  <si>
    <t>BROADLANDS</t>
  </si>
  <si>
    <t>B130584013</t>
  </si>
  <si>
    <t>812-0304435</t>
  </si>
  <si>
    <t>NRTA0409</t>
  </si>
  <si>
    <t>(217) 834-3010</t>
  </si>
  <si>
    <t>WILD WILLY'S</t>
  </si>
  <si>
    <t>WILD WILLY'S INC</t>
  </si>
  <si>
    <t>109 E THIRD</t>
  </si>
  <si>
    <t>BROCTON</t>
  </si>
  <si>
    <t>W2322022</t>
  </si>
  <si>
    <t>W2322034</t>
  </si>
  <si>
    <t>B120964614</t>
  </si>
  <si>
    <t>812-0313723</t>
  </si>
  <si>
    <t>NRTA0791</t>
  </si>
  <si>
    <t>(217) 385-2790</t>
  </si>
  <si>
    <t>CINDY'S LOG CABIN</t>
  </si>
  <si>
    <t>B120964615</t>
  </si>
  <si>
    <t>812-0316183</t>
  </si>
  <si>
    <t>NRTA0831</t>
  </si>
  <si>
    <t>(217) 253-4843</t>
  </si>
  <si>
    <t>7/25/2013</t>
  </si>
  <si>
    <t>CORNER LOUNGE</t>
  </si>
  <si>
    <t>JIMANI INC</t>
  </si>
  <si>
    <t>B130583989</t>
  </si>
  <si>
    <t>W2237271</t>
  </si>
  <si>
    <t>B130275456</t>
  </si>
  <si>
    <t>812-0211509</t>
  </si>
  <si>
    <t>NRTA0093</t>
  </si>
  <si>
    <t>(217) 427-5475</t>
  </si>
  <si>
    <t>CHAMPAIGN AMVETS POST 3</t>
  </si>
  <si>
    <t>CHAMPAIGN POST NO. 3 AMERICAN VETERANS OF WORLD WAR II</t>
  </si>
  <si>
    <t>B131193258</t>
  </si>
  <si>
    <t>812-0304339</t>
  </si>
  <si>
    <t>NRTA0678</t>
  </si>
  <si>
    <t>(217) 398-1144</t>
  </si>
  <si>
    <t>11/27/2012</t>
  </si>
  <si>
    <t>HUBERS WEST END STORE</t>
  </si>
  <si>
    <t>TAVCO INC</t>
  </si>
  <si>
    <t>1312 W CHURCH</t>
  </si>
  <si>
    <t>B130277634</t>
  </si>
  <si>
    <t>W2237248</t>
  </si>
  <si>
    <t>812-0211722</t>
  </si>
  <si>
    <t>NRTA0132</t>
  </si>
  <si>
    <t>(217) 352-0606</t>
  </si>
  <si>
    <t>VFW CHAMPAIGN CO POST 5520</t>
  </si>
  <si>
    <t>CHAMPAIGN COUNTY POST 5520 VETERANS OF FOREIGN WARS OF THE UNITED STATES</t>
  </si>
  <si>
    <t>609 EDGEBROOK DRIVE</t>
  </si>
  <si>
    <t>B130277310</t>
  </si>
  <si>
    <t>W2219766</t>
  </si>
  <si>
    <t>812-0302349</t>
  </si>
  <si>
    <t>NRTA0225</t>
  </si>
  <si>
    <t>(217) 356-2984</t>
  </si>
  <si>
    <t>4/30/2013</t>
  </si>
  <si>
    <t>BLACK BEAR INN</t>
  </si>
  <si>
    <t>SUDS INC</t>
  </si>
  <si>
    <t>W2303981</t>
  </si>
  <si>
    <t>B130275458</t>
  </si>
  <si>
    <t>WN64AB120600458</t>
  </si>
  <si>
    <t>(217) 442-9520</t>
  </si>
  <si>
    <t>DALE'S PLACE</t>
  </si>
  <si>
    <t>FILICSKY CORPORATION</t>
  </si>
  <si>
    <t>1217 E FAIRCHILD</t>
  </si>
  <si>
    <t>W2322029</t>
  </si>
  <si>
    <t>W2322045</t>
  </si>
  <si>
    <t>B131091640</t>
  </si>
  <si>
    <t>812-0316143</t>
  </si>
  <si>
    <t>NRTA0884</t>
  </si>
  <si>
    <t>(217) 474-1118</t>
  </si>
  <si>
    <t>FATMAN'S WAREHOUSE</t>
  </si>
  <si>
    <t>H. PIERCE ENTERPRISES, INC.</t>
  </si>
  <si>
    <t>138 1/2 N VERMILION ST</t>
  </si>
  <si>
    <t>B130277599</t>
  </si>
  <si>
    <t>812-0401055</t>
  </si>
  <si>
    <t>NRTA1071</t>
  </si>
  <si>
    <t>(217) 446-2424</t>
  </si>
  <si>
    <t>4/16/2013</t>
  </si>
  <si>
    <t>FUZZY'S BAR</t>
  </si>
  <si>
    <t>FUZZY'S BAR INC.</t>
  </si>
  <si>
    <t>B131092136</t>
  </si>
  <si>
    <t>W2303993</t>
  </si>
  <si>
    <t>812-0313675</t>
  </si>
  <si>
    <t>NRTA0921</t>
  </si>
  <si>
    <t>(217) 443-8330</t>
  </si>
  <si>
    <t>1/22/2014</t>
  </si>
  <si>
    <t>HALFWAY INN</t>
  </si>
  <si>
    <t>WT ENTERTAINMENT LLC</t>
  </si>
  <si>
    <t>B130277620</t>
  </si>
  <si>
    <t>W2303957</t>
  </si>
  <si>
    <t xml:space="preserve">812-0313663 </t>
  </si>
  <si>
    <t>NRTA0798</t>
  </si>
  <si>
    <t>(217) 446-4248</t>
  </si>
  <si>
    <t>IBPO ELKS ILLINOIS LODGE #147</t>
  </si>
  <si>
    <t>505 E MAIN ST</t>
  </si>
  <si>
    <t>B130275474</t>
  </si>
  <si>
    <t>W2303958</t>
  </si>
  <si>
    <t>812-0403238</t>
  </si>
  <si>
    <t>NRTA1282</t>
  </si>
  <si>
    <t>(217) 443-1883</t>
  </si>
  <si>
    <t>IKES GRILL</t>
  </si>
  <si>
    <t>IONA M EADS</t>
  </si>
  <si>
    <t>B140299498</t>
  </si>
  <si>
    <t>812-0318008</t>
  </si>
  <si>
    <t>NRTA0940</t>
  </si>
  <si>
    <t>(217) 442-7840</t>
  </si>
  <si>
    <t>JIM &amp; JO'S BAR &amp; GRILL</t>
  </si>
  <si>
    <t>821 E FAIRCHILD</t>
  </si>
  <si>
    <t>B130583956</t>
  </si>
  <si>
    <t>WN64AB120800511</t>
  </si>
  <si>
    <t>LK926600</t>
  </si>
  <si>
    <t>(217) 213-1553</t>
  </si>
  <si>
    <t>5/28/2014</t>
  </si>
  <si>
    <t>K &amp; J'S</t>
  </si>
  <si>
    <t>JUDITH L GRAY</t>
  </si>
  <si>
    <t>118 VAN BUREN</t>
  </si>
  <si>
    <t>B120964612</t>
  </si>
  <si>
    <t>812-0302368</t>
  </si>
  <si>
    <t>NRTA0291</t>
  </si>
  <si>
    <t>(217) 443-1950</t>
  </si>
  <si>
    <t>12/20/2012</t>
  </si>
  <si>
    <t>LITTLE NUGGET</t>
  </si>
  <si>
    <t>CITY-WEID INC.</t>
  </si>
  <si>
    <t>B150222404</t>
  </si>
  <si>
    <t>B131194565</t>
  </si>
  <si>
    <t>812-0318026</t>
  </si>
  <si>
    <t>NRTA0944</t>
  </si>
  <si>
    <t>(217) 442-9848</t>
  </si>
  <si>
    <t>O'BRIEN'S CORNER TAVERN</t>
  </si>
  <si>
    <t>V.M.O. INC</t>
  </si>
  <si>
    <t>B131194592</t>
  </si>
  <si>
    <t>812-0205944</t>
  </si>
  <si>
    <t>NRTA0030</t>
  </si>
  <si>
    <t>(217) 431-3703</t>
  </si>
  <si>
    <t>POW WOW</t>
  </si>
  <si>
    <t>B131193261</t>
  </si>
  <si>
    <t xml:space="preserve">812-0313698 </t>
  </si>
  <si>
    <t>NRTA0740</t>
  </si>
  <si>
    <t>9/24/2013</t>
  </si>
  <si>
    <t>ROSE'S TAVERN</t>
  </si>
  <si>
    <t>MARY COTTLE</t>
  </si>
  <si>
    <t>B140299509</t>
  </si>
  <si>
    <t>812-0318002</t>
  </si>
  <si>
    <t>NRTA1022</t>
  </si>
  <si>
    <t>(217) 267-2631</t>
  </si>
  <si>
    <t>SOUTH STREET SALOON</t>
  </si>
  <si>
    <t>B140299497</t>
  </si>
  <si>
    <t xml:space="preserve">812-0401218 </t>
  </si>
  <si>
    <t>NRTA1072</t>
  </si>
  <si>
    <t>7/18/2013</t>
  </si>
  <si>
    <t>STUDIO 25</t>
  </si>
  <si>
    <t>128 N WALNUT</t>
  </si>
  <si>
    <t>W2237240</t>
  </si>
  <si>
    <t>812-0403214</t>
  </si>
  <si>
    <t>(217) 446-1200</t>
  </si>
  <si>
    <t>4/22/2014</t>
  </si>
  <si>
    <t>THE BIG 4</t>
  </si>
  <si>
    <t>620 N VERMILION ST</t>
  </si>
  <si>
    <t>B150222385</t>
  </si>
  <si>
    <t>W2248442</t>
  </si>
  <si>
    <t>812-0407910</t>
  </si>
  <si>
    <t>NRTA2508</t>
  </si>
  <si>
    <t>(217) 442-9533</t>
  </si>
  <si>
    <t>VFW JEWELL WHYTE POST</t>
  </si>
  <si>
    <t>JEWELL WHYTE POST NO 728, VETERANS OF FOREIGN WARS OF THE UNITED STATES</t>
  </si>
  <si>
    <t>B130277632</t>
  </si>
  <si>
    <t>WN64AB120900736</t>
  </si>
  <si>
    <t>LK127948</t>
  </si>
  <si>
    <t>(217) 442-1227</t>
  </si>
  <si>
    <t>22ND ST DISCOUNT LIQUORS</t>
  </si>
  <si>
    <t>DALE &amp; JACKIE'S DISCOUNT LIQUORS, INC.</t>
  </si>
  <si>
    <t>1325 N 22ND</t>
  </si>
  <si>
    <t>B120964618</t>
  </si>
  <si>
    <t>B120964619</t>
  </si>
  <si>
    <t>812-0316148</t>
  </si>
  <si>
    <t>(217) 428-5420</t>
  </si>
  <si>
    <t>CAFE BRIO</t>
  </si>
  <si>
    <t>APPLEZAKS INCORPORATED</t>
  </si>
  <si>
    <t>B140299491</t>
  </si>
  <si>
    <t>812-0317947</t>
  </si>
  <si>
    <t>NRTA0917</t>
  </si>
  <si>
    <t>(217) 875-4940</t>
  </si>
  <si>
    <t>3/26/2013</t>
  </si>
  <si>
    <t>FRIENDLY BAR &amp; PACKAGE</t>
  </si>
  <si>
    <t>DECATUR PACKAGE, INC.</t>
  </si>
  <si>
    <t>B130172503</t>
  </si>
  <si>
    <t>B120964642</t>
  </si>
  <si>
    <t>812-0316176</t>
  </si>
  <si>
    <t>(217) 428-4243</t>
  </si>
  <si>
    <t>4/3/2013</t>
  </si>
  <si>
    <t>N J'S PLACE</t>
  </si>
  <si>
    <t>NJ'S PLACE INC</t>
  </si>
  <si>
    <t>755 S FRANKLIN ST</t>
  </si>
  <si>
    <t>B130172504</t>
  </si>
  <si>
    <t>812-0316225</t>
  </si>
  <si>
    <t>NRTA0850</t>
  </si>
  <si>
    <t>(217) 422-4171</t>
  </si>
  <si>
    <t>DOWNS TRAVEL MART</t>
  </si>
  <si>
    <t>405 S SEMINARY STREET</t>
  </si>
  <si>
    <t>DOWNS</t>
  </si>
  <si>
    <t>B130173674</t>
  </si>
  <si>
    <t>B141118693</t>
  </si>
  <si>
    <t xml:space="preserve">812-0304356 </t>
  </si>
  <si>
    <t>NRTA0351</t>
  </si>
  <si>
    <t>(309) 378-3049</t>
  </si>
  <si>
    <t>THE ROOST</t>
  </si>
  <si>
    <t>THE ROOST INC.</t>
  </si>
  <si>
    <t>B130378879</t>
  </si>
  <si>
    <t>812-0304349</t>
  </si>
  <si>
    <t>NRTA0830</t>
  </si>
  <si>
    <t>(217) 390-8339</t>
  </si>
  <si>
    <t>BOBS PUMP HOUSE</t>
  </si>
  <si>
    <t>1102 N MAIN ST</t>
  </si>
  <si>
    <t>B130583969</t>
  </si>
  <si>
    <t xml:space="preserve">812-0304275 </t>
  </si>
  <si>
    <t>NRTA0412</t>
  </si>
  <si>
    <t>(217) 662-2585</t>
  </si>
  <si>
    <t>8/15/2013</t>
  </si>
  <si>
    <t>JOSEPHINE'S</t>
  </si>
  <si>
    <t>S.P. &amp; J.P. INC</t>
  </si>
  <si>
    <t>111 W WEST ST</t>
  </si>
  <si>
    <t>B130583948</t>
  </si>
  <si>
    <t>812-0302456</t>
  </si>
  <si>
    <t>NRTA0294</t>
  </si>
  <si>
    <t>(217) 662-2123</t>
  </si>
  <si>
    <t>4/1/2014</t>
  </si>
  <si>
    <t>SAM'S PLACE</t>
  </si>
  <si>
    <t>PENNY L. SWIDER</t>
  </si>
  <si>
    <t>1509 N MAIN ST</t>
  </si>
  <si>
    <t>W2237268</t>
  </si>
  <si>
    <t>W2322057</t>
  </si>
  <si>
    <t>812-0302343</t>
  </si>
  <si>
    <t>NRTA1230</t>
  </si>
  <si>
    <t>QUICK GITS</t>
  </si>
  <si>
    <t>QUICK GITS, INCORPORATED</t>
  </si>
  <si>
    <t>1778 E RT 133</t>
  </si>
  <si>
    <t>HINDSBORO</t>
  </si>
  <si>
    <t>B130378823</t>
  </si>
  <si>
    <t>812-0313683</t>
  </si>
  <si>
    <t>STUMBLE IN</t>
  </si>
  <si>
    <t>1863 E ST RT 133</t>
  </si>
  <si>
    <t>B120964640</t>
  </si>
  <si>
    <t>W2266285</t>
  </si>
  <si>
    <t>812-0313678</t>
  </si>
  <si>
    <t>NRTA0832</t>
  </si>
  <si>
    <t>(217) 346-3119</t>
  </si>
  <si>
    <t>MONTICELLO BOWL &amp; LOUNGE</t>
  </si>
  <si>
    <t>ROGER SALMON</t>
  </si>
  <si>
    <t>1412 MARKET ST</t>
  </si>
  <si>
    <t>B150222399</t>
  </si>
  <si>
    <t>B130277606</t>
  </si>
  <si>
    <t>812-0401111</t>
  </si>
  <si>
    <t>NRTA0101</t>
  </si>
  <si>
    <t>(217) 762-5726</t>
  </si>
  <si>
    <t>THE MAIN STREET PUB</t>
  </si>
  <si>
    <t>PT NORMAN INC</t>
  </si>
  <si>
    <t>B130173549</t>
  </si>
  <si>
    <t>812-0304422</t>
  </si>
  <si>
    <t>NRTA0372</t>
  </si>
  <si>
    <t>(217) 762-9414</t>
  </si>
  <si>
    <t>COUNTRY JUNCTION</t>
  </si>
  <si>
    <t>COUNTRY JUNCTION INC</t>
  </si>
  <si>
    <t>107 E YATES</t>
  </si>
  <si>
    <t>NEWMAN</t>
  </si>
  <si>
    <t>B120964621</t>
  </si>
  <si>
    <t xml:space="preserve">812-0316211 </t>
  </si>
  <si>
    <t>NRTA0790</t>
  </si>
  <si>
    <t>(217) 837-2911</t>
  </si>
  <si>
    <t>MOOSE LODGE #1001</t>
  </si>
  <si>
    <t>B130991418</t>
  </si>
  <si>
    <t>WN64AB120900682</t>
  </si>
  <si>
    <t>(217) 442-7339</t>
  </si>
  <si>
    <t>BILLY BOB'S BAR B Q</t>
  </si>
  <si>
    <t>KEEP IT SIMPLE, INC.</t>
  </si>
  <si>
    <t>105 EAST BROADWAY</t>
  </si>
  <si>
    <t>OGDEN</t>
  </si>
  <si>
    <t>B130583973</t>
  </si>
  <si>
    <t>W2239502</t>
  </si>
  <si>
    <t>812-0302336</t>
  </si>
  <si>
    <t>(217) 582-2277</t>
  </si>
  <si>
    <t>THE LONGBRANCH SALOON</t>
  </si>
  <si>
    <t>BLUE MULE INC</t>
  </si>
  <si>
    <t>718-720 W COURT</t>
  </si>
  <si>
    <t>PARIS</t>
  </si>
  <si>
    <t>B130172505</t>
  </si>
  <si>
    <t>B130277390</t>
  </si>
  <si>
    <t xml:space="preserve">812-0313632 </t>
  </si>
  <si>
    <t>NRTA0836</t>
  </si>
  <si>
    <t>(217) 468-9885</t>
  </si>
  <si>
    <t>ROUTE 45 WAYSIDE LLC</t>
  </si>
  <si>
    <t>B130583954</t>
  </si>
  <si>
    <t>812-0205922</t>
  </si>
  <si>
    <t>(217) 493-2012</t>
  </si>
  <si>
    <t>2/22/2013</t>
  </si>
  <si>
    <t>DALY'S SPORTS BAR</t>
  </si>
  <si>
    <t>DALY'S SPORTS BAR INC.</t>
  </si>
  <si>
    <t>116 W. WASHINGTON ST</t>
  </si>
  <si>
    <t>PHILO</t>
  </si>
  <si>
    <t>W2285780</t>
  </si>
  <si>
    <t>B130584026</t>
  </si>
  <si>
    <t>812-0304373</t>
  </si>
  <si>
    <t>NRTA0295</t>
  </si>
  <si>
    <t>217-684-2222</t>
  </si>
  <si>
    <t>THE RIDGE</t>
  </si>
  <si>
    <t>CYNTHIA L MASON</t>
  </si>
  <si>
    <t>10 S STATE ST</t>
  </si>
  <si>
    <t>812-0302397</t>
  </si>
  <si>
    <t>NRTA0292</t>
  </si>
  <si>
    <t>(217) 247-9904</t>
  </si>
  <si>
    <t>TOWN &amp; COUNTRY TAP</t>
  </si>
  <si>
    <t>DONNA MAE RHOADS</t>
  </si>
  <si>
    <t>B131193274</t>
  </si>
  <si>
    <t xml:space="preserve">812-0313725 </t>
  </si>
  <si>
    <t>NRTA0771</t>
  </si>
  <si>
    <t>(217) 247-2354</t>
  </si>
  <si>
    <t>CHAMPAIGN-URBANA ELKS [SAVOY]</t>
  </si>
  <si>
    <t>CHAMPAIGN-URBANA ELKS #2497</t>
  </si>
  <si>
    <t>B130277486</t>
  </si>
  <si>
    <t>WN64AB120600432</t>
  </si>
  <si>
    <t>(217) 359-2497</t>
  </si>
  <si>
    <t>7/15/2013</t>
  </si>
  <si>
    <t>4-WAY SALOON</t>
  </si>
  <si>
    <t>BAR-V INC</t>
  </si>
  <si>
    <t>103 W DICKSON ST PO BOX352</t>
  </si>
  <si>
    <t>WN64AB120600331</t>
  </si>
  <si>
    <t>(217) 288-9629</t>
  </si>
  <si>
    <t>STORM CELLAR PUB</t>
  </si>
  <si>
    <t>STORM CELLAR PUB, INC</t>
  </si>
  <si>
    <t>W2237253</t>
  </si>
  <si>
    <t>812-0403141</t>
  </si>
  <si>
    <t>NRTA1203</t>
  </si>
  <si>
    <t>(217) 288-9254</t>
  </si>
  <si>
    <t>ROBINS</t>
  </si>
  <si>
    <t>MICK &amp; ROBINS' INC</t>
  </si>
  <si>
    <t>101 E 5TH ST</t>
  </si>
  <si>
    <t>B120964608</t>
  </si>
  <si>
    <t>B130277485</t>
  </si>
  <si>
    <t>812-0316175</t>
  </si>
  <si>
    <t>NRTA0814</t>
  </si>
  <si>
    <t>(217) 442-3145</t>
  </si>
  <si>
    <t>12/12/2013</t>
  </si>
  <si>
    <t>TEXAS LONGBRANCH</t>
  </si>
  <si>
    <t>B130583971</t>
  </si>
  <si>
    <t>812-0304404</t>
  </si>
  <si>
    <t>NRTA0438</t>
  </si>
  <si>
    <t>(217) 443-8033</t>
  </si>
  <si>
    <t>FUEL MART #787</t>
  </si>
  <si>
    <t>TUSCOLA</t>
  </si>
  <si>
    <t>B141118709</t>
  </si>
  <si>
    <t>W2210396</t>
  </si>
  <si>
    <t>812-0404129</t>
  </si>
  <si>
    <t>(217) 253-3925</t>
  </si>
  <si>
    <t>PO' BOYS</t>
  </si>
  <si>
    <t>RASNER INVESTMENTS INC</t>
  </si>
  <si>
    <t>202 E. UNIVERSITY AVE.</t>
  </si>
  <si>
    <t>B130277633</t>
  </si>
  <si>
    <t>812-0211809</t>
  </si>
  <si>
    <t>NRTA0131</t>
  </si>
  <si>
    <t>(217) 367-2255</t>
  </si>
  <si>
    <t>4 WAY STOP</t>
  </si>
  <si>
    <t>4-WAY STOP INC</t>
  </si>
  <si>
    <t>B130275462</t>
  </si>
  <si>
    <t>812-0401105</t>
  </si>
  <si>
    <t>(217) 832-9408</t>
  </si>
  <si>
    <t>AMERICAN LEGION POST 51 [WESTVILLE]</t>
  </si>
  <si>
    <t>AMERICAN LEGION POST #51</t>
  </si>
  <si>
    <t>115 S STATE ST</t>
  </si>
  <si>
    <t>B130583968</t>
  </si>
  <si>
    <t>WN64AB120600365</t>
  </si>
  <si>
    <t>LK212211</t>
  </si>
  <si>
    <t>(217) 267-2342</t>
  </si>
  <si>
    <t>BRUNSWICK BAR</t>
  </si>
  <si>
    <t>MARY HELEN JONES</t>
  </si>
  <si>
    <t>207 W MAIN</t>
  </si>
  <si>
    <t>B130173508</t>
  </si>
  <si>
    <t>B130173519</t>
  </si>
  <si>
    <t>B131193273</t>
  </si>
  <si>
    <t>WN64AB120800548</t>
  </si>
  <si>
    <t>LK225986</t>
  </si>
  <si>
    <t>(217) 267-3865</t>
  </si>
  <si>
    <t>JULIE'S SHOOTING STAR TAVERN</t>
  </si>
  <si>
    <t>JULIES SHOOTING STAR, INC.</t>
  </si>
  <si>
    <t>B130584005</t>
  </si>
  <si>
    <t>W2293385</t>
  </si>
  <si>
    <t>812-0305902</t>
  </si>
  <si>
    <t>NRTA0484</t>
  </si>
  <si>
    <t>(217) 267-3885</t>
  </si>
  <si>
    <t>9/25/2013</t>
  </si>
  <si>
    <t>CONRAD'S SALOON</t>
  </si>
  <si>
    <t>THE RIGHT STOP TOO, INC</t>
  </si>
  <si>
    <t>EAST (WATSEKA)</t>
  </si>
  <si>
    <t>B131194596</t>
  </si>
  <si>
    <t>812-0401126</t>
  </si>
  <si>
    <t>NRTA1210</t>
  </si>
  <si>
    <t>(815) 698-2402</t>
  </si>
  <si>
    <t>BEAVERVILLE PUB</t>
  </si>
  <si>
    <t>BEAVERVILLE PUB INC</t>
  </si>
  <si>
    <t>711 ST CHARLES ST</t>
  </si>
  <si>
    <t>B130275450</t>
  </si>
  <si>
    <t>812-0302376</t>
  </si>
  <si>
    <t>NRTA0206</t>
  </si>
  <si>
    <t>(815) 435-</t>
  </si>
  <si>
    <t>103 EAST</t>
  </si>
  <si>
    <t>103 EAST BAR &amp; GRILL</t>
  </si>
  <si>
    <t>B131194573</t>
  </si>
  <si>
    <t xml:space="preserve">812-0304443 </t>
  </si>
  <si>
    <t>NRTA0524</t>
  </si>
  <si>
    <t>(217) 394-2110</t>
  </si>
  <si>
    <t>THE ISLES</t>
  </si>
  <si>
    <t>DX3 INC</t>
  </si>
  <si>
    <t>WN64AB120800529</t>
  </si>
  <si>
    <t>GARFIELD'S LOUNGE</t>
  </si>
  <si>
    <t>C.P. ENTERPRISES II, LLC.</t>
  </si>
  <si>
    <t>B130277306</t>
  </si>
  <si>
    <t>W2239515</t>
  </si>
  <si>
    <t>812-0404128</t>
  </si>
  <si>
    <t>(815) 457-2419</t>
  </si>
  <si>
    <t>BLONDIES</t>
  </si>
  <si>
    <t>401 E MAIN</t>
  </si>
  <si>
    <t>WN64AB120800604</t>
  </si>
  <si>
    <t>NRTA0207</t>
  </si>
  <si>
    <t>(815) 683-9888</t>
  </si>
  <si>
    <t>CC DEPOT</t>
  </si>
  <si>
    <t>CC DEPOT INC</t>
  </si>
  <si>
    <t>303 MAIN ST</t>
  </si>
  <si>
    <t>B130173516</t>
  </si>
  <si>
    <t>WN64AB120600300</t>
  </si>
  <si>
    <t>LK909365</t>
  </si>
  <si>
    <t>ROAD RUNNERS FAMILY RESTAURANT</t>
  </si>
  <si>
    <t>B130173529</t>
  </si>
  <si>
    <t>WN64AB120800524</t>
  </si>
  <si>
    <t>LK139005</t>
  </si>
  <si>
    <t>11/9/2012</t>
  </si>
  <si>
    <t>J &amp; J'S HOMESTEAD INC</t>
  </si>
  <si>
    <t>J &amp; J'S HOMESTEAD, INC.</t>
  </si>
  <si>
    <t>B131193289</t>
  </si>
  <si>
    <t xml:space="preserve">812-0304396 </t>
  </si>
  <si>
    <t>NRTA0677</t>
  </si>
  <si>
    <t>(217) 568-7554</t>
  </si>
  <si>
    <t>THE NORTH FORTY</t>
  </si>
  <si>
    <t>MEENS INC</t>
  </si>
  <si>
    <t>301 S MAIN ST</t>
  </si>
  <si>
    <t>B131295932</t>
  </si>
  <si>
    <t>W2230004</t>
  </si>
  <si>
    <t>B131091575</t>
  </si>
  <si>
    <t>812-0404165</t>
  </si>
  <si>
    <t>NRTA1269</t>
  </si>
  <si>
    <t>(217) 568-7721</t>
  </si>
  <si>
    <t>BOONDOCKS</t>
  </si>
  <si>
    <t>MATHEWS DESIGNS, INC.</t>
  </si>
  <si>
    <t>249 N CENTRAL ST</t>
  </si>
  <si>
    <t>B131091615</t>
  </si>
  <si>
    <t>812-0304266</t>
  </si>
  <si>
    <t>NRTA0572</t>
  </si>
  <si>
    <t>(815) 265-4100</t>
  </si>
  <si>
    <t>DAVE'S TAP</t>
  </si>
  <si>
    <t>DAVE'S TAP, INC</t>
  </si>
  <si>
    <t>B140299501</t>
  </si>
  <si>
    <t>WN64AB120500074</t>
  </si>
  <si>
    <t>(815) 265-7802</t>
  </si>
  <si>
    <t>K &amp; H TRUCK PLAZA INC</t>
  </si>
  <si>
    <t>K &amp; H TRUCK PLAZA, INC</t>
  </si>
  <si>
    <t>B131194574</t>
  </si>
  <si>
    <t>812-0401100</t>
  </si>
  <si>
    <t>(815) 265-7625</t>
  </si>
  <si>
    <t>THE RIGHT STOP</t>
  </si>
  <si>
    <t>DEBRA A TAYLOR</t>
  </si>
  <si>
    <t>B131194568</t>
  </si>
  <si>
    <t>812-0211701</t>
  </si>
  <si>
    <t>NRTA0125</t>
  </si>
  <si>
    <t>(815) 265-7707</t>
  </si>
  <si>
    <t>AMERICAN LEGION POST #384</t>
  </si>
  <si>
    <t>IRA OWEN KREAGER POST 384 AMERICAN LEGION, DEPARTMENT</t>
  </si>
  <si>
    <t>502 E PENN ST</t>
  </si>
  <si>
    <t>W2303980</t>
  </si>
  <si>
    <t>812-0304261</t>
  </si>
  <si>
    <t>NRTA0402</t>
  </si>
  <si>
    <t>(217) 283-6312</t>
  </si>
  <si>
    <t>FAST LANES OF HOOPESTON</t>
  </si>
  <si>
    <t>WAGONER LANES INC</t>
  </si>
  <si>
    <t>B131194575</t>
  </si>
  <si>
    <t>WN64AB120800543</t>
  </si>
  <si>
    <t>(217) 283-6505</t>
  </si>
  <si>
    <t>THE PUMP</t>
  </si>
  <si>
    <t>THE PUMP, LLC</t>
  </si>
  <si>
    <t>B130174488</t>
  </si>
  <si>
    <t>812-0401082</t>
  </si>
  <si>
    <t>NRTA1133</t>
  </si>
  <si>
    <t>(217) 283-5700</t>
  </si>
  <si>
    <t>UPTOWN SALOON</t>
  </si>
  <si>
    <t>PHIL &amp; MARY'S UPTOWN SALOON, INC.</t>
  </si>
  <si>
    <t>B130991409</t>
  </si>
  <si>
    <t>812-0305948</t>
  </si>
  <si>
    <t>NRTA0809</t>
  </si>
  <si>
    <t>3/27/2013</t>
  </si>
  <si>
    <t>VFW BUDDY EGNEW POST</t>
  </si>
  <si>
    <t>BUDDY EGNEW POST #4826 VETERANS OF FOREIGN WARS OF THE UNITED STATES</t>
  </si>
  <si>
    <t>B130275464</t>
  </si>
  <si>
    <t xml:space="preserve">812-0313642 </t>
  </si>
  <si>
    <t>NRTA0520</t>
  </si>
  <si>
    <t>(217) 283-5025</t>
  </si>
  <si>
    <t>CONCORD BOWL</t>
  </si>
  <si>
    <t>405 N W US 52 BOX 88</t>
  </si>
  <si>
    <t>WN64AB120800597</t>
  </si>
  <si>
    <t>LK171605</t>
  </si>
  <si>
    <t>(815) 429-3101</t>
  </si>
  <si>
    <t>GENZEL'S TAP INC</t>
  </si>
  <si>
    <t>GENZEL'S TAP, INC.</t>
  </si>
  <si>
    <t>B131091594</t>
  </si>
  <si>
    <t>WN64AB120800562</t>
  </si>
  <si>
    <t>1/17/2014</t>
  </si>
  <si>
    <t>POP'S PLACE</t>
  </si>
  <si>
    <t>POP'S PLACE INC</t>
  </si>
  <si>
    <t>104 E THOMAS</t>
  </si>
  <si>
    <t>812-0304372</t>
  </si>
  <si>
    <t>NRTA0367</t>
  </si>
  <si>
    <t>(217) 396-8889</t>
  </si>
  <si>
    <t>PARTNERS '99</t>
  </si>
  <si>
    <t>PARTNERS '99, INC.</t>
  </si>
  <si>
    <t>106 E MAIN ST</t>
  </si>
  <si>
    <t>MARTINTON</t>
  </si>
  <si>
    <t>W2324743</t>
  </si>
  <si>
    <t>812-0401162</t>
  </si>
  <si>
    <t>NRTA1221</t>
  </si>
  <si>
    <t>(815) 428-7622</t>
  </si>
  <si>
    <t>OLD MAIN PUB</t>
  </si>
  <si>
    <t>OLD MAIN PUB, INC.</t>
  </si>
  <si>
    <t>409 S CHICAGO STREET</t>
  </si>
  <si>
    <t>B130583970</t>
  </si>
  <si>
    <t>W2304003</t>
  </si>
  <si>
    <t>812-0304415</t>
  </si>
  <si>
    <t>NRTA0417</t>
  </si>
  <si>
    <t>12/19/2012</t>
  </si>
  <si>
    <t>THE HANGOUT</t>
  </si>
  <si>
    <t>THE HANGOUT INC</t>
  </si>
  <si>
    <t>106 E JONES ST</t>
  </si>
  <si>
    <t>B130173505</t>
  </si>
  <si>
    <t>B130173534</t>
  </si>
  <si>
    <t>812-0211664</t>
  </si>
  <si>
    <t>(815) 889-9902</t>
  </si>
  <si>
    <t>HOME PLATE RESTAURANT AND LOUNGE LLC</t>
  </si>
  <si>
    <t>HOME PLATE RESTAURANT AND LOUNGE</t>
  </si>
  <si>
    <t>B130584024</t>
  </si>
  <si>
    <t>WN64AB120800533</t>
  </si>
  <si>
    <t>LK212203</t>
  </si>
  <si>
    <t>(815) 268-4500</t>
  </si>
  <si>
    <t>8/13/2013</t>
  </si>
  <si>
    <t>SHOOKY'S</t>
  </si>
  <si>
    <t>SHOOKY'S INC</t>
  </si>
  <si>
    <t>103 N MARKET ST</t>
  </si>
  <si>
    <t>PAXTON</t>
  </si>
  <si>
    <t>B130991429</t>
  </si>
  <si>
    <t>WN64AB120600410</t>
  </si>
  <si>
    <t>(217) 379-6900</t>
  </si>
  <si>
    <t>NE'S PLACE</t>
  </si>
  <si>
    <t>PIPER CITY</t>
  </si>
  <si>
    <t>B130584014</t>
  </si>
  <si>
    <t>812-0304293</t>
  </si>
  <si>
    <t>NRTA0447</t>
  </si>
  <si>
    <t>(815) 686-2333</t>
  </si>
  <si>
    <t>BOONES RANKIN</t>
  </si>
  <si>
    <t>D &amp; E MCCULLOUGH INC</t>
  </si>
  <si>
    <t>104 S MAIN</t>
  </si>
  <si>
    <t>RANKIN</t>
  </si>
  <si>
    <t>B130173538</t>
  </si>
  <si>
    <t>812-0211696</t>
  </si>
  <si>
    <t>NRTA0120</t>
  </si>
  <si>
    <t>(217) 397-9995</t>
  </si>
  <si>
    <t>AMERICAN LEGION POST 287 [RANTOUL]BLONDIES</t>
  </si>
  <si>
    <t>AMERICAN LEGION POST 287 INC</t>
  </si>
  <si>
    <t>WN64AB120800600</t>
  </si>
  <si>
    <t>(217) 893-3401</t>
  </si>
  <si>
    <t>11/16/2012</t>
  </si>
  <si>
    <t>BUD'S BAR</t>
  </si>
  <si>
    <t>BUD'S BAR INC</t>
  </si>
  <si>
    <t>B130584020</t>
  </si>
  <si>
    <t>WN64AB120800554</t>
  </si>
  <si>
    <t>(217) 892-9655</t>
  </si>
  <si>
    <t>10/17/2012</t>
  </si>
  <si>
    <t>GUNG HO VFW POST 6750</t>
  </si>
  <si>
    <t>GUNG HO POST NO 6750 VETERANS OF FOREIGN WARS</t>
  </si>
  <si>
    <t>675 N OHIO STREET</t>
  </si>
  <si>
    <t>B131091663</t>
  </si>
  <si>
    <t>812-0302407</t>
  </si>
  <si>
    <t>NRTA0256</t>
  </si>
  <si>
    <t>(217) 892-4560</t>
  </si>
  <si>
    <t>RANTOUL PIZZA PUB</t>
  </si>
  <si>
    <t>EAKER INC</t>
  </si>
  <si>
    <t>114 E CONGRESS</t>
  </si>
  <si>
    <t>B121169841</t>
  </si>
  <si>
    <t>B131193269</t>
  </si>
  <si>
    <t>812-0304363</t>
  </si>
  <si>
    <t>NRTA0253</t>
  </si>
  <si>
    <t>(217) 893-1997</t>
  </si>
  <si>
    <t>THE SHOOTERS BAR &amp; GRILL</t>
  </si>
  <si>
    <t>215 S TANNER</t>
  </si>
  <si>
    <t>B131091579</t>
  </si>
  <si>
    <t>812-0304406</t>
  </si>
  <si>
    <t>NRTA0255</t>
  </si>
  <si>
    <t>(217) 893-0077</t>
  </si>
  <si>
    <t>VILLAGE PUB</t>
  </si>
  <si>
    <t>106 W MAIN</t>
  </si>
  <si>
    <t>B130277339</t>
  </si>
  <si>
    <t xml:space="preserve">812-0304421 </t>
  </si>
  <si>
    <t>NRTA0525</t>
  </si>
  <si>
    <t>(217) 583-3235</t>
  </si>
  <si>
    <t>PEG'S RUSTIC INN</t>
  </si>
  <si>
    <t>PEG'S RUSTIC INN INC</t>
  </si>
  <si>
    <t>B130275465</t>
  </si>
  <si>
    <t>812-0304429</t>
  </si>
  <si>
    <t>NRTA0365</t>
  </si>
  <si>
    <t>(815) 450-3899</t>
  </si>
  <si>
    <t>ROSIE'S FINE FOOD</t>
  </si>
  <si>
    <t>EDWARD LAUBSCHER</t>
  </si>
  <si>
    <t>B131091642</t>
  </si>
  <si>
    <t xml:space="preserve">812-0304377 </t>
  </si>
  <si>
    <t>NRTA0368</t>
  </si>
  <si>
    <t>(815) 429-3551</t>
  </si>
  <si>
    <t>STATION STREET PUB</t>
  </si>
  <si>
    <t>STATION STREET PUB LLC</t>
  </si>
  <si>
    <t>B131091631</t>
  </si>
  <si>
    <t>WN64AB120800538</t>
  </si>
  <si>
    <t>LK225985</t>
  </si>
  <si>
    <t>(815) 422-0398</t>
  </si>
  <si>
    <t>BPOE WATSEKA LODGE #1791</t>
  </si>
  <si>
    <t>WATSEKA LODGE, NO. 1791, OF THE BENEVOLENT AND PROTECTIVE ORDER OF ELKS OF THE UNITED STATES OF AMERICA</t>
  </si>
  <si>
    <t>111 N 3RD ST</t>
  </si>
  <si>
    <t>W2239510</t>
  </si>
  <si>
    <t>B130991420</t>
  </si>
  <si>
    <t>812-0404094</t>
  </si>
  <si>
    <t>NRTA1281</t>
  </si>
  <si>
    <t>(815) 432-1300</t>
  </si>
  <si>
    <t>MANNY'S SALOON &amp; GRILL</t>
  </si>
  <si>
    <t>CUCO'S FAMILY RESTAURANT INC</t>
  </si>
  <si>
    <t>B131194591</t>
  </si>
  <si>
    <t>812-0205820</t>
  </si>
  <si>
    <t>NRTA0141</t>
  </si>
  <si>
    <t>(815) 432-2286</t>
  </si>
  <si>
    <t>SHORTY'S</t>
  </si>
  <si>
    <t>217 E WALNUT ST</t>
  </si>
  <si>
    <t>B130277337</t>
  </si>
  <si>
    <t>812-0304316</t>
  </si>
  <si>
    <t>NRTA0849</t>
  </si>
  <si>
    <t>(815) 432-4227</t>
  </si>
  <si>
    <t>TRADITIONS BAR</t>
  </si>
  <si>
    <t>TRADITIONS BAR, INC</t>
  </si>
  <si>
    <t>B130277198</t>
  </si>
  <si>
    <t>W2269350</t>
  </si>
  <si>
    <t>812-0317988</t>
  </si>
  <si>
    <t>NRTA0942</t>
  </si>
  <si>
    <t>(818) 993-5617</t>
  </si>
  <si>
    <t>WESTSIDE BAR</t>
  </si>
  <si>
    <t>ANTHONY SHERVINO</t>
  </si>
  <si>
    <t>119 W OAK ST</t>
  </si>
  <si>
    <t>B130173514</t>
  </si>
  <si>
    <t>812-0404122</t>
  </si>
  <si>
    <t>NRTA1275</t>
  </si>
  <si>
    <t>JONESY'S RANCH HOUSE</t>
  </si>
  <si>
    <t>JONESY'S RANCH HOUSE, INC.</t>
  </si>
  <si>
    <t>224 JENSEN ST</t>
  </si>
  <si>
    <t>BUREAU</t>
  </si>
  <si>
    <t>NORTHWEST (LASALLE)</t>
  </si>
  <si>
    <t>W2248444</t>
  </si>
  <si>
    <t>W2212891</t>
  </si>
  <si>
    <t>812-0404126</t>
  </si>
  <si>
    <t>Jenny Odum</t>
  </si>
  <si>
    <t>NRTA1224</t>
  </si>
  <si>
    <t>(815) 659-3361</t>
  </si>
  <si>
    <t>CORRAL INN TAVERN</t>
  </si>
  <si>
    <t>CHARLOTTE OLSON</t>
  </si>
  <si>
    <t>B130584022</t>
  </si>
  <si>
    <t>WN64AB120600492</t>
  </si>
  <si>
    <t>(815) 446-4711</t>
  </si>
  <si>
    <t>ARNIE'S HAPPY SPOT</t>
  </si>
  <si>
    <t>HAPPY SPOT, INC.</t>
  </si>
  <si>
    <t>B121169834</t>
  </si>
  <si>
    <t>812-0211544</t>
  </si>
  <si>
    <t>Michele Carey</t>
  </si>
  <si>
    <t>NRTA0089</t>
  </si>
  <si>
    <t>(815) 438-5282</t>
  </si>
  <si>
    <t>2/28/2013</t>
  </si>
  <si>
    <t>MI OFFICINA</t>
  </si>
  <si>
    <t>DANIEL LARIOS &amp; MARIA C. LARIOS</t>
  </si>
  <si>
    <t>111 W FOURTH ST</t>
  </si>
  <si>
    <t>W2324742</t>
  </si>
  <si>
    <t>VR-1009</t>
  </si>
  <si>
    <t>812-0313697</t>
  </si>
  <si>
    <t>(815) 477-2136</t>
  </si>
  <si>
    <t>SILVER DOME</t>
  </si>
  <si>
    <t>SILVER DOME INC</t>
  </si>
  <si>
    <t>812-0304449</t>
  </si>
  <si>
    <t>NRTA0296</t>
  </si>
  <si>
    <t>(815) 447-2198</t>
  </si>
  <si>
    <t>THE JUNCTION [DEPUE]</t>
  </si>
  <si>
    <t>CLINTON W CASFORD &amp; CHARLES W CASFORD III</t>
  </si>
  <si>
    <t>901 W ILLINOIS HIGHWAY 29</t>
  </si>
  <si>
    <t>B130277305</t>
  </si>
  <si>
    <t>812-0302415</t>
  </si>
  <si>
    <t>NRTA0197</t>
  </si>
  <si>
    <t>(815)250-3374</t>
  </si>
  <si>
    <t>DIXON MOOSE LODGE 727</t>
  </si>
  <si>
    <t>DIXON LODGE NO. 727 LOYAL ORDER OF MOOSE</t>
  </si>
  <si>
    <t>B131091608</t>
  </si>
  <si>
    <t>812-0305787</t>
  </si>
  <si>
    <t>NRTA0579</t>
  </si>
  <si>
    <t>(815) 288-1182</t>
  </si>
  <si>
    <t>11/25/2013</t>
  </si>
  <si>
    <t>EXPRESSLANE INC.</t>
  </si>
  <si>
    <t>B131091627</t>
  </si>
  <si>
    <t>B131091607</t>
  </si>
  <si>
    <t>812-0304345</t>
  </si>
  <si>
    <t>(815) 285-1197</t>
  </si>
  <si>
    <t>MAMA CIMINO'S</t>
  </si>
  <si>
    <t>JAMES GALLENTINE</t>
  </si>
  <si>
    <t>104 PEORIA AVE</t>
  </si>
  <si>
    <t>W2237261</t>
  </si>
  <si>
    <t>812-0304452</t>
  </si>
  <si>
    <t>NRTA1242</t>
  </si>
  <si>
    <t>(815) 288-4448</t>
  </si>
  <si>
    <t>VAL'S PLACE</t>
  </si>
  <si>
    <t>VALERIE J WILSON</t>
  </si>
  <si>
    <t>B121169833</t>
  </si>
  <si>
    <t>812-0211506</t>
  </si>
  <si>
    <t>NRTA0109</t>
  </si>
  <si>
    <t>(815) 288-1171</t>
  </si>
  <si>
    <t>C.'S KNOTTY PINE</t>
  </si>
  <si>
    <t>1359 N 45TH</t>
  </si>
  <si>
    <t>B130480916</t>
  </si>
  <si>
    <t>812-0302370</t>
  </si>
  <si>
    <t>NRTA0250</t>
  </si>
  <si>
    <t>(815) 246-9083</t>
  </si>
  <si>
    <t>BIG SHOTS</t>
  </si>
  <si>
    <t>BIG SHOTS L.L.C.</t>
  </si>
  <si>
    <t>B131193284</t>
  </si>
  <si>
    <t>WN64AB120600478</t>
  </si>
  <si>
    <t>(815) 339-6042</t>
  </si>
  <si>
    <t>2/6/2014</t>
  </si>
  <si>
    <t>KADDYWAMPUS SPORT GRILL</t>
  </si>
  <si>
    <t>PEPE DOG INC</t>
  </si>
  <si>
    <t>812-0205999</t>
  </si>
  <si>
    <t>NRTA0055</t>
  </si>
  <si>
    <t>(815) 339-6010</t>
  </si>
  <si>
    <t>VFW POST 555</t>
  </si>
  <si>
    <t>HENRY POST NO. 555, VETERANS OF FOREIGN WARS</t>
  </si>
  <si>
    <t>B130173536</t>
  </si>
  <si>
    <t>W2230003</t>
  </si>
  <si>
    <t>WN64AB120600451</t>
  </si>
  <si>
    <t>Colin Kenny</t>
  </si>
  <si>
    <t>(309) 364-2685</t>
  </si>
  <si>
    <t>3/22/2013</t>
  </si>
  <si>
    <t>CLUB 55</t>
  </si>
  <si>
    <t>NANCY SHAN</t>
  </si>
  <si>
    <t>B131091598</t>
  </si>
  <si>
    <t>812-0302409</t>
  </si>
  <si>
    <t>NRTA1249</t>
  </si>
  <si>
    <t>(815) 224-2530</t>
  </si>
  <si>
    <t>JOHN'S NORTHSTAR INN</t>
  </si>
  <si>
    <t>JOHN SOMOLSKI</t>
  </si>
  <si>
    <t>VR-1011</t>
  </si>
  <si>
    <t xml:space="preserve">W2324747		</t>
  </si>
  <si>
    <t>WN64AB120600318</t>
  </si>
  <si>
    <t>(815) 224-2271</t>
  </si>
  <si>
    <t>MORT'S PUB</t>
  </si>
  <si>
    <t>MORT'S PUB, INC.</t>
  </si>
  <si>
    <t>1349 5TH ST</t>
  </si>
  <si>
    <t>B130482053</t>
  </si>
  <si>
    <t>W2237237</t>
  </si>
  <si>
    <t>812-0401145</t>
  </si>
  <si>
    <t>NRTA1289</t>
  </si>
  <si>
    <t>NINTH ST PUB</t>
  </si>
  <si>
    <t>JOHN EBENER</t>
  </si>
  <si>
    <t>W2210391</t>
  </si>
  <si>
    <t>B130275483</t>
  </si>
  <si>
    <t>812-0304390</t>
  </si>
  <si>
    <t>NRTA1155</t>
  </si>
  <si>
    <t>(815) 223-8960</t>
  </si>
  <si>
    <t>STORAGES BAR &amp; GRILL</t>
  </si>
  <si>
    <t>RYAN STORAGE</t>
  </si>
  <si>
    <t>B130277603</t>
  </si>
  <si>
    <t>812-0211694</t>
  </si>
  <si>
    <t>NRTA0203</t>
  </si>
  <si>
    <t>(815) 224-3331</t>
  </si>
  <si>
    <t>THE DUGOUT TAVERN</t>
  </si>
  <si>
    <t>THE DUGOUT TAVERN, INC.</t>
  </si>
  <si>
    <t>1629 CROSAT ST</t>
  </si>
  <si>
    <t>W2304017</t>
  </si>
  <si>
    <t>B131091604</t>
  </si>
  <si>
    <t>812-0408296</t>
  </si>
  <si>
    <t>NRTA2506</t>
  </si>
  <si>
    <t>(815) 488-4600</t>
  </si>
  <si>
    <t>J'S PETTI-COAT JUNCTION</t>
  </si>
  <si>
    <t>J'S PETTI-COAT JUNCTION, INC.</t>
  </si>
  <si>
    <t>27915 NORTH AVE</t>
  </si>
  <si>
    <t>MALDEN</t>
  </si>
  <si>
    <t>B141118705</t>
  </si>
  <si>
    <t>812-0302287</t>
  </si>
  <si>
    <t>NRTA1277</t>
  </si>
  <si>
    <t>(815) 910 2544</t>
  </si>
  <si>
    <t>ILLINI LOUNGE</t>
  </si>
  <si>
    <t>ILLINI LOUNGE LLC</t>
  </si>
  <si>
    <t>390 MAIN ST</t>
  </si>
  <si>
    <t>VR-1041</t>
  </si>
  <si>
    <t>812-0302299</t>
  </si>
  <si>
    <t>NRTA1243</t>
  </si>
  <si>
    <t>(815) 795-5880</t>
  </si>
  <si>
    <t>DA RAJUN CAJUN BAR AND GRILL</t>
  </si>
  <si>
    <t>DA RAJUN CAJUN, LLC</t>
  </si>
  <si>
    <t>3289 ILLINOIS HWY 89</t>
  </si>
  <si>
    <t>W2230002</t>
  </si>
  <si>
    <t>W2220187</t>
  </si>
  <si>
    <t>812-0316132</t>
  </si>
  <si>
    <t>NRTA1247</t>
  </si>
  <si>
    <t>(815) 882-2316</t>
  </si>
  <si>
    <t>BECK OIL COMPANY</t>
  </si>
  <si>
    <t>BECK OIL COMPANY OF ILLINOIS</t>
  </si>
  <si>
    <t>B140299500</t>
  </si>
  <si>
    <t xml:space="preserve">812-0313682 </t>
  </si>
  <si>
    <t>(815) 539-3300</t>
  </si>
  <si>
    <t>5/21/2014</t>
  </si>
  <si>
    <t>MENDOTA ELKS LODGE</t>
  </si>
  <si>
    <t>MENDOTA LODGE NO 1212 BENEVOLENT AND PROTECTIVE ORDER OF ELKS</t>
  </si>
  <si>
    <t>707 INDIANA AVE</t>
  </si>
  <si>
    <t>B130583965</t>
  </si>
  <si>
    <t>812-0302308</t>
  </si>
  <si>
    <t>NRTA0355</t>
  </si>
  <si>
    <t>(815) 538-3557</t>
  </si>
  <si>
    <t>8/2/2013</t>
  </si>
  <si>
    <t>MENDOTA MOOSE LODGE #714</t>
  </si>
  <si>
    <t>MENDOTA LODGE NO. 714, LOYAL ORDER OF MOOSE INC</t>
  </si>
  <si>
    <t>B130173537</t>
  </si>
  <si>
    <t>B130173526</t>
  </si>
  <si>
    <t>812-0211734</t>
  </si>
  <si>
    <t>NRTA0100</t>
  </si>
  <si>
    <t>(815) 539-5745</t>
  </si>
  <si>
    <t>HARLEY'S TAVERN</t>
  </si>
  <si>
    <t>HARLEY'S TAVERN, INC.</t>
  </si>
  <si>
    <t>3127 AVENUE OF THE CITIES</t>
  </si>
  <si>
    <t>MOLINE</t>
  </si>
  <si>
    <t>B130277133</t>
  </si>
  <si>
    <t>W2244001</t>
  </si>
  <si>
    <t xml:space="preserve">812-0316151 </t>
  </si>
  <si>
    <t>(309) 762-1061</t>
  </si>
  <si>
    <t>GRIFFIN'S PINT</t>
  </si>
  <si>
    <t>B130583955</t>
  </si>
  <si>
    <t>W2210408</t>
  </si>
  <si>
    <t>812-0304341</t>
  </si>
  <si>
    <t>NRTA0448</t>
  </si>
  <si>
    <t>(815) 942-1031</t>
  </si>
  <si>
    <t>CLAUDETTE'S</t>
  </si>
  <si>
    <t>CLAUDETTE E. MAGNONI</t>
  </si>
  <si>
    <t>W2249364</t>
  </si>
  <si>
    <t>812-0304432</t>
  </si>
  <si>
    <t>NRTA0679</t>
  </si>
  <si>
    <t>(815) 883-7075</t>
  </si>
  <si>
    <t>1/29/2014</t>
  </si>
  <si>
    <t>LIZZIE'S LOUNGE</t>
  </si>
  <si>
    <t>E METTILLE CORPORATION</t>
  </si>
  <si>
    <t>B121169842</t>
  </si>
  <si>
    <t>W2304005</t>
  </si>
  <si>
    <t xml:space="preserve">812-0401249 </t>
  </si>
  <si>
    <t>NRTA1038</t>
  </si>
  <si>
    <t>(815) 883-8833</t>
  </si>
  <si>
    <t>MR SALSAS</t>
  </si>
  <si>
    <t>309 E WALNUT ST</t>
  </si>
  <si>
    <t>B130275471</t>
  </si>
  <si>
    <t>812-0317941</t>
  </si>
  <si>
    <t>NRTA1295</t>
  </si>
  <si>
    <t>(815) 883-9299</t>
  </si>
  <si>
    <t>AMERICAN LEGION POST 33</t>
  </si>
  <si>
    <t>OTTAWA POST NO. 33 OF THE AMERICAN LEGION</t>
  </si>
  <si>
    <t>901 LASALLE</t>
  </si>
  <si>
    <t>B130583961</t>
  </si>
  <si>
    <t>812-0304303</t>
  </si>
  <si>
    <t>NRTA0344</t>
  </si>
  <si>
    <t>(815) 433-1191</t>
  </si>
  <si>
    <t>8/12/2013</t>
  </si>
  <si>
    <t>BLARNEY IRISH PUB</t>
  </si>
  <si>
    <t>B130173675</t>
  </si>
  <si>
    <t>812-0304285</t>
  </si>
  <si>
    <t>NRTA0327</t>
  </si>
  <si>
    <t>(815) 228-0468</t>
  </si>
  <si>
    <t>8/20/2013</t>
  </si>
  <si>
    <t>CHIX RESTAURANT</t>
  </si>
  <si>
    <t>SPUDZ INC</t>
  </si>
  <si>
    <t>309 E MCKINLEY RD</t>
  </si>
  <si>
    <t>B131091617</t>
  </si>
  <si>
    <t>W2267986</t>
  </si>
  <si>
    <t>812-0316229</t>
  </si>
  <si>
    <t>NRTA1232</t>
  </si>
  <si>
    <t>(815) 257-6240</t>
  </si>
  <si>
    <t>HANK'S FARM RESTAURANT</t>
  </si>
  <si>
    <t>HANKS INC</t>
  </si>
  <si>
    <t>VR-1014</t>
  </si>
  <si>
    <t>WN64AB120800506</t>
  </si>
  <si>
    <t>(815) 433-2540</t>
  </si>
  <si>
    <t>OTTAWA LODGE 960</t>
  </si>
  <si>
    <t>OTTAWA LODGE NO. 960, LOYAL ORDER OF MOOSE</t>
  </si>
  <si>
    <t>VR-1033</t>
  </si>
  <si>
    <t>B130173520</t>
  </si>
  <si>
    <t>812-0211538</t>
  </si>
  <si>
    <t>NRTA0260</t>
  </si>
  <si>
    <t>(815) 433-1500</t>
  </si>
  <si>
    <t>SHORE LINE BOAT &amp; SKI CLUB</t>
  </si>
  <si>
    <t>917 GREEN ST</t>
  </si>
  <si>
    <t>B131091567</t>
  </si>
  <si>
    <t>812-0401185</t>
  </si>
  <si>
    <t>NRTA0607</t>
  </si>
  <si>
    <t>(815) 433-9663</t>
  </si>
  <si>
    <t>STARVED ROCK YACHT CLUB</t>
  </si>
  <si>
    <t>STARVED ROCK YACHT CLUB OF THE CITY OF OTTAWA, ILLINOIS</t>
  </si>
  <si>
    <t>B131091660</t>
  </si>
  <si>
    <t>W2237264</t>
  </si>
  <si>
    <t xml:space="preserve">812-0316157 </t>
  </si>
  <si>
    <t>NRTA0851</t>
  </si>
  <si>
    <t>(815) 434-1553</t>
  </si>
  <si>
    <t>6/9/2014</t>
  </si>
  <si>
    <t>WEDRON OFFICE</t>
  </si>
  <si>
    <t>WEDRON OFFICE, INC</t>
  </si>
  <si>
    <t>W2324748</t>
  </si>
  <si>
    <t>B131194569</t>
  </si>
  <si>
    <t>812-0304281</t>
  </si>
  <si>
    <t>NRTA0330</t>
  </si>
  <si>
    <t>(815) 433-2974</t>
  </si>
  <si>
    <t>11/12/2012</t>
  </si>
  <si>
    <t>WOODYS STEAK HOUSE</t>
  </si>
  <si>
    <t>KEVIN WOODSON</t>
  </si>
  <si>
    <t>WN64AB120600359</t>
  </si>
  <si>
    <t>(815) 433-2400</t>
  </si>
  <si>
    <t>ART GIESE TAVERN</t>
  </si>
  <si>
    <t>ART GIESE CORPORATION</t>
  </si>
  <si>
    <t xml:space="preserve">3300001230		</t>
  </si>
  <si>
    <t xml:space="preserve">B131193263	</t>
  </si>
  <si>
    <t xml:space="preserve">3300001239		</t>
  </si>
  <si>
    <t>812-0304257</t>
  </si>
  <si>
    <t>NRTA0407</t>
  </si>
  <si>
    <t>(815) 223-1937</t>
  </si>
  <si>
    <t>10/16/2012</t>
  </si>
  <si>
    <t>CLOCKTOWER SHELL</t>
  </si>
  <si>
    <t>EXPRESSLANE, INC.</t>
  </si>
  <si>
    <t>B130991395</t>
  </si>
  <si>
    <t>B150222388</t>
  </si>
  <si>
    <t>812-0305937</t>
  </si>
  <si>
    <t>THE POLO ROOM</t>
  </si>
  <si>
    <t>M &amp; F BINDING CO</t>
  </si>
  <si>
    <t>WN64AB120800603</t>
  </si>
  <si>
    <t>(815) 946-2886</t>
  </si>
  <si>
    <t>3/15/2013</t>
  </si>
  <si>
    <t>1838 N MAIN ST</t>
  </si>
  <si>
    <t>B141118691</t>
  </si>
  <si>
    <t>W2237265</t>
  </si>
  <si>
    <t>812-0404121</t>
  </si>
  <si>
    <t>CROWN LANES OF PRINCETON</t>
  </si>
  <si>
    <t>CROWN LANES INC</t>
  </si>
  <si>
    <t>812-0211759</t>
  </si>
  <si>
    <t>NRTA0094</t>
  </si>
  <si>
    <t>(815) 879-5811</t>
  </si>
  <si>
    <t>PRINCETON MOOSE</t>
  </si>
  <si>
    <t>PRINCETON LODGE NO 1339 LOYAL ORDER OF MOOSE</t>
  </si>
  <si>
    <t>B131091622</t>
  </si>
  <si>
    <t xml:space="preserve">812-0305898 </t>
  </si>
  <si>
    <t>NRTA0540</t>
  </si>
  <si>
    <t>(815) 879-5261</t>
  </si>
  <si>
    <t>11/13/2013</t>
  </si>
  <si>
    <t>F O EAGLES AERIE 2783</t>
  </si>
  <si>
    <t>FRATERNAL ORDER OF EAGLES NO 2783</t>
  </si>
  <si>
    <t>B130277618</t>
  </si>
  <si>
    <t>812-0211706</t>
  </si>
  <si>
    <t>NRTA0147</t>
  </si>
  <si>
    <t>(815) 625-2451</t>
  </si>
  <si>
    <t>5/10/2013</t>
  </si>
  <si>
    <t>JERRY CELLETTI VFW POST 5418</t>
  </si>
  <si>
    <t>JERRY CELLETTI POST 5418, VETERANS OF FOREIGN WARS OF THE UNITED STATES</t>
  </si>
  <si>
    <t>B140299505</t>
  </si>
  <si>
    <t>812-0317974</t>
  </si>
  <si>
    <t>NRTA1047</t>
  </si>
  <si>
    <t>(815) 626-3513</t>
  </si>
  <si>
    <t>ROCK FALLS POST 902 AMERICAN  LEGION</t>
  </si>
  <si>
    <t>ROCK FALLS POST #902 AMERICAN LEGION</t>
  </si>
  <si>
    <t>B131193251</t>
  </si>
  <si>
    <t>812-0304442</t>
  </si>
  <si>
    <t>NRTA0742</t>
  </si>
  <si>
    <t>(815) 626-3862</t>
  </si>
  <si>
    <t>2/9/2014</t>
  </si>
  <si>
    <t>THE COOLER</t>
  </si>
  <si>
    <t>REN &amp; KEN ENTERPRISES INC</t>
  </si>
  <si>
    <t>B130991388</t>
  </si>
  <si>
    <t>W2278862</t>
  </si>
  <si>
    <t>812-0317957</t>
  </si>
  <si>
    <t>NRTA0920</t>
  </si>
  <si>
    <t>(815) 632-3010</t>
  </si>
  <si>
    <t>W &amp; D TAP</t>
  </si>
  <si>
    <t>H. CARDWELL, INC</t>
  </si>
  <si>
    <t>B130583988</t>
  </si>
  <si>
    <t>WN64AB120600304</t>
  </si>
  <si>
    <t>(815) 626-5761</t>
  </si>
  <si>
    <t>WHISKEY BARREL SALOON</t>
  </si>
  <si>
    <t>WHISKEY BARREL SALOON, LLC</t>
  </si>
  <si>
    <t>B130277624</t>
  </si>
  <si>
    <t>812-0304312</t>
  </si>
  <si>
    <t>NRTA1044</t>
  </si>
  <si>
    <t>FAT DADDY'Z BAR &amp; GRILL</t>
  </si>
  <si>
    <t>MAR-KNAP INC.</t>
  </si>
  <si>
    <t>B130991414</t>
  </si>
  <si>
    <t>B131091585</t>
  </si>
  <si>
    <t>WN64AB120600422</t>
  </si>
  <si>
    <t>(815) 357-8700</t>
  </si>
  <si>
    <t>R &amp; R PUB</t>
  </si>
  <si>
    <t>R &amp; R PUB, LLC</t>
  </si>
  <si>
    <t>109 W COMANCHE ST</t>
  </si>
  <si>
    <t>SHABBONA</t>
  </si>
  <si>
    <t>B130584003</t>
  </si>
  <si>
    <t>812-0305952</t>
  </si>
  <si>
    <t>NRTA0485</t>
  </si>
  <si>
    <t>(815) 824-8469</t>
  </si>
  <si>
    <t>10/17/2013</t>
  </si>
  <si>
    <t>SHERIDAN TOBACCO &amp; SPIRITS</t>
  </si>
  <si>
    <t>SHERIDAN TOBACCO &amp; SPIRITS, LLC</t>
  </si>
  <si>
    <t>B131091606</t>
  </si>
  <si>
    <t>812-0403226</t>
  </si>
  <si>
    <t>NRTA1260</t>
  </si>
  <si>
    <t>(815) 496-3121</t>
  </si>
  <si>
    <t>HIGH HEELS SALOON</t>
  </si>
  <si>
    <t>HIGH HEELS DANCING CO</t>
  </si>
  <si>
    <t>B130583981</t>
  </si>
  <si>
    <t xml:space="preserve">812-0106268 </t>
  </si>
  <si>
    <t>NRTA1264</t>
  </si>
  <si>
    <t>(815) 498-4494</t>
  </si>
  <si>
    <t>BELLINO'S TAVERN INC</t>
  </si>
  <si>
    <t>122 SECOND ST</t>
  </si>
  <si>
    <t>STANDARD</t>
  </si>
  <si>
    <t>812-0304454</t>
  </si>
  <si>
    <t>NRTA0346</t>
  </si>
  <si>
    <t>(815) 339-6177</t>
  </si>
  <si>
    <t>8/1/2013</t>
  </si>
  <si>
    <t>MANNY'S PIZZA</t>
  </si>
  <si>
    <t>MANNY'S CANTINA, INC.</t>
  </si>
  <si>
    <t>B130173677</t>
  </si>
  <si>
    <t>812-0316147</t>
  </si>
  <si>
    <t>Daisha Boehm</t>
  </si>
  <si>
    <t>NRTA0870</t>
  </si>
  <si>
    <t>NORTHEND LIQUOR</t>
  </si>
  <si>
    <t>BOXCAR LIQUORS, INC.</t>
  </si>
  <si>
    <t>B130991410</t>
  </si>
  <si>
    <t>B130991428</t>
  </si>
  <si>
    <t>WN64AB120900831</t>
  </si>
  <si>
    <t>(815) 6262726</t>
  </si>
  <si>
    <t>12/17/2013</t>
  </si>
  <si>
    <t>PAONE'S BLACKHAWK LANES</t>
  </si>
  <si>
    <t>PAONE'S BLACKHAWK LANES, INC</t>
  </si>
  <si>
    <t>W2315740</t>
  </si>
  <si>
    <t xml:space="preserve">3300001225		</t>
  </si>
  <si>
    <t xml:space="preserve">3300001229		</t>
  </si>
  <si>
    <t>812-0304389</t>
  </si>
  <si>
    <t>NRTA0315</t>
  </si>
  <si>
    <t>(815) 625-0771</t>
  </si>
  <si>
    <t>THE PRECINCT</t>
  </si>
  <si>
    <t>THE PRECINCT, INC.</t>
  </si>
  <si>
    <t>B130991403</t>
  </si>
  <si>
    <t>B130991416</t>
  </si>
  <si>
    <t>WN64AB120800624</t>
  </si>
  <si>
    <t>(815) 622-4078</t>
  </si>
  <si>
    <t>WAGON WHEEL LOUNGE &amp; REST.</t>
  </si>
  <si>
    <t>RIC-N-BOAD INC</t>
  </si>
  <si>
    <t>B140197859</t>
  </si>
  <si>
    <t>812-0211787</t>
  </si>
  <si>
    <t>(815) 625-6680</t>
  </si>
  <si>
    <t>WN64AB120900758</t>
  </si>
  <si>
    <t>(815) 672-2300</t>
  </si>
  <si>
    <t>KICKBACK SALOON</t>
  </si>
  <si>
    <t>BONNIE ANDERSON</t>
  </si>
  <si>
    <t>B131194571</t>
  </si>
  <si>
    <t>812-0304434</t>
  </si>
  <si>
    <t>NRTA0316</t>
  </si>
  <si>
    <t>(815) 438-5555</t>
  </si>
  <si>
    <t>OLD TOWN PUB-N-GRUB</t>
  </si>
  <si>
    <t>OLD TOWN PUB-N-GRUB, LLC</t>
  </si>
  <si>
    <t>24 S MAIN ST</t>
  </si>
  <si>
    <t>B130584038</t>
  </si>
  <si>
    <t>W2303962</t>
  </si>
  <si>
    <t>812-0404155</t>
  </si>
  <si>
    <t>NRTA1270</t>
  </si>
  <si>
    <t>(815) 438-3233</t>
  </si>
  <si>
    <t>COUNTRYSIDE BAR &amp; GRILL</t>
  </si>
  <si>
    <t>LINDA L HESS</t>
  </si>
  <si>
    <t>TRIUMPH</t>
  </si>
  <si>
    <t>B130277608</t>
  </si>
  <si>
    <t>VR-1065</t>
  </si>
  <si>
    <t>812-0211783</t>
  </si>
  <si>
    <t>NRTA0138</t>
  </si>
  <si>
    <t>(815) 538-3010</t>
  </si>
  <si>
    <t>BROWNSTONE</t>
  </si>
  <si>
    <t>MIKE'S BROWNSTONE INC.</t>
  </si>
  <si>
    <t>108 E CHURCH ST</t>
  </si>
  <si>
    <t>W2225269</t>
  </si>
  <si>
    <t>W2235788</t>
  </si>
  <si>
    <t>812-0401160</t>
  </si>
  <si>
    <t>NRTA1209</t>
  </si>
  <si>
    <t>(815) 538-6000</t>
  </si>
  <si>
    <t>CELINE'S CITY LIMITS</t>
  </si>
  <si>
    <t>CELINE'S CITY LIMITS LTD.</t>
  </si>
  <si>
    <t>812-0401201</t>
  </si>
  <si>
    <t>(309) 463-2603</t>
  </si>
  <si>
    <t>KONZ RESTAURANT &amp; LOUNGE</t>
  </si>
  <si>
    <t>DANIEL KEVIN KONING</t>
  </si>
  <si>
    <t>B121169830</t>
  </si>
  <si>
    <t>812-0211520</t>
  </si>
  <si>
    <t>NRTA0154</t>
  </si>
  <si>
    <t>(815) 379-2533</t>
  </si>
  <si>
    <t>DOWNTOWN GRILL &amp; BAR</t>
  </si>
  <si>
    <t>EASCOTT INC.</t>
  </si>
  <si>
    <t>2512 JOHNSON  ST PO BOX 34</t>
  </si>
  <si>
    <t>B130991401</t>
  </si>
  <si>
    <t xml:space="preserve">812-0304295 </t>
  </si>
  <si>
    <t>NRTA0601</t>
  </si>
  <si>
    <t>(815) 628-3456</t>
  </si>
  <si>
    <t>FAMILY BEER &amp; LIQUOR STORE</t>
  </si>
  <si>
    <t>FAMILY BEER EAST INC.</t>
  </si>
  <si>
    <t>20200 US 20 WEST</t>
  </si>
  <si>
    <t>NORTHWEST (R &amp; J)</t>
  </si>
  <si>
    <t>W2225246</t>
  </si>
  <si>
    <t>W2225237</t>
  </si>
  <si>
    <t>812-0404092</t>
  </si>
  <si>
    <t>NRTA1202</t>
  </si>
  <si>
    <t>(815) 747-6335</t>
  </si>
  <si>
    <t>FINALLY R PLACE</t>
  </si>
  <si>
    <t>FINALLY R PLACE, INC.</t>
  </si>
  <si>
    <t>B130991393</t>
  </si>
  <si>
    <t xml:space="preserve">812-0305986 </t>
  </si>
  <si>
    <t>NRTA0580</t>
  </si>
  <si>
    <t>(815) 747-2991</t>
  </si>
  <si>
    <t>GEORGE &amp; DALES</t>
  </si>
  <si>
    <t>G AND D FOOD AND BREW INC</t>
  </si>
  <si>
    <t>B130583991</t>
  </si>
  <si>
    <t>812-0305805</t>
  </si>
  <si>
    <t>NRTA1254</t>
  </si>
  <si>
    <t>(815) 747-8810</t>
  </si>
  <si>
    <t>KAT'S MEOW</t>
  </si>
  <si>
    <t>KAT'S MEOW INC</t>
  </si>
  <si>
    <t>B131091599</t>
  </si>
  <si>
    <t>WN64AB120600415</t>
  </si>
  <si>
    <t>(815) 747-2113</t>
  </si>
  <si>
    <t>MULGREW'S TAVERN AND LIQUOR STORE</t>
  </si>
  <si>
    <t>MULGREW'S TAVERN AND LIQUOR STORE, INC</t>
  </si>
  <si>
    <t>W2324733</t>
  </si>
  <si>
    <t>W2313189</t>
  </si>
  <si>
    <t>WN64AB120600336</t>
  </si>
  <si>
    <t>(815) 747-3845</t>
  </si>
  <si>
    <t>SELDOM SCENE</t>
  </si>
  <si>
    <t>LINDA LOU THOMPSON</t>
  </si>
  <si>
    <t>B130583985</t>
  </si>
  <si>
    <t>WN64AB120500039</t>
  </si>
  <si>
    <t>(815) 747-8816</t>
  </si>
  <si>
    <t>THE OTHER SIDE</t>
  </si>
  <si>
    <t>ZACHEMMA, CORPORATION</t>
  </si>
  <si>
    <t>812-0304331</t>
  </si>
  <si>
    <t>NRTA0584</t>
  </si>
  <si>
    <t>(815) 747-6445</t>
  </si>
  <si>
    <t>VAN'S LIQUORS</t>
  </si>
  <si>
    <t>VAN'S LIQUOR STORE, INC.</t>
  </si>
  <si>
    <t>470 SINSINAWA AVE</t>
  </si>
  <si>
    <t>812-0304371</t>
  </si>
  <si>
    <t>NRTA0376</t>
  </si>
  <si>
    <t>(815) 747-3631</t>
  </si>
  <si>
    <t>JUG'S MAIN ST TAP</t>
  </si>
  <si>
    <t>J &amp; L WALTERS, INC</t>
  </si>
  <si>
    <t>B130584030</t>
  </si>
  <si>
    <t>W2324735</t>
  </si>
  <si>
    <t>WN64AB120600371</t>
  </si>
  <si>
    <t>(815) 858-3333</t>
  </si>
  <si>
    <t>SHARK'S ROADHOUSE</t>
  </si>
  <si>
    <t>SHARK'S ROADHOUSE INC</t>
  </si>
  <si>
    <t>1336 US HWY 20 WEST</t>
  </si>
  <si>
    <t>B130173502</t>
  </si>
  <si>
    <t>B130173511</t>
  </si>
  <si>
    <t>812-0211672</t>
  </si>
  <si>
    <t>(847) 875-7188</t>
  </si>
  <si>
    <t>MANNY'S TOO</t>
  </si>
  <si>
    <t>CASTRO ENTERPRISES INC</t>
  </si>
  <si>
    <t>B121169836</t>
  </si>
  <si>
    <t>812-0211539</t>
  </si>
  <si>
    <t>NRTA0158</t>
  </si>
  <si>
    <t>(815) 589-2520</t>
  </si>
  <si>
    <t>3/13/2013</t>
  </si>
  <si>
    <t>TRIPLE PLAY</t>
  </si>
  <si>
    <t>PETERNOCK, LLC</t>
  </si>
  <si>
    <t xml:space="preserve">B130275512	</t>
  </si>
  <si>
    <t xml:space="preserve">W2324734					</t>
  </si>
  <si>
    <t xml:space="preserve">3300001264		</t>
  </si>
  <si>
    <t xml:space="preserve">3300001265		</t>
  </si>
  <si>
    <t xml:space="preserve">WN64AB120600265 </t>
  </si>
  <si>
    <t>(815) 589-3215</t>
  </si>
  <si>
    <t>10/31/2012</t>
  </si>
  <si>
    <t>AYALAS MEXICAN AMERICAN STEAK HOUSE, INCORPORATED</t>
  </si>
  <si>
    <t>AYALAS MEXICAN AMERICAN STEAK HOUSE</t>
  </si>
  <si>
    <t>215 DIAGONAL ST</t>
  </si>
  <si>
    <t>B131091572</t>
  </si>
  <si>
    <t>812-0404168</t>
  </si>
  <si>
    <t>NRTA1287</t>
  </si>
  <si>
    <t>(815) 281-1826</t>
  </si>
  <si>
    <t>DILLONS HM INC</t>
  </si>
  <si>
    <t>DILLONS HM, INC.</t>
  </si>
  <si>
    <t>B130275461</t>
  </si>
  <si>
    <t>WN64AB120800578</t>
  </si>
  <si>
    <t>(815) 777-9141</t>
  </si>
  <si>
    <t>4/9/2014</t>
  </si>
  <si>
    <t>GOBBIE'S</t>
  </si>
  <si>
    <t>FRANZRIGO INC</t>
  </si>
  <si>
    <t>219 N MAIN STREET</t>
  </si>
  <si>
    <t>812-0211679</t>
  </si>
  <si>
    <t>NRTA0097</t>
  </si>
  <si>
    <t>(815) 777-0243</t>
  </si>
  <si>
    <t>PARADISE</t>
  </si>
  <si>
    <t>L P K P INCORPORATED</t>
  </si>
  <si>
    <t>B130275451</t>
  </si>
  <si>
    <t>WN64AB120800550</t>
  </si>
  <si>
    <t>(815) 777-3245</t>
  </si>
  <si>
    <t>THE WINE STUDIO OF GALENA, INC.</t>
  </si>
  <si>
    <t>209 S MAIN ST</t>
  </si>
  <si>
    <t xml:space="preserve">812-0401056 </t>
  </si>
  <si>
    <t>NRTA1127</t>
  </si>
  <si>
    <t>(815) 777-0207</t>
  </si>
  <si>
    <t>LEGEND'S PUB HOUSE &amp; GRILL</t>
  </si>
  <si>
    <t>S.C. NOTT INC</t>
  </si>
  <si>
    <t>106 E RAILROAD STREET</t>
  </si>
  <si>
    <t>B130275516</t>
  </si>
  <si>
    <t>B141118687</t>
  </si>
  <si>
    <t>812-0211715</t>
  </si>
  <si>
    <t>NRTA0199</t>
  </si>
  <si>
    <t>(815) 821-2437</t>
  </si>
  <si>
    <t>J.M.'S TAP</t>
  </si>
  <si>
    <t>7625 N MENOMINEE RD</t>
  </si>
  <si>
    <t>MENOMINEE</t>
  </si>
  <si>
    <t>W2304016</t>
  </si>
  <si>
    <t>812-0304368</t>
  </si>
  <si>
    <t>NRTA0337</t>
  </si>
  <si>
    <t>(815) 747-7730</t>
  </si>
  <si>
    <t>THE NORA BAR</t>
  </si>
  <si>
    <t>THE NORA BAR INC</t>
  </si>
  <si>
    <t>B121169831</t>
  </si>
  <si>
    <t>WN64AB120600462</t>
  </si>
  <si>
    <t>(815) 745-2504</t>
  </si>
  <si>
    <t>2/25/2013</t>
  </si>
  <si>
    <t>MANNY'S PIZZA &amp; SALOON</t>
  </si>
  <si>
    <t>MANNY'S INC</t>
  </si>
  <si>
    <t>B130277617</t>
  </si>
  <si>
    <t>812-0304263</t>
  </si>
  <si>
    <t>NRTA0357</t>
  </si>
  <si>
    <t>(815) 273-7555</t>
  </si>
  <si>
    <t>POOPY'S PUB N' GRUB</t>
  </si>
  <si>
    <t>POOPY'S 2 INC</t>
  </si>
  <si>
    <t>B131091612</t>
  </si>
  <si>
    <t>W2324736</t>
  </si>
  <si>
    <t>W2324737</t>
  </si>
  <si>
    <t>812-0211761</t>
  </si>
  <si>
    <t>(815) 273-7477</t>
  </si>
  <si>
    <t>SAVANNA LODGE NO 1095</t>
  </si>
  <si>
    <t>SAVANNA LODGE NO. 1095, LOYAL ORDER OF MOOSE</t>
  </si>
  <si>
    <t>B120862978</t>
  </si>
  <si>
    <t>B121068024</t>
  </si>
  <si>
    <t>812-0211517</t>
  </si>
  <si>
    <t>NRTA0124</t>
  </si>
  <si>
    <t>(815) 273-7412</t>
  </si>
  <si>
    <t>2/26/2013</t>
  </si>
  <si>
    <t>POP-A-TOPS AGAIN INC</t>
  </si>
  <si>
    <t>POP-A-TOPS AGAIN, INC.</t>
  </si>
  <si>
    <t>219 NORTH AVE</t>
  </si>
  <si>
    <t>SCALES MOUND</t>
  </si>
  <si>
    <t>B130174506</t>
  </si>
  <si>
    <t>W2303951</t>
  </si>
  <si>
    <t>WN64AB120600381</t>
  </si>
  <si>
    <t>(815) 845-2664</t>
  </si>
  <si>
    <t>STOCKTON TRAVEL CENTER</t>
  </si>
  <si>
    <t>601 E NORTH AVE</t>
  </si>
  <si>
    <t>B130583975</t>
  </si>
  <si>
    <t>WN64AB120800561</t>
  </si>
  <si>
    <t>(815) 947-2314</t>
  </si>
  <si>
    <t>THE RED KNIGHT</t>
  </si>
  <si>
    <t>SLATER'S INN, INC</t>
  </si>
  <si>
    <t>B130584025</t>
  </si>
  <si>
    <t>W2324731</t>
  </si>
  <si>
    <t>W2324732</t>
  </si>
  <si>
    <t>WN64AB120600296</t>
  </si>
  <si>
    <t>(815) 947-2591</t>
  </si>
  <si>
    <t>KYLES TAVERN</t>
  </si>
  <si>
    <t>RICKY MCGINNIS</t>
  </si>
  <si>
    <t>W2237249</t>
  </si>
  <si>
    <t>B131193248</t>
  </si>
  <si>
    <t>WN64AB120900671</t>
  </si>
  <si>
    <t>(815) 259-9100</t>
  </si>
  <si>
    <t>2/26/2014</t>
  </si>
  <si>
    <t>RIVERVIEW BAR &amp; GRILL</t>
  </si>
  <si>
    <t>DEBRA J. ALTENSEY</t>
  </si>
  <si>
    <t>B130991412</t>
  </si>
  <si>
    <t>812-0305956</t>
  </si>
  <si>
    <t>SANDBURR RUN</t>
  </si>
  <si>
    <t>SANDBURR RUN, LLC</t>
  </si>
  <si>
    <t>5020 IL RT 84</t>
  </si>
  <si>
    <t xml:space="preserve">812-0401088 </t>
  </si>
  <si>
    <t>NRTA1126</t>
  </si>
  <si>
    <t>(815) 902-6063</t>
  </si>
  <si>
    <t>THE STATION</t>
  </si>
  <si>
    <t>1865 ILLINOIS RTE 84</t>
  </si>
  <si>
    <t>812-0304447</t>
  </si>
  <si>
    <t>NRTA0326</t>
  </si>
  <si>
    <t>(815) 259-2705</t>
  </si>
  <si>
    <t>HIXSTERS BAR &amp; GRILL</t>
  </si>
  <si>
    <t>AARON B HICKS</t>
  </si>
  <si>
    <t>120 E MAIN STREET</t>
  </si>
  <si>
    <t>WARREN</t>
  </si>
  <si>
    <t>812-0302330</t>
  </si>
  <si>
    <t>NRTA0300</t>
  </si>
  <si>
    <t>(815) 745-2700</t>
  </si>
  <si>
    <t>7/23/2013</t>
  </si>
  <si>
    <t>7450 LOGAN AVE</t>
  </si>
  <si>
    <t>NORTHWEST (ROCKFORD)</t>
  </si>
  <si>
    <t>B131091582</t>
  </si>
  <si>
    <t>812-0404181</t>
  </si>
  <si>
    <t>NRTA1274</t>
  </si>
  <si>
    <t>(815) 547-8973</t>
  </si>
  <si>
    <t>CONCORDIA LANES</t>
  </si>
  <si>
    <t>GALLANO-CONCORDIA, LTD</t>
  </si>
  <si>
    <t>B131092132</t>
  </si>
  <si>
    <t>W2293369</t>
  </si>
  <si>
    <t>812-0304334</t>
  </si>
  <si>
    <t>(815) 544-3966</t>
  </si>
  <si>
    <t>DODGE LANES</t>
  </si>
  <si>
    <t>1940 N STATE ST</t>
  </si>
  <si>
    <t>B130277130</t>
  </si>
  <si>
    <t>W2324820</t>
  </si>
  <si>
    <t>812-0404170</t>
  </si>
  <si>
    <t>NRTA1280</t>
  </si>
  <si>
    <t>(815) 547-5363</t>
  </si>
  <si>
    <t>GRAMPA'S BACKSTOP BAR &amp; GRILL</t>
  </si>
  <si>
    <t>GRAMPA'S INC.</t>
  </si>
  <si>
    <t>B131091636</t>
  </si>
  <si>
    <t>812-0316159</t>
  </si>
  <si>
    <t>NRTA0792</t>
  </si>
  <si>
    <t>RED'S</t>
  </si>
  <si>
    <t>DAVID LEE SIPE SR.</t>
  </si>
  <si>
    <t>129 N STATE STREET</t>
  </si>
  <si>
    <t>B130584006</t>
  </si>
  <si>
    <t>WN64AB120600306</t>
  </si>
  <si>
    <t>(815) 544-6677</t>
  </si>
  <si>
    <t>LEOMBRUNI ITALIAN VILLAGE</t>
  </si>
  <si>
    <t>L.I.V., INC.</t>
  </si>
  <si>
    <t>B131194579</t>
  </si>
  <si>
    <t xml:space="preserve">812-0316212 </t>
  </si>
  <si>
    <t>NRTA0892</t>
  </si>
  <si>
    <t>(815) 234-2696</t>
  </si>
  <si>
    <t>UNION</t>
  </si>
  <si>
    <t>R &amp; L FALK INC</t>
  </si>
  <si>
    <t>109 W SECOND ST</t>
  </si>
  <si>
    <t>B130277334</t>
  </si>
  <si>
    <t>812-0106385</t>
  </si>
  <si>
    <t>NRTA0223</t>
  </si>
  <si>
    <t>(815) 973-0183</t>
  </si>
  <si>
    <t>NEWBURG VILLAGE GOLF CLUB</t>
  </si>
  <si>
    <t>NEWBURG VILLAGE GOLF INC</t>
  </si>
  <si>
    <t>B130277619</t>
  </si>
  <si>
    <t>812-0211805</t>
  </si>
  <si>
    <t>NRTA0122</t>
  </si>
  <si>
    <t>(815) 332-9002</t>
  </si>
  <si>
    <t>SALAMONES PIZZA</t>
  </si>
  <si>
    <t>SALAMONE'S RESTAURANT, INC.</t>
  </si>
  <si>
    <t>103 S CHERRY STREET</t>
  </si>
  <si>
    <t>B130584000</t>
  </si>
  <si>
    <t>812-0305846</t>
  </si>
  <si>
    <t>NRTA0476</t>
  </si>
  <si>
    <t>(815) 332-4111</t>
  </si>
  <si>
    <t>REF'S BAR &amp; GRILL</t>
  </si>
  <si>
    <t>REF'S BAR &amp; GRILL, INC</t>
  </si>
  <si>
    <t>B130583984</t>
  </si>
  <si>
    <t>812-0304362</t>
  </si>
  <si>
    <t>NRTA0322</t>
  </si>
  <si>
    <t>(815) 248-2991</t>
  </si>
  <si>
    <t>JOSH'S SALOON</t>
  </si>
  <si>
    <t>JOSH'S SALOON INCORPORATED</t>
  </si>
  <si>
    <t>212 1ST AVE PO BOX 48</t>
  </si>
  <si>
    <t>B131092130</t>
  </si>
  <si>
    <t>812-0211523</t>
  </si>
  <si>
    <t>NRTA0099</t>
  </si>
  <si>
    <t>(815) 938-2910</t>
  </si>
  <si>
    <t>AMIGOS RESTAURANT</t>
  </si>
  <si>
    <t>KATHLEEN K. QUIROZ</t>
  </si>
  <si>
    <t>B131091593</t>
  </si>
  <si>
    <t>812-0304310</t>
  </si>
  <si>
    <t>NRTA0665</t>
  </si>
  <si>
    <t>(815) 233-0503</t>
  </si>
  <si>
    <t>12/16/2013</t>
  </si>
  <si>
    <t>BENCHWARMERS SPORTS BAR &amp; GRILL</t>
  </si>
  <si>
    <t>BENCHWARMERS SPORTS BAR &amp; GRILL, INC.</t>
  </si>
  <si>
    <t>2143 GALENA AVE</t>
  </si>
  <si>
    <t>B130277473</t>
  </si>
  <si>
    <t>W2300429</t>
  </si>
  <si>
    <t>812-0302391</t>
  </si>
  <si>
    <t>NRTA1241</t>
  </si>
  <si>
    <t>CEDAR INN</t>
  </si>
  <si>
    <t>CEDAR INN, INC.</t>
  </si>
  <si>
    <t>4747 IL RT 26 N</t>
  </si>
  <si>
    <t>B130991405</t>
  </si>
  <si>
    <t>812-0318029</t>
  </si>
  <si>
    <t>NRTA1132</t>
  </si>
  <si>
    <t>(815) 563-4155</t>
  </si>
  <si>
    <t>CIMINO'S LITTLE ITALY</t>
  </si>
  <si>
    <t>CIMINO'S INC</t>
  </si>
  <si>
    <t>W2285433</t>
  </si>
  <si>
    <t>B131091661</t>
  </si>
  <si>
    <t>812-0205980</t>
  </si>
  <si>
    <t>NRTA0092</t>
  </si>
  <si>
    <t>(815) 235-8700</t>
  </si>
  <si>
    <t>LOGAN'S BAR &amp; GRILL</t>
  </si>
  <si>
    <t>LOGAN'S BAR &amp; GRILL, INC.</t>
  </si>
  <si>
    <t>B131091644</t>
  </si>
  <si>
    <t>W2285427</t>
  </si>
  <si>
    <t xml:space="preserve">812-0304416 </t>
  </si>
  <si>
    <t>(815) 232-4592</t>
  </si>
  <si>
    <t>MANNY'S PIZZA &amp; TACOS</t>
  </si>
  <si>
    <t>MANNY'S FOUR, INC.</t>
  </si>
  <si>
    <t>B130991417</t>
  </si>
  <si>
    <t>812-0304417</t>
  </si>
  <si>
    <t>NRTA0608</t>
  </si>
  <si>
    <t>(815) 232-7992</t>
  </si>
  <si>
    <t>12/13/2013</t>
  </si>
  <si>
    <t>MOOSE LODGE 162</t>
  </si>
  <si>
    <t>FREEPORT LODGE NO 162 LOYAL ORDER OF MOOSE</t>
  </si>
  <si>
    <t>B130277591</t>
  </si>
  <si>
    <t>B130277590</t>
  </si>
  <si>
    <t>812-0211727</t>
  </si>
  <si>
    <t>NRTA0201</t>
  </si>
  <si>
    <t>(815) 232-1516</t>
  </si>
  <si>
    <t>5/8/2013</t>
  </si>
  <si>
    <t>ROUTE 20 BAR &amp; GRILL</t>
  </si>
  <si>
    <t>ROUTE 20 BAR &amp; GRILL, INC.</t>
  </si>
  <si>
    <t>2015 AYP RD</t>
  </si>
  <si>
    <t>B140299494</t>
  </si>
  <si>
    <t>812-0318016</t>
  </si>
  <si>
    <t>NRTA1048</t>
  </si>
  <si>
    <t>(815) 233-0560</t>
  </si>
  <si>
    <t>ROYAL LIQUOR WEST &amp; ROYAL PUB</t>
  </si>
  <si>
    <t>ROYCO INC</t>
  </si>
  <si>
    <t>B121169832</t>
  </si>
  <si>
    <t>W2285428</t>
  </si>
  <si>
    <t>812-0211518</t>
  </si>
  <si>
    <t>NRTA0161</t>
  </si>
  <si>
    <t>(815) 297-8054</t>
  </si>
  <si>
    <t>SHAWNEE TAP</t>
  </si>
  <si>
    <t>EDWARD DOMINO</t>
  </si>
  <si>
    <t>B130275466</t>
  </si>
  <si>
    <t>B130275469</t>
  </si>
  <si>
    <t>812-0304453</t>
  </si>
  <si>
    <t>(815) 232-3735</t>
  </si>
  <si>
    <t>THIS IS IT EATERY</t>
  </si>
  <si>
    <t>THIS IS IT EATERY CO.</t>
  </si>
  <si>
    <t>16N CHICAGO AVE</t>
  </si>
  <si>
    <t>W2220757</t>
  </si>
  <si>
    <t>B130173542</t>
  </si>
  <si>
    <t>812-0404143</t>
  </si>
  <si>
    <t>NRTA1286</t>
  </si>
  <si>
    <t>(815) 266-9268</t>
  </si>
  <si>
    <t>TONY'S</t>
  </si>
  <si>
    <t>DOMINO LIQUORS, INC.</t>
  </si>
  <si>
    <t>B131091576</t>
  </si>
  <si>
    <t>812-0305940</t>
  </si>
  <si>
    <t>(815) 232-2778</t>
  </si>
  <si>
    <t>THE OAK CLUB GOLF COURSE</t>
  </si>
  <si>
    <t>THE OAK CLUB GOLF COURSE INC.</t>
  </si>
  <si>
    <t>W2212890</t>
  </si>
  <si>
    <t>812-0316228</t>
  </si>
  <si>
    <t>NRTA0902</t>
  </si>
  <si>
    <t>(815) 784-5678</t>
  </si>
  <si>
    <t>4/29/2014</t>
  </si>
  <si>
    <t>THE LOOSE SCREW</t>
  </si>
  <si>
    <t>THE LOOSE SCREW, INC</t>
  </si>
  <si>
    <t>B130275524</t>
  </si>
  <si>
    <t>W2324746</t>
  </si>
  <si>
    <t>812-0304268</t>
  </si>
  <si>
    <t>NRTA0324</t>
  </si>
  <si>
    <t>(815) 871-5065</t>
  </si>
  <si>
    <t>11/15/2012</t>
  </si>
  <si>
    <t>FRONT STREET TAP</t>
  </si>
  <si>
    <t>COW TIPPERS FRONT STREET TAP INC</t>
  </si>
  <si>
    <t>812-0211545</t>
  </si>
  <si>
    <t>NRTA0096</t>
  </si>
  <si>
    <t>(815) 943-3649</t>
  </si>
  <si>
    <t>HUB LOUNGE</t>
  </si>
  <si>
    <t>ERIC OTTO BREHM</t>
  </si>
  <si>
    <t>15 N AYER</t>
  </si>
  <si>
    <t xml:space="preserve">2115648      		</t>
  </si>
  <si>
    <t xml:space="preserve">3300001211		</t>
  </si>
  <si>
    <t xml:space="preserve">3300001212		</t>
  </si>
  <si>
    <t xml:space="preserve">B130277471 		</t>
  </si>
  <si>
    <t>812-0304436</t>
  </si>
  <si>
    <t>NRTA0318</t>
  </si>
  <si>
    <t>(815) 943-6544</t>
  </si>
  <si>
    <t>5/23/2013</t>
  </si>
  <si>
    <t>SOUTH SIDE</t>
  </si>
  <si>
    <t>EMIL ODLING</t>
  </si>
  <si>
    <t>111 S AYER STREET</t>
  </si>
  <si>
    <t>812-0302439</t>
  </si>
  <si>
    <t>NRTA0202</t>
  </si>
  <si>
    <t>POUR HOUSE PUB</t>
  </si>
  <si>
    <t>DAVID L SIPE INC</t>
  </si>
  <si>
    <t>103 W RAILROAD STREET</t>
  </si>
  <si>
    <t>KINGSTON</t>
  </si>
  <si>
    <t>W2244006</t>
  </si>
  <si>
    <t>WN64AB120900673</t>
  </si>
  <si>
    <t>(815) 784-5700</t>
  </si>
  <si>
    <t>LAKE CARROLL CLUBHOUSE</t>
  </si>
  <si>
    <t>LAKE CARROLL ASSOCIATION</t>
  </si>
  <si>
    <t>2911 IRONWOOD BLVD</t>
  </si>
  <si>
    <t>LANARK</t>
  </si>
  <si>
    <t>W2304007</t>
  </si>
  <si>
    <t>B121169887</t>
  </si>
  <si>
    <t>812-0401059</t>
  </si>
  <si>
    <t>NRTA1296</t>
  </si>
  <si>
    <t>(815) 493-2810</t>
  </si>
  <si>
    <t>LEAF RIVER INN</t>
  </si>
  <si>
    <t>LEAF RIVER INN L.L.C.</t>
  </si>
  <si>
    <t xml:space="preserve">812-0310355 </t>
  </si>
  <si>
    <t>NRTA0617</t>
  </si>
  <si>
    <t>RUMORS</t>
  </si>
  <si>
    <t>EMMERSOME, LLC</t>
  </si>
  <si>
    <t>114 N MAIN STREET</t>
  </si>
  <si>
    <t>B130277629</t>
  </si>
  <si>
    <t>812-0211690</t>
  </si>
  <si>
    <t>NRTA0177</t>
  </si>
  <si>
    <t>(815) 738-6116</t>
  </si>
  <si>
    <t>101 BILLIARDS, INC.</t>
  </si>
  <si>
    <t>812-0401181</t>
  </si>
  <si>
    <t>NRTA1229</t>
  </si>
  <si>
    <t>SPARE TIME LANES</t>
  </si>
  <si>
    <t>141 W RAILROAD ST</t>
  </si>
  <si>
    <t>W2285434</t>
  </si>
  <si>
    <t>812-0403235</t>
  </si>
  <si>
    <t>NRTA1292</t>
  </si>
  <si>
    <t>(815) 369-5433</t>
  </si>
  <si>
    <t>CLIFFORD E JOHNSON VFW 9759</t>
  </si>
  <si>
    <t>CLIFFORD E. JOHNSON V.F.W. POST NO 9759</t>
  </si>
  <si>
    <t>B130991398</t>
  </si>
  <si>
    <t>812-0304351</t>
  </si>
  <si>
    <t>NRTA0570</t>
  </si>
  <si>
    <t>(815) 654-2195</t>
  </si>
  <si>
    <t>MODEL A GAMING INC.</t>
  </si>
  <si>
    <t>5614 N 2ND ST</t>
  </si>
  <si>
    <t>B131193254</t>
  </si>
  <si>
    <t>W2303932</t>
  </si>
  <si>
    <t>812-0304335</t>
  </si>
  <si>
    <t>NRTA1245</t>
  </si>
  <si>
    <t>(815) 877-0378</t>
  </si>
  <si>
    <t>ROCK RIVER VALLEY BASEBALL LLC</t>
  </si>
  <si>
    <t>ROCK RIVER VALLEY BASEBALL, L.L.C.</t>
  </si>
  <si>
    <t>W2304011</t>
  </si>
  <si>
    <t>812-0317997</t>
  </si>
  <si>
    <t>NRTA0967</t>
  </si>
  <si>
    <t>(815) 885-2255</t>
  </si>
  <si>
    <t>VINCE'S DEPOT</t>
  </si>
  <si>
    <t>PARK VARIETY INC</t>
  </si>
  <si>
    <t>B130277600</t>
  </si>
  <si>
    <t>W2285763</t>
  </si>
  <si>
    <t>812-0211674</t>
  </si>
  <si>
    <t>(815) 633-1971</t>
  </si>
  <si>
    <t>4/22/2013</t>
  </si>
  <si>
    <t>VINCE'S DEPOT II</t>
  </si>
  <si>
    <t>PARK VARIETY, INC.</t>
  </si>
  <si>
    <t>B130991402</t>
  </si>
  <si>
    <t>812-0305978</t>
  </si>
  <si>
    <t>CRONIES GRILL</t>
  </si>
  <si>
    <t>ALTUR3 INC</t>
  </si>
  <si>
    <t>B131194594</t>
  </si>
  <si>
    <t>812-0401110</t>
  </si>
  <si>
    <t>NRTA1163</t>
  </si>
  <si>
    <t>(815) 282-2262</t>
  </si>
  <si>
    <t>CORNER CANTINA</t>
  </si>
  <si>
    <t>CORNER CANTINA INC</t>
  </si>
  <si>
    <t>228 S STATE ST</t>
  </si>
  <si>
    <t>4/14/2014</t>
  </si>
  <si>
    <t>HARLEY D'Z</t>
  </si>
  <si>
    <t>HARLEY D'Z INC</t>
  </si>
  <si>
    <t>812-0211537</t>
  </si>
  <si>
    <t>NRTA0064</t>
  </si>
  <si>
    <t>(815) 568-7854</t>
  </si>
  <si>
    <t>5/16/2013</t>
  </si>
  <si>
    <t>MISS KITTY'S SALOON</t>
  </si>
  <si>
    <t>DIANE L KUNDE</t>
  </si>
  <si>
    <t xml:space="preserve">3300001237		</t>
  </si>
  <si>
    <t xml:space="preserve">3300001232		</t>
  </si>
  <si>
    <t xml:space="preserve">2171931	</t>
  </si>
  <si>
    <t xml:space="preserve">B131194578	</t>
  </si>
  <si>
    <t>B130583964</t>
  </si>
  <si>
    <t>812-0302447</t>
  </si>
  <si>
    <t>NORTHSIDE TAP</t>
  </si>
  <si>
    <t>NORTHSIDE TAP, INC</t>
  </si>
  <si>
    <t xml:space="preserve">W2324738		</t>
  </si>
  <si>
    <t>B130173550</t>
  </si>
  <si>
    <t>812-0313677</t>
  </si>
  <si>
    <t>11/20/2012</t>
  </si>
  <si>
    <t>RRJ INDUSTRIES INC.</t>
  </si>
  <si>
    <t>7509 E GRANT HWY</t>
  </si>
  <si>
    <t>B131193279</t>
  </si>
  <si>
    <t>812-0316215</t>
  </si>
  <si>
    <t>NRTA0667</t>
  </si>
  <si>
    <t>(815) 923-4668</t>
  </si>
  <si>
    <t>SAMS TAVERN</t>
  </si>
  <si>
    <t>SAM'S TAVERN, L.L.C.</t>
  </si>
  <si>
    <t>B131091646</t>
  </si>
  <si>
    <t>812-0305847</t>
  </si>
  <si>
    <t>NRTA0583</t>
  </si>
  <si>
    <t>(815) 568-9884</t>
  </si>
  <si>
    <t>1/3/2014</t>
  </si>
  <si>
    <t>CIMINO PIZZA</t>
  </si>
  <si>
    <t>GIUSEPPE VENEZIA</t>
  </si>
  <si>
    <t>B130991406</t>
  </si>
  <si>
    <t>812-0305976</t>
  </si>
  <si>
    <t>NRTA0603</t>
  </si>
  <si>
    <t>(815) 734-6660</t>
  </si>
  <si>
    <t>MT MORRIS MOOSE LODGE #1551</t>
  </si>
  <si>
    <t>MT MORRIS MOOSE LODGE NO. 1551, LOYAL ORDER OF MOOSE</t>
  </si>
  <si>
    <t>B130583949</t>
  </si>
  <si>
    <t>812-0316180</t>
  </si>
  <si>
    <t>(815) 734-4161</t>
  </si>
  <si>
    <t>SHARKY'S SPORTS BAR</t>
  </si>
  <si>
    <t>SHARKY'S SPORTS BAR CORPORATION</t>
  </si>
  <si>
    <t>3 N WESLEY ST</t>
  </si>
  <si>
    <t>B130583994</t>
  </si>
  <si>
    <t>812-0305867</t>
  </si>
  <si>
    <t>(815) 734-6808</t>
  </si>
  <si>
    <t>THE PEPPER MILL</t>
  </si>
  <si>
    <t>RM &amp; NK, INC.</t>
  </si>
  <si>
    <t>10 E HITT ST</t>
  </si>
  <si>
    <t>B130275485</t>
  </si>
  <si>
    <t>812-0404123</t>
  </si>
  <si>
    <t>NRTA2505</t>
  </si>
  <si>
    <t>(815) 734-4141</t>
  </si>
  <si>
    <t>MAU'S HAUS</t>
  </si>
  <si>
    <t>MATT'S MAU HAUS LLC</t>
  </si>
  <si>
    <t xml:space="preserve">812-0401076 </t>
  </si>
  <si>
    <t>NRTA1129</t>
  </si>
  <si>
    <t>(815) 789-4695</t>
  </si>
  <si>
    <t>ALFANO'S RESTAURANT</t>
  </si>
  <si>
    <t>ALFANO'S RESTAURANT, LTD.</t>
  </si>
  <si>
    <t>801 S 4TH ST</t>
  </si>
  <si>
    <t>B130378797</t>
  </si>
  <si>
    <t>812-0404174</t>
  </si>
  <si>
    <t>NRTA2507</t>
  </si>
  <si>
    <t>(815) 732-2774</t>
  </si>
  <si>
    <t>BREAKERS SALOON &amp; EATERY</t>
  </si>
  <si>
    <t>BREAKERS SALOON &amp; EATERY INC</t>
  </si>
  <si>
    <t>W2246290</t>
  </si>
  <si>
    <t>812-0304386</t>
  </si>
  <si>
    <t>NRTA0348</t>
  </si>
  <si>
    <t>(815) 732-3319</t>
  </si>
  <si>
    <t>2/18/2013</t>
  </si>
  <si>
    <t>CHILE PEPPER CAFE</t>
  </si>
  <si>
    <t>CHILE PEPPER CAFE LTD</t>
  </si>
  <si>
    <t>812-0304376</t>
  </si>
  <si>
    <t>NRTA0350</t>
  </si>
  <si>
    <t>(815) 238-6701</t>
  </si>
  <si>
    <t>MESSIE'S BAR AND GRILL</t>
  </si>
  <si>
    <t>DANIELA INC</t>
  </si>
  <si>
    <t>B130173545</t>
  </si>
  <si>
    <t>812-0304414</t>
  </si>
  <si>
    <t>NRTA0358</t>
  </si>
  <si>
    <t>(815) 732-4645</t>
  </si>
  <si>
    <t>CIMINOS PIZZA</t>
  </si>
  <si>
    <t>CIMINOS III INC</t>
  </si>
  <si>
    <t>PECATONICA</t>
  </si>
  <si>
    <t>B130277602</t>
  </si>
  <si>
    <t>812-0211749</t>
  </si>
  <si>
    <t>NRTA0146</t>
  </si>
  <si>
    <t>(815) 239-1629</t>
  </si>
  <si>
    <t>HARVEST RESTAURANT</t>
  </si>
  <si>
    <t>AHRVT3 INC</t>
  </si>
  <si>
    <t>14449 W STATE ROAD</t>
  </si>
  <si>
    <t>B140299493</t>
  </si>
  <si>
    <t>812-0317936</t>
  </si>
  <si>
    <t>NRTA0885</t>
  </si>
  <si>
    <t>(815) 239-1119</t>
  </si>
  <si>
    <t>2/12/2013</t>
  </si>
  <si>
    <t>J &amp; D COUNTRYSIDE MARATHON</t>
  </si>
  <si>
    <t>J &amp; D OIL, INC.</t>
  </si>
  <si>
    <t>13615 STATE RT 76</t>
  </si>
  <si>
    <t>B131092140</t>
  </si>
  <si>
    <t>812-0317958</t>
  </si>
  <si>
    <t>FLOYD J TILTON POST 3878</t>
  </si>
  <si>
    <t>FLOYD J. TILTON POST 3878 VETERANS OF FOREIGN WARS OF THE UNITED STATES</t>
  </si>
  <si>
    <t>B131193272</t>
  </si>
  <si>
    <t xml:space="preserve">812-0313706 </t>
  </si>
  <si>
    <t>NRTA0730</t>
  </si>
  <si>
    <t>(815) 562-3878</t>
  </si>
  <si>
    <t>2/5/2014</t>
  </si>
  <si>
    <t>BIG FOOT BAR &amp; GRILL</t>
  </si>
  <si>
    <t>1609 S ALPINE ROAD</t>
  </si>
  <si>
    <t>B130583945</t>
  </si>
  <si>
    <t>812-0304410</t>
  </si>
  <si>
    <t>NRTA1263</t>
  </si>
  <si>
    <t>(815) 399-4600</t>
  </si>
  <si>
    <t>BOOMERS SPORTS BAR &amp; GRILL</t>
  </si>
  <si>
    <t>AEFC INC</t>
  </si>
  <si>
    <t>B130174490</t>
  </si>
  <si>
    <t>B130173767</t>
  </si>
  <si>
    <t>812-0106342</t>
  </si>
  <si>
    <t>NRTA0137</t>
  </si>
  <si>
    <t>(815) 505-4782</t>
  </si>
  <si>
    <t>CENTRAL PARK TAP</t>
  </si>
  <si>
    <t>CENTRAL PARK TAP, INC</t>
  </si>
  <si>
    <t>B130480912</t>
  </si>
  <si>
    <t>W2324744</t>
  </si>
  <si>
    <t>W2297691</t>
  </si>
  <si>
    <t>812-0211671</t>
  </si>
  <si>
    <t>(815) 965-8481</t>
  </si>
  <si>
    <t>10/30/2012</t>
  </si>
  <si>
    <t>CHIQUITA FOOD MARKET</t>
  </si>
  <si>
    <t>CHIQUITA FOOD MARKET, INC.</t>
  </si>
  <si>
    <t>B120863136</t>
  </si>
  <si>
    <t>WN64AB120800547</t>
  </si>
  <si>
    <t>(815) 720-5951</t>
  </si>
  <si>
    <t>4/8/2014</t>
  </si>
  <si>
    <t>DAVID'S CORNER</t>
  </si>
  <si>
    <t>DAVID SALEH</t>
  </si>
  <si>
    <t>702 SEVENTH ST</t>
  </si>
  <si>
    <t>B131193242</t>
  </si>
  <si>
    <t>W2237266</t>
  </si>
  <si>
    <t>812-0404086</t>
  </si>
  <si>
    <t>(815) 967-7550</t>
  </si>
  <si>
    <t>DELIA ITALIA &amp; STUDIO 5</t>
  </si>
  <si>
    <t>PASTA FOUR U, INC.</t>
  </si>
  <si>
    <t>B131092138</t>
  </si>
  <si>
    <t>812-0310352</t>
  </si>
  <si>
    <t>NRTA0709</t>
  </si>
  <si>
    <t>(815) 962-3356</t>
  </si>
  <si>
    <t>ELLIDA LODGE HOME</t>
  </si>
  <si>
    <t>ELLIDA LODGE HOME ASSOCIATION</t>
  </si>
  <si>
    <t>W2219815</t>
  </si>
  <si>
    <t>B131091653</t>
  </si>
  <si>
    <t xml:space="preserve">812-0316174 </t>
  </si>
  <si>
    <t>NRTA0766</t>
  </si>
  <si>
    <t>(815) 964-7311</t>
  </si>
  <si>
    <t>GENE'S PLACE</t>
  </si>
  <si>
    <t>GENE'S PLACE, INC</t>
  </si>
  <si>
    <t>4412 MANCHESTER DR UNIT F1</t>
  </si>
  <si>
    <t>B131194599</t>
  </si>
  <si>
    <t>W2294467</t>
  </si>
  <si>
    <t>812-0211790</t>
  </si>
  <si>
    <t>(815) 977-4365</t>
  </si>
  <si>
    <t>GOLDEN GIRLS</t>
  </si>
  <si>
    <t>GOLDEN GIRLS INC</t>
  </si>
  <si>
    <t>B131193281</t>
  </si>
  <si>
    <t>812-0106329</t>
  </si>
  <si>
    <t>NRTA0211</t>
  </si>
  <si>
    <t>(815) 962-6934</t>
  </si>
  <si>
    <t>HARMONY SINGING</t>
  </si>
  <si>
    <t>ROCKFORD HARMONY SINGING SOCIETY</t>
  </si>
  <si>
    <t>1104 15TH AVE</t>
  </si>
  <si>
    <t>B131091583</t>
  </si>
  <si>
    <t>B131091651</t>
  </si>
  <si>
    <t>812-0304302</t>
  </si>
  <si>
    <t>(815) 965-7833</t>
  </si>
  <si>
    <t>12/20/2013</t>
  </si>
  <si>
    <t>IMAGE</t>
  </si>
  <si>
    <t>MINZER INVESTMENTS INC</t>
  </si>
  <si>
    <t>B130277601</t>
  </si>
  <si>
    <t>W2293951</t>
  </si>
  <si>
    <t>812-0211676</t>
  </si>
  <si>
    <t>NRTA0151</t>
  </si>
  <si>
    <t>(815) 962-7643</t>
  </si>
  <si>
    <t>J-BEARS PLACE</t>
  </si>
  <si>
    <t>J-BEARS PLACE, INC.</t>
  </si>
  <si>
    <t>315 S MAIN ST</t>
  </si>
  <si>
    <t>B131091592</t>
  </si>
  <si>
    <t>W2239511</t>
  </si>
  <si>
    <t>812-0304401</t>
  </si>
  <si>
    <t>NRTA1227</t>
  </si>
  <si>
    <t>(815) 962-3963</t>
  </si>
  <si>
    <t>LATHAM TAP</t>
  </si>
  <si>
    <t>LATHAM TAP INC</t>
  </si>
  <si>
    <t>B130584039</t>
  </si>
  <si>
    <t>812-0302396</t>
  </si>
  <si>
    <t>NRTA0188</t>
  </si>
  <si>
    <t>(815) 965-4663</t>
  </si>
  <si>
    <t>LATHAM WEST BAR &amp; GRILL</t>
  </si>
  <si>
    <t>4213 W STATE STREET</t>
  </si>
  <si>
    <t>W2292079</t>
  </si>
  <si>
    <t>812-0106306</t>
  </si>
  <si>
    <t>NRTA0522</t>
  </si>
  <si>
    <t>(815) 962-5042</t>
  </si>
  <si>
    <t>2/5/2013</t>
  </si>
  <si>
    <t>MARY'S PLACE</t>
  </si>
  <si>
    <t>BAR ON MADISON, LTD</t>
  </si>
  <si>
    <t>812-0305833</t>
  </si>
  <si>
    <t>(815) 962-7944</t>
  </si>
  <si>
    <t>10/9/2012</t>
  </si>
  <si>
    <t>MR C'S FAMILY RESTAURANT</t>
  </si>
  <si>
    <t>ROCKFORD HOSPITALITY OF IL, INC.</t>
  </si>
  <si>
    <t>W2288845</t>
  </si>
  <si>
    <t>B131193276</t>
  </si>
  <si>
    <t>B120964611</t>
  </si>
  <si>
    <t>812-0317953</t>
  </si>
  <si>
    <t>NRTA0707</t>
  </si>
  <si>
    <t>MY PLACE BAR &amp; GRILL</t>
  </si>
  <si>
    <t>VENUS, INC</t>
  </si>
  <si>
    <t>B130275510</t>
  </si>
  <si>
    <t>W2324739</t>
  </si>
  <si>
    <t>W2313703</t>
  </si>
  <si>
    <t>812-0302386</t>
  </si>
  <si>
    <t>(815) 229-6096</t>
  </si>
  <si>
    <t>NORTH MAIN BARN</t>
  </si>
  <si>
    <t>NORTH MAIN BARN INC</t>
  </si>
  <si>
    <t>812-0106260</t>
  </si>
  <si>
    <t>NRTA0103</t>
  </si>
  <si>
    <t>(815) 965-8069</t>
  </si>
  <si>
    <t>ON THE ROCKS</t>
  </si>
  <si>
    <t>TRANSMETRO, INC</t>
  </si>
  <si>
    <t>B131091588</t>
  </si>
  <si>
    <t>812-0304397</t>
  </si>
  <si>
    <t>NRTA0611</t>
  </si>
  <si>
    <t>POLISH FALCONS CLUB OF AMERICA</t>
  </si>
  <si>
    <t>POLISH FALCONS OF AMERICA BRANCH NO 507</t>
  </si>
  <si>
    <t>B130275470</t>
  </si>
  <si>
    <t>812-0211548</t>
  </si>
  <si>
    <t>(815) 962-6511</t>
  </si>
  <si>
    <t>ROCK-A-BAGO HALL</t>
  </si>
  <si>
    <t>MINGIRL HALL INC.</t>
  </si>
  <si>
    <t>4303 W STATE ST</t>
  </si>
  <si>
    <t>B150222384</t>
  </si>
  <si>
    <t>B131091586</t>
  </si>
  <si>
    <t>W2207807</t>
  </si>
  <si>
    <t>812-0408326</t>
  </si>
  <si>
    <t>NRTA2502</t>
  </si>
  <si>
    <t>ROSS PEARSON VFW 5149</t>
  </si>
  <si>
    <t>ROSS-PEARSON POST NO. 5149, VETERANS OF FOREIGN WARS OF THE UNITED STATES</t>
  </si>
  <si>
    <t>B130378882</t>
  </si>
  <si>
    <t>812-0316196</t>
  </si>
  <si>
    <t>NRTA0825</t>
  </si>
  <si>
    <t>(815) 962-0267</t>
  </si>
  <si>
    <t>3/19/2014</t>
  </si>
  <si>
    <t>SOUTH MAIN MOBILE</t>
  </si>
  <si>
    <t>KELLEY WILLIAMSON COMPANY</t>
  </si>
  <si>
    <t>550 SOUTHROCK DRIVE</t>
  </si>
  <si>
    <t>B131193285</t>
  </si>
  <si>
    <t>812-0302460</t>
  </si>
  <si>
    <t>NRTA0254</t>
  </si>
  <si>
    <t>(815) 966-1351</t>
  </si>
  <si>
    <t>SVITHIOD CLUB OF ROCKFORD</t>
  </si>
  <si>
    <t>THE SVITHIOD CLUB OF ROCKFORD</t>
  </si>
  <si>
    <t>B130173535</t>
  </si>
  <si>
    <t xml:space="preserve">812-0316165 </t>
  </si>
  <si>
    <t>NRTA0822</t>
  </si>
  <si>
    <t>(815) 962-0513</t>
  </si>
  <si>
    <t>TEXAS LOUNGE</t>
  </si>
  <si>
    <t>CELENA QUINONEZ</t>
  </si>
  <si>
    <t>B131091574</t>
  </si>
  <si>
    <t xml:space="preserve">812-0304308 </t>
  </si>
  <si>
    <t>(815) 364-0163</t>
  </si>
  <si>
    <t>THE OLD STILL</t>
  </si>
  <si>
    <t>OLD STILL OF ROCKFORD, INC.</t>
  </si>
  <si>
    <t>2610 KILBURN AVE</t>
  </si>
  <si>
    <t>W2306747</t>
  </si>
  <si>
    <t>B130583999</t>
  </si>
  <si>
    <t>812-0305810</t>
  </si>
  <si>
    <t>(815) 968-5200</t>
  </si>
  <si>
    <t>10/10/2013</t>
  </si>
  <si>
    <t>THE TAVERN ON CLARK</t>
  </si>
  <si>
    <t>MENNS INC.</t>
  </si>
  <si>
    <t>755 CLARK RD</t>
  </si>
  <si>
    <t>812-0305853</t>
  </si>
  <si>
    <t>NRTA1226</t>
  </si>
  <si>
    <t>(815) 708-7088</t>
  </si>
  <si>
    <t>WHISKEY'S ROADHOUSE</t>
  </si>
  <si>
    <t>WHISKEY'S ROADHOUSE INC</t>
  </si>
  <si>
    <t>B141118689</t>
  </si>
  <si>
    <t>B130583993</t>
  </si>
  <si>
    <t>812-0106287</t>
  </si>
  <si>
    <t>NRTA0582</t>
  </si>
  <si>
    <t>(815) 877-8007</t>
  </si>
  <si>
    <t>WILD WILD WESTMORE LANES</t>
  </si>
  <si>
    <t>2407 N CENTRAL AVE</t>
  </si>
  <si>
    <t>W2285764</t>
  </si>
  <si>
    <t>B130583977</t>
  </si>
  <si>
    <t>812-0205983</t>
  </si>
  <si>
    <t>NRTA0424</t>
  </si>
  <si>
    <t>(815) 963-7210</t>
  </si>
  <si>
    <t>AMICI ITALIAN GRILL</t>
  </si>
  <si>
    <t>BUKA, INC.</t>
  </si>
  <si>
    <t>W2237239</t>
  </si>
  <si>
    <t>B131091650</t>
  </si>
  <si>
    <t xml:space="preserve">812-0304438 </t>
  </si>
  <si>
    <t>NRTA0602</t>
  </si>
  <si>
    <t>(815) 229-9800</t>
  </si>
  <si>
    <t>12/18/2013</t>
  </si>
  <si>
    <t>LUCKY 777'S SLOTS &amp; VIDEO POKER LOUNGE</t>
  </si>
  <si>
    <t>A.A.A. M &amp; V, INC.</t>
  </si>
  <si>
    <t>B131092126</t>
  </si>
  <si>
    <t>W2293375</t>
  </si>
  <si>
    <t>812-0310435</t>
  </si>
  <si>
    <t>NRTA0666</t>
  </si>
  <si>
    <t>1/28/2014</t>
  </si>
  <si>
    <t>LUCKY 777'S SLOTS &amp; VIDEO POKER LOUNGE II</t>
  </si>
  <si>
    <t>A.A.A.M &amp; V, INC.</t>
  </si>
  <si>
    <t>5257 SWANSON RD #4</t>
  </si>
  <si>
    <t>B131193259</t>
  </si>
  <si>
    <t>812-0401097</t>
  </si>
  <si>
    <t>NRTA1153</t>
  </si>
  <si>
    <t>SARANDY'S FOOD &amp; LIQUOR</t>
  </si>
  <si>
    <t>B130991423</t>
  </si>
  <si>
    <t>812-0401179</t>
  </si>
  <si>
    <t>SLOTS OF FORTUNE</t>
  </si>
  <si>
    <t>PIPITONE, INC.</t>
  </si>
  <si>
    <t>4745 BLUESTEM RD</t>
  </si>
  <si>
    <t>B131091611</t>
  </si>
  <si>
    <t>B141118700</t>
  </si>
  <si>
    <t xml:space="preserve">812-0211735 </t>
  </si>
  <si>
    <t>NRTA1116</t>
  </si>
  <si>
    <t>JE'ROD'S BAR &amp; GRILL</t>
  </si>
  <si>
    <t>KLEINDL HENRY INC</t>
  </si>
  <si>
    <t>B131194590</t>
  </si>
  <si>
    <t>812-0316200</t>
  </si>
  <si>
    <t>NRTA0891</t>
  </si>
  <si>
    <t>(815) 864-3440</t>
  </si>
  <si>
    <t>ANNA MARIA'S PIZZA</t>
  </si>
  <si>
    <t>BILARDELLO, INC.</t>
  </si>
  <si>
    <t>823 GARDNER ST</t>
  </si>
  <si>
    <t>B130583946</t>
  </si>
  <si>
    <t>812-0304267</t>
  </si>
  <si>
    <t>NRTA0401</t>
  </si>
  <si>
    <t>(815) 389-2645</t>
  </si>
  <si>
    <t>MUSTANG'S BAR &amp; GRILL</t>
  </si>
  <si>
    <t>MUAREMI, INC.</t>
  </si>
  <si>
    <t>482 GARDNER ST</t>
  </si>
  <si>
    <t>W2210410</t>
  </si>
  <si>
    <t>B130991425</t>
  </si>
  <si>
    <t>W2300435</t>
  </si>
  <si>
    <t>812-0401175</t>
  </si>
  <si>
    <t>NRTA1212</t>
  </si>
  <si>
    <t>779-475-0048</t>
  </si>
  <si>
    <t>LAROSA'S PIZZA &amp; PASTA</t>
  </si>
  <si>
    <t>B130583957</t>
  </si>
  <si>
    <t>W2237234</t>
  </si>
  <si>
    <t>812-0408321</t>
  </si>
  <si>
    <t>CORY'S PUB &amp; GRUB</t>
  </si>
  <si>
    <t>CORY'S PUB &amp; GRUB, INC.</t>
  </si>
  <si>
    <t>203 CARVER ST</t>
  </si>
  <si>
    <t>B130173546</t>
  </si>
  <si>
    <t>812-0211810</t>
  </si>
  <si>
    <t>NRTA1115</t>
  </si>
  <si>
    <t>(815) 367-3020</t>
  </si>
  <si>
    <t>ROMEO LOUNGE &amp; BAR</t>
  </si>
  <si>
    <t>ROMEO LOUNGE &amp; BAR INCORPORATED</t>
  </si>
  <si>
    <t>3793 ST CLAIR AVE</t>
  </si>
  <si>
    <t>WASHINGTON PARK</t>
  </si>
  <si>
    <t>SOUTH (???)</t>
  </si>
  <si>
    <t>W2241477</t>
  </si>
  <si>
    <t>WN64AB120600277</t>
  </si>
  <si>
    <t>CHOPS FAMILY INN</t>
  </si>
  <si>
    <t>CHOP'S FAMILY INN INC</t>
  </si>
  <si>
    <t>131 E MAIN</t>
  </si>
  <si>
    <t>SOUTH (ACTION EAST)</t>
  </si>
  <si>
    <t>B130275454</t>
  </si>
  <si>
    <t>B130275509</t>
  </si>
  <si>
    <t>WN64AB120500018</t>
  </si>
  <si>
    <t>Brenda Hug</t>
  </si>
  <si>
    <t>(618) 485-6080</t>
  </si>
  <si>
    <t>CHOPS FAMILY INN II</t>
  </si>
  <si>
    <t>117 NW RAILROAD ST</t>
  </si>
  <si>
    <t>B130275473</t>
  </si>
  <si>
    <t>B130275449</t>
  </si>
  <si>
    <t>WN64AB120600298</t>
  </si>
  <si>
    <t>(618) 485-6116</t>
  </si>
  <si>
    <t>LANTERN PUB</t>
  </si>
  <si>
    <t>D G &amp; L INCORPORATED</t>
  </si>
  <si>
    <t>B121169839</t>
  </si>
  <si>
    <t>B121170962</t>
  </si>
  <si>
    <t>812-0316138</t>
  </si>
  <si>
    <t>NRTA1024</t>
  </si>
  <si>
    <t>(618) 485-2342</t>
  </si>
  <si>
    <t>POPECK CONVENIENCE STORE</t>
  </si>
  <si>
    <t>J &amp; L BESTWAYS, INC</t>
  </si>
  <si>
    <t>B131193264</t>
  </si>
  <si>
    <t>WN64AB120500041</t>
  </si>
  <si>
    <t>HONDO'S SPORTS BAR &amp; GRILL</t>
  </si>
  <si>
    <t>HONDOS SPORTS BAR &amp; GRILL, INC.</t>
  </si>
  <si>
    <t>BARTELSO</t>
  </si>
  <si>
    <t>W2219722</t>
  </si>
  <si>
    <t>VR-1010</t>
  </si>
  <si>
    <t>WN64AB120500002</t>
  </si>
  <si>
    <t>Tammy Marbach</t>
  </si>
  <si>
    <t>(618) 765-2444</t>
  </si>
  <si>
    <t>3/11/2014</t>
  </si>
  <si>
    <t>BONEYARD BAR</t>
  </si>
  <si>
    <t>BRENDA DOXSIE</t>
  </si>
  <si>
    <t>621 S. WILSON</t>
  </si>
  <si>
    <t>B130583996</t>
  </si>
  <si>
    <t>812-0305788</t>
  </si>
  <si>
    <t>NRTA0458</t>
  </si>
  <si>
    <t>(618) 513-9955</t>
  </si>
  <si>
    <t>HOOT N HOLLER SALOON</t>
  </si>
  <si>
    <t>HOOT N HOLLER SALOON LLC</t>
  </si>
  <si>
    <t>B131091645</t>
  </si>
  <si>
    <t>B141118704</t>
  </si>
  <si>
    <t>812-0304387</t>
  </si>
  <si>
    <t>NRTA0631</t>
  </si>
  <si>
    <t>(618) 513-8025</t>
  </si>
  <si>
    <t>BLUFORD AMERICAN LEGION POST 1193</t>
  </si>
  <si>
    <t>B131091577</t>
  </si>
  <si>
    <t>B131091578</t>
  </si>
  <si>
    <t>812-0305832</t>
  </si>
  <si>
    <t>NRTA0644</t>
  </si>
  <si>
    <t>(618) 732-6258</t>
  </si>
  <si>
    <t>V &amp; H RECREATION</t>
  </si>
  <si>
    <t>V &amp; H RECREATION INC</t>
  </si>
  <si>
    <t>732 N 4TH</t>
  </si>
  <si>
    <t>BREESE</t>
  </si>
  <si>
    <t>B130172501</t>
  </si>
  <si>
    <t>B130172502</t>
  </si>
  <si>
    <t>812-0304264</t>
  </si>
  <si>
    <t>NRTA0551</t>
  </si>
  <si>
    <t>(618) 526-7881</t>
  </si>
  <si>
    <t>4/15/2013</t>
  </si>
  <si>
    <t>DOOKIE SET</t>
  </si>
  <si>
    <t>DOOKIE SET, INC.</t>
  </si>
  <si>
    <t>B130277483</t>
  </si>
  <si>
    <t>812-0211750</t>
  </si>
  <si>
    <t>NRTA0214</t>
  </si>
  <si>
    <t>FLAT BRANCH SALOON</t>
  </si>
  <si>
    <t>FLAT BRANCH SALOON LLC</t>
  </si>
  <si>
    <t>20727 STATE RT 127</t>
  </si>
  <si>
    <t xml:space="preserve">812-0401049 </t>
  </si>
  <si>
    <t>NRTA1176</t>
  </si>
  <si>
    <t>(618) 594-3528</t>
  </si>
  <si>
    <t>SIGNATURES BAR &amp; GRILL</t>
  </si>
  <si>
    <t>DUSTIN'S PLACE INC</t>
  </si>
  <si>
    <t>B130378878</t>
  </si>
  <si>
    <t>812-0316210</t>
  </si>
  <si>
    <t>Lori Rehg</t>
  </si>
  <si>
    <t>NRTA0895</t>
  </si>
  <si>
    <t>(618) 594-8020</t>
  </si>
  <si>
    <t>BEAR'S LIQUOR</t>
  </si>
  <si>
    <t>BEAR'S LIQUOR, INC.</t>
  </si>
  <si>
    <t>B130378820</t>
  </si>
  <si>
    <t>W2241795</t>
  </si>
  <si>
    <t>812-0305796</t>
  </si>
  <si>
    <t>NRTA0867</t>
  </si>
  <si>
    <t>CADDYSHACK</t>
  </si>
  <si>
    <t>DENNIS PETERSEN</t>
  </si>
  <si>
    <t>B131194587</t>
  </si>
  <si>
    <t>WN64AB120500031</t>
  </si>
  <si>
    <t>(618) 545-1090</t>
  </si>
  <si>
    <t>CENTRALIA LODGE #493</t>
  </si>
  <si>
    <t>CENTRALIA LODGE NO 493 BENEVOLENT AND PROTECTIVE ORDER OF ELKS</t>
  </si>
  <si>
    <t>235 N LOCUST</t>
  </si>
  <si>
    <t>812-0302354</t>
  </si>
  <si>
    <t>NRTA0306</t>
  </si>
  <si>
    <t>(618) 532-5751</t>
  </si>
  <si>
    <t>7/9/2013</t>
  </si>
  <si>
    <t>DOWNTOWN LOUNGE</t>
  </si>
  <si>
    <t>MARILYN'S DOWNTOWN LOUNGE INC</t>
  </si>
  <si>
    <t>235 S LOCUST</t>
  </si>
  <si>
    <t>812-0106326</t>
  </si>
  <si>
    <t>NRTA0185</t>
  </si>
  <si>
    <t>(618) 533-5099</t>
  </si>
  <si>
    <t>GAME TIME LOUNGE</t>
  </si>
  <si>
    <t>GAME TIME LOUNGE, INC.</t>
  </si>
  <si>
    <t>1206 N POPLAR ST</t>
  </si>
  <si>
    <t>B150222403</t>
  </si>
  <si>
    <t>812-0408294</t>
  </si>
  <si>
    <t>INDUSTRIAL TAVERN</t>
  </si>
  <si>
    <t>INDUSTRIAL TAVERN INC</t>
  </si>
  <si>
    <t>B130174485</t>
  </si>
  <si>
    <t>B130174486</t>
  </si>
  <si>
    <t>WN64AB120900714</t>
  </si>
  <si>
    <t>(618) 532-2800</t>
  </si>
  <si>
    <t>JERRY'S GRILL &amp; BAR</t>
  </si>
  <si>
    <t>JERRY'S GRILL AND BAR, INC,</t>
  </si>
  <si>
    <t>B130583972</t>
  </si>
  <si>
    <t xml:space="preserve">812-0305860 </t>
  </si>
  <si>
    <t>NRTA0646</t>
  </si>
  <si>
    <t>(618) 533-9197</t>
  </si>
  <si>
    <t>RANFORD CORPORATION</t>
  </si>
  <si>
    <t>500 N JAMES</t>
  </si>
  <si>
    <t>B130275452</t>
  </si>
  <si>
    <t>B130275453</t>
  </si>
  <si>
    <t>812-0211768</t>
  </si>
  <si>
    <t>NRTA0162</t>
  </si>
  <si>
    <t>(618) 533-4250</t>
  </si>
  <si>
    <t>SKIPPER INN</t>
  </si>
  <si>
    <t>SKIPPER INN INC</t>
  </si>
  <si>
    <t>824 S LOCUST ST</t>
  </si>
  <si>
    <t>812-0302298</t>
  </si>
  <si>
    <t>(618) 532-9150</t>
  </si>
  <si>
    <t>TED E BEARS CLUB</t>
  </si>
  <si>
    <t>TED MILLER</t>
  </si>
  <si>
    <t>B130275502</t>
  </si>
  <si>
    <t>B130275496</t>
  </si>
  <si>
    <t>812-0313717</t>
  </si>
  <si>
    <t>NRTA0923</t>
  </si>
  <si>
    <t>(618) 532-1193</t>
  </si>
  <si>
    <t>BERNASEK'S</t>
  </si>
  <si>
    <t>C JOSEPH ENTERPRISES, INC.</t>
  </si>
  <si>
    <t>501 E BUENA VISTA ST</t>
  </si>
  <si>
    <t>CHESTER</t>
  </si>
  <si>
    <t>B130583947</t>
  </si>
  <si>
    <t>VR-1035</t>
  </si>
  <si>
    <t>812-0313637</t>
  </si>
  <si>
    <t>NRTA0408</t>
  </si>
  <si>
    <t>(618) 826-3155</t>
  </si>
  <si>
    <t>WHITEHOUSE TAVERN</t>
  </si>
  <si>
    <t>WHITEHOUSE BUSINESS GROUP, INCORPORATED</t>
  </si>
  <si>
    <t>329 W BROADWAY</t>
  </si>
  <si>
    <t>DU BOIS</t>
  </si>
  <si>
    <t>B130378786</t>
  </si>
  <si>
    <t>812-0404087</t>
  </si>
  <si>
    <t>NRTA1290</t>
  </si>
  <si>
    <t>(618) 247-3121</t>
  </si>
  <si>
    <t>DU QUOIN EAGLES LODGE 779</t>
  </si>
  <si>
    <t>DU QUOIN AERIE #779 F.O. EAGLES</t>
  </si>
  <si>
    <t>24 WEST MAIN STREET</t>
  </si>
  <si>
    <t>B130480902</t>
  </si>
  <si>
    <t>812-0302467</t>
  </si>
  <si>
    <t>NRTA0497</t>
  </si>
  <si>
    <t>(618) 542-8404</t>
  </si>
  <si>
    <t>RANK &amp; FILE LOUNGE</t>
  </si>
  <si>
    <t>TOM BISHOP</t>
  </si>
  <si>
    <t>1341 SOUTH WASHINGTON STREET</t>
  </si>
  <si>
    <t>B130277340</t>
  </si>
  <si>
    <t>812-0401081</t>
  </si>
  <si>
    <t>NRTA1089</t>
  </si>
  <si>
    <t>(618) 542-6619</t>
  </si>
  <si>
    <t>9/19/2013</t>
  </si>
  <si>
    <t>S &amp; LB'S PLACE</t>
  </si>
  <si>
    <t>SLB CORPORATION</t>
  </si>
  <si>
    <t>29 W MAIN ST</t>
  </si>
  <si>
    <t>2167692</t>
  </si>
  <si>
    <t>W2243999</t>
  </si>
  <si>
    <t>B131091628</t>
  </si>
  <si>
    <t>2172438</t>
  </si>
  <si>
    <t>812-0401205</t>
  </si>
  <si>
    <t>120709589</t>
  </si>
  <si>
    <t>NRTA1248</t>
  </si>
  <si>
    <t>(618) 542-9001</t>
  </si>
  <si>
    <t>THE D.Q. CORNER POCKET</t>
  </si>
  <si>
    <t>THE D.Q. CORNER POCKET, INC.</t>
  </si>
  <si>
    <t>B131091624</t>
  </si>
  <si>
    <t>WN64AB120600408</t>
  </si>
  <si>
    <t>(618) 542-5655</t>
  </si>
  <si>
    <t>5/14/2014</t>
  </si>
  <si>
    <t>THE TAVERN</t>
  </si>
  <si>
    <t>G &amp; L GOLD, INC.</t>
  </si>
  <si>
    <t>17 W MAIN ST</t>
  </si>
  <si>
    <t>B141118708</t>
  </si>
  <si>
    <t>W2267988</t>
  </si>
  <si>
    <t>812-0401194</t>
  </si>
  <si>
    <t>NRTA1271</t>
  </si>
  <si>
    <t>(618) 315-0508</t>
  </si>
  <si>
    <t>RUSSELL OIL COMPANY #4</t>
  </si>
  <si>
    <t>RUSSELL OIL CO.</t>
  </si>
  <si>
    <t>1100 US HWY 45</t>
  </si>
  <si>
    <t>B130583953</t>
  </si>
  <si>
    <t>812-0401052</t>
  </si>
  <si>
    <t>NRTA1165</t>
  </si>
  <si>
    <t>ROC #5</t>
  </si>
  <si>
    <t>303 E POPLAR</t>
  </si>
  <si>
    <t>HARRISBURG</t>
  </si>
  <si>
    <t>812-0403209</t>
  </si>
  <si>
    <t>NRTA1233</t>
  </si>
  <si>
    <t>RUSSELL OIL COMPANY #8</t>
  </si>
  <si>
    <t>409 N COMMERCIAL ST</t>
  </si>
  <si>
    <t>812-0401064</t>
  </si>
  <si>
    <t>NRTA1161</t>
  </si>
  <si>
    <t>BAKER-LADD VFW POST #1567</t>
  </si>
  <si>
    <t>BAKER-LADD VFW POST 1567</t>
  </si>
  <si>
    <t>B130584031</t>
  </si>
  <si>
    <t xml:space="preserve">812-0304258 </t>
  </si>
  <si>
    <t>NRTA0498</t>
  </si>
  <si>
    <t>(618) 942-2678</t>
  </si>
  <si>
    <t>KRETZERS BAR AND GRILL</t>
  </si>
  <si>
    <t>KRETZ, INC.</t>
  </si>
  <si>
    <t>B131193266</t>
  </si>
  <si>
    <t>812-0313643</t>
  </si>
  <si>
    <t>NRTA0845</t>
  </si>
  <si>
    <t>(618) 493-6660</t>
  </si>
  <si>
    <t>3/24/2014</t>
  </si>
  <si>
    <t>JOHNSON CITY "ROC" #9</t>
  </si>
  <si>
    <t>1100 W BROADWAY</t>
  </si>
  <si>
    <t>JOHNSTON CITY</t>
  </si>
  <si>
    <t>B131193253</t>
  </si>
  <si>
    <t>W2235883</t>
  </si>
  <si>
    <t>812-0404091</t>
  </si>
  <si>
    <t>NRTA1234</t>
  </si>
  <si>
    <t>se</t>
  </si>
  <si>
    <t>KING TUTS</t>
  </si>
  <si>
    <t>KING TUTS LLC</t>
  </si>
  <si>
    <t>1754 RT 37</t>
  </si>
  <si>
    <t>MARION</t>
  </si>
  <si>
    <t>B130173532</t>
  </si>
  <si>
    <t>812-0211689</t>
  </si>
  <si>
    <t>NRTA0213</t>
  </si>
  <si>
    <t>(618) 995-1683</t>
  </si>
  <si>
    <t>4/26/2013</t>
  </si>
  <si>
    <t>JOHN STEELE AMERICAN LEGION POST 106W</t>
  </si>
  <si>
    <t>JOHN H. STELLE POST 106</t>
  </si>
  <si>
    <t>B131193245</t>
  </si>
  <si>
    <t xml:space="preserve">812-0304292 </t>
  </si>
  <si>
    <t>NRTA0903</t>
  </si>
  <si>
    <t>3/27/2014</t>
  </si>
  <si>
    <t>MCLEANSBORO ELKS LODGE 1882</t>
  </si>
  <si>
    <t>B.P.O.E. MCLEANSBORO LODGE NO. 1882</t>
  </si>
  <si>
    <t>B131091600</t>
  </si>
  <si>
    <t>812-0305872</t>
  </si>
  <si>
    <t>NRTA0577</t>
  </si>
  <si>
    <t>COLUMBUS CLUB OF MILLSTADT</t>
  </si>
  <si>
    <t>COLUMBUS CLUB OF MILLSTADT ILLINOIS, INC.</t>
  </si>
  <si>
    <t>MILLSTADT</t>
  </si>
  <si>
    <t>B131091618</t>
  </si>
  <si>
    <t>B131091620</t>
  </si>
  <si>
    <t>812-0305823</t>
  </si>
  <si>
    <t>NRTA0919</t>
  </si>
  <si>
    <t>(618) 476-1861</t>
  </si>
  <si>
    <t>B.P.O.E. #819</t>
  </si>
  <si>
    <t>MT. VERNON LODGE NO. 819, BENEVOLENT AND PROTECTIVE ORDER OF ELKS OF THE UNITED STATES OF AMERICA, INC.</t>
  </si>
  <si>
    <t>1107 JORDAN</t>
  </si>
  <si>
    <t>B130480905</t>
  </si>
  <si>
    <t>812-0302437</t>
  </si>
  <si>
    <t>NRTA0304</t>
  </si>
  <si>
    <t>(618) 244-4885</t>
  </si>
  <si>
    <t>6/17/2013</t>
  </si>
  <si>
    <t>FRATERNAL ORDER OF EAGLES #2791</t>
  </si>
  <si>
    <t>FOE AERIE #2791 INC</t>
  </si>
  <si>
    <t>901 PRAIRIE AVE</t>
  </si>
  <si>
    <t>B130174481</t>
  </si>
  <si>
    <t>B130174491</t>
  </si>
  <si>
    <t>WN64AB120600276</t>
  </si>
  <si>
    <t>(618) 244-1868</t>
  </si>
  <si>
    <t>5/17/2013</t>
  </si>
  <si>
    <t>HIDEOUT LOUNGE</t>
  </si>
  <si>
    <t>BETTY PATE</t>
  </si>
  <si>
    <t>B131194585</t>
  </si>
  <si>
    <t>B130277188</t>
  </si>
  <si>
    <t xml:space="preserve">2116269			</t>
  </si>
  <si>
    <t>WN64AB120600231</t>
  </si>
  <si>
    <t>(618) 244-5824</t>
  </si>
  <si>
    <t>JEFFERSON COUNTY AMVETS</t>
  </si>
  <si>
    <t>JEFFERSON COUNTY AMVETS, INC.</t>
  </si>
  <si>
    <t>102 S 17TH ST</t>
  </si>
  <si>
    <t>B130480914</t>
  </si>
  <si>
    <t>812-0302290</t>
  </si>
  <si>
    <t>NRTA0265</t>
  </si>
  <si>
    <t>(618) 244-1375</t>
  </si>
  <si>
    <t>LITTLE NASHVILLE</t>
  </si>
  <si>
    <t>LITTLE NASHVILLE INC</t>
  </si>
  <si>
    <t>B130277466</t>
  </si>
  <si>
    <t>W2293784</t>
  </si>
  <si>
    <t>812-0211803</t>
  </si>
  <si>
    <t>NRTA1207</t>
  </si>
  <si>
    <t>LN SHELL FOOD MART</t>
  </si>
  <si>
    <t>MAC DALES, LTD.</t>
  </si>
  <si>
    <t>11724 STATE RT 127</t>
  </si>
  <si>
    <t>B121169829</t>
  </si>
  <si>
    <t>812-0401253</t>
  </si>
  <si>
    <t>NRTA1208</t>
  </si>
  <si>
    <t>SOUTHSIDE SPORTS BAR</t>
  </si>
  <si>
    <t>JASON G INC</t>
  </si>
  <si>
    <t>B130480910</t>
  </si>
  <si>
    <t>812-0302448</t>
  </si>
  <si>
    <t>NRTA0305</t>
  </si>
  <si>
    <t>(618) 534-0441</t>
  </si>
  <si>
    <t>7/10/2013</t>
  </si>
  <si>
    <t>THE FUZZY DUCK</t>
  </si>
  <si>
    <t>B130277338</t>
  </si>
  <si>
    <t>812-0305873</t>
  </si>
  <si>
    <t>NRTA1200</t>
  </si>
  <si>
    <t>(618) 327-4373</t>
  </si>
  <si>
    <t>BUBBA'S PLACE</t>
  </si>
  <si>
    <t>FREDDIE &amp; JANET L. DENT</t>
  </si>
  <si>
    <t>B130277615</t>
  </si>
  <si>
    <t>B130275513</t>
  </si>
  <si>
    <t>WN64AB120900650</t>
  </si>
  <si>
    <t>(618) 279-7220</t>
  </si>
  <si>
    <t>MARGARITAS CANTINA</t>
  </si>
  <si>
    <t>GTZ ENTERPRISES, INC</t>
  </si>
  <si>
    <t>807 HANOVER ST</t>
  </si>
  <si>
    <t>B140299502</t>
  </si>
  <si>
    <t>812-0302433</t>
  </si>
  <si>
    <t>Rachael Moake</t>
  </si>
  <si>
    <t>NRTA1120</t>
  </si>
  <si>
    <t>(618) 588-3040</t>
  </si>
  <si>
    <t>FAST STOP/ PATOKA</t>
  </si>
  <si>
    <t>STOP-N-GO MART INC</t>
  </si>
  <si>
    <t>PATOKA</t>
  </si>
  <si>
    <t>B130275498</t>
  </si>
  <si>
    <t>B130275497</t>
  </si>
  <si>
    <t>812-0316144</t>
  </si>
  <si>
    <t>NRTA0984</t>
  </si>
  <si>
    <t>(618) 432-7105</t>
  </si>
  <si>
    <t>4/24/2013</t>
  </si>
  <si>
    <t>LOLLIE'S CAFE, LLC</t>
  </si>
  <si>
    <t>201 S MINTON DR</t>
  </si>
  <si>
    <t>PERCY</t>
  </si>
  <si>
    <t>B130480920</t>
  </si>
  <si>
    <t>B130275444</t>
  </si>
  <si>
    <t>812-0403215</t>
  </si>
  <si>
    <t>NRTA1276</t>
  </si>
  <si>
    <t>K OF C COLUMBIAN CLUB</t>
  </si>
  <si>
    <t>COLUMBIAN CLUB OF PINCKNEYVILLE</t>
  </si>
  <si>
    <t>312 N GORDON ST</t>
  </si>
  <si>
    <t>B121169844</t>
  </si>
  <si>
    <t>812-0304304</t>
  </si>
  <si>
    <t>NRTA1050</t>
  </si>
  <si>
    <t>(618) 357-6626</t>
  </si>
  <si>
    <t>TJ'S LIQUORS</t>
  </si>
  <si>
    <t>T J'S LIQUORS OF PERRY COUNTY, LTD</t>
  </si>
  <si>
    <t>B131193268</t>
  </si>
  <si>
    <t>812-0401159</t>
  </si>
  <si>
    <t>NRTA1250</t>
  </si>
  <si>
    <t>1/21/2014</t>
  </si>
  <si>
    <t>BPO ELKS #1678</t>
  </si>
  <si>
    <t>SALEM LODGE NO 1678 BENEVOLENT AND PROTECTIVE ORDER OF ELKS</t>
  </si>
  <si>
    <t>315 N BROADWAY</t>
  </si>
  <si>
    <t>SALEM</t>
  </si>
  <si>
    <t>B130174484</t>
  </si>
  <si>
    <t>WN64AB120600471</t>
  </si>
  <si>
    <t>NRTA1216</t>
  </si>
  <si>
    <t>(618) 548-0149</t>
  </si>
  <si>
    <t>6/5/2013</t>
  </si>
  <si>
    <t>THE SPIRIT SHOPPE</t>
  </si>
  <si>
    <t>BLAKEHINT, INC.</t>
  </si>
  <si>
    <t>1242 S BROADWAY AVE</t>
  </si>
  <si>
    <t>B130275476</t>
  </si>
  <si>
    <t xml:space="preserve">812-0316216 </t>
  </si>
  <si>
    <t>NRTA1046</t>
  </si>
  <si>
    <t>SCHELLER PLAYHOUSE</t>
  </si>
  <si>
    <t>SHIRLEY ANN NADOLSKI</t>
  </si>
  <si>
    <t>4409 N SCHELLER LN</t>
  </si>
  <si>
    <t>SCHELLER</t>
  </si>
  <si>
    <t>812-0302320</t>
  </si>
  <si>
    <t>NRTA0263</t>
  </si>
  <si>
    <t>DR'S BANK LOUNGE OF SESSER</t>
  </si>
  <si>
    <t>DR'S BANK LOUNGE OF SESSER INC</t>
  </si>
  <si>
    <t>101 W FRANKLIN</t>
  </si>
  <si>
    <t>B130277616</t>
  </si>
  <si>
    <t>W2304184</t>
  </si>
  <si>
    <t>WN64AB120900770</t>
  </si>
  <si>
    <t>(618) 625-6322</t>
  </si>
  <si>
    <t>IRON HORSE TAVERN</t>
  </si>
  <si>
    <t>ALICE COLONI</t>
  </si>
  <si>
    <t>B130275515</t>
  </si>
  <si>
    <t>B130275500</t>
  </si>
  <si>
    <t>812-0304294</t>
  </si>
  <si>
    <t>NRTA0661</t>
  </si>
  <si>
    <t>(618) 625-5310</t>
  </si>
  <si>
    <t>SCHMITTY'S BAR &amp; GRILL</t>
  </si>
  <si>
    <t>SCHMITT ENTERPRISES, INC.</t>
  </si>
  <si>
    <t>B130378819</t>
  </si>
  <si>
    <t>812-0401153</t>
  </si>
  <si>
    <t>NRTA1262</t>
  </si>
  <si>
    <t>SMITHON RESTAURANT</t>
  </si>
  <si>
    <t>LURAKE INC.</t>
  </si>
  <si>
    <t>812-0305826</t>
  </si>
  <si>
    <t>NRTA1172</t>
  </si>
  <si>
    <t>(618) 235-2131</t>
  </si>
  <si>
    <t>1775 N MARKET ST</t>
  </si>
  <si>
    <t>SPARTA</t>
  </si>
  <si>
    <t>W2220185</t>
  </si>
  <si>
    <t>2081845</t>
  </si>
  <si>
    <t>2086984</t>
  </si>
  <si>
    <t>B130275504</t>
  </si>
  <si>
    <t>812-0304300</t>
  </si>
  <si>
    <t>120710646</t>
  </si>
  <si>
    <t>(618) 443-3500</t>
  </si>
  <si>
    <t>PJS VIDEO GAMING CAFÉ</t>
  </si>
  <si>
    <t>PHDS, INC&gt;</t>
  </si>
  <si>
    <t>501 N SPARTA ST</t>
  </si>
  <si>
    <t>B131091573</t>
  </si>
  <si>
    <t>812-0401062</t>
  </si>
  <si>
    <t>NRTA1253</t>
  </si>
  <si>
    <t>LIVELY'S BAR, LLC</t>
  </si>
  <si>
    <t>239 N MAPLE ST</t>
  </si>
  <si>
    <t>WN64AB120600362</t>
  </si>
  <si>
    <t>(618) 496-3099</t>
  </si>
  <si>
    <t>AC PITSTOP</t>
  </si>
  <si>
    <t>AC PITSTOP INC</t>
  </si>
  <si>
    <t>B130275527</t>
  </si>
  <si>
    <t>WN64AB120900668</t>
  </si>
  <si>
    <t>(618) 533-1253</t>
  </si>
  <si>
    <t>2/1/2013</t>
  </si>
  <si>
    <t>PT'S IN THE HILL</t>
  </si>
  <si>
    <t>P.T. MESCHER &amp; ASSOCIATES, LLC.</t>
  </si>
  <si>
    <t>52 MAIN ST</t>
  </si>
  <si>
    <t>B131091659</t>
  </si>
  <si>
    <t>W2303969</t>
  </si>
  <si>
    <t>812-0401134</t>
  </si>
  <si>
    <t>NRTA1279</t>
  </si>
  <si>
    <t>(618) 339-7314</t>
  </si>
  <si>
    <t>BPO ELKS #1340</t>
  </si>
  <si>
    <t>THE WEST FRANKFORT LODGE #1340 BENEVOLENT AND PROTECTIVE ORDER</t>
  </si>
  <si>
    <t>128 W MAIN</t>
  </si>
  <si>
    <t>WEST FRANKFORT</t>
  </si>
  <si>
    <t>B130277470</t>
  </si>
  <si>
    <t>812-0106310</t>
  </si>
  <si>
    <t>NRTA0266</t>
  </si>
  <si>
    <t>(618) 937-1210</t>
  </si>
  <si>
    <t>MOOSE LODGE 795</t>
  </si>
  <si>
    <t>WEST FRANKFORT LODGE NO. 795, LOYAL ORDER OF MOOSE</t>
  </si>
  <si>
    <t>327 E MAIN ST</t>
  </si>
  <si>
    <t>W2246287</t>
  </si>
  <si>
    <t>B130480908</t>
  </si>
  <si>
    <t>812-0302291</t>
  </si>
  <si>
    <t>NRTA0310</t>
  </si>
  <si>
    <t>(618) 932-3465</t>
  </si>
  <si>
    <t>WEST FRANKFORT BOWL</t>
  </si>
  <si>
    <t>WEST FRANKFORT BOWL INC</t>
  </si>
  <si>
    <t>108 E POPLAR ST</t>
  </si>
  <si>
    <t>812-0302302</t>
  </si>
  <si>
    <t>NRTA0226</t>
  </si>
  <si>
    <t>(618) 937-9096</t>
  </si>
  <si>
    <t>5/30/2013</t>
  </si>
  <si>
    <t>WOODLAWN BAR</t>
  </si>
  <si>
    <t>DOUGLAS &amp; VICKIE WEBB</t>
  </si>
  <si>
    <t>5382 ST RT 15 WEST</t>
  </si>
  <si>
    <t>B130991424</t>
  </si>
  <si>
    <t>WN64AB120600245</t>
  </si>
  <si>
    <t>7/17/2013</t>
  </si>
  <si>
    <t>WOODLAWN SHELL</t>
  </si>
  <si>
    <t>LONGUST RETAIL INC.</t>
  </si>
  <si>
    <t>B130378876</t>
  </si>
  <si>
    <t>812-0302271</t>
  </si>
  <si>
    <t>EAGLE'S AERIE # 2444</t>
  </si>
  <si>
    <t>FRATERNAL ORDER OF EAGLES, AERIE 2444</t>
  </si>
  <si>
    <t>ZEIGLER</t>
  </si>
  <si>
    <t>B131194595</t>
  </si>
  <si>
    <t>812-0305931</t>
  </si>
  <si>
    <t>NRTA0460</t>
  </si>
  <si>
    <t>(618) 596-5651</t>
  </si>
  <si>
    <t>LEAGUE LOUNGE</t>
  </si>
  <si>
    <t>MITCH &amp; NANCY'S INC</t>
  </si>
  <si>
    <t>SOUTH (D &amp; S)</t>
  </si>
  <si>
    <t>B121169893</t>
  </si>
  <si>
    <t>B121169894</t>
  </si>
  <si>
    <t>WN64AB120900792</t>
  </si>
  <si>
    <t>(618) 233-9799</t>
  </si>
  <si>
    <t>FAYE INN</t>
  </si>
  <si>
    <t>FAYE INN INC</t>
  </si>
  <si>
    <t>B130275478</t>
  </si>
  <si>
    <t>812-0304259</t>
  </si>
  <si>
    <t>NRTA0505</t>
  </si>
  <si>
    <t>(618) 677-2060</t>
  </si>
  <si>
    <t>LUCKY JOE'S BAR AND GRILL</t>
  </si>
  <si>
    <t>LUCKY JOE'S CORNER BAR AND GRILL, LLC</t>
  </si>
  <si>
    <t>102 S RICHLAND</t>
  </si>
  <si>
    <t>B131091568</t>
  </si>
  <si>
    <t>812-0310404</t>
  </si>
  <si>
    <t>NRTA0647</t>
  </si>
  <si>
    <t>(618) 539-5208</t>
  </si>
  <si>
    <t>THE 539 BAR</t>
  </si>
  <si>
    <t>J-WERNLE LLC</t>
  </si>
  <si>
    <t>B130378911</t>
  </si>
  <si>
    <t>WN64AB120900796</t>
  </si>
  <si>
    <t>WOLF'S TAVERN</t>
  </si>
  <si>
    <t>WOLF'S TAVERN LLC</t>
  </si>
  <si>
    <t>400 S JOHNSON</t>
  </si>
  <si>
    <t>NEW ATHENS</t>
  </si>
  <si>
    <t>812-0302365</t>
  </si>
  <si>
    <t>NRTA0264</t>
  </si>
  <si>
    <t>(618) 475-3100</t>
  </si>
  <si>
    <t>THE HANGER</t>
  </si>
  <si>
    <t>STANBEAU, INC.</t>
  </si>
  <si>
    <t>2415 LEBANON AVE</t>
  </si>
  <si>
    <t>SHILOH</t>
  </si>
  <si>
    <t>B130583952</t>
  </si>
  <si>
    <t>812-0304383</t>
  </si>
  <si>
    <t>NRTA0422</t>
  </si>
  <si>
    <t>(618) 257-0775</t>
  </si>
  <si>
    <t>9/18/2013</t>
  </si>
  <si>
    <t>BIG DADDY'S DISCO DINER</t>
  </si>
  <si>
    <t>SMEEZ INC.</t>
  </si>
  <si>
    <t>313 E MAIN ST</t>
  </si>
  <si>
    <t>SOUTH (EQS)</t>
  </si>
  <si>
    <t>B130174499</t>
  </si>
  <si>
    <t>812-0106295</t>
  </si>
  <si>
    <t>NRTA0309</t>
  </si>
  <si>
    <t>(618) 257-0315</t>
  </si>
  <si>
    <t>6/18/2013</t>
  </si>
  <si>
    <t>CLUB ESCAPADE</t>
  </si>
  <si>
    <t>CLUB ESCAPADE INC.</t>
  </si>
  <si>
    <t>133 WEST MAIN</t>
  </si>
  <si>
    <t>B130174507</t>
  </si>
  <si>
    <t>B130174508</t>
  </si>
  <si>
    <t>B130174509</t>
  </si>
  <si>
    <t xml:space="preserve">812-0316158 </t>
  </si>
  <si>
    <t>NRTA0821</t>
  </si>
  <si>
    <t>(618) 222-9597</t>
  </si>
  <si>
    <t>12/21/2013</t>
  </si>
  <si>
    <t>MARGARITAS MEXICAN RESTAURANT</t>
  </si>
  <si>
    <t>MARGARITA MEXICAN RESTAURANT, INC.</t>
  </si>
  <si>
    <t>B131193247</t>
  </si>
  <si>
    <t>812-0313638</t>
  </si>
  <si>
    <t>NRTA0800</t>
  </si>
  <si>
    <t>(618) 222-7150</t>
  </si>
  <si>
    <t>BUTCH'S BAR &amp; GRILL</t>
  </si>
  <si>
    <t>BUTCH'S BAR &amp; GRILL, INC.</t>
  </si>
  <si>
    <t>B130173518</t>
  </si>
  <si>
    <t>WN64AB120600464</t>
  </si>
  <si>
    <t>(618) 337-6469</t>
  </si>
  <si>
    <t>4/3/2014</t>
  </si>
  <si>
    <t>CAHOKIA CLUB</t>
  </si>
  <si>
    <t>CAHOKIA CLUB, INC.</t>
  </si>
  <si>
    <t>B130584018</t>
  </si>
  <si>
    <t xml:space="preserve">812-0401251 </t>
  </si>
  <si>
    <t>NRTA1136</t>
  </si>
  <si>
    <t>(618) 337-1303</t>
  </si>
  <si>
    <t>CLASSIC K HAMBURGERS</t>
  </si>
  <si>
    <t>ERVON INCORPORATED</t>
  </si>
  <si>
    <t>812-0305919</t>
  </si>
  <si>
    <t>NRTA0550</t>
  </si>
  <si>
    <t>(618) 337-7777</t>
  </si>
  <si>
    <t>11/5/2013</t>
  </si>
  <si>
    <t>THE SOD BUSTERS</t>
  </si>
  <si>
    <t>VILLAGE OF CAHOKIA</t>
  </si>
  <si>
    <t>300 TRICENTENNIAL</t>
  </si>
  <si>
    <t>812-0401109</t>
  </si>
  <si>
    <t>(618) 332-6944</t>
  </si>
  <si>
    <t>CASEYVILLE MEM POST 1117 VFW</t>
  </si>
  <si>
    <t>CASEYVILLE MEMORIAL POST 1117 VETERANS OF FOREIGN WARS</t>
  </si>
  <si>
    <t>B130275511</t>
  </si>
  <si>
    <t>B130275508</t>
  </si>
  <si>
    <t>WN64AB120600440</t>
  </si>
  <si>
    <t>(618) 344-9878</t>
  </si>
  <si>
    <t>CASEYVILLE MOOSE</t>
  </si>
  <si>
    <t>CASEYVILLE LODGE NO 4 LOYAL ORDER OF MOOSE</t>
  </si>
  <si>
    <t>8550 BUNKUM RD</t>
  </si>
  <si>
    <t>812-0302469</t>
  </si>
  <si>
    <t>NRTA0308</t>
  </si>
  <si>
    <t>(618) 398-4477</t>
  </si>
  <si>
    <t>FULL MOON TAVERN</t>
  </si>
  <si>
    <t>SST ENTERPRISES INC.</t>
  </si>
  <si>
    <t>1050 S MAIN</t>
  </si>
  <si>
    <t>WN64AB120800581</t>
  </si>
  <si>
    <t>(618) 398-6666</t>
  </si>
  <si>
    <t>HUDDLE SPORTS BAR AND GRILL LIMITED</t>
  </si>
  <si>
    <t>B140299508</t>
  </si>
  <si>
    <t>812-0317948</t>
  </si>
  <si>
    <t>NRTA1026</t>
  </si>
  <si>
    <t>6/2/2014</t>
  </si>
  <si>
    <t>JACK'S PLACE</t>
  </si>
  <si>
    <t>TERRI BOVA</t>
  </si>
  <si>
    <t>B131091609</t>
  </si>
  <si>
    <t>B131091616</t>
  </si>
  <si>
    <t xml:space="preserve">812-0305868 </t>
  </si>
  <si>
    <t>NRTA0555</t>
  </si>
  <si>
    <t>(618) 345-6642</t>
  </si>
  <si>
    <t>11/27/2013</t>
  </si>
  <si>
    <t>CAMELOT BOWL</t>
  </si>
  <si>
    <t>FAIRMONT BOWL, INC.</t>
  </si>
  <si>
    <t>B120964620</t>
  </si>
  <si>
    <t xml:space="preserve">812-0211543 </t>
  </si>
  <si>
    <t>NRTA1130</t>
  </si>
  <si>
    <t>(618) 344-8610</t>
  </si>
  <si>
    <t>FIREMENS HALL</t>
  </si>
  <si>
    <t>MADISON COUNTY FIREMENS ASSOCIATION</t>
  </si>
  <si>
    <t>B130173539</t>
  </si>
  <si>
    <t>W2322035</t>
  </si>
  <si>
    <t>812-0211692</t>
  </si>
  <si>
    <t>NRTA0945</t>
  </si>
  <si>
    <t>(618) 345-5010</t>
  </si>
  <si>
    <t>HORSESHOE LOUNGE</t>
  </si>
  <si>
    <t>D.I.P. RESTAURANTS LLC</t>
  </si>
  <si>
    <t>410 SAINT LOUIS RD</t>
  </si>
  <si>
    <t>B130277195</t>
  </si>
  <si>
    <t>B131092553</t>
  </si>
  <si>
    <t>812-0404131</t>
  </si>
  <si>
    <t>NRTA1299</t>
  </si>
  <si>
    <t>(618) 345-9350</t>
  </si>
  <si>
    <t>HURRICANES BAR &amp; GRILL</t>
  </si>
  <si>
    <t>FLYIN' LION, LLC.</t>
  </si>
  <si>
    <t>222 W MAIN ST</t>
  </si>
  <si>
    <t>B130173527</t>
  </si>
  <si>
    <t>812-0313705</t>
  </si>
  <si>
    <t>(618) 345-0846</t>
  </si>
  <si>
    <t>2/14/2014</t>
  </si>
  <si>
    <t>MCDILL'S</t>
  </si>
  <si>
    <t>MCDILL INCORPORATED</t>
  </si>
  <si>
    <t>B131092128</t>
  </si>
  <si>
    <t>W2322047</t>
  </si>
  <si>
    <t xml:space="preserve">812-0313656 </t>
  </si>
  <si>
    <t>(618) 344-9875</t>
  </si>
  <si>
    <t>ZAPATA'S MEXICAN RESTAURANT</t>
  </si>
  <si>
    <t>B.C.L. ZAPATA, INC.</t>
  </si>
  <si>
    <t>B131193256</t>
  </si>
  <si>
    <t>812-0313687</t>
  </si>
  <si>
    <t>NRTA0729</t>
  </si>
  <si>
    <t>(618) 343-1337</t>
  </si>
  <si>
    <t>R &amp; L SPORTS BAR</t>
  </si>
  <si>
    <t>RAY HERRIN CORPORATION</t>
  </si>
  <si>
    <t>525 E ST LOUIS AVE</t>
  </si>
  <si>
    <t>EAST ALTON</t>
  </si>
  <si>
    <t>B130275455</t>
  </si>
  <si>
    <t>812-0304284</t>
  </si>
  <si>
    <t>NRTA0418</t>
  </si>
  <si>
    <t>(618) 251-5969</t>
  </si>
  <si>
    <t>8/16/2013</t>
  </si>
  <si>
    <t>PHILLIPS 66 -203 FOOD MART</t>
  </si>
  <si>
    <t>HIKS LLC</t>
  </si>
  <si>
    <t>B131193252</t>
  </si>
  <si>
    <t>812-0304306</t>
  </si>
  <si>
    <t>ELK'S LODGE #664</t>
  </si>
  <si>
    <t>FAIRVIEW HEIGHTS IL LODGE NO. 664, BENEVOLENT &amp; PROTECTIVE ORDER OF MOOSE</t>
  </si>
  <si>
    <t>B130277598</t>
  </si>
  <si>
    <t>812-0211798</t>
  </si>
  <si>
    <t>NRTA0210</t>
  </si>
  <si>
    <t>(618) 398-5363</t>
  </si>
  <si>
    <t>FAIRVIEW LOUNGE</t>
  </si>
  <si>
    <t>RAQQA, INC.</t>
  </si>
  <si>
    <t>10616 LINCOLN TRAIL</t>
  </si>
  <si>
    <t>W2244007</t>
  </si>
  <si>
    <t>B130174492</t>
  </si>
  <si>
    <t>812-0404145</t>
  </si>
  <si>
    <t>(618) 394-8904</t>
  </si>
  <si>
    <t>FORTEL'S PIZZA DEN</t>
  </si>
  <si>
    <t>SOUTHERN ILLINOIS RESTAURANT, LLC</t>
  </si>
  <si>
    <t>W2276138</t>
  </si>
  <si>
    <t>W2276136</t>
  </si>
  <si>
    <t>812-0401089</t>
  </si>
  <si>
    <t>NRTA1152</t>
  </si>
  <si>
    <t>(618) 688-1073</t>
  </si>
  <si>
    <t>EDDIE'S BAR &amp; GRILL</t>
  </si>
  <si>
    <t>J.W. DUNN, INC.</t>
  </si>
  <si>
    <t>2900 NAMEOKI RD</t>
  </si>
  <si>
    <t>2103614</t>
  </si>
  <si>
    <t>B141118694</t>
  </si>
  <si>
    <t>2103582</t>
  </si>
  <si>
    <t>B130583959</t>
  </si>
  <si>
    <t>812-0316173</t>
  </si>
  <si>
    <t>120706944</t>
  </si>
  <si>
    <t>NRTA1239</t>
  </si>
  <si>
    <t>(618) 452-4142</t>
  </si>
  <si>
    <t>ELKS 1063</t>
  </si>
  <si>
    <t>GRANITE CITY LODGE NO. 1063 OF THE BPOE OF THE USA</t>
  </si>
  <si>
    <t>B130583966</t>
  </si>
  <si>
    <t xml:space="preserve">812-0304286 </t>
  </si>
  <si>
    <t>NRTA0436</t>
  </si>
  <si>
    <t>(618) 931-3557</t>
  </si>
  <si>
    <t>9/17/2013</t>
  </si>
  <si>
    <t>JACOBSMEYER'S</t>
  </si>
  <si>
    <t>JACOB'S BAR INC</t>
  </si>
  <si>
    <t>B130277596</t>
  </si>
  <si>
    <t>812-0211691</t>
  </si>
  <si>
    <t>NRTA0152</t>
  </si>
  <si>
    <t>(618) 876-8219</t>
  </si>
  <si>
    <t>4/23/2013</t>
  </si>
  <si>
    <t>KOPP'S KORNER TOO</t>
  </si>
  <si>
    <t>KOPP'S KORNER, INC.</t>
  </si>
  <si>
    <t>B131193282</t>
  </si>
  <si>
    <t xml:space="preserve">812-0316223 </t>
  </si>
  <si>
    <t>Cheryl Rauschkolb</t>
  </si>
  <si>
    <t>NRTA0732</t>
  </si>
  <si>
    <t>(618) 798-9152</t>
  </si>
  <si>
    <t>2/13/2014</t>
  </si>
  <si>
    <t>MEXICAN HONORARY COMMISSION</t>
  </si>
  <si>
    <t>W2322033</t>
  </si>
  <si>
    <t>WN64AB120900844</t>
  </si>
  <si>
    <t>(618) 876-1688</t>
  </si>
  <si>
    <t>NICKS BAR &amp; GRILL</t>
  </si>
  <si>
    <t>NICKALLY CORPORATION</t>
  </si>
  <si>
    <t>B131091656</t>
  </si>
  <si>
    <t>W2292083</t>
  </si>
  <si>
    <t>812-0316178</t>
  </si>
  <si>
    <t>QUAD CITIES CHAPTER #53 DAV</t>
  </si>
  <si>
    <t>B130583962</t>
  </si>
  <si>
    <t>WN64AB120900772</t>
  </si>
  <si>
    <t>(618) 876-7816</t>
  </si>
  <si>
    <t>QUAD CITY AMVETS POST 51</t>
  </si>
  <si>
    <t>QUAD-CITY POST NO. 51 AMERICAN VETERANS OF WORLD WAR 11, AMVETS, DEPARTMENT OF ILLINOIS</t>
  </si>
  <si>
    <t>5100 LAKEVIEW DR</t>
  </si>
  <si>
    <t>B130480904</t>
  </si>
  <si>
    <t>WN64AB120900660</t>
  </si>
  <si>
    <t>(618) 931-3706</t>
  </si>
  <si>
    <t>T.J.'S PLACE INC.</t>
  </si>
  <si>
    <t>TJ'S PLACE INC</t>
  </si>
  <si>
    <t>B130275528</t>
  </si>
  <si>
    <t>B130275519</t>
  </si>
  <si>
    <t>WN64AB120600309</t>
  </si>
  <si>
    <t>(618) 876-4097</t>
  </si>
  <si>
    <t>R.J.'S PLACE</t>
  </si>
  <si>
    <t>R.J.'S PLACE INC.</t>
  </si>
  <si>
    <t>418 N DELMAR AVE</t>
  </si>
  <si>
    <t>B130584008</t>
  </si>
  <si>
    <t>812-0313693</t>
  </si>
  <si>
    <t>NRTA1122</t>
  </si>
  <si>
    <t>(618) 254-4639</t>
  </si>
  <si>
    <t>LOUIE'S PLACE</t>
  </si>
  <si>
    <t>2001 HILDEBRAND, INC.</t>
  </si>
  <si>
    <t>2001 HILDEBRAND</t>
  </si>
  <si>
    <t>W2304012</t>
  </si>
  <si>
    <t>2180496</t>
  </si>
  <si>
    <t>812-0404154</t>
  </si>
  <si>
    <t>130702953</t>
  </si>
  <si>
    <t>NRTA1238</t>
  </si>
  <si>
    <t>(618) 452-7855</t>
  </si>
  <si>
    <t>PERIGEN'S TAVERN</t>
  </si>
  <si>
    <t>PERIGEN'S TAVERN, INC</t>
  </si>
  <si>
    <t>B131091569</t>
  </si>
  <si>
    <t xml:space="preserve">812-0305831 </t>
  </si>
  <si>
    <t>NRTA0615</t>
  </si>
  <si>
    <t>(618) 876-9376</t>
  </si>
  <si>
    <t>POLISH HALL</t>
  </si>
  <si>
    <t>ST. STANISLAUS LODGE NO 1004</t>
  </si>
  <si>
    <t>B130378884</t>
  </si>
  <si>
    <t xml:space="preserve">812-0316214 </t>
  </si>
  <si>
    <t>NRTA0894</t>
  </si>
  <si>
    <t>(618) 876-9056</t>
  </si>
  <si>
    <t>4/17/2014</t>
  </si>
  <si>
    <t>MY BROTHERS PLACE</t>
  </si>
  <si>
    <t>117 E MARKET ST</t>
  </si>
  <si>
    <t>TROY</t>
  </si>
  <si>
    <t>B130583960</t>
  </si>
  <si>
    <t>812-0304451</t>
  </si>
  <si>
    <t>NRTA0440</t>
  </si>
  <si>
    <t>(618) 667-2076</t>
  </si>
  <si>
    <t>VENICE FOOD MART</t>
  </si>
  <si>
    <t>VENICE PROPERTIES INC.</t>
  </si>
  <si>
    <t>B131193277</t>
  </si>
  <si>
    <t>812-0313639</t>
  </si>
  <si>
    <t>NRTA0733</t>
  </si>
  <si>
    <t>ALTON TRUCK STOP</t>
  </si>
  <si>
    <t>ALTON TRUCK STOP LLC</t>
  </si>
  <si>
    <t>4200 COLLEGE AVE</t>
  </si>
  <si>
    <t>SOUTH (NORTH)</t>
  </si>
  <si>
    <t>B131091589</t>
  </si>
  <si>
    <t>812-0304358</t>
  </si>
  <si>
    <t>NRTA1131</t>
  </si>
  <si>
    <t>BRENDA'S BAR &amp; GRILL</t>
  </si>
  <si>
    <t>K &amp; D CORNERS INC</t>
  </si>
  <si>
    <t>2910 BROADWAY</t>
  </si>
  <si>
    <t>B121169890</t>
  </si>
  <si>
    <t>812-0211549</t>
  </si>
  <si>
    <t>3/8/2013</t>
  </si>
  <si>
    <t>CHUBBY'S BAR &amp; GRILLE</t>
  </si>
  <si>
    <t>THE WAREHOUSE BAR &amp; GRILLE LLC</t>
  </si>
  <si>
    <t>B130173528</t>
  </si>
  <si>
    <t>812-0316208</t>
  </si>
  <si>
    <t>(618) 462-8005</t>
  </si>
  <si>
    <t>D &amp; T WEDGE</t>
  </si>
  <si>
    <t>D&amp;T WEDGE INC.</t>
  </si>
  <si>
    <t>B131193270</t>
  </si>
  <si>
    <t>812-0317940</t>
  </si>
  <si>
    <t>NRTA0916</t>
  </si>
  <si>
    <t>(618) 467-0432</t>
  </si>
  <si>
    <t>DANNY'S LOUNGE</t>
  </si>
  <si>
    <t>WALLY'S PLACE INC.</t>
  </si>
  <si>
    <t>B140299492</t>
  </si>
  <si>
    <t>812-0313674</t>
  </si>
  <si>
    <t>NRTA0982</t>
  </si>
  <si>
    <t>(618) 462-6787</t>
  </si>
  <si>
    <t>HOLIDAY INN ALTON</t>
  </si>
  <si>
    <t>THE ALTON PARTNERSHIP</t>
  </si>
  <si>
    <t>3800 HOMER ADAMS PARKWAY</t>
  </si>
  <si>
    <t>812-0318009</t>
  </si>
  <si>
    <t>KOPP'S KORNER</t>
  </si>
  <si>
    <t>B131091654</t>
  </si>
  <si>
    <t>812-0316166</t>
  </si>
  <si>
    <t>NRTA0731</t>
  </si>
  <si>
    <t>(618) 465-9833</t>
  </si>
  <si>
    <t>NEW DJ'S BAR &amp; GRILL</t>
  </si>
  <si>
    <t>NEW DJ'S BAR &amp; GRILL INC</t>
  </si>
  <si>
    <t>2526 COLLEGE AVE</t>
  </si>
  <si>
    <t>B130275442</t>
  </si>
  <si>
    <t>W2295752</t>
  </si>
  <si>
    <t>WN64AB120600310</t>
  </si>
  <si>
    <t>(618) 402-0985</t>
  </si>
  <si>
    <t>4/12/2013</t>
  </si>
  <si>
    <t>THE OLD FILL-INN STATION INC</t>
  </si>
  <si>
    <t>THE OLD FILL - INN STATION INC</t>
  </si>
  <si>
    <t>B130583998</t>
  </si>
  <si>
    <t>WN64AB120800575</t>
  </si>
  <si>
    <t>(618) 396-0466</t>
  </si>
  <si>
    <t>KONIAK'S</t>
  </si>
  <si>
    <t>RANDY KONIAK</t>
  </si>
  <si>
    <t>200 N 6TH</t>
  </si>
  <si>
    <t>B130480909</t>
  </si>
  <si>
    <t>812-0302377</t>
  </si>
  <si>
    <t>NRTA0258</t>
  </si>
  <si>
    <t>(217) 835-4767</t>
  </si>
  <si>
    <t>6/20/2013</t>
  </si>
  <si>
    <t>THE CABIN</t>
  </si>
  <si>
    <t>JANIE'S TIME OUT LOUNGE INC</t>
  </si>
  <si>
    <t>B130174482</t>
  </si>
  <si>
    <t>812-0106341</t>
  </si>
  <si>
    <t>NRTA0221</t>
  </si>
  <si>
    <t>(217) 835-2494</t>
  </si>
  <si>
    <t>5/28/2013</t>
  </si>
  <si>
    <t>BUNKHOUSE</t>
  </si>
  <si>
    <t>BCARTER ENTERPRISES, INC.</t>
  </si>
  <si>
    <t>B131091648</t>
  </si>
  <si>
    <t>B130277333</t>
  </si>
  <si>
    <t>WN64AB120500056</t>
  </si>
  <si>
    <t>(618) 558-4531</t>
  </si>
  <si>
    <t>GEARS AND BEERS</t>
  </si>
  <si>
    <t>THE POUR HOUSE OF BUNKER HILL, INC.</t>
  </si>
  <si>
    <t>101 N WASHINGTON</t>
  </si>
  <si>
    <t>B131091623</t>
  </si>
  <si>
    <t>W2300469</t>
  </si>
  <si>
    <t>812-0317976</t>
  </si>
  <si>
    <t>NRTA1266</t>
  </si>
  <si>
    <t>MARCO'S PIZZA PUB</t>
  </si>
  <si>
    <t>129 WARREN, INC.</t>
  </si>
  <si>
    <t>129 E WARREN</t>
  </si>
  <si>
    <t>B130173676</t>
  </si>
  <si>
    <t>W2303987</t>
  </si>
  <si>
    <t>W2300443</t>
  </si>
  <si>
    <t>812-0403217</t>
  </si>
  <si>
    <t>NRTA1267</t>
  </si>
  <si>
    <t>(618) 210-6254</t>
  </si>
  <si>
    <t>FULL THROTTLE THURSDAY'S</t>
  </si>
  <si>
    <t>FULL THROTTLE THURSDAY'S INC.</t>
  </si>
  <si>
    <t>812-0317935</t>
  </si>
  <si>
    <t>NRTA1052</t>
  </si>
  <si>
    <t>(217) 854-9554</t>
  </si>
  <si>
    <t>GOETTENS OASIS</t>
  </si>
  <si>
    <t>JONATHAN A GOETTEN</t>
  </si>
  <si>
    <t>RR 3 BOX 31</t>
  </si>
  <si>
    <t>2117426</t>
  </si>
  <si>
    <t>W2304001</t>
  </si>
  <si>
    <t>2117594</t>
  </si>
  <si>
    <t>W2210393</t>
  </si>
  <si>
    <t>812-0317982</t>
  </si>
  <si>
    <t>120709780</t>
  </si>
  <si>
    <t>NRTA1240</t>
  </si>
  <si>
    <t>(217) 942-3713</t>
  </si>
  <si>
    <t>LONE OAK GOLF COURSE, INC.</t>
  </si>
  <si>
    <t>LONE OAK GOLF COURSE</t>
  </si>
  <si>
    <t>RR1 BOX 23</t>
  </si>
  <si>
    <t>812-0401256</t>
  </si>
  <si>
    <t>(217) 942-6166</t>
  </si>
  <si>
    <t>DUKE &amp; JOANIES SALOON</t>
  </si>
  <si>
    <t>GARRETT SHORES</t>
  </si>
  <si>
    <t>812-0401065</t>
  </si>
  <si>
    <t>NRTA1117</t>
  </si>
  <si>
    <t>(217) 458-2821</t>
  </si>
  <si>
    <t>DOC HOLIDAY'S SALOON &amp; EATERY</t>
  </si>
  <si>
    <t>308 MACARTHUR, INC.</t>
  </si>
  <si>
    <t>308 W. MACARTHUR</t>
  </si>
  <si>
    <t>COTTAGE HILLS</t>
  </si>
  <si>
    <t>2082940</t>
  </si>
  <si>
    <t>W2210411</t>
  </si>
  <si>
    <t>B130275526</t>
  </si>
  <si>
    <t>2096133</t>
  </si>
  <si>
    <t>812-0304439</t>
  </si>
  <si>
    <t>120702279</t>
  </si>
  <si>
    <t>(618) 258-7575</t>
  </si>
  <si>
    <t>SCHLEMER'S III</t>
  </si>
  <si>
    <t>MIKE SCHLEMER, INC.</t>
  </si>
  <si>
    <t>109 W MACARTHUR</t>
  </si>
  <si>
    <t>B130480911</t>
  </si>
  <si>
    <t>812-0302350</t>
  </si>
  <si>
    <t>(618) 258-1404</t>
  </si>
  <si>
    <t>DON'S NO MAN'S LAND</t>
  </si>
  <si>
    <t>DON'S NO MAN'S LAND INC</t>
  </si>
  <si>
    <t>610 E ST LOUIS AVE</t>
  </si>
  <si>
    <t>B140299503</t>
  </si>
  <si>
    <t>W2322059</t>
  </si>
  <si>
    <t>812-0317934</t>
  </si>
  <si>
    <t>(618) 254-0020</t>
  </si>
  <si>
    <t>1/24/2013</t>
  </si>
  <si>
    <t>MAGNUM'S</t>
  </si>
  <si>
    <t>S V VENTURES INC.</t>
  </si>
  <si>
    <t>407 E MAIN ST</t>
  </si>
  <si>
    <t>2103634</t>
  </si>
  <si>
    <t>B131091571</t>
  </si>
  <si>
    <t>W2304195</t>
  </si>
  <si>
    <t>2103831</t>
  </si>
  <si>
    <t>812-0305864</t>
  </si>
  <si>
    <t>120707991</t>
  </si>
  <si>
    <t>NRTA1237</t>
  </si>
  <si>
    <t>(618) 259-3794</t>
  </si>
  <si>
    <t>THE AIRLINER BAR &amp; GRILL</t>
  </si>
  <si>
    <t>RICHARD E TITE</t>
  </si>
  <si>
    <t>B130277595</t>
  </si>
  <si>
    <t>B130277593</t>
  </si>
  <si>
    <t>812-0205962</t>
  </si>
  <si>
    <t>NRTA0307</t>
  </si>
  <si>
    <t>(618) 259-7417</t>
  </si>
  <si>
    <t>THE LOCKER ROOM</t>
  </si>
  <si>
    <t>TRI-CITY B &amp; J INC</t>
  </si>
  <si>
    <t>317 E ST LOUIS AVE</t>
  </si>
  <si>
    <t>B130173530</t>
  </si>
  <si>
    <t>812-0211812</t>
  </si>
  <si>
    <t>NRTA0222</t>
  </si>
  <si>
    <t>(618) 258-0144</t>
  </si>
  <si>
    <t>THE WORKPLACE PUB</t>
  </si>
  <si>
    <t>THE WORKPLACE PUB INC.</t>
  </si>
  <si>
    <t>605 LITCHFIELD RD</t>
  </si>
  <si>
    <t>EAST GILLESPIE</t>
  </si>
  <si>
    <t>B130583963</t>
  </si>
  <si>
    <t>812-0407998</t>
  </si>
  <si>
    <t>(217) 839-1550</t>
  </si>
  <si>
    <t>9/20/2013</t>
  </si>
  <si>
    <t>EFFINGHAM CHROME SHOP</t>
  </si>
  <si>
    <t>EFFINGHAM CHROME SHOP, INC.</t>
  </si>
  <si>
    <t>1808 W FAYETTE ST</t>
  </si>
  <si>
    <t>EFFINGHAM</t>
  </si>
  <si>
    <t>B141118706</t>
  </si>
  <si>
    <t>812-0404115</t>
  </si>
  <si>
    <t>BAWANA'S</t>
  </si>
  <si>
    <t>STEPHEN FRANKLIN WILSON</t>
  </si>
  <si>
    <t>20861 STATE HWY 100 N</t>
  </si>
  <si>
    <t>B130378877</t>
  </si>
  <si>
    <t>812-0317932</t>
  </si>
  <si>
    <t>(618) 535-9962</t>
  </si>
  <si>
    <t>POUR HOUSE</t>
  </si>
  <si>
    <t>TINA M. MADSON</t>
  </si>
  <si>
    <t>B130991422</t>
  </si>
  <si>
    <t>WN64AB120800592</t>
  </si>
  <si>
    <t>CHIEFS II</t>
  </si>
  <si>
    <t>WHITLOCK CHIEFS INC</t>
  </si>
  <si>
    <t>WN64AB120900839</t>
  </si>
  <si>
    <t>(217) 324-3152</t>
  </si>
  <si>
    <t>2/6/2013</t>
  </si>
  <si>
    <t>LUMPY'S</t>
  </si>
  <si>
    <t>DAVID ALLEN LINK SR.</t>
  </si>
  <si>
    <t>208 S MACOUPIN ST</t>
  </si>
  <si>
    <t>B130277307</t>
  </si>
  <si>
    <t>812-0401123</t>
  </si>
  <si>
    <t>NRTA1268</t>
  </si>
  <si>
    <t>(217) 502-3436</t>
  </si>
  <si>
    <t>VFW KENNETH POST 4547</t>
  </si>
  <si>
    <t>KENNETH E DONALDSON POST 4547 VETERANS OF FOREIGN WARS OF THE UNITED STATES</t>
  </si>
  <si>
    <t>111 W SPRUCE ST</t>
  </si>
  <si>
    <t>B130173765</t>
  </si>
  <si>
    <t>WN64AB120800586</t>
  </si>
  <si>
    <t>(217) 839-2753</t>
  </si>
  <si>
    <t>6/4/2013</t>
  </si>
  <si>
    <t>ALTON MOTOR BOAT CLUB</t>
  </si>
  <si>
    <t>ALTON MOTORBOAT CLUB</t>
  </si>
  <si>
    <t>B131092549</t>
  </si>
  <si>
    <t>812-0317990</t>
  </si>
  <si>
    <t>NRTA1025</t>
  </si>
  <si>
    <t>(618) 466-2142</t>
  </si>
  <si>
    <t>6/3/2014</t>
  </si>
  <si>
    <t>SUNSET BAR &amp; GRILL</t>
  </si>
  <si>
    <t>SUNSET BAR &amp; GRILL INC.</t>
  </si>
  <si>
    <t>2807 W DELMAR AVE</t>
  </si>
  <si>
    <t>2084128</t>
  </si>
  <si>
    <t>2096054</t>
  </si>
  <si>
    <t>2096063</t>
  </si>
  <si>
    <t>2096067</t>
  </si>
  <si>
    <t>2096139</t>
  </si>
  <si>
    <t>812-0106327</t>
  </si>
  <si>
    <t>120703923</t>
  </si>
  <si>
    <t>(618) 467-8232</t>
  </si>
  <si>
    <t>DIAMOND MINERAL SPRINGS</t>
  </si>
  <si>
    <t>DIAMOND MINERAL SPRINGS INC</t>
  </si>
  <si>
    <t>WN64AB120900775</t>
  </si>
  <si>
    <t>(618) 675-2655</t>
  </si>
  <si>
    <t>THE PALACE</t>
  </si>
  <si>
    <t>BOOTHY'S PALACE TAVERN, INC</t>
  </si>
  <si>
    <t>ROUTE 1 BOX 33</t>
  </si>
  <si>
    <t>HAMBURG</t>
  </si>
  <si>
    <t>B130174498</t>
  </si>
  <si>
    <t>812-0317979</t>
  </si>
  <si>
    <t>(618) 232-1323</t>
  </si>
  <si>
    <t>5/29/2013</t>
  </si>
  <si>
    <t>BAREFOOT</t>
  </si>
  <si>
    <t>BAREFOOT, LLC</t>
  </si>
  <si>
    <t>RT 2 BOX 75</t>
  </si>
  <si>
    <t>812-0305790</t>
  </si>
  <si>
    <t>NRTA1051</t>
  </si>
  <si>
    <t>(618) 576-9002</t>
  </si>
  <si>
    <t>STRAIGHT HOME</t>
  </si>
  <si>
    <t>STRAIGHT HOME, INC.</t>
  </si>
  <si>
    <t>RT 2 BOX 21</t>
  </si>
  <si>
    <t>B130277196</t>
  </si>
  <si>
    <t xml:space="preserve">812-0316218 </t>
  </si>
  <si>
    <t>(618) 576-2766</t>
  </si>
  <si>
    <t>C.C. FOOD MARTS</t>
  </si>
  <si>
    <t>C.C. FOOD MARTS, INC.</t>
  </si>
  <si>
    <t>3410 GEORGE ST</t>
  </si>
  <si>
    <t>B130275463</t>
  </si>
  <si>
    <t>812-0401132</t>
  </si>
  <si>
    <t>NRTA1265</t>
  </si>
  <si>
    <t>(618) 654-4202</t>
  </si>
  <si>
    <t>FLOYD'S</t>
  </si>
  <si>
    <t>ANDREW &amp; CLAY BUTLER</t>
  </si>
  <si>
    <t>1017 MAIN ST</t>
  </si>
  <si>
    <t>B131091590</t>
  </si>
  <si>
    <t>812-0305838</t>
  </si>
  <si>
    <t>NRTA0645</t>
  </si>
  <si>
    <t>(618) 654-9035</t>
  </si>
  <si>
    <t>BARNEY' S PUB</t>
  </si>
  <si>
    <t>B &amp; T LOUNGE LIMITED</t>
  </si>
  <si>
    <t>B131091595</t>
  </si>
  <si>
    <t>WN64AB120500006</t>
  </si>
  <si>
    <t>(217) 243-6632</t>
  </si>
  <si>
    <t>JACKSONVILLE AMVET</t>
  </si>
  <si>
    <t>JACKSONVILLE AMVET POST 100 HOME ASSOCIATION</t>
  </si>
  <si>
    <t>B130275487</t>
  </si>
  <si>
    <t>B130275530</t>
  </si>
  <si>
    <t>WN64AB120900720</t>
  </si>
  <si>
    <t>(217) 243-9990</t>
  </si>
  <si>
    <t>MORGAN COUNTY POST #1379</t>
  </si>
  <si>
    <t>VETERANS OF FOREIGN WARS MORGAN COUNTY POST #1379</t>
  </si>
  <si>
    <t>B130275477</t>
  </si>
  <si>
    <t>WN64AB120800583</t>
  </si>
  <si>
    <t>(217) 243-6814</t>
  </si>
  <si>
    <t>7W CENTRAL PARK PLAZA</t>
  </si>
  <si>
    <t>B130275443</t>
  </si>
  <si>
    <t>812-0401069</t>
  </si>
  <si>
    <t>(217) 243-5761</t>
  </si>
  <si>
    <t>WEST STATE TAVERN</t>
  </si>
  <si>
    <t>WEST STATE TAVERN, INC.</t>
  </si>
  <si>
    <t>812-0318012</t>
  </si>
  <si>
    <t>NRTA0986</t>
  </si>
  <si>
    <t>(217) 245-8021</t>
  </si>
  <si>
    <t>SHAW'S SHACK</t>
  </si>
  <si>
    <t>SHAW'S SHACK INC</t>
  </si>
  <si>
    <t>214 MAIN STREET</t>
  </si>
  <si>
    <t>JAMESTOWN</t>
  </si>
  <si>
    <t>B131091652</t>
  </si>
  <si>
    <t>WN64AB120600349</t>
  </si>
  <si>
    <t>MIDWAY TAVERN</t>
  </si>
  <si>
    <t>LARRY HERRIN</t>
  </si>
  <si>
    <t>16858 US HIGHWAY 67</t>
  </si>
  <si>
    <t>B130174483</t>
  </si>
  <si>
    <t>812-0302441</t>
  </si>
  <si>
    <t>WOLVE'S CROSSING GOLF</t>
  </si>
  <si>
    <t>23745 N CENTENNIAL RD</t>
  </si>
  <si>
    <t>W2243994</t>
  </si>
  <si>
    <t>W2210417</t>
  </si>
  <si>
    <t>WN64AB120600342</t>
  </si>
  <si>
    <t>(618) 498-3178</t>
  </si>
  <si>
    <t>KAMPSVILLE INN</t>
  </si>
  <si>
    <t>NTL, INC.</t>
  </si>
  <si>
    <t>B131091614</t>
  </si>
  <si>
    <t>812-0316205</t>
  </si>
  <si>
    <t>NRTA0906</t>
  </si>
  <si>
    <t>(618) 653-4413</t>
  </si>
  <si>
    <t>CHAPPS</t>
  </si>
  <si>
    <t>J.D.S. SALOON INC</t>
  </si>
  <si>
    <t>W2324740</t>
  </si>
  <si>
    <t>B130277465</t>
  </si>
  <si>
    <t>812-0106320</t>
  </si>
  <si>
    <t>NRTA0187</t>
  </si>
  <si>
    <t>(217) 324-2642</t>
  </si>
  <si>
    <t>LITCHFIELD BOWLING</t>
  </si>
  <si>
    <t>LITCHFIELD BOWLING, INCORPORATED</t>
  </si>
  <si>
    <t>3320 ILLINOIS RT 16</t>
  </si>
  <si>
    <t>B130275468</t>
  </si>
  <si>
    <t>WN64AB120500009</t>
  </si>
  <si>
    <t>(217) 324-5951</t>
  </si>
  <si>
    <t>GEMSTOP</t>
  </si>
  <si>
    <t>GEMSTOP INC.</t>
  </si>
  <si>
    <t>608 S MAIN</t>
  </si>
  <si>
    <t>812-0316169</t>
  </si>
  <si>
    <t>Tim Stamate</t>
  </si>
  <si>
    <t>(217) 938-4277</t>
  </si>
  <si>
    <t>STOP &amp; GO MART INC</t>
  </si>
  <si>
    <t>STOP-N-GO-MART, INC.</t>
  </si>
  <si>
    <t>B131091596</t>
  </si>
  <si>
    <t>B131091602</t>
  </si>
  <si>
    <t>812-0305862</t>
  </si>
  <si>
    <t>NRTA0904</t>
  </si>
  <si>
    <t>THE BAR</t>
  </si>
  <si>
    <t>RONALD KOEHLER</t>
  </si>
  <si>
    <t>B131092127</t>
  </si>
  <si>
    <t>812-0313710</t>
  </si>
  <si>
    <t>NRTA0770</t>
  </si>
  <si>
    <t>(217) 936-2414</t>
  </si>
  <si>
    <t>ANDREW'S MART INC</t>
  </si>
  <si>
    <t>ANDREW'S MART, INC.</t>
  </si>
  <si>
    <t>B130275441</t>
  </si>
  <si>
    <t xml:space="preserve">812-0316154 </t>
  </si>
  <si>
    <t>(217) 584-1811</t>
  </si>
  <si>
    <t>MICHAEL TAVERN</t>
  </si>
  <si>
    <t>CARLA JO BRANHAM</t>
  </si>
  <si>
    <t>B130991430</t>
  </si>
  <si>
    <t xml:space="preserve">812-0316152 </t>
  </si>
  <si>
    <t>NRTA0801</t>
  </si>
  <si>
    <t>(618) 576-9283</t>
  </si>
  <si>
    <t>3/10/2014</t>
  </si>
  <si>
    <t>CRAWDADDYS</t>
  </si>
  <si>
    <t>CRAWDADDYS INC</t>
  </si>
  <si>
    <t>B121169895</t>
  </si>
  <si>
    <t>B121169892</t>
  </si>
  <si>
    <t xml:space="preserve">812-0304274 </t>
  </si>
  <si>
    <t>NRTA0410</t>
  </si>
  <si>
    <t>(217) 999-2090</t>
  </si>
  <si>
    <t>3/7/2013</t>
  </si>
  <si>
    <t>MEL'S PLACE</t>
  </si>
  <si>
    <t>MEL'S PLACE INC</t>
  </si>
  <si>
    <t>208 E MAIN ST</t>
  </si>
  <si>
    <t>812-0305791</t>
  </si>
  <si>
    <t>NRTA0437</t>
  </si>
  <si>
    <t>(217) 999-2761</t>
  </si>
  <si>
    <t>12/8/2012</t>
  </si>
  <si>
    <t>RSB FUELS</t>
  </si>
  <si>
    <t>B141118701</t>
  </si>
  <si>
    <t>812-0401202</t>
  </si>
  <si>
    <t>NRTA1272</t>
  </si>
  <si>
    <t>TILLEY'S TAVERN</t>
  </si>
  <si>
    <t>TILLEY'S TAVERN, INC.</t>
  </si>
  <si>
    <t>B130275479</t>
  </si>
  <si>
    <t>812-0316179</t>
  </si>
  <si>
    <t>NRTA0866</t>
  </si>
  <si>
    <t>(217) 999-4060</t>
  </si>
  <si>
    <t>MENARD COUNTY POST 6871 VFW</t>
  </si>
  <si>
    <t>MENARD COUNTY POST 6871, VETERANS OF FOREIGN WARS OF THE UNITED STATES</t>
  </si>
  <si>
    <t>111 N 7TH ST</t>
  </si>
  <si>
    <t>B130277592</t>
  </si>
  <si>
    <t>812-0316226</t>
  </si>
  <si>
    <t>(217) 632-3404</t>
  </si>
  <si>
    <t>RIVERBANK LODGE</t>
  </si>
  <si>
    <t>RIVERBANK LODGE, LLC</t>
  </si>
  <si>
    <t>522 S 6TH ST</t>
  </si>
  <si>
    <t>B130277135</t>
  </si>
  <si>
    <t xml:space="preserve">812-0317954 </t>
  </si>
  <si>
    <t>NRTA0857</t>
  </si>
  <si>
    <t>(217) 632-0202</t>
  </si>
  <si>
    <t>2/18/2014</t>
  </si>
  <si>
    <t>NUBY'S STEAKHOUSE</t>
  </si>
  <si>
    <t>NUBY'S STEAKHOUSE INC</t>
  </si>
  <si>
    <t>W2256561</t>
  </si>
  <si>
    <t>WN64AB120600437</t>
  </si>
  <si>
    <t>(618) 669-2257</t>
  </si>
  <si>
    <t>POWHATAN RESTAURANT</t>
  </si>
  <si>
    <t>B130275480</t>
  </si>
  <si>
    <t>WN64AB120800534</t>
  </si>
  <si>
    <t>11/28/2012</t>
  </si>
  <si>
    <t>HOOEY'S</t>
  </si>
  <si>
    <t>YOLANDA SCHUTTLER</t>
  </si>
  <si>
    <t>B131193262</t>
  </si>
  <si>
    <t>812-0313667</t>
  </si>
  <si>
    <t>NRTA0764</t>
  </si>
  <si>
    <t>(217) 223-9906</t>
  </si>
  <si>
    <t>2/21/2014</t>
  </si>
  <si>
    <t>HOOTY'S BAR &amp; GRILL</t>
  </si>
  <si>
    <t>LAWRENCE HUTMACHER</t>
  </si>
  <si>
    <t>B131194589</t>
  </si>
  <si>
    <t xml:space="preserve">812-0316193 </t>
  </si>
  <si>
    <t>NRTA0883</t>
  </si>
  <si>
    <t>(217) 223-1797</t>
  </si>
  <si>
    <t>4/25/2014</t>
  </si>
  <si>
    <t>BRUHNO'S</t>
  </si>
  <si>
    <t>BRUHNO'S INC.</t>
  </si>
  <si>
    <t>203 FISHER AVE</t>
  </si>
  <si>
    <t>SAWYERVILLE</t>
  </si>
  <si>
    <t>812-0304424</t>
  </si>
  <si>
    <t>NRTA1138</t>
  </si>
  <si>
    <t>(217) 835-2011</t>
  </si>
  <si>
    <t>THE SPIGOT</t>
  </si>
  <si>
    <t>KATHERYN F ZEIDLER</t>
  </si>
  <si>
    <t>WN64AB120600474</t>
  </si>
  <si>
    <t>(217) 774-2732</t>
  </si>
  <si>
    <t>2/14/2013</t>
  </si>
  <si>
    <t>VFW POST 4829</t>
  </si>
  <si>
    <t>SHELBY COUNTY POST 4829 VETERANS OF FOREIGN WARS OF THE UNITED STATES</t>
  </si>
  <si>
    <t>513 S CEDAR</t>
  </si>
  <si>
    <t>812-0205869</t>
  </si>
  <si>
    <t>NRTA0046</t>
  </si>
  <si>
    <t>(217) 774-4829</t>
  </si>
  <si>
    <t>SPARKY'S II</t>
  </si>
  <si>
    <t>1112 MADISON ST</t>
  </si>
  <si>
    <t>SOUTH ROXANA</t>
  </si>
  <si>
    <t>B131194601</t>
  </si>
  <si>
    <t xml:space="preserve">812-0304354 </t>
  </si>
  <si>
    <t>NRTA0420</t>
  </si>
  <si>
    <t>(618) 259-1421</t>
  </si>
  <si>
    <t>CAFÉ BRIO</t>
  </si>
  <si>
    <t>BRANDON 777, LLC</t>
  </si>
  <si>
    <t>524 E MONROE AT</t>
  </si>
  <si>
    <t>SPRINGFIELD</t>
  </si>
  <si>
    <t>B130277391</t>
  </si>
  <si>
    <t>812-0403237</t>
  </si>
  <si>
    <t>NRTA1121</t>
  </si>
  <si>
    <t>(217) 544-0574</t>
  </si>
  <si>
    <t>BERRY'S BAR</t>
  </si>
  <si>
    <t>BERRY'S BAR INC</t>
  </si>
  <si>
    <t>623 S LAUREL</t>
  </si>
  <si>
    <t>B130174505</t>
  </si>
  <si>
    <t>812-0316156</t>
  </si>
  <si>
    <t>NRTA0918</t>
  </si>
  <si>
    <t>(618) 635-3071</t>
  </si>
  <si>
    <t>SCHWEPPE'S RIVER FISH LOUNGE</t>
  </si>
  <si>
    <t>DIANNA SCHWEPPE</t>
  </si>
  <si>
    <t>B131091629</t>
  </si>
  <si>
    <t>812-0305934</t>
  </si>
  <si>
    <t>NRTA0541</t>
  </si>
  <si>
    <t>(618) 303-7766</t>
  </si>
  <si>
    <t>VFW POST 1306</t>
  </si>
  <si>
    <t>KERSHAW HARMER POST 1306 VETERANS OF FOREIGN WARS OF THE UNITED STATES</t>
  </si>
  <si>
    <t>8353 S IL RT 127 BOX 276</t>
  </si>
  <si>
    <t>TAYLOR SPRINGS</t>
  </si>
  <si>
    <t>812-0304370</t>
  </si>
  <si>
    <t>NRTA0325</t>
  </si>
  <si>
    <t>(217) 532-3241</t>
  </si>
  <si>
    <t>NONNIES</t>
  </si>
  <si>
    <t>L &amp; S URSA INC.</t>
  </si>
  <si>
    <t>W2225255</t>
  </si>
  <si>
    <t>812-0313716</t>
  </si>
  <si>
    <t>NRTA0765</t>
  </si>
  <si>
    <t>(217) 964-2224</t>
  </si>
  <si>
    <t>THE REDWOOD INN</t>
  </si>
  <si>
    <t>G. &amp; T. HOLDINGS, INC.</t>
  </si>
  <si>
    <t>B131193265</t>
  </si>
  <si>
    <t>W2288298</t>
  </si>
  <si>
    <t>812-0310349</t>
  </si>
  <si>
    <t>NRTA0681</t>
  </si>
  <si>
    <t>(618) 283-9744</t>
  </si>
  <si>
    <t>FAST STOP</t>
  </si>
  <si>
    <t>BPS RETAIL FUELS, INC.</t>
  </si>
  <si>
    <t>20833 IL ROUTE 125</t>
  </si>
  <si>
    <t>B131193260</t>
  </si>
  <si>
    <t xml:space="preserve">812-0316206 </t>
  </si>
  <si>
    <t>NRTA0724</t>
  </si>
  <si>
    <t>(217) 452-7608</t>
  </si>
  <si>
    <t>PROGRESSIVE CLUB</t>
  </si>
  <si>
    <t>PROGRESSIVE CLUB, INC.</t>
  </si>
  <si>
    <t>B130275447</t>
  </si>
  <si>
    <t>812-0317986</t>
  </si>
  <si>
    <t>NRTA1092</t>
  </si>
  <si>
    <t>(217) 835-3122</t>
  </si>
  <si>
    <t>WINCHESTER BOWL</t>
  </si>
  <si>
    <t>CENTRAL ILLINOIS BOWLING PROPERTIES LLC</t>
  </si>
  <si>
    <t>B130584023</t>
  </si>
  <si>
    <t>WN64AB120600287</t>
  </si>
  <si>
    <t>(217) 742-3834</t>
  </si>
  <si>
    <t>BO JAC'S</t>
  </si>
  <si>
    <t>BO-JACS, INC.</t>
  </si>
  <si>
    <t>18 S. 6TH ST.</t>
  </si>
  <si>
    <t>W2303965</t>
  </si>
  <si>
    <t>2087133</t>
  </si>
  <si>
    <t>2103667</t>
  </si>
  <si>
    <t>W2212897</t>
  </si>
  <si>
    <t>812-0304382</t>
  </si>
  <si>
    <t>120702285</t>
  </si>
  <si>
    <t>NRTA1236</t>
  </si>
  <si>
    <t>(618) 254-0040</t>
  </si>
  <si>
    <t>CORNER BAR</t>
  </si>
  <si>
    <t>RAYMOND HERRIN SR</t>
  </si>
  <si>
    <t>2 W FERUSON AVE</t>
  </si>
  <si>
    <t>B131091564</t>
  </si>
  <si>
    <t xml:space="preserve">812-0304319 </t>
  </si>
  <si>
    <t>NRTA0614</t>
  </si>
  <si>
    <t>(618) 251-9277</t>
  </si>
  <si>
    <t>NITE TRAIN LOUNGE</t>
  </si>
  <si>
    <t>R.G. TITE INC</t>
  </si>
  <si>
    <t>812-0211534</t>
  </si>
  <si>
    <t>NRTA0102</t>
  </si>
  <si>
    <t>(618) 254-7276</t>
  </si>
  <si>
    <t>THE BRAZZ MONKEE</t>
  </si>
  <si>
    <t>NIGHTLIFE PROMOTIONS LLC</t>
  </si>
  <si>
    <t>305 E EDWARDSVILLE RD</t>
  </si>
  <si>
    <t>B130173766</t>
  </si>
  <si>
    <t>B130173543</t>
  </si>
  <si>
    <t>812-0404151</t>
  </si>
  <si>
    <t>(618) 251-8007</t>
  </si>
  <si>
    <t>THE FRANCHISE SPORTS BAR &amp; GRILL</t>
  </si>
  <si>
    <t>601 E EDWARDSVILLE</t>
  </si>
  <si>
    <t>W2303948</t>
  </si>
  <si>
    <t>B130275503</t>
  </si>
  <si>
    <t>812-0403228</t>
  </si>
  <si>
    <t>NRTA1298</t>
  </si>
  <si>
    <t>(618) 259-2413</t>
  </si>
  <si>
    <t>LEO &amp; JAN'S IDLE HOUR</t>
  </si>
  <si>
    <t>LEO &amp; JAN'S IDLE HOUR, INC.</t>
  </si>
  <si>
    <t>115 EAST WALL STREET</t>
  </si>
  <si>
    <t>WORDEN</t>
  </si>
  <si>
    <t>2103551</t>
  </si>
  <si>
    <t>W2304020</t>
  </si>
  <si>
    <t>812-0316201</t>
  </si>
  <si>
    <t>120702138</t>
  </si>
  <si>
    <t>AMERICAN LEGION CLUB</t>
  </si>
  <si>
    <t>AMERICAN LEGION CLUB OF FLORA, ILLINOIS</t>
  </si>
  <si>
    <t>SOUTH (OLNEY/OBLONG)</t>
  </si>
  <si>
    <t>B130277308</t>
  </si>
  <si>
    <t>812-0318017</t>
  </si>
  <si>
    <t>NRTA1090</t>
  </si>
  <si>
    <t>(618) 662-8626</t>
  </si>
  <si>
    <t>5/29/2014</t>
  </si>
  <si>
    <t>LOYAL ORDER OF MOOSE #1384</t>
  </si>
  <si>
    <t>FLORA MOOSE LODGE NO 1384</t>
  </si>
  <si>
    <t>324 W NORTH AVE</t>
  </si>
  <si>
    <t>812-0106339</t>
  </si>
  <si>
    <t>NRTA0216</t>
  </si>
  <si>
    <t>(618) 662-8002</t>
  </si>
  <si>
    <t>FLOYD'S PLACE</t>
  </si>
  <si>
    <t>CNHINTERSCHER INC</t>
  </si>
  <si>
    <t>812-0211530</t>
  </si>
  <si>
    <t>NRTA0148</t>
  </si>
  <si>
    <t>(618) 592-3621</t>
  </si>
  <si>
    <t>THE VILLAGE TAP</t>
  </si>
  <si>
    <t>CHRISHINT INC</t>
  </si>
  <si>
    <t>B121169886</t>
  </si>
  <si>
    <t>B121068003</t>
  </si>
  <si>
    <t>812-0211511</t>
  </si>
  <si>
    <t>NRTA0166</t>
  </si>
  <si>
    <t>(618) 592-4881</t>
  </si>
  <si>
    <t>PETROLEUM CLUB OF OLNEY</t>
  </si>
  <si>
    <t>THE PETROLEUM CLUB OF OLNEY</t>
  </si>
  <si>
    <t>B131193243</t>
  </si>
  <si>
    <t xml:space="preserve">812-0316150 </t>
  </si>
  <si>
    <t>NRTA0763</t>
  </si>
  <si>
    <t>(618) 392-2541</t>
  </si>
  <si>
    <t>RED ROOSTER TERMINAL</t>
  </si>
  <si>
    <t>FEHRENBACHER ENTERPRISES INC</t>
  </si>
  <si>
    <t>1402 S WEST STREET</t>
  </si>
  <si>
    <t>B121169843</t>
  </si>
  <si>
    <t>B120862975</t>
  </si>
  <si>
    <t>WN64AB120900822</t>
  </si>
  <si>
    <t>618-392-7941</t>
  </si>
  <si>
    <t>VETERANS OF FOREIGN WARS POST #4226</t>
  </si>
  <si>
    <t>OLNEY MEMORIAL POST 4226 VETERANS OF FOREIGN WARS</t>
  </si>
  <si>
    <t>WN64AB120900646</t>
  </si>
  <si>
    <t>NRTA1246</t>
  </si>
  <si>
    <t>(618) 392-4226</t>
  </si>
  <si>
    <t>AMERICAN LEGION POST 1255</t>
  </si>
  <si>
    <t>AMERICAN LEGION STOOKEY POST 1255</t>
  </si>
  <si>
    <t>SOUTH (RANDY'S VENDING)</t>
  </si>
  <si>
    <t>B121169845</t>
  </si>
  <si>
    <t>B120862976</t>
  </si>
  <si>
    <t>B121169838</t>
  </si>
  <si>
    <t>812-0304402</t>
  </si>
  <si>
    <t>NRTA0499</t>
  </si>
  <si>
    <t>(618) 538-5445</t>
  </si>
  <si>
    <t>CAT &amp; FIDDLE TAVERN</t>
  </si>
  <si>
    <t>JULIE ELLISON</t>
  </si>
  <si>
    <t>B131194576</t>
  </si>
  <si>
    <t>WN64AB120600240</t>
  </si>
  <si>
    <t>(618) 538-5985</t>
  </si>
  <si>
    <t>CUTTER'S GOOSE</t>
  </si>
  <si>
    <t>CUTTER'S GOOSE INC</t>
  </si>
  <si>
    <t>239 CARLYLE AVE</t>
  </si>
  <si>
    <t>B130275445</t>
  </si>
  <si>
    <t>B130275446</t>
  </si>
  <si>
    <t>WN64AB120800510</t>
  </si>
  <si>
    <t>(618) 235-7642</t>
  </si>
  <si>
    <t>4/11/2013</t>
  </si>
  <si>
    <t>FRATERNAL ORDER OF EAGLES AERIE # 545</t>
  </si>
  <si>
    <t>B121169837</t>
  </si>
  <si>
    <t>B120863138</t>
  </si>
  <si>
    <t>B121169835</t>
  </si>
  <si>
    <t>812-0211541</t>
  </si>
  <si>
    <t>NRTA0095</t>
  </si>
  <si>
    <t>(618) 624-5412</t>
  </si>
  <si>
    <t>GEO'S WINGS &amp; MORE</t>
  </si>
  <si>
    <t>GEO'S INCORPORATED</t>
  </si>
  <si>
    <t>B130173548</t>
  </si>
  <si>
    <t>812-0211712</t>
  </si>
  <si>
    <t>NRTA0129</t>
  </si>
  <si>
    <t>(618) 233-9464</t>
  </si>
  <si>
    <t>SPIKE'S PUB AND GRUB</t>
  </si>
  <si>
    <t>VINCENT VON HART, LLC</t>
  </si>
  <si>
    <t>B130277134</t>
  </si>
  <si>
    <t>812-0316224</t>
  </si>
  <si>
    <t>NRTA1045</t>
  </si>
  <si>
    <t>(618) 235-2734</t>
  </si>
  <si>
    <t>6/4/2014</t>
  </si>
  <si>
    <t>TIM &amp; JOE'S</t>
  </si>
  <si>
    <t>EHB 113 INC</t>
  </si>
  <si>
    <t>B130173501</t>
  </si>
  <si>
    <t>B130173521</t>
  </si>
  <si>
    <t xml:space="preserve">812-0305893 </t>
  </si>
  <si>
    <t>(618) 398-5266</t>
  </si>
  <si>
    <t>OSCAR'S BAR &amp; GRILL LLC</t>
  </si>
  <si>
    <t>OSCAR'S BAR AND GRILL, LLC</t>
  </si>
  <si>
    <t>B130277137</t>
  </si>
  <si>
    <t>812-0316126</t>
  </si>
  <si>
    <t>NRTA0871</t>
  </si>
  <si>
    <t>(618) 337-0450</t>
  </si>
  <si>
    <t>BIG DOG'S</t>
  </si>
  <si>
    <t>BIG DAG'S LLC</t>
  </si>
  <si>
    <t>7400 OLD MISSOURI</t>
  </si>
  <si>
    <t>CENTREVILLE</t>
  </si>
  <si>
    <t>B130275448</t>
  </si>
  <si>
    <t>812-0211718</t>
  </si>
  <si>
    <t>NRTA0119</t>
  </si>
  <si>
    <t>(618) 215-0877</t>
  </si>
  <si>
    <t>AMERICAN LEGION POST 581</t>
  </si>
  <si>
    <t>COLUMBIA POST NO. 581, AMERICAN LEGION DEPARTMENT OF ILLINOIS</t>
  </si>
  <si>
    <t>375 E LOCUST</t>
  </si>
  <si>
    <t>COLUMBIA</t>
  </si>
  <si>
    <t>W2322056</t>
  </si>
  <si>
    <t>812-0211781</t>
  </si>
  <si>
    <t>NRTA1137</t>
  </si>
  <si>
    <t>(618) 281-5556</t>
  </si>
  <si>
    <t>KOKE'S TAVERN INC</t>
  </si>
  <si>
    <t>KOKE'S TAVERN, INC</t>
  </si>
  <si>
    <t>B130583944</t>
  </si>
  <si>
    <t xml:space="preserve">812-0304448 </t>
  </si>
  <si>
    <t>NRTA0439</t>
  </si>
  <si>
    <t>(618) 875-6537</t>
  </si>
  <si>
    <t>SAX SPEEDI CHEK</t>
  </si>
  <si>
    <t>R. SAX, INC.</t>
  </si>
  <si>
    <t>B130275507</t>
  </si>
  <si>
    <t xml:space="preserve">812-0316197 </t>
  </si>
  <si>
    <t>NRTA0948</t>
  </si>
  <si>
    <t>(618) 401-3490</t>
  </si>
  <si>
    <t>NO JACKS BAR &amp; GRILL</t>
  </si>
  <si>
    <t>HERBY, INC</t>
  </si>
  <si>
    <t xml:space="preserve">3300001248		</t>
  </si>
  <si>
    <t>B130991427</t>
  </si>
  <si>
    <t xml:space="preserve">3300001258		</t>
  </si>
  <si>
    <t>812-0305855</t>
  </si>
  <si>
    <t>NRTA0521</t>
  </si>
  <si>
    <t>(618) 235-2356</t>
  </si>
  <si>
    <t>AMERICAN LEGION POST 381</t>
  </si>
  <si>
    <t>THE HARRY E WILES POST NO 381 THE AMERICAN LEGION</t>
  </si>
  <si>
    <t>WEST</t>
  </si>
  <si>
    <t>812-0211686</t>
  </si>
  <si>
    <t>NRTA0142</t>
  </si>
  <si>
    <t>(309) 462-9309</t>
  </si>
  <si>
    <t>SKEETER'S PLACE</t>
  </si>
  <si>
    <t>SKEETER'S PLACE INC</t>
  </si>
  <si>
    <t xml:space="preserve">812-0304269 </t>
  </si>
  <si>
    <t>NRTA0370</t>
  </si>
  <si>
    <t>(309) 462-9380</t>
  </si>
  <si>
    <t>VICTORY TAVERN</t>
  </si>
  <si>
    <t>VICTORY TAVERN INC</t>
  </si>
  <si>
    <t>B130275486</t>
  </si>
  <si>
    <t>B130275489</t>
  </si>
  <si>
    <t>812-0304278</t>
  </si>
  <si>
    <t>NRTA0391</t>
  </si>
  <si>
    <t>(309) 462-9300</t>
  </si>
  <si>
    <t>MILLENNIUM LANES</t>
  </si>
  <si>
    <t>V.B.J. INC.</t>
  </si>
  <si>
    <t>B130173507</t>
  </si>
  <si>
    <t>812-0316127</t>
  </si>
  <si>
    <t>4/11/2014</t>
  </si>
  <si>
    <t>VFW CLUB ROOM</t>
  </si>
  <si>
    <t>MERCER COUNTY POST NO. 1571, VETERANS OF FOREIGN WARS OF THE UNITED STATES</t>
  </si>
  <si>
    <t>106 SW 3RD AVE</t>
  </si>
  <si>
    <t>812-0302352</t>
  </si>
  <si>
    <t>NRTA0423</t>
  </si>
  <si>
    <t>(309) 582-7055</t>
  </si>
  <si>
    <t>8/28/2013</t>
  </si>
  <si>
    <t>MOE'S VILLAGE PUB LLC</t>
  </si>
  <si>
    <t>B120863135</t>
  </si>
  <si>
    <t>812-0318003</t>
  </si>
  <si>
    <t>NRTA0987</t>
  </si>
  <si>
    <t>(309) 843-1003</t>
  </si>
  <si>
    <t>LAST CHANCE BAR &amp; GRILL</t>
  </si>
  <si>
    <t>TWO CAN DO INC</t>
  </si>
  <si>
    <t>B131194556</t>
  </si>
  <si>
    <t>W2294819</t>
  </si>
  <si>
    <t>812-0205846</t>
  </si>
  <si>
    <t>NRTA0041</t>
  </si>
  <si>
    <t>(309) 243-5036</t>
  </si>
  <si>
    <t>1/14/2013</t>
  </si>
  <si>
    <t>ANNAWAN SHELL</t>
  </si>
  <si>
    <t>B130991421</t>
  </si>
  <si>
    <t>812-0304305</t>
  </si>
  <si>
    <t>(309) 935-5560</t>
  </si>
  <si>
    <t>THE BOOMERANG</t>
  </si>
  <si>
    <t>KANDY A. CLARK</t>
  </si>
  <si>
    <t>B131193267</t>
  </si>
  <si>
    <t>812-0304329</t>
  </si>
  <si>
    <t>(309) 329-2824</t>
  </si>
  <si>
    <t>TOWN TAVERN</t>
  </si>
  <si>
    <t>CHARLES F POOL, INC</t>
  </si>
  <si>
    <t>AVON</t>
  </si>
  <si>
    <t>W2225258</t>
  </si>
  <si>
    <t>812-0302363</t>
  </si>
  <si>
    <t>NRTA0297</t>
  </si>
  <si>
    <t>(309) 465-7417</t>
  </si>
  <si>
    <t>HAMMER'S BAR &amp; RESTAURANT</t>
  </si>
  <si>
    <t>CANAM B&amp;R, INC.</t>
  </si>
  <si>
    <t>103 ROOSEVELT ST</t>
  </si>
  <si>
    <t>BARTONVILLE</t>
  </si>
  <si>
    <t>W2244008</t>
  </si>
  <si>
    <t>B130277336</t>
  </si>
  <si>
    <t>812-0304431</t>
  </si>
  <si>
    <t>NRTA0454</t>
  </si>
  <si>
    <t>(309) 697-2023</t>
  </si>
  <si>
    <t>COLONY INN</t>
  </si>
  <si>
    <t>BISHOP HILL COLONY INN, INC.</t>
  </si>
  <si>
    <t>208 BISHOP HILL ST</t>
  </si>
  <si>
    <t>BISHOP HILL</t>
  </si>
  <si>
    <t>B131091662</t>
  </si>
  <si>
    <t>W2303989</t>
  </si>
  <si>
    <t>812-0403213</t>
  </si>
  <si>
    <t>NRTA1278</t>
  </si>
  <si>
    <t>(309) 927-3335</t>
  </si>
  <si>
    <t>SLUP'S BAR &amp; GRILL</t>
  </si>
  <si>
    <t>THEODORE M SLUPIANEK</t>
  </si>
  <si>
    <t>B130275494</t>
  </si>
  <si>
    <t>812-0205973</t>
  </si>
  <si>
    <t>NRTA0056</t>
  </si>
  <si>
    <t>(309) 652-3822</t>
  </si>
  <si>
    <t>2/15/2013</t>
  </si>
  <si>
    <t>BLOOMINGTON ELKS LODGE #281</t>
  </si>
  <si>
    <t>BLOOMINGTON LODGE # 281, BENEVOLENT AND PROTECTIVE ORDER OF ELKS OF THE UNITED STATES OF AMERICA INC.</t>
  </si>
  <si>
    <t>608 SEMINARY ST</t>
  </si>
  <si>
    <t>VR-1023</t>
  </si>
  <si>
    <t>W2235776</t>
  </si>
  <si>
    <t>WN64AB120900719</t>
  </si>
  <si>
    <t>ERIC'S MINI MART &amp; RESTAURANT</t>
  </si>
  <si>
    <t>T V E O CORPORATION</t>
  </si>
  <si>
    <t>B131092134</t>
  </si>
  <si>
    <t xml:space="preserve">812-0304314 </t>
  </si>
  <si>
    <t>NRTA0680</t>
  </si>
  <si>
    <t>JD'Z BAR &amp; GRILL</t>
  </si>
  <si>
    <t>170 W MAIN ST</t>
  </si>
  <si>
    <t>W2303952</t>
  </si>
  <si>
    <t>W2230005</t>
  </si>
  <si>
    <t>812-0401220</t>
  </si>
  <si>
    <t>NRTA1205</t>
  </si>
  <si>
    <t>(309) 897-8098</t>
  </si>
  <si>
    <t>BURNZEES</t>
  </si>
  <si>
    <t>BURNZEES INC</t>
  </si>
  <si>
    <t>B130277611</t>
  </si>
  <si>
    <t>812-0211688</t>
  </si>
  <si>
    <t>NRTA0144</t>
  </si>
  <si>
    <t>(309) 446-9211</t>
  </si>
  <si>
    <t>ROOKIES</t>
  </si>
  <si>
    <t>ROOKIES BRIMFIELD, INC.</t>
  </si>
  <si>
    <t>112 E KNOXVILLE</t>
  </si>
  <si>
    <t>B131194572</t>
  </si>
  <si>
    <t>812-0205847</t>
  </si>
  <si>
    <t>NRTA0040</t>
  </si>
  <si>
    <t>(309) 442-1054</t>
  </si>
  <si>
    <t>BILLY'S TAP INC</t>
  </si>
  <si>
    <t>B131194558</t>
  </si>
  <si>
    <t>W2324745</t>
  </si>
  <si>
    <t>812-0205888</t>
  </si>
  <si>
    <t>NRTA0039</t>
  </si>
  <si>
    <t>(309) 647-9639</t>
  </si>
  <si>
    <t>1/15/2013</t>
  </si>
  <si>
    <t>CANTON LODGE #626 BPO ELKS</t>
  </si>
  <si>
    <t>CANTON LODGE #626 BENEVOLENT AND PROTECTIVE ORDER OF ELKS</t>
  </si>
  <si>
    <t>61 W ELM ST</t>
  </si>
  <si>
    <t>B130277312</t>
  </si>
  <si>
    <t>812-0302468</t>
  </si>
  <si>
    <t>NRTA0182</t>
  </si>
  <si>
    <t>(309) 647-0200</t>
  </si>
  <si>
    <t>LINN LANES</t>
  </si>
  <si>
    <t>BOWLING PARTNERS INC</t>
  </si>
  <si>
    <t>B130277613</t>
  </si>
  <si>
    <t>812-0211802</t>
  </si>
  <si>
    <t>NRTA0155</t>
  </si>
  <si>
    <t>(309) 647-0473</t>
  </si>
  <si>
    <t>OFFICIAL TIME OUT</t>
  </si>
  <si>
    <t>BILLY R. JUMP</t>
  </si>
  <si>
    <t>68 E ELM ST</t>
  </si>
  <si>
    <t xml:space="preserve">812-0401238 </t>
  </si>
  <si>
    <t>NRTA1081</t>
  </si>
  <si>
    <t>(309) 647-6553</t>
  </si>
  <si>
    <t>ORLANDO CROWTHER POST 16</t>
  </si>
  <si>
    <t>ORLANDO C. CROWTHERS POST NO. 16, THE AMERICAN LEGION</t>
  </si>
  <si>
    <t>550 S 4TH AVE</t>
  </si>
  <si>
    <t>B130583951</t>
  </si>
  <si>
    <t>812-0302406</t>
  </si>
  <si>
    <t>NRTA0455</t>
  </si>
  <si>
    <t>(309) 647-0914</t>
  </si>
  <si>
    <t>CHRISTI'S DEN</t>
  </si>
  <si>
    <t>CHRISTI'S DEN INCORPORATED</t>
  </si>
  <si>
    <t>500 N 4TH ST</t>
  </si>
  <si>
    <t>DUNLAP</t>
  </si>
  <si>
    <t>B130277474</t>
  </si>
  <si>
    <t>812-0302300</t>
  </si>
  <si>
    <t>NRTA0251</t>
  </si>
  <si>
    <t>(309) 243-9964</t>
  </si>
  <si>
    <t>DUNLAP AMER LEGION POST 1078</t>
  </si>
  <si>
    <t>DUNLAP AMERICAN LEGION POST #1078</t>
  </si>
  <si>
    <t>5511 W LEGION HALL RD</t>
  </si>
  <si>
    <t>812-0304437</t>
  </si>
  <si>
    <t>NRTA0352</t>
  </si>
  <si>
    <t>(309) 243-7096</t>
  </si>
  <si>
    <t>THE BRICKYARD BAR &amp; GRILL</t>
  </si>
  <si>
    <t>THE BRICKYARD INCORPORATED</t>
  </si>
  <si>
    <t>B130277621</t>
  </si>
  <si>
    <t>B130277625</t>
  </si>
  <si>
    <t>812-0211717</t>
  </si>
  <si>
    <t>NRTA0165</t>
  </si>
  <si>
    <t>(309) 343-7750</t>
  </si>
  <si>
    <t>5/9/2013</t>
  </si>
  <si>
    <t>RACER'S EDGE</t>
  </si>
  <si>
    <t>RACER'S EDGE INC</t>
  </si>
  <si>
    <t>B131193255</t>
  </si>
  <si>
    <t>WN64AB120800601</t>
  </si>
  <si>
    <t>(309) 755-8131</t>
  </si>
  <si>
    <t>BURGER BARGE</t>
  </si>
  <si>
    <t>BURGER BARGE, INC.</t>
  </si>
  <si>
    <t>1401 N MAIN ST</t>
  </si>
  <si>
    <t>B130173764</t>
  </si>
  <si>
    <t>812-0304276</t>
  </si>
  <si>
    <t>NRTA0349</t>
  </si>
  <si>
    <t>(309) 694-9191</t>
  </si>
  <si>
    <t>9/10/2013</t>
  </si>
  <si>
    <t>BURGER BARGE II - BOARDWALK</t>
  </si>
  <si>
    <t>B131091570</t>
  </si>
  <si>
    <t>WN64AB120800520</t>
  </si>
  <si>
    <t>81207446</t>
  </si>
  <si>
    <t>EAST PEORIA COUNTRY SALOON</t>
  </si>
  <si>
    <t>DOUBLE DOERR, INC.</t>
  </si>
  <si>
    <t>B120964641</t>
  </si>
  <si>
    <t>812-0305918</t>
  </si>
  <si>
    <t>NRTA0610</t>
  </si>
  <si>
    <t>(309) 694-9142</t>
  </si>
  <si>
    <t>12/19/2013</t>
  </si>
  <si>
    <t>RON &amp; IVIE'S UNIQUE TAP</t>
  </si>
  <si>
    <t>RONALD J STANLEY</t>
  </si>
  <si>
    <t>B130275517</t>
  </si>
  <si>
    <t>812-0106304</t>
  </si>
  <si>
    <t>NRTA0045</t>
  </si>
  <si>
    <t>(309) 699-9233</t>
  </si>
  <si>
    <t>1/8/2013</t>
  </si>
  <si>
    <t>LUDY'S KICKAPOO CREEK SALOON</t>
  </si>
  <si>
    <t>LUDY'S KICKAPOO CREEK SALOON INC</t>
  </si>
  <si>
    <t>B130277614</t>
  </si>
  <si>
    <t>812-0211729</t>
  </si>
  <si>
    <t>NRTA0156</t>
  </si>
  <si>
    <t>(309) 692-6446</t>
  </si>
  <si>
    <t>THE TROJAN CORNER</t>
  </si>
  <si>
    <t>JOSEPH RYNEARSON</t>
  </si>
  <si>
    <t xml:space="preserve">812-0401051 </t>
  </si>
  <si>
    <t>NRTA1154</t>
  </si>
  <si>
    <t>WOPPERS</t>
  </si>
  <si>
    <t>WOPPERS INC</t>
  </si>
  <si>
    <t>B130584004</t>
  </si>
  <si>
    <t>812-0106302</t>
  </si>
  <si>
    <t>NRTA0047</t>
  </si>
  <si>
    <t>(309) 742-8285</t>
  </si>
  <si>
    <t>JEN'S PLACE BAR AND GRILL CORP</t>
  </si>
  <si>
    <t>36 E FORT STREET</t>
  </si>
  <si>
    <t>B131092139</t>
  </si>
  <si>
    <t>W2303983</t>
  </si>
  <si>
    <t>812-0305900</t>
  </si>
  <si>
    <t>NRTA0682</t>
  </si>
  <si>
    <t>(309) 245-2905</t>
  </si>
  <si>
    <t>7TH WARD TAP</t>
  </si>
  <si>
    <t>SEVENTH WARD TAP INC</t>
  </si>
  <si>
    <t>B130275493</t>
  </si>
  <si>
    <t>812-0205956</t>
  </si>
  <si>
    <t>NRTA0054</t>
  </si>
  <si>
    <t>(309) 343-0607</t>
  </si>
  <si>
    <t>BEST WESTERN PRAIRIE INN</t>
  </si>
  <si>
    <t>GALESBURG PROPERTIES, LLC</t>
  </si>
  <si>
    <t>300 S SOANGETAHA RD</t>
  </si>
  <si>
    <t>812-0302417</t>
  </si>
  <si>
    <t>NRTA0249</t>
  </si>
  <si>
    <t>(309) 343-7151</t>
  </si>
  <si>
    <t>CACTUS COUNTRY</t>
  </si>
  <si>
    <t>HOW-DOG INC</t>
  </si>
  <si>
    <t>3075 W MAIN ST</t>
  </si>
  <si>
    <t>B140299507</t>
  </si>
  <si>
    <t>812-0302297</t>
  </si>
  <si>
    <t>NRTA0303</t>
  </si>
  <si>
    <t>(309) 342-8686</t>
  </si>
  <si>
    <t>DUFFY'S TAVERN</t>
  </si>
  <si>
    <t>ROSE M THORN ST GEORGE</t>
  </si>
  <si>
    <t>B130275484</t>
  </si>
  <si>
    <t>812-0316186</t>
  </si>
  <si>
    <t>NRTA0741</t>
  </si>
  <si>
    <t>(309) 343-6214</t>
  </si>
  <si>
    <t>2/7/2013</t>
  </si>
  <si>
    <t>GLASNOVICH TAVERN</t>
  </si>
  <si>
    <t>GLASNOVICH TAVERN INC</t>
  </si>
  <si>
    <t>B130275492</t>
  </si>
  <si>
    <t>WN64AB120900806</t>
  </si>
  <si>
    <t>(309) 342-8623</t>
  </si>
  <si>
    <t>MONKEY BUSINESS</t>
  </si>
  <si>
    <t>MONKEY BUSINESS, INC.</t>
  </si>
  <si>
    <t>812-0317945</t>
  </si>
  <si>
    <t>NRTA1235</t>
  </si>
  <si>
    <t>(309) 342-2577</t>
  </si>
  <si>
    <t>NORTHGATE FAMILY RECREATION</t>
  </si>
  <si>
    <t>DOWNIN ENTERPRISES INC</t>
  </si>
  <si>
    <t>B130275490</t>
  </si>
  <si>
    <t>812-0211675</t>
  </si>
  <si>
    <t>NRTA0104</t>
  </si>
  <si>
    <t>(309) 344-2311</t>
  </si>
  <si>
    <t>PATIO SNACK SHOP</t>
  </si>
  <si>
    <t>CHUI'ES SNACK SHOP INC</t>
  </si>
  <si>
    <t>B141118703</t>
  </si>
  <si>
    <t>812-0304256</t>
  </si>
  <si>
    <t>NRTA0364</t>
  </si>
  <si>
    <t>(309) 343-1511</t>
  </si>
  <si>
    <t>2/4/2013</t>
  </si>
  <si>
    <t>PZ'S PLACE &amp; STEAKHOUSE</t>
  </si>
  <si>
    <t>ABBE LANES BOWLING CENTER INC</t>
  </si>
  <si>
    <t>B130275472</t>
  </si>
  <si>
    <t>812-0304317</t>
  </si>
  <si>
    <t>NRTA0314</t>
  </si>
  <si>
    <t>(309) 299-6928</t>
  </si>
  <si>
    <t>SHADY HILL SALOON</t>
  </si>
  <si>
    <t>D.R.G. ENTERPRISES INC</t>
  </si>
  <si>
    <t>B140299504</t>
  </si>
  <si>
    <t>WN64AB120900780</t>
  </si>
  <si>
    <t>(309) 342-6747</t>
  </si>
  <si>
    <t>SHOW GIRL'S</t>
  </si>
  <si>
    <t>KNOX INVESTMENTS, INC,</t>
  </si>
  <si>
    <t xml:space="preserve">812-0313646 </t>
  </si>
  <si>
    <t>(309) 342-3080</t>
  </si>
  <si>
    <t>2/4/2014</t>
  </si>
  <si>
    <t>SILVER FRONT</t>
  </si>
  <si>
    <t>THE SILVER FRONT INC</t>
  </si>
  <si>
    <t>W2285435</t>
  </si>
  <si>
    <t>B130277635</t>
  </si>
  <si>
    <t>812-0211806</t>
  </si>
  <si>
    <t>NRTA0164</t>
  </si>
  <si>
    <t>(309) 342-1518</t>
  </si>
  <si>
    <t>THE CORRAL</t>
  </si>
  <si>
    <t>OK CORRAL OF GALESBURG INC</t>
  </si>
  <si>
    <t>B130275488</t>
  </si>
  <si>
    <t>812-0211515</t>
  </si>
  <si>
    <t>NRTA0061</t>
  </si>
  <si>
    <t>(309) 343-9013</t>
  </si>
  <si>
    <t>MARY'S FAMILY DINING</t>
  </si>
  <si>
    <t>MARY L HEPNER</t>
  </si>
  <si>
    <t>B130584035</t>
  </si>
  <si>
    <t>812-0211702</t>
  </si>
  <si>
    <t>NRTA1177</t>
  </si>
  <si>
    <t>(309) 932-2277</t>
  </si>
  <si>
    <t>BARNHOUSE RESTAURNANT</t>
  </si>
  <si>
    <t>LEVIDON, INC.</t>
  </si>
  <si>
    <t>420 S MAIN ST</t>
  </si>
  <si>
    <t>B130277607</t>
  </si>
  <si>
    <t>B130378883</t>
  </si>
  <si>
    <t>W2244005</t>
  </si>
  <si>
    <t>812-0401067</t>
  </si>
  <si>
    <t>NRTA1273</t>
  </si>
  <si>
    <t>(309) 853-1083</t>
  </si>
  <si>
    <t>CERNO'S</t>
  </si>
  <si>
    <t>HYPE, INC.</t>
  </si>
  <si>
    <t>W2210397</t>
  </si>
  <si>
    <t>812-0305932</t>
  </si>
  <si>
    <t>NRTA0575</t>
  </si>
  <si>
    <t>(309) 853-3469</t>
  </si>
  <si>
    <t>FLEMISH AMERICAN CLUB</t>
  </si>
  <si>
    <t>313 N BURR BLVD</t>
  </si>
  <si>
    <t>B130991391</t>
  </si>
  <si>
    <t>W2324751</t>
  </si>
  <si>
    <t>WN64AB120900842</t>
  </si>
  <si>
    <t>(309) 853-1891</t>
  </si>
  <si>
    <t>4/10/15</t>
  </si>
  <si>
    <t>MISTY'S BAR</t>
  </si>
  <si>
    <t>TRACY J GLASGO</t>
  </si>
  <si>
    <t>605 N EAST ST</t>
  </si>
  <si>
    <t>B130583967</t>
  </si>
  <si>
    <t>W2313255</t>
  </si>
  <si>
    <t>WN64AB120800517</t>
  </si>
  <si>
    <t>(609) 853-2387</t>
  </si>
  <si>
    <t>VFW 8078 ASSOCIATION</t>
  </si>
  <si>
    <t>VETERANS OF FOREIGN WARS POST 8078</t>
  </si>
  <si>
    <t>200 W 5TH ST</t>
  </si>
  <si>
    <t>B130277311</t>
  </si>
  <si>
    <t>812-0302360</t>
  </si>
  <si>
    <t>NRTA0224</t>
  </si>
  <si>
    <t>(309) 852-2679</t>
  </si>
  <si>
    <t>HARRY W PHILBLAD POST #749</t>
  </si>
  <si>
    <t>HARRY W. PHILBAD POST NO. 749 AMERICAN LEGION DEPARTMENT OF IL</t>
  </si>
  <si>
    <t>749 HENDERSON RD</t>
  </si>
  <si>
    <t>KNOXVILLE</t>
  </si>
  <si>
    <t>B130277472</t>
  </si>
  <si>
    <t>812-0302380</t>
  </si>
  <si>
    <t>NRTA0257</t>
  </si>
  <si>
    <t>(309) 289-2315</t>
  </si>
  <si>
    <t>KNOXVILLE BAR &amp; GRILL</t>
  </si>
  <si>
    <t>THE GHADA COMPANY</t>
  </si>
  <si>
    <t>812-0304260</t>
  </si>
  <si>
    <t>(309) 289-8888</t>
  </si>
  <si>
    <t>ROADHOUSE SPORTS BAR</t>
  </si>
  <si>
    <t>STEELEJAX INC</t>
  </si>
  <si>
    <t>1101 E MAIN ST</t>
  </si>
  <si>
    <t>812-0302408</t>
  </si>
  <si>
    <t>NRTA0299</t>
  </si>
  <si>
    <t>(309) 289-9244</t>
  </si>
  <si>
    <t>BIG BEHM'S SPORTS BAR &amp; GRILL</t>
  </si>
  <si>
    <t>K &amp; T BEHM, INC.</t>
  </si>
  <si>
    <t>101 N 2ND ST</t>
  </si>
  <si>
    <t>W2237270</t>
  </si>
  <si>
    <t>B130277480</t>
  </si>
  <si>
    <t>W2245081</t>
  </si>
  <si>
    <t>812-0211769</t>
  </si>
  <si>
    <t>NRTA1228</t>
  </si>
  <si>
    <t>HAYNES ON MAIN</t>
  </si>
  <si>
    <t>108 S MAIN ST</t>
  </si>
  <si>
    <t>MACKINAW</t>
  </si>
  <si>
    <t>B131091613</t>
  </si>
  <si>
    <t>812-0316163</t>
  </si>
  <si>
    <t>NRTA0799</t>
  </si>
  <si>
    <t>MOONBEAM'S SALOON</t>
  </si>
  <si>
    <t>MOON BEAM'S SALOON INC</t>
  </si>
  <si>
    <t>B131091641</t>
  </si>
  <si>
    <t>812-0205995</t>
  </si>
  <si>
    <t>NRTA0044</t>
  </si>
  <si>
    <t>(309) 875-3145</t>
  </si>
  <si>
    <t>1/16/2013</t>
  </si>
  <si>
    <t>PETRI'S POUR HOUSE</t>
  </si>
  <si>
    <t>PETRI'S POUR HOUSE, INC.</t>
  </si>
  <si>
    <t>436 N CHESTNUT</t>
  </si>
  <si>
    <t>MINONK</t>
  </si>
  <si>
    <t>W2304022</t>
  </si>
  <si>
    <t>812-0408352</t>
  </si>
  <si>
    <t>NRTA2501</t>
  </si>
  <si>
    <t>(309) 432-2332</t>
  </si>
  <si>
    <t>DEEP POCKETS BILLIARDS</t>
  </si>
  <si>
    <t>DEEP POCKETS BILLIARDS, LLC</t>
  </si>
  <si>
    <t>3810 27TH ST</t>
  </si>
  <si>
    <t>B131193280</t>
  </si>
  <si>
    <t>W2237262</t>
  </si>
  <si>
    <t>812-0408314</t>
  </si>
  <si>
    <t>QUAD CITIES FAMILY ENTERTAINMENT CENTER</t>
  </si>
  <si>
    <t>4401 44TH AVE</t>
  </si>
  <si>
    <t>B130277131</t>
  </si>
  <si>
    <t>812-0316219</t>
  </si>
  <si>
    <t>(309) 517-1158</t>
  </si>
  <si>
    <t>BIJOU PUB</t>
  </si>
  <si>
    <t>ANDREW WATERS</t>
  </si>
  <si>
    <t>B130277631</t>
  </si>
  <si>
    <t>WN64AB120900769</t>
  </si>
  <si>
    <t>(309) 734-8911</t>
  </si>
  <si>
    <t>DANNY'S TAP</t>
  </si>
  <si>
    <t>DANNY'S TAP INC</t>
  </si>
  <si>
    <t>B130174487</t>
  </si>
  <si>
    <t>812-0316198</t>
  </si>
  <si>
    <t>NRTA0868</t>
  </si>
  <si>
    <t>(309) 734-2841</t>
  </si>
  <si>
    <t>FOUR STAR BAR &amp; GRILL</t>
  </si>
  <si>
    <t>FOUR STAR BAR &amp; GRILL INC</t>
  </si>
  <si>
    <t>B130275495</t>
  </si>
  <si>
    <t>812-0211791</t>
  </si>
  <si>
    <t>NRTA0139</t>
  </si>
  <si>
    <t>(309) 299-7948</t>
  </si>
  <si>
    <t>MARION B FLETCHER</t>
  </si>
  <si>
    <t>MARION B FLETCHER POST 136 AMERICAN LEGION</t>
  </si>
  <si>
    <t>B130275491</t>
  </si>
  <si>
    <t>812-0211673</t>
  </si>
  <si>
    <t>NRTA0200</t>
  </si>
  <si>
    <t>(309) 734-2976</t>
  </si>
  <si>
    <t>MCMAHON PUB</t>
  </si>
  <si>
    <t>MCMAHON'S PUB INC</t>
  </si>
  <si>
    <t>WN64AB120800570</t>
  </si>
  <si>
    <t>(309) 734-2227</t>
  </si>
  <si>
    <t>PAPA'S</t>
  </si>
  <si>
    <t>BUTCH CRAIN INC</t>
  </si>
  <si>
    <t>701 S MAIN ST</t>
  </si>
  <si>
    <t>B130583950</t>
  </si>
  <si>
    <t>812-0302428</t>
  </si>
  <si>
    <t>(309) 734-7299</t>
  </si>
  <si>
    <t>8/22/2013</t>
  </si>
  <si>
    <t>THE ALLEY</t>
  </si>
  <si>
    <t>TERRY SHAMBLIN</t>
  </si>
  <si>
    <t>B130584033</t>
  </si>
  <si>
    <t>812-0304288</t>
  </si>
  <si>
    <t>NRTA0371</t>
  </si>
  <si>
    <t>(309) 734-2885</t>
  </si>
  <si>
    <t>VILLAGE PUB OF NEW HOLLAND</t>
  </si>
  <si>
    <t>STYLES TORA LYNN</t>
  </si>
  <si>
    <t>102 W LINCOLN ST</t>
  </si>
  <si>
    <t>NEW HOLLAND</t>
  </si>
  <si>
    <t>W2303944</t>
  </si>
  <si>
    <t>812-0407956</t>
  </si>
  <si>
    <t>NEW WINDSOR DEPOT</t>
  </si>
  <si>
    <t>DALE MARSHALL INC</t>
  </si>
  <si>
    <t>B121169888</t>
  </si>
  <si>
    <t>WN64AB120900840</t>
  </si>
  <si>
    <t>(309) 667-2801</t>
  </si>
  <si>
    <t>RHYTHM CAFÉ</t>
  </si>
  <si>
    <t>DUBACH PUBLISHING, LLC.</t>
  </si>
  <si>
    <t>304 N MAIN SUITE C</t>
  </si>
  <si>
    <t>812-0404119</t>
  </si>
  <si>
    <t>NRTA1214</t>
  </si>
  <si>
    <t>(309) 451-1114</t>
  </si>
  <si>
    <t>DRINKING CONSULTANTS</t>
  </si>
  <si>
    <t>GREGORY BEUCHER</t>
  </si>
  <si>
    <t>402 SCHUYLER</t>
  </si>
  <si>
    <t>OQUAWKA</t>
  </si>
  <si>
    <t>812-0304385</t>
  </si>
  <si>
    <t>NRTA0298</t>
  </si>
  <si>
    <t>(309) 867-9988</t>
  </si>
  <si>
    <t>SIDETRACKED SALOON</t>
  </si>
  <si>
    <t>TBHB, INC.</t>
  </si>
  <si>
    <t>906 3RD ST</t>
  </si>
  <si>
    <t>B131091580</t>
  </si>
  <si>
    <t>812-0401244</t>
  </si>
  <si>
    <t>NRTA1148</t>
  </si>
  <si>
    <t>(309) 526-3050</t>
  </si>
  <si>
    <t>WOO DOGS PUB &amp; GRUB</t>
  </si>
  <si>
    <t>MARWOOD OF ILLINOIS, INC</t>
  </si>
  <si>
    <t>B130991411</t>
  </si>
  <si>
    <t>WN64AB120600360</t>
  </si>
  <si>
    <t>(309) 526-8888</t>
  </si>
  <si>
    <t>AMERICAN LEGION POST 44</t>
  </si>
  <si>
    <t>WILLIAM SCHAEFER POST NO. 44 AMERICAN LEGION DEPARTMENT OF ILLINOIS</t>
  </si>
  <si>
    <t>W2220186</t>
  </si>
  <si>
    <t>B130275499</t>
  </si>
  <si>
    <t>812-0316142</t>
  </si>
  <si>
    <t>NRTA0823</t>
  </si>
  <si>
    <t>(309) 346-6483</t>
  </si>
  <si>
    <t>HOLE IN THE WALL</t>
  </si>
  <si>
    <t>PEKIN'S HOLE IN THE WALL INC</t>
  </si>
  <si>
    <t>B131091626</t>
  </si>
  <si>
    <t>812-0317952</t>
  </si>
  <si>
    <t>NRTA0979</t>
  </si>
  <si>
    <t>(309) 353-9408</t>
  </si>
  <si>
    <t>PEKIN BOAT CLUB</t>
  </si>
  <si>
    <t>PEKIN BOAT CLUB, INC</t>
  </si>
  <si>
    <t>B131091649</t>
  </si>
  <si>
    <t>812-0305904</t>
  </si>
  <si>
    <t>NRTA0609</t>
  </si>
  <si>
    <t>(309) 346-9133</t>
  </si>
  <si>
    <t>AURELIO'S PIZZA</t>
  </si>
  <si>
    <t>ROACHMAN 64, INC.</t>
  </si>
  <si>
    <t>3821 N STERLING AVE</t>
  </si>
  <si>
    <t>W2299442</t>
  </si>
  <si>
    <t>B120964617</t>
  </si>
  <si>
    <t xml:space="preserve">812-0304428 </t>
  </si>
  <si>
    <t>NRTA0415</t>
  </si>
  <si>
    <t>(309) 682-3722</t>
  </si>
  <si>
    <t>CHAMPS WEST</t>
  </si>
  <si>
    <t>CHAMPS OF PEORIA, INC.</t>
  </si>
  <si>
    <t>B130275457</t>
  </si>
  <si>
    <t>812-0401224</t>
  </si>
  <si>
    <t>NRTA1215</t>
  </si>
  <si>
    <t>CRUSENS I</t>
  </si>
  <si>
    <t>CRUSEN &amp; KLEIN, INC.</t>
  </si>
  <si>
    <t>B131193271</t>
  </si>
  <si>
    <t xml:space="preserve">812-0313672 </t>
  </si>
  <si>
    <t>NRTA0711</t>
  </si>
  <si>
    <t>(309) 686-3890</t>
  </si>
  <si>
    <t>THE THIRD DEGREE CLUB</t>
  </si>
  <si>
    <t>THE THIRD DEGREE CLUB, INC.</t>
  </si>
  <si>
    <t>B130173522</t>
  </si>
  <si>
    <t>812-0316222</t>
  </si>
  <si>
    <t>NRTA0848</t>
  </si>
  <si>
    <t>(309) 692-9696</t>
  </si>
  <si>
    <t>SILVER DOLLAR TAVERN</t>
  </si>
  <si>
    <t>KERKER INC</t>
  </si>
  <si>
    <t>PEORIA HEIGHTS</t>
  </si>
  <si>
    <t>B130277605</t>
  </si>
  <si>
    <t>W2294818</t>
  </si>
  <si>
    <t>812-0211747</t>
  </si>
  <si>
    <t>NRTA0163</t>
  </si>
  <si>
    <t>(309) 685-9413</t>
  </si>
  <si>
    <t>VFW POST 2602</t>
  </si>
  <si>
    <t>LAWRENCE J. CROSS POST 2602 V.F.W.</t>
  </si>
  <si>
    <t>1505 E LAKE AVE</t>
  </si>
  <si>
    <t>B130583958</t>
  </si>
  <si>
    <t>812-0304427</t>
  </si>
  <si>
    <t>NRTA0419</t>
  </si>
  <si>
    <t>(309) 682-9875</t>
  </si>
  <si>
    <t>DUEY'S CORNER TAP</t>
  </si>
  <si>
    <t>PORT BYRON</t>
  </si>
  <si>
    <t>812-0313644</t>
  </si>
  <si>
    <t>NRTA1049</t>
  </si>
  <si>
    <t>(309) 523-3751</t>
  </si>
  <si>
    <t>PRINCEVILLE GOLD STAR POST 1255</t>
  </si>
  <si>
    <t>PRINCEVILLE VFW GOLD STAR POST 1255</t>
  </si>
  <si>
    <t>B131091605</t>
  </si>
  <si>
    <t xml:space="preserve">812-0305827 </t>
  </si>
  <si>
    <t>NRTA0553</t>
  </si>
  <si>
    <t>(309) 385-2600</t>
  </si>
  <si>
    <t>11/26/2013</t>
  </si>
  <si>
    <t>PRINCEVILLE TAP</t>
  </si>
  <si>
    <t>PRINCEVILLE TAP INC</t>
  </si>
  <si>
    <t>129 E MAIN ST</t>
  </si>
  <si>
    <t>812-0304388</t>
  </si>
  <si>
    <t>NRTA0302</t>
  </si>
  <si>
    <t>(309) 385-2159</t>
  </si>
  <si>
    <t>GIMPY'S ON 150</t>
  </si>
  <si>
    <t>TIFFANY A. LEFFLER</t>
  </si>
  <si>
    <t>B130173540</t>
  </si>
  <si>
    <t>WN64AB120900700</t>
  </si>
  <si>
    <t>(309) 972-5616</t>
  </si>
  <si>
    <t>LEGEND'S CORNER BAR &amp; GRILL</t>
  </si>
  <si>
    <t>HINER CO.</t>
  </si>
  <si>
    <t>3008 7TH AVENUE</t>
  </si>
  <si>
    <t>B130277132</t>
  </si>
  <si>
    <t>812-0313701</t>
  </si>
  <si>
    <t>NRTA0889</t>
  </si>
  <si>
    <t>(309) 283-7628</t>
  </si>
  <si>
    <t>9/26/2013</t>
  </si>
  <si>
    <t>THE ROCK ISLAND BREWING COMPANY/ 2ND AVENUE</t>
  </si>
  <si>
    <t>RIBCO, INC</t>
  </si>
  <si>
    <t>812-0401171</t>
  </si>
  <si>
    <t>(309) 793-0085</t>
  </si>
  <si>
    <t>HOMER'S HOUSE</t>
  </si>
  <si>
    <t>HOMER'S HOUSE INC</t>
  </si>
  <si>
    <t>B130584037</t>
  </si>
  <si>
    <t>WN64AB120600485</t>
  </si>
  <si>
    <t>(309) 426-1705</t>
  </si>
  <si>
    <t>R BAR</t>
  </si>
  <si>
    <t>R BAR LLC</t>
  </si>
  <si>
    <t>W2256562</t>
  </si>
  <si>
    <t>812-0302378</t>
  </si>
  <si>
    <t>NRTA0301</t>
  </si>
  <si>
    <t>(309) 286-7087</t>
  </si>
  <si>
    <t>TOULON TAP</t>
  </si>
  <si>
    <t>TOULON TAP, LLC</t>
  </si>
  <si>
    <t>110 N WASHINGTON</t>
  </si>
  <si>
    <t xml:space="preserve">812-0302398 </t>
  </si>
  <si>
    <t>NRTA0373</t>
  </si>
  <si>
    <t>(309) 286-7038</t>
  </si>
  <si>
    <t>8/21/2013</t>
  </si>
  <si>
    <t>YOKEL INN</t>
  </si>
  <si>
    <t>ARTHUR R. LANG</t>
  </si>
  <si>
    <t>22461 IL ROUTE 9</t>
  </si>
  <si>
    <t>TREMONT</t>
  </si>
  <si>
    <t>W2276133</t>
  </si>
  <si>
    <t>812-0313650</t>
  </si>
  <si>
    <t>NRTA0706</t>
  </si>
  <si>
    <t>(309) 925-4104</t>
  </si>
  <si>
    <t>NOWHERE BAR &amp; GRILL</t>
  </si>
  <si>
    <t>AS LAKE INC</t>
  </si>
  <si>
    <t>B130173513</t>
  </si>
  <si>
    <t>812-0211751</t>
  </si>
  <si>
    <t>NRTA0105</t>
  </si>
  <si>
    <t>(309) 879-2337</t>
  </si>
  <si>
    <t>GRACIE'S SPORTS GRILLE &amp; PIZZA</t>
  </si>
  <si>
    <t>GRACIE'S RESTAURANT INC</t>
  </si>
  <si>
    <t>1021 N CUMMINGS LN.</t>
  </si>
  <si>
    <t>WASHINGTON</t>
  </si>
  <si>
    <t>812-0317937</t>
  </si>
  <si>
    <t>NRTA0847</t>
  </si>
  <si>
    <t>(309) 444-7313</t>
  </si>
  <si>
    <t>3/6/2013</t>
  </si>
  <si>
    <t>CRUSENS II</t>
  </si>
  <si>
    <t>B131092133</t>
  </si>
  <si>
    <t xml:space="preserve">812-0313664 </t>
  </si>
  <si>
    <t>NRTA0712</t>
  </si>
  <si>
    <t>(309) 673-7100</t>
  </si>
  <si>
    <t>GENISIO'S</t>
  </si>
  <si>
    <t>CRAIG GENISIO, INC.</t>
  </si>
  <si>
    <t>B130991384</t>
  </si>
  <si>
    <t xml:space="preserve">812-0304392 </t>
  </si>
  <si>
    <t>NRTA0556</t>
  </si>
  <si>
    <t>(309) 334-2665</t>
  </si>
  <si>
    <t>THE END ZONE</t>
  </si>
  <si>
    <t>DAN W SAUTER</t>
  </si>
  <si>
    <t>B130991385</t>
  </si>
  <si>
    <t xml:space="preserve">812-0304311 </t>
  </si>
  <si>
    <t>NRTA0552</t>
  </si>
  <si>
    <t>(309) 334-2641</t>
  </si>
  <si>
    <t>10/9/2013</t>
  </si>
  <si>
    <t>HALL'S BREW ROOM</t>
  </si>
  <si>
    <t>HALL'S BREW ROOM INC</t>
  </si>
  <si>
    <t>B130173515</t>
  </si>
  <si>
    <t>812-0211668</t>
  </si>
  <si>
    <t>NRTA0150</t>
  </si>
  <si>
    <t>(309) 358-1370</t>
  </si>
  <si>
    <t>Ship To Accel Regional Office:</t>
  </si>
  <si>
    <t>ListA</t>
  </si>
  <si>
    <t>Technician</t>
  </si>
  <si>
    <t>Regional Manager</t>
  </si>
  <si>
    <t>Shipping Method</t>
  </si>
  <si>
    <t>Time/Date of Request</t>
  </si>
  <si>
    <t>Time/Date of Shipment</t>
  </si>
  <si>
    <t>Location #</t>
  </si>
  <si>
    <t>REGIONAL MANAGER</t>
  </si>
  <si>
    <t>Spielo</t>
  </si>
  <si>
    <t>WMS</t>
  </si>
  <si>
    <t>Bally</t>
  </si>
  <si>
    <t>IGT</t>
  </si>
  <si>
    <t>17, 20, 21, 22</t>
  </si>
  <si>
    <t>33, 34</t>
  </si>
  <si>
    <t>VGT</t>
  </si>
  <si>
    <t>VR-</t>
  </si>
  <si>
    <t>Chicago Gaming</t>
  </si>
  <si>
    <t>W2 or 50</t>
  </si>
  <si>
    <t>B1</t>
  </si>
  <si>
    <t>Manufacturer #1</t>
  </si>
  <si>
    <t>Manufacturer #2</t>
  </si>
  <si>
    <t>Manufacturer #3</t>
  </si>
  <si>
    <t>Manufacturer #4</t>
  </si>
  <si>
    <t>Manufacturer #5</t>
  </si>
  <si>
    <t>Is Game Down?</t>
  </si>
  <si>
    <t>Site Machine Serial #s</t>
  </si>
  <si>
    <t>COMMENTS</t>
  </si>
  <si>
    <t>PARTS BEING REQUESTED</t>
  </si>
  <si>
    <t>Part Number</t>
  </si>
  <si>
    <t>Part Name</t>
  </si>
  <si>
    <t>Qty Needed</t>
  </si>
  <si>
    <t>Online / App ID</t>
  </si>
  <si>
    <t>FedEx First Overnight (Requires Agent Appt.)</t>
  </si>
  <si>
    <t>FedEx Priority Overnight (Requires Agent Appt.)</t>
  </si>
  <si>
    <t>FedEx Ground</t>
  </si>
  <si>
    <t>Shuttle</t>
  </si>
  <si>
    <t>Call Center Representative</t>
  </si>
  <si>
    <t>John Kizorek</t>
  </si>
  <si>
    <t>Austin Beaver</t>
  </si>
  <si>
    <t>Max Stasiow</t>
  </si>
  <si>
    <t>Mike Pastore</t>
  </si>
  <si>
    <t>Christina Boles</t>
  </si>
  <si>
    <t>Is Game Under Warranty?</t>
  </si>
  <si>
    <t>Jeff Niemann</t>
  </si>
  <si>
    <r>
      <t xml:space="preserve">    </t>
    </r>
    <r>
      <rPr>
        <b/>
        <sz val="14"/>
        <rFont val="Arial"/>
        <family val="2"/>
      </rPr>
      <t>YES</t>
    </r>
    <r>
      <rPr>
        <b/>
        <sz val="14"/>
        <color rgb="FFFF0000"/>
        <rFont val="Arial"/>
        <family val="2"/>
      </rPr>
      <t xml:space="preserve">           </t>
    </r>
    <r>
      <rPr>
        <b/>
        <sz val="14"/>
        <rFont val="Arial"/>
        <family val="2"/>
      </rPr>
      <t>NO</t>
    </r>
  </si>
  <si>
    <r>
      <rPr>
        <b/>
        <sz val="14"/>
        <color rgb="FFFF0000"/>
        <rFont val="Arial"/>
        <family val="2"/>
      </rPr>
      <t xml:space="preserve">    YES           </t>
    </r>
    <r>
      <rPr>
        <b/>
        <sz val="14"/>
        <rFont val="Arial"/>
        <family val="2"/>
      </rPr>
      <t>NO</t>
    </r>
  </si>
  <si>
    <t>Tracking # (If Applicable)</t>
  </si>
  <si>
    <t>Model</t>
  </si>
  <si>
    <t>Serial Number</t>
  </si>
  <si>
    <t>TR8011 KIOSK</t>
  </si>
  <si>
    <t>AVP E20 Upright</t>
  </si>
  <si>
    <t>Prodigy Vu</t>
  </si>
  <si>
    <t>Quickpay</t>
  </si>
  <si>
    <t>812-0211756</t>
  </si>
  <si>
    <t>812-0304395</t>
  </si>
  <si>
    <t>812-0401057</t>
  </si>
  <si>
    <t>812-0304279</t>
  </si>
  <si>
    <t>812-0211741</t>
  </si>
  <si>
    <t>812-0317956</t>
  </si>
  <si>
    <t>812-0305906</t>
  </si>
  <si>
    <t>812-0318035</t>
  </si>
  <si>
    <t>812-0316195</t>
  </si>
  <si>
    <t>812-0211721</t>
  </si>
  <si>
    <t>812-0316136</t>
  </si>
  <si>
    <t>812-0304423</t>
  </si>
  <si>
    <t>812-0106393</t>
  </si>
  <si>
    <t>812-0304280</t>
  </si>
  <si>
    <t>812-0304405</t>
  </si>
  <si>
    <t>812-0305929</t>
  </si>
  <si>
    <t>812-0106376</t>
  </si>
  <si>
    <t>812-0305785</t>
  </si>
  <si>
    <t>812-0302367</t>
  </si>
  <si>
    <t>812-0310397</t>
  </si>
  <si>
    <t>812-0408003</t>
  </si>
  <si>
    <t>812-0408005</t>
  </si>
  <si>
    <t>812-0407912</t>
  </si>
  <si>
    <t>812-0407941</t>
  </si>
  <si>
    <t>812-0407927</t>
  </si>
  <si>
    <t>812-0407961</t>
  </si>
  <si>
    <t>812-0407980</t>
  </si>
  <si>
    <t>812-0407934</t>
  </si>
  <si>
    <t>812-0407978</t>
  </si>
  <si>
    <t>812-0408270</t>
  </si>
  <si>
    <t>812-0401163</t>
  </si>
  <si>
    <t>812-0205931</t>
  </si>
  <si>
    <t>812-0106381</t>
  </si>
  <si>
    <t>812-0313641</t>
  </si>
  <si>
    <t>812-0317960</t>
  </si>
  <si>
    <t>812-0404116</t>
  </si>
  <si>
    <t>812-0305895</t>
  </si>
  <si>
    <t>812-0316164</t>
  </si>
  <si>
    <t>Quickpay PLUS</t>
  </si>
  <si>
    <t>812-0317977</t>
  </si>
  <si>
    <t>812-0304375</t>
  </si>
  <si>
    <t>812-0305841</t>
  </si>
  <si>
    <t>SafeCash</t>
  </si>
  <si>
    <t>WN64AB120600159</t>
  </si>
  <si>
    <t>WN64AB120600257</t>
  </si>
  <si>
    <t>WN64AB120600259</t>
  </si>
  <si>
    <t>WN64AB120600315</t>
  </si>
  <si>
    <t>WN64AB120600323</t>
  </si>
  <si>
    <t>WN64AB120600358</t>
  </si>
  <si>
    <t>WN64AB120600436</t>
  </si>
  <si>
    <t>WN64AB120600475</t>
  </si>
  <si>
    <t>WN64AB120800505</t>
  </si>
  <si>
    <t>WN64AB120800542</t>
  </si>
  <si>
    <t>WN64AB120800558</t>
  </si>
  <si>
    <t>WN64AB120800569</t>
  </si>
  <si>
    <t>WN64AB120900755</t>
  </si>
  <si>
    <t>WN64AB120900782</t>
  </si>
  <si>
    <t>WN64AB120900798</t>
  </si>
  <si>
    <t>WN64AB120900804</t>
  </si>
  <si>
    <t>WN64AB120900835</t>
  </si>
  <si>
    <t>WN64AB120900838</t>
  </si>
  <si>
    <t>WN64AB120500034</t>
  </si>
  <si>
    <t>WN64AB120800560</t>
  </si>
  <si>
    <t>WN64AB120800608</t>
  </si>
  <si>
    <t>WN64AB120900787</t>
  </si>
  <si>
    <t>WN64AB120500051</t>
  </si>
  <si>
    <t>WN64AB120600285</t>
  </si>
  <si>
    <t>WN64AB120500012</t>
  </si>
  <si>
    <t>WN64AB120900750</t>
  </si>
  <si>
    <t>WN64AB120800519</t>
  </si>
  <si>
    <t>WN64AB120800576</t>
  </si>
  <si>
    <t>WN64AB120600427</t>
  </si>
  <si>
    <t>WN64AB120800525</t>
  </si>
  <si>
    <t>WN64AB120600498</t>
  </si>
  <si>
    <t>WN64AB120500003</t>
  </si>
  <si>
    <t>WN64AB120600439</t>
  </si>
  <si>
    <t>WN64AB120800527</t>
  </si>
  <si>
    <t>WN64AB120600421</t>
  </si>
  <si>
    <t>WN64AB120500015</t>
  </si>
  <si>
    <t>WN64AB120500046</t>
  </si>
  <si>
    <t>WN64AB120500037</t>
  </si>
  <si>
    <t>WN64AB120800593</t>
  </si>
  <si>
    <t>WN64AB120800572</t>
  </si>
  <si>
    <t>WN64AB120800546</t>
  </si>
  <si>
    <t>WN64AB120600466</t>
  </si>
  <si>
    <t>WN64AB120800580</t>
  </si>
  <si>
    <t>WN64AB120500025</t>
  </si>
  <si>
    <t>WN64AB120600368</t>
  </si>
  <si>
    <t>WN64AB120900841</t>
  </si>
  <si>
    <t>WN64AB120800528</t>
  </si>
  <si>
    <t>VIRIDIAN GEN7 UPRIGHT</t>
  </si>
  <si>
    <t>VIR2053189</t>
  </si>
  <si>
    <t>VIR2053639</t>
  </si>
  <si>
    <t>VIR2053183</t>
  </si>
  <si>
    <t>VIR2053192</t>
  </si>
  <si>
    <t>VIR2009680</t>
  </si>
  <si>
    <t>VIR2053194</t>
  </si>
  <si>
    <t>VIR2044667</t>
  </si>
  <si>
    <t>VIR2011498</t>
  </si>
  <si>
    <t>VIR2006312</t>
  </si>
  <si>
    <t>VIR2053196</t>
  </si>
  <si>
    <t>AH-1V227ST</t>
  </si>
  <si>
    <t>B141118690</t>
  </si>
  <si>
    <t>B150222402</t>
  </si>
  <si>
    <t>B150222393</t>
  </si>
  <si>
    <t>B150222396</t>
  </si>
  <si>
    <t>B150222406</t>
  </si>
  <si>
    <t>B150222407</t>
  </si>
  <si>
    <t>B150222387</t>
  </si>
  <si>
    <t>B150222398</t>
  </si>
  <si>
    <t>B150222390</t>
  </si>
  <si>
    <t>AP-1V22-ST</t>
  </si>
  <si>
    <t>B130277284</t>
  </si>
  <si>
    <t>B130275481</t>
  </si>
  <si>
    <t>AP-1V32-ST</t>
  </si>
  <si>
    <t>B130584017</t>
  </si>
  <si>
    <t>B130277612</t>
  </si>
  <si>
    <t>B131091581</t>
  </si>
  <si>
    <t>B140299496</t>
  </si>
  <si>
    <t>B131194597</t>
  </si>
  <si>
    <t>B130277630</t>
  </si>
  <si>
    <t>B131194567</t>
  </si>
  <si>
    <t>B130584011</t>
  </si>
  <si>
    <t>B120862977</t>
  </si>
  <si>
    <t>B130584012</t>
  </si>
  <si>
    <t>B130378781</t>
  </si>
  <si>
    <t>B140299490</t>
  </si>
  <si>
    <t>B131194600</t>
  </si>
  <si>
    <t>B130991394</t>
  </si>
  <si>
    <t>Vegas Royale-15100</t>
  </si>
  <si>
    <t>VR-1079</t>
  </si>
  <si>
    <t>VR-1081</t>
  </si>
  <si>
    <t>VR-1088</t>
  </si>
  <si>
    <t>VR-1106</t>
  </si>
  <si>
    <t>VR-1113</t>
  </si>
  <si>
    <t>VR-1114</t>
  </si>
  <si>
    <t>VR-1129</t>
  </si>
  <si>
    <t>VR-1130</t>
  </si>
  <si>
    <t>VR-1131</t>
  </si>
  <si>
    <t>VR-1133</t>
  </si>
  <si>
    <t>E20 Bar Top</t>
  </si>
  <si>
    <t>G23 Upright</t>
  </si>
  <si>
    <t>IGT-23 Slant</t>
  </si>
  <si>
    <t>IGT-GK 19 Slant</t>
  </si>
  <si>
    <t>Vu Slant</t>
  </si>
  <si>
    <t>VGT DS Model</t>
  </si>
  <si>
    <t>WMS Blue Bird2</t>
  </si>
  <si>
    <t>W2304197</t>
  </si>
  <si>
    <t>W2235790</t>
  </si>
  <si>
    <t>W2303994</t>
  </si>
  <si>
    <t>W2304021</t>
  </si>
  <si>
    <t>W2210402</t>
  </si>
  <si>
    <t>WMS Blue BirdXD Slant</t>
  </si>
  <si>
    <t>812-0404148</t>
  </si>
  <si>
    <t>812-0401222</t>
  </si>
  <si>
    <t>812-0407992</t>
  </si>
  <si>
    <t>812-0407958</t>
  </si>
  <si>
    <t>812-0408008</t>
  </si>
  <si>
    <t>WN64AB120600374</t>
  </si>
  <si>
    <t>WN64AB120800555</t>
  </si>
  <si>
    <t>WN64AB120900811</t>
  </si>
  <si>
    <t>WN64AB120500050</t>
  </si>
  <si>
    <t>WN64AB120900765</t>
  </si>
  <si>
    <t>WN64AB120500047</t>
  </si>
  <si>
    <t>WN64AB120800541</t>
  </si>
  <si>
    <t>WN64AB120900763</t>
  </si>
  <si>
    <t>WN64AB120800557</t>
  </si>
  <si>
    <t>WN64AB120600367</t>
  </si>
  <si>
    <t>WN64AB120800530</t>
  </si>
  <si>
    <t>WN64AB120800544</t>
  </si>
  <si>
    <t>WN64AB120900794</t>
  </si>
  <si>
    <t>B141118695</t>
  </si>
  <si>
    <t>B150222401</t>
  </si>
  <si>
    <t>B150222394</t>
  </si>
  <si>
    <t>B150222392</t>
  </si>
  <si>
    <t>B130991397</t>
  </si>
  <si>
    <t>B131091565</t>
  </si>
  <si>
    <t>W2237263</t>
  </si>
  <si>
    <t>W2210401</t>
  </si>
  <si>
    <t>W2237243</t>
  </si>
  <si>
    <t>W2303933</t>
  </si>
  <si>
    <t>W2235787</t>
  </si>
  <si>
    <t>WN64AB120600425</t>
  </si>
  <si>
    <t>812-0316211</t>
  </si>
  <si>
    <t>B131193263</t>
  </si>
  <si>
    <t>B131194578</t>
  </si>
  <si>
    <t>WN64AB120600265</t>
  </si>
  <si>
    <t>B130275512</t>
  </si>
  <si>
    <t>W2324734</t>
  </si>
  <si>
    <t>W2324747</t>
  </si>
  <si>
    <t>W2324738</t>
  </si>
  <si>
    <t>W2321704</t>
  </si>
  <si>
    <t>B120863137</t>
  </si>
  <si>
    <t>812-0304392</t>
  </si>
  <si>
    <t>812-0304378</t>
  </si>
  <si>
    <t>W2313704</t>
  </si>
  <si>
    <t>B130173533</t>
  </si>
  <si>
    <t>812-0304326</t>
  </si>
  <si>
    <t>812-0401076</t>
  </si>
  <si>
    <t>812-0304443</t>
  </si>
  <si>
    <t>812-0401209</t>
  </si>
  <si>
    <t>812-0304377</t>
  </si>
  <si>
    <t>WN64AB120900776</t>
  </si>
  <si>
    <t>812-0316140</t>
  </si>
  <si>
    <t>W2214011</t>
  </si>
  <si>
    <t>812-0401238</t>
  </si>
  <si>
    <t>812-0316187</t>
  </si>
  <si>
    <t>812-0305893</t>
  </si>
  <si>
    <t>812-0305986</t>
  </si>
  <si>
    <t>812-0316150</t>
  </si>
  <si>
    <t>812-0316218</t>
  </si>
  <si>
    <t>812-0317942</t>
  </si>
  <si>
    <t>W2246291</t>
  </si>
  <si>
    <t>812-0313632</t>
  </si>
  <si>
    <t>B131091584</t>
  </si>
  <si>
    <t>B130277610</t>
  </si>
  <si>
    <t>812-0304448</t>
  </si>
  <si>
    <t>812-0304269</t>
  </si>
  <si>
    <t>812-0401093</t>
  </si>
  <si>
    <t>812-0316165</t>
  </si>
  <si>
    <t>812-0401249</t>
  </si>
  <si>
    <t>B130277623</t>
  </si>
  <si>
    <t>812-0304421</t>
  </si>
  <si>
    <t>812-0304314</t>
  </si>
  <si>
    <t>812-0408304</t>
  </si>
  <si>
    <t>812-0313663</t>
  </si>
  <si>
    <t>812-0313725</t>
  </si>
  <si>
    <t>812-0305831</t>
  </si>
  <si>
    <t>W2243991</t>
  </si>
  <si>
    <t>812-0304354</t>
  </si>
  <si>
    <t>812-0316214</t>
  </si>
  <si>
    <t>812-0304274</t>
  </si>
  <si>
    <t>812-0304275</t>
  </si>
  <si>
    <t>812-0316223</t>
  </si>
  <si>
    <t>WN64AB120600213</t>
  </si>
  <si>
    <t>812-0305860</t>
  </si>
  <si>
    <t>812-0304309</t>
  </si>
  <si>
    <t>812-0316151</t>
  </si>
  <si>
    <t>812-0304416</t>
  </si>
  <si>
    <t>812-0106268</t>
  </si>
  <si>
    <t>812-0302398</t>
  </si>
  <si>
    <t>812-0316157</t>
  </si>
  <si>
    <t>812-0305807</t>
  </si>
  <si>
    <t>812-0316197</t>
  </si>
  <si>
    <t>812-0106334</t>
  </si>
  <si>
    <t>812-0401173</t>
  </si>
  <si>
    <t>812-0305898</t>
  </si>
  <si>
    <t>812-0304286</t>
  </si>
  <si>
    <t>812-0304258</t>
  </si>
  <si>
    <t>812-0313709</t>
  </si>
  <si>
    <t>812-0304445</t>
  </si>
  <si>
    <t>812-0318018</t>
  </si>
  <si>
    <t>812-0304348</t>
  </si>
  <si>
    <t>812-0313642</t>
  </si>
  <si>
    <t>812-0313706</t>
  </si>
  <si>
    <t>812-0304292</t>
  </si>
  <si>
    <t>812-0305827</t>
  </si>
  <si>
    <t>812-0304356</t>
  </si>
  <si>
    <t>812-0316212</t>
  </si>
  <si>
    <t>812-0305868</t>
  </si>
  <si>
    <t>812-0316174</t>
  </si>
  <si>
    <t>WN64AB120800594</t>
  </si>
  <si>
    <t>812-0317933</t>
  </si>
  <si>
    <t>812-0317954</t>
  </si>
  <si>
    <t>812-0316158</t>
  </si>
  <si>
    <t>812-0304295</t>
  </si>
  <si>
    <t>812-0304311</t>
  </si>
  <si>
    <t>812-0316160</t>
  </si>
  <si>
    <t>B130277471</t>
  </si>
  <si>
    <t>812-0305877</t>
  </si>
  <si>
    <t>812-0304396</t>
  </si>
  <si>
    <t>812-0310355</t>
  </si>
  <si>
    <t>812-0211543</t>
  </si>
  <si>
    <t>812-0305789</t>
  </si>
  <si>
    <t>812-0313656</t>
  </si>
  <si>
    <t>812-0304308</t>
  </si>
  <si>
    <t>812-0304438</t>
  </si>
  <si>
    <t>812-0313691</t>
  </si>
  <si>
    <t>812-0316220</t>
  </si>
  <si>
    <t>812-0316152</t>
  </si>
  <si>
    <t>812-0313664</t>
  </si>
  <si>
    <t>812-0313672</t>
  </si>
  <si>
    <t>812-0313698</t>
  </si>
  <si>
    <t>812-0313646</t>
  </si>
  <si>
    <t>812-0401251</t>
  </si>
  <si>
    <t>812-0316193</t>
  </si>
  <si>
    <t>812-0302318</t>
  </si>
  <si>
    <t>812-0317944</t>
  </si>
  <si>
    <t>812-0313682</t>
  </si>
  <si>
    <t>812-0316206</t>
  </si>
  <si>
    <t>812-0316154</t>
  </si>
  <si>
    <t>812-0316189</t>
  </si>
  <si>
    <t>812-0304428</t>
  </si>
  <si>
    <t>812-0316216</t>
  </si>
  <si>
    <t>812-0401088</t>
  </si>
  <si>
    <t>B130277594</t>
  </si>
  <si>
    <t>812-0304319</t>
  </si>
  <si>
    <t>812-0211735</t>
  </si>
  <si>
    <t>812-0401056</t>
  </si>
  <si>
    <t>812-0401051</t>
  </si>
  <si>
    <t>812-0401049</t>
  </si>
  <si>
    <t>812-0401218</t>
  </si>
  <si>
    <t>812-0401086</t>
  </si>
  <si>
    <t>812-0408004</t>
  </si>
  <si>
    <t>812-0407936</t>
  </si>
  <si>
    <t>W2239506</t>
  </si>
  <si>
    <t>B131194586</t>
  </si>
  <si>
    <t>812-0407971</t>
  </si>
  <si>
    <t>B150222408</t>
  </si>
  <si>
    <t>B150222405</t>
  </si>
  <si>
    <t>LASALLE</t>
  </si>
  <si>
    <t>Appt. Date &amp; Time (if applicable)</t>
  </si>
  <si>
    <t>THIS SECTION TO BE COMPLETED BY THE PARTS DEPARTMENT</t>
  </si>
  <si>
    <t>Incident Number</t>
  </si>
  <si>
    <t>RMA #</t>
  </si>
  <si>
    <t>Redem. Term. #</t>
  </si>
  <si>
    <t>GNYLE FRANK</t>
  </si>
  <si>
    <t>KEITH RUSSO</t>
  </si>
  <si>
    <t>JIM JUDAY</t>
  </si>
  <si>
    <t>LEIGH ANN LARGENT</t>
  </si>
  <si>
    <t>PETE EKLIN</t>
  </si>
  <si>
    <t>TONY MITCHELL</t>
  </si>
  <si>
    <t>ROB SWANSON</t>
  </si>
  <si>
    <t>Pete Eklin</t>
  </si>
  <si>
    <t>Kevin Beaver</t>
  </si>
  <si>
    <t>Ryan Deppe</t>
  </si>
  <si>
    <t>Mike Holt</t>
  </si>
  <si>
    <t>David Hopper</t>
  </si>
  <si>
    <t>Scott Johnson</t>
  </si>
  <si>
    <t>Adrian Krynski</t>
  </si>
  <si>
    <t>Sam Landis</t>
  </si>
  <si>
    <t>David Orr</t>
  </si>
  <si>
    <t>Michael Nagy</t>
  </si>
  <si>
    <t>Todd Petrovski</t>
  </si>
  <si>
    <t>Eric Shilkaitis</t>
  </si>
  <si>
    <t>Mario Tayupanta Sr.</t>
  </si>
  <si>
    <t>Leigh Ann Largent</t>
  </si>
  <si>
    <t>Marc McCulley</t>
  </si>
  <si>
    <t>Steve Donahue</t>
  </si>
  <si>
    <t>Steve Burns</t>
  </si>
  <si>
    <t>Shawn Norville</t>
  </si>
  <si>
    <t>Tony Mitchell</t>
  </si>
  <si>
    <t>Dusten Duchay</t>
  </si>
  <si>
    <t>Jason Welker</t>
  </si>
  <si>
    <t>Joe Pepper</t>
  </si>
  <si>
    <t>Jeff Mettile</t>
  </si>
  <si>
    <t>Tom Andrlik</t>
  </si>
  <si>
    <t>Rob Swanson</t>
  </si>
  <si>
    <t>Nick Grap</t>
  </si>
  <si>
    <t>Rob Pearson</t>
  </si>
  <si>
    <t>Joe Paulson</t>
  </si>
  <si>
    <t>Gnyle Frank</t>
  </si>
  <si>
    <t>Robert Carey</t>
  </si>
  <si>
    <t>Scott Martin</t>
  </si>
  <si>
    <t>Andy Braden</t>
  </si>
  <si>
    <t>Kenny Eads</t>
  </si>
  <si>
    <t>Jim Juday</t>
  </si>
  <si>
    <t>Adam Kennedy</t>
  </si>
  <si>
    <t>Mike Nelson</t>
  </si>
  <si>
    <t>Perry Chandler</t>
  </si>
  <si>
    <t>Mark Heggar</t>
  </si>
  <si>
    <t>Stuart Tull</t>
  </si>
  <si>
    <t>Aaron Camarato</t>
  </si>
  <si>
    <t>Thad Lakatos</t>
  </si>
  <si>
    <t>Mike Brake</t>
  </si>
  <si>
    <t>Tyler Bertagnolli</t>
  </si>
  <si>
    <t>Moon Mullins</t>
  </si>
  <si>
    <t>Larry Barnes</t>
  </si>
  <si>
    <t>Jim Scherer</t>
  </si>
  <si>
    <t>Ryan Strickland</t>
  </si>
  <si>
    <t>Randy Fisher</t>
  </si>
  <si>
    <t>Dan Shain</t>
  </si>
  <si>
    <t>Used from Technicians Kit?</t>
  </si>
  <si>
    <t>Agent Appt. Date &amp; Time (if applicable)</t>
  </si>
  <si>
    <t>Is a Return Required?</t>
  </si>
  <si>
    <t>RMA Request Form</t>
  </si>
  <si>
    <t>RMA Request #</t>
  </si>
  <si>
    <t>Date of Original Order</t>
  </si>
  <si>
    <t>Due Date of Return</t>
  </si>
  <si>
    <t>Part Description</t>
  </si>
  <si>
    <t>Qty</t>
  </si>
  <si>
    <t>Return Shipment Method</t>
  </si>
  <si>
    <t>Return Tracking # (if applicable)</t>
  </si>
  <si>
    <t>Returning from region</t>
  </si>
  <si>
    <t>PARTS REQUEST FORM</t>
  </si>
  <si>
    <t>NOTES</t>
  </si>
  <si>
    <t>Date of Shipment</t>
  </si>
  <si>
    <t>1. Please include a copy of this form with the return and write the RMA number above on the outside of the box containing the return.</t>
  </si>
  <si>
    <t>2. Please copy the above RMA number onto the Delivery Acknowledgment Form (DAF) prior to return.</t>
  </si>
  <si>
    <t>3. Please contact the Lemont Parts department at Parts@AccelEntertainment.com if you have any questions.</t>
  </si>
  <si>
    <t xml:space="preserve">    YES           NO</t>
  </si>
  <si>
    <t>Location City</t>
  </si>
  <si>
    <t>CAPTAINS COVE BAR &amp; GRILL</t>
  </si>
  <si>
    <t>DONNA MARIE WOOD</t>
  </si>
  <si>
    <t>AMERICAN LEGION POST 131</t>
  </si>
  <si>
    <t>CHICAGO HEIGHTS POST NO. 131 AMERICAN LEGION DEPARTMENT OF ILLINOIS</t>
  </si>
  <si>
    <t>ATRIUM HOTEL AND CONFERENCE CENTER</t>
  </si>
  <si>
    <t>ALTON KG MANAGEMENT LLC</t>
  </si>
  <si>
    <t>BYRON CENTERY TAP</t>
  </si>
  <si>
    <t>BYRON CENTERY TAP INC.</t>
  </si>
  <si>
    <t>C &amp; M</t>
  </si>
  <si>
    <t>COMPTON &amp; THORPE INCORPORATED</t>
  </si>
  <si>
    <t>CIRCLE J'S SHELL</t>
  </si>
  <si>
    <t>O.JS OIL ENTERPRISES LTD.</t>
  </si>
  <si>
    <t>COUNTYLINE PUB &amp; GRILL</t>
  </si>
  <si>
    <t>COUNTYLINE PUB &amp; GRILL, INC</t>
  </si>
  <si>
    <t>GENO V'S RESTAURANT &amp; LOUNGE</t>
  </si>
  <si>
    <t>DEBRA VITALE</t>
  </si>
  <si>
    <t>JOYLUCK</t>
  </si>
  <si>
    <t>MATTHEW KAPLAN ENTERPRISES LLC</t>
  </si>
  <si>
    <t>MAGOOS</t>
  </si>
  <si>
    <t>MAGOOS BAR LLC</t>
  </si>
  <si>
    <t>ONE STOP SMOKER'S SHOP</t>
  </si>
  <si>
    <t>ONE STOP SMOKER'S SHOP, INC.</t>
  </si>
  <si>
    <t>R. GROTTO RISTORANTE</t>
  </si>
  <si>
    <t>LAGROTTO INC.</t>
  </si>
  <si>
    <t>RIVERSIDE SALOON</t>
  </si>
  <si>
    <t>TRKYMIK, INC.</t>
  </si>
  <si>
    <t>RUBE'S LIQUOR LOCKER</t>
  </si>
  <si>
    <t>RUBES LIQUOR LOCKER, INC.</t>
  </si>
  <si>
    <t>SINGH PETROLEUM</t>
  </si>
  <si>
    <t>SINGH PETROLEUM INC.</t>
  </si>
  <si>
    <t>THE LIQUOR HUT</t>
  </si>
  <si>
    <t>RONALD EUGENE HEIL</t>
  </si>
  <si>
    <t>THE OTHER BAR</t>
  </si>
  <si>
    <t>JEFF LESLIE LANCASTER</t>
  </si>
  <si>
    <t>THE THIRSTY TURTLE TAVERN</t>
  </si>
  <si>
    <t>WASH N WINNIES OF MOMENCE</t>
  </si>
  <si>
    <t>WASH N WINNIES OF MOMENCE, INC.</t>
  </si>
  <si>
    <t>ROSELLE</t>
  </si>
  <si>
    <t>DALZELL</t>
  </si>
  <si>
    <t>BEDFORD PARK</t>
  </si>
  <si>
    <t>DAHLGREN</t>
  </si>
  <si>
    <t>MILLEDGEVILLE</t>
  </si>
  <si>
    <t>Rockford</t>
  </si>
  <si>
    <t>Lemont</t>
  </si>
  <si>
    <t>Champaign</t>
  </si>
  <si>
    <t>Watseka</t>
  </si>
  <si>
    <t>Collinsville</t>
  </si>
  <si>
    <t>Keith Russo</t>
  </si>
  <si>
    <t>LaSalle</t>
  </si>
  <si>
    <t>B150427218</t>
  </si>
  <si>
    <t>B150427220</t>
  </si>
  <si>
    <t>B150427225</t>
  </si>
  <si>
    <t>B150427227</t>
  </si>
  <si>
    <t>B150427221</t>
  </si>
  <si>
    <t>BRONZE EAGLE PUB</t>
  </si>
  <si>
    <t>ADVANCED AMUSEMENT SERVICE, L.L.C.</t>
  </si>
  <si>
    <t>B150427226</t>
  </si>
  <si>
    <t>B150427224</t>
  </si>
  <si>
    <t>LYONS</t>
  </si>
  <si>
    <t>DELHI BELLY</t>
  </si>
  <si>
    <t>INFINITY LOUNGE</t>
  </si>
  <si>
    <t>KROSSROADS TAVERN</t>
  </si>
  <si>
    <t>OFF THE HOOK BAR &amp; GRILL</t>
  </si>
  <si>
    <t>THE CROOKED ROOF</t>
  </si>
  <si>
    <t>THE HILLTOP AT MENOMINEE</t>
  </si>
  <si>
    <t>G&amp;G PANTRY INC.</t>
  </si>
  <si>
    <t>INFINITY LOUNGE LTD.</t>
  </si>
  <si>
    <t>KROSS-VINSON KROSS ENTERTAINMENT, L.L.C.</t>
  </si>
  <si>
    <t>BUBLU, INC</t>
  </si>
  <si>
    <t>UZIVATI INC.</t>
  </si>
  <si>
    <t>THE HILLTOP AT MENOMINEE, LLC</t>
  </si>
  <si>
    <t>CENTRAL ILLINOIS BOWLING PROPERTIES, LLC</t>
  </si>
  <si>
    <t>W2271102</t>
  </si>
  <si>
    <t>W2289822</t>
  </si>
  <si>
    <t>W2271022</t>
  </si>
  <si>
    <t>W2271019</t>
  </si>
  <si>
    <t>B150427237</t>
  </si>
  <si>
    <t>B150427222</t>
  </si>
  <si>
    <t>W2271016</t>
  </si>
  <si>
    <t>B150427242</t>
  </si>
  <si>
    <t>W2271096</t>
  </si>
  <si>
    <t>W2258428</t>
  </si>
  <si>
    <t>W2267375</t>
  </si>
  <si>
    <t>B150427241</t>
  </si>
  <si>
    <t>W2267373</t>
  </si>
  <si>
    <t>VR-1105</t>
  </si>
  <si>
    <t>W2283068</t>
  </si>
  <si>
    <t>W2272939</t>
  </si>
  <si>
    <t>B150427235</t>
  </si>
  <si>
    <t>W2272947</t>
  </si>
  <si>
    <t>W2271027</t>
  </si>
  <si>
    <t>W2272940</t>
  </si>
  <si>
    <t>B150427231</t>
  </si>
  <si>
    <t>CULLOM</t>
  </si>
  <si>
    <t>KEITHSBURG</t>
  </si>
  <si>
    <t>J BOATS</t>
  </si>
  <si>
    <t>MULLIGAN'S BAR &amp; GRILL</t>
  </si>
  <si>
    <t>JESSI KAE THAXTON</t>
  </si>
  <si>
    <t>W2271104</t>
  </si>
  <si>
    <t>AMERICAN LEGION RICHLAND POST NO. 30</t>
  </si>
  <si>
    <t>DETTORE'S TOWN LANES</t>
  </si>
  <si>
    <t>LAKEVIEW PLACE</t>
  </si>
  <si>
    <t>PANTRY EXPRESS FOOD &amp; LIQUOR</t>
  </si>
  <si>
    <t>RICHLAND POST NO. 30 OF THE AMERICAN LEGION</t>
  </si>
  <si>
    <t>DETTORE'S TOWN LANES, INC.</t>
  </si>
  <si>
    <t>SHRIJALA 2020 INC.</t>
  </si>
  <si>
    <t>A K ENTERPRISES OF RICHMOND INC.</t>
  </si>
  <si>
    <t>V &amp; V GAMING, INC.</t>
  </si>
  <si>
    <t>W2234046</t>
  </si>
  <si>
    <t>W2271081</t>
  </si>
  <si>
    <t>W2271011</t>
  </si>
  <si>
    <t>VR-1115</t>
  </si>
  <si>
    <t>VR-1078</t>
  </si>
  <si>
    <t>W2267374</t>
  </si>
  <si>
    <t>W2271023</t>
  </si>
  <si>
    <t>W2271012</t>
  </si>
  <si>
    <t>B150427229</t>
  </si>
  <si>
    <t>B150427240</t>
  </si>
  <si>
    <t>B150427232</t>
  </si>
  <si>
    <t>SPRING GROVE</t>
  </si>
  <si>
    <t>RICHMOND</t>
  </si>
  <si>
    <t>NORTH RIVERSIDE</t>
  </si>
  <si>
    <t>LUCK ON 1ST GAMING LOUNGE</t>
  </si>
  <si>
    <t>LAS ADELITAS MEXICAN RESTAURANT</t>
  </si>
  <si>
    <t>THE COVE OF APPLE CANYON LAKE</t>
  </si>
  <si>
    <t>LAS ADELITAS MEXICAN RESTAURANT INC.</t>
  </si>
  <si>
    <t>DED ENTERPRISES, LLC</t>
  </si>
  <si>
    <t>THE COVE OF APPLE CANYON, INC.</t>
  </si>
  <si>
    <t>VR-1087</t>
  </si>
  <si>
    <t>W2271086</t>
  </si>
  <si>
    <t>B150631541</t>
  </si>
  <si>
    <t>W2271024</t>
  </si>
  <si>
    <t>VR-1117</t>
  </si>
  <si>
    <t>APPLE RIVER</t>
  </si>
  <si>
    <t>ACCEL ENTERTAINMENT - CHAMPAIGN</t>
  </si>
  <si>
    <t>ACCEL ENTERTAINMENT - COLLINSVILLE</t>
  </si>
  <si>
    <t>ACCEL ENTERTAINMENT - ELMWOOD</t>
  </si>
  <si>
    <t>ACCEL ENTERTAINMENT - LEMONT</t>
  </si>
  <si>
    <t>ACCEL ENTERTAINMENT - LASALLE</t>
  </si>
  <si>
    <t>ACCEL ENTERTAINMENT - ROCKFORD</t>
  </si>
  <si>
    <t>ACCEL ENTERTAINMENT - WATSEKA</t>
  </si>
  <si>
    <t>812-0408273</t>
  </si>
  <si>
    <t>812-0408282</t>
  </si>
  <si>
    <t>812-0412698</t>
  </si>
  <si>
    <t>812-0412756</t>
  </si>
  <si>
    <t>812-0408285</t>
  </si>
  <si>
    <t>812-0412729</t>
  </si>
  <si>
    <t>812-0408289</t>
  </si>
  <si>
    <t>812-0412761</t>
  </si>
  <si>
    <t>812-0412722</t>
  </si>
  <si>
    <t>812-0412747</t>
  </si>
  <si>
    <t>812-0408345</t>
  </si>
  <si>
    <t>812-0408334</t>
  </si>
  <si>
    <t>812-0412697</t>
  </si>
  <si>
    <t>812-0408302</t>
  </si>
  <si>
    <t>812-0412699</t>
  </si>
  <si>
    <t>812-0408354</t>
  </si>
  <si>
    <t>812-0408311</t>
  </si>
  <si>
    <t>812-0408337</t>
  </si>
  <si>
    <t>812-0408310</t>
  </si>
  <si>
    <t>812-0412734</t>
  </si>
  <si>
    <t>B150427234</t>
  </si>
  <si>
    <t>B150427236</t>
  </si>
  <si>
    <t>B150427233</t>
  </si>
  <si>
    <t>B150427228</t>
  </si>
  <si>
    <t>B150427230</t>
  </si>
  <si>
    <t>B150427239</t>
  </si>
  <si>
    <t>B150427238</t>
  </si>
  <si>
    <t>B150631543</t>
  </si>
  <si>
    <t>B150631555</t>
  </si>
  <si>
    <t>B150631563</t>
  </si>
  <si>
    <t>B150631559</t>
  </si>
  <si>
    <t>B150631548</t>
  </si>
  <si>
    <t>B150631547</t>
  </si>
  <si>
    <t>B150631550</t>
  </si>
  <si>
    <t>B150631551</t>
  </si>
  <si>
    <t>B150631546</t>
  </si>
  <si>
    <t>B150631552</t>
  </si>
  <si>
    <t>B150631553</t>
  </si>
  <si>
    <t>B150631554</t>
  </si>
  <si>
    <t>B150631549</t>
  </si>
  <si>
    <t>B150631556</t>
  </si>
  <si>
    <t>B150631545</t>
  </si>
  <si>
    <t>B150631558</t>
  </si>
  <si>
    <t>B150631544</t>
  </si>
  <si>
    <t>B150631557</t>
  </si>
  <si>
    <t>B150631542</t>
  </si>
  <si>
    <t>B150631540</t>
  </si>
  <si>
    <t>B150631564</t>
  </si>
  <si>
    <t>B150631562</t>
  </si>
  <si>
    <t>B150631561</t>
  </si>
  <si>
    <t>B150631560</t>
  </si>
  <si>
    <t>VR-1080</t>
  </si>
  <si>
    <t>VR-1082</t>
  </si>
  <si>
    <t>VR-1083</t>
  </si>
  <si>
    <t>VR-1084</t>
  </si>
  <si>
    <t>VR-1085</t>
  </si>
  <si>
    <t>VR-1086</t>
  </si>
  <si>
    <t>VR-1090</t>
  </si>
  <si>
    <t>VR-1104</t>
  </si>
  <si>
    <t>VR-1116</t>
  </si>
  <si>
    <t>W2271063</t>
  </si>
  <si>
    <t>W2271106</t>
  </si>
  <si>
    <t>B150427223</t>
  </si>
  <si>
    <t>B150427219</t>
  </si>
  <si>
    <t>BEERABILITY</t>
  </si>
  <si>
    <t>CHICAGO GOLF AND TIKI TEES</t>
  </si>
  <si>
    <t>EPIC CELLARS</t>
  </si>
  <si>
    <t>FAMILIA MEXICAN RESTAURANT</t>
  </si>
  <si>
    <t>FISCHER'S RESTAURANT</t>
  </si>
  <si>
    <t>FROGGEEZ</t>
  </si>
  <si>
    <t>GRAPPA GROWLERS</t>
  </si>
  <si>
    <t>HOPSCOTCH</t>
  </si>
  <si>
    <t>JDS TOO</t>
  </si>
  <si>
    <t>JIMMY'S PIZZA LOUNGE</t>
  </si>
  <si>
    <t>J'S LANES</t>
  </si>
  <si>
    <t>KAMPSVILLE AMERICAN LEGION POST 1083</t>
  </si>
  <si>
    <t>OVER THIRTY CROWD</t>
  </si>
  <si>
    <t>SULLIVAN'S FOODS</t>
  </si>
  <si>
    <t>THE BULLPEN BAR &amp; GRILL</t>
  </si>
  <si>
    <t>AJ'S LLC</t>
  </si>
  <si>
    <t>FIVE STEP HOLDINGS LLC</t>
  </si>
  <si>
    <t>JTWS MARKETING LLC</t>
  </si>
  <si>
    <t>FAMILIA MEXICAN RESTAURANT INC</t>
  </si>
  <si>
    <t>A.C. FISCHER, INC.</t>
  </si>
  <si>
    <t>FROGGEEZ LLC</t>
  </si>
  <si>
    <t>GRAPPA GROWLERS LLC</t>
  </si>
  <si>
    <t>J AND B VENTURES LLC</t>
  </si>
  <si>
    <t>JDS BAR &amp; GRILL 1 INC</t>
  </si>
  <si>
    <t>JAMES MCCORMICK</t>
  </si>
  <si>
    <t>J'S LANES, INC.</t>
  </si>
  <si>
    <t>OVER THIRTY CROWD INCORPORATED</t>
  </si>
  <si>
    <t>J B SULLIVAN INC</t>
  </si>
  <si>
    <t>THE BULLPEN INC</t>
  </si>
  <si>
    <t>WOODLAWN BAR INC</t>
  </si>
  <si>
    <t>O'FALLON</t>
  </si>
  <si>
    <t>LAKEMOOR</t>
  </si>
  <si>
    <t>FRANKLIN PARK</t>
  </si>
  <si>
    <t>SPRING VALLEY</t>
  </si>
  <si>
    <t>WATAGA</t>
  </si>
  <si>
    <t>LYNWOOD</t>
  </si>
  <si>
    <t>PONTOON BEACH</t>
  </si>
  <si>
    <t>BIG CATZ BBQ</t>
  </si>
  <si>
    <t>BIG CATZ BARBEQUE, LLC</t>
  </si>
  <si>
    <t>BLACK BEAR J.D., INC.</t>
  </si>
  <si>
    <t>CLAIRE'S CAFÉ</t>
  </si>
  <si>
    <t>CLAIRE'S CAFÉ, LLC</t>
  </si>
  <si>
    <t>CONOCO</t>
  </si>
  <si>
    <t>GSRS INC.</t>
  </si>
  <si>
    <t>COSTAS PIZZERIA &amp; RISTORANTE</t>
  </si>
  <si>
    <t>LA FAMILIA COSTA, INC.</t>
  </si>
  <si>
    <t>DURA BOWL</t>
  </si>
  <si>
    <t>DURA BOWL I, CO.</t>
  </si>
  <si>
    <t>EL CORTEZ RESTAURANT MOKENA</t>
  </si>
  <si>
    <t>MONTEMAYOR, INC.</t>
  </si>
  <si>
    <t>FAJITAS</t>
  </si>
  <si>
    <t>FAJITAS MEXICAN RESTAURANT #2 INC.</t>
  </si>
  <si>
    <t>HAMBY'S SALOON</t>
  </si>
  <si>
    <t>HAMBY'S TAVERN INC</t>
  </si>
  <si>
    <t>LUCKY SLOTS</t>
  </si>
  <si>
    <t>NINO'S INVESTMENTS INC.</t>
  </si>
  <si>
    <t>MULLETS SPORTS BAR AND RESTAURANT</t>
  </si>
  <si>
    <t>HGRB, LLC</t>
  </si>
  <si>
    <t>PROHIBITION JUNCTION SPORTS BAR AND GRILL</t>
  </si>
  <si>
    <t>OSWEGO JUNCTION ENTERPRISES LLC</t>
  </si>
  <si>
    <t>SWAY BAR</t>
  </si>
  <si>
    <t>NAMI99 INC.</t>
  </si>
  <si>
    <t>WASH N WINNIES OF AROMA PARK</t>
  </si>
  <si>
    <t>WASH N WINNIES OF AROMA PARK INC.</t>
  </si>
  <si>
    <t>WHISKEY DIXIE'S</t>
  </si>
  <si>
    <t>SHIPFACED, LLC</t>
  </si>
  <si>
    <t>B111038823</t>
  </si>
  <si>
    <t>B111244811</t>
  </si>
  <si>
    <t>B120862744</t>
  </si>
  <si>
    <t>B111244798</t>
  </si>
  <si>
    <t>B110937043</t>
  </si>
  <si>
    <t>B111038825</t>
  </si>
  <si>
    <t>B120862743</t>
  </si>
  <si>
    <t>B110730748</t>
  </si>
  <si>
    <t>B120453228</t>
  </si>
  <si>
    <t>B120862746</t>
  </si>
  <si>
    <t>B120862747</t>
  </si>
  <si>
    <t>B111244799</t>
  </si>
  <si>
    <t>B120862731</t>
  </si>
  <si>
    <t>SCHRAM CITY</t>
  </si>
  <si>
    <t>SCHILLER PARK</t>
  </si>
  <si>
    <t>B110321054</t>
  </si>
  <si>
    <t>B120453227</t>
  </si>
  <si>
    <t>B111244800</t>
  </si>
  <si>
    <t>B110937041</t>
  </si>
  <si>
    <t>B130684810</t>
  </si>
  <si>
    <t>B121272245</t>
  </si>
  <si>
    <t>B121272246</t>
  </si>
  <si>
    <t>B110937042</t>
  </si>
  <si>
    <t>B111038826</t>
  </si>
  <si>
    <t>B111038824</t>
  </si>
  <si>
    <t>B111244813</t>
  </si>
  <si>
    <t>B111244814</t>
  </si>
  <si>
    <t>B111244812</t>
  </si>
  <si>
    <t>B120862733</t>
  </si>
  <si>
    <t>B120862734</t>
  </si>
  <si>
    <t>B120862735</t>
  </si>
  <si>
    <t>B111244816</t>
  </si>
  <si>
    <t>B111244815</t>
  </si>
  <si>
    <t>B110730747</t>
  </si>
  <si>
    <t>B110730746</t>
  </si>
  <si>
    <t>B120862737</t>
  </si>
  <si>
    <t>B120862740</t>
  </si>
  <si>
    <t>B120862745</t>
  </si>
  <si>
    <t>B120862741</t>
  </si>
  <si>
    <t>B120862742</t>
  </si>
  <si>
    <t>B120862748</t>
  </si>
  <si>
    <t>B120862736</t>
  </si>
  <si>
    <t>Patrick Orlando</t>
  </si>
  <si>
    <t>MJ'S BAR &amp; GRILL</t>
  </si>
  <si>
    <t>MISS KITTY'S SALOON, INC</t>
  </si>
  <si>
    <t>MJ'S BAR &amp; GRILL, INC.</t>
  </si>
  <si>
    <t>812-0404173</t>
  </si>
  <si>
    <t>812-0412611</t>
  </si>
  <si>
    <t>812-0407991</t>
  </si>
  <si>
    <t>SHIPMAN</t>
  </si>
  <si>
    <t>AJ'S PIZZERIA &amp; SPIRITS</t>
  </si>
  <si>
    <t>CLUB LACON</t>
  </si>
  <si>
    <t>CRYBABIES</t>
  </si>
  <si>
    <t>EILEENS CAFÉ &amp; BANQUETS</t>
  </si>
  <si>
    <t>GEORGE'S PUB</t>
  </si>
  <si>
    <t>HENNY PENNY</t>
  </si>
  <si>
    <t>LAKEHURST EVENTS &amp; ENTERTAINMENT</t>
  </si>
  <si>
    <t>MR TEQUILA BAR AND GRILL</t>
  </si>
  <si>
    <t>MY GO TO PLACE</t>
  </si>
  <si>
    <t>POTESTA'S PIZZA</t>
  </si>
  <si>
    <t>ROADHOUSE 52</t>
  </si>
  <si>
    <t>SAM'S BLUE MOON CAFÉ</t>
  </si>
  <si>
    <t>SHORTY'S DISCO LOUNGE</t>
  </si>
  <si>
    <t>THE GROVE</t>
  </si>
  <si>
    <t>THE OUTPOST</t>
  </si>
  <si>
    <t>VILLAGE SPORTSMENS CLUB</t>
  </si>
  <si>
    <t>WAUK-N-WHISKEY</t>
  </si>
  <si>
    <t>WINNIE'S</t>
  </si>
  <si>
    <t>AJ'S PIZZERIA &amp; SPIRITS, LLC</t>
  </si>
  <si>
    <t>CLUB LACON, INC.</t>
  </si>
  <si>
    <t>GREGORY HENDERSON</t>
  </si>
  <si>
    <t>RICHARD'S CORPORATION</t>
  </si>
  <si>
    <t>COREY GILLAM</t>
  </si>
  <si>
    <t>DOUVIKAS &amp; RASMUSEN, INC.</t>
  </si>
  <si>
    <t>LAKEHURST EVENTS &amp; ENTERTAINMENT CO.</t>
  </si>
  <si>
    <t>LUNA ALVARADO</t>
  </si>
  <si>
    <t>FJK ENTERPRISES INC.</t>
  </si>
  <si>
    <t>ROADHOUSE 52, LLC</t>
  </si>
  <si>
    <t>VIRBAI INC.</t>
  </si>
  <si>
    <t>VICKIE A. BATES</t>
  </si>
  <si>
    <t>BILLY'S PUB &amp; GRILL, INC.</t>
  </si>
  <si>
    <t>OLD SCHOOL VENTURES, INC.</t>
  </si>
  <si>
    <t>WAUK-N-WHISKEY LLC</t>
  </si>
  <si>
    <t>WINN 2 OF MANTENO, INC.</t>
  </si>
  <si>
    <t>812-0407933</t>
  </si>
  <si>
    <t>812-0408360</t>
  </si>
  <si>
    <t>812-0412690</t>
  </si>
  <si>
    <t>812-0408332</t>
  </si>
  <si>
    <t>812-0407906</t>
  </si>
  <si>
    <t>812-0408288</t>
  </si>
  <si>
    <t>812-0408317</t>
  </si>
  <si>
    <t>812-0412568</t>
  </si>
  <si>
    <t>812-0408286</t>
  </si>
  <si>
    <t>812-0408276</t>
  </si>
  <si>
    <t>812-0408284</t>
  </si>
  <si>
    <t>812-0412742</t>
  </si>
  <si>
    <t>812-0408002</t>
  </si>
  <si>
    <t>812-0408325</t>
  </si>
  <si>
    <t>812-0408297</t>
  </si>
  <si>
    <t>812-0408324</t>
  </si>
  <si>
    <t>LACON</t>
  </si>
  <si>
    <t>EAST CARONDELET</t>
  </si>
  <si>
    <t>ROUND LAKE</t>
  </si>
  <si>
    <t>ARMINGTON</t>
  </si>
  <si>
    <t>Jack Atkinson</t>
  </si>
  <si>
    <t>812-0412616</t>
  </si>
  <si>
    <t>812-0407997</t>
  </si>
  <si>
    <t>812-0412680</t>
  </si>
  <si>
    <t>812-0412614</t>
  </si>
  <si>
    <t>812-0412654</t>
  </si>
  <si>
    <t>812-0412621</t>
  </si>
  <si>
    <t>812-0412564</t>
  </si>
  <si>
    <t>812-0412601</t>
  </si>
  <si>
    <t>812-0412656</t>
  </si>
  <si>
    <t>812-0412590</t>
  </si>
  <si>
    <t>812-0412650</t>
  </si>
  <si>
    <t>812-0412733</t>
  </si>
  <si>
    <t>812-0412711</t>
  </si>
  <si>
    <t>812-0412572</t>
  </si>
  <si>
    <t>812-0412627</t>
  </si>
  <si>
    <t>812-0412667</t>
  </si>
  <si>
    <t>812-0412740</t>
  </si>
  <si>
    <t>812-0412652</t>
  </si>
  <si>
    <t>812-0412561</t>
  </si>
  <si>
    <t>812-0412753</t>
  </si>
  <si>
    <t>812-0412624</t>
  </si>
  <si>
    <t>812-0412749</t>
  </si>
  <si>
    <t>B150939713</t>
  </si>
  <si>
    <t>B150939709</t>
  </si>
  <si>
    <t>B150939711</t>
  </si>
  <si>
    <t>B150939710</t>
  </si>
  <si>
    <t>B150939708</t>
  </si>
  <si>
    <t>B150939712</t>
  </si>
  <si>
    <t>B140607701</t>
  </si>
  <si>
    <t>B150734108</t>
  </si>
  <si>
    <t>B150734104</t>
  </si>
  <si>
    <t>B150734103</t>
  </si>
  <si>
    <t>B150734102</t>
  </si>
  <si>
    <t>B150735676</t>
  </si>
  <si>
    <t>B150735673</t>
  </si>
  <si>
    <t>B150735672</t>
  </si>
  <si>
    <t>B150735678</t>
  </si>
  <si>
    <t>B150735671</t>
  </si>
  <si>
    <t>B150735661</t>
  </si>
  <si>
    <t>B150735677</t>
  </si>
  <si>
    <t>B150735663</t>
  </si>
  <si>
    <t>B150735669</t>
  </si>
  <si>
    <t>B150735662</t>
  </si>
  <si>
    <t>B150735675</t>
  </si>
  <si>
    <t>B150735670</t>
  </si>
  <si>
    <t>B150735667</t>
  </si>
  <si>
    <t>VR-1064</t>
  </si>
  <si>
    <t>B150734105</t>
  </si>
  <si>
    <t>B150734107</t>
  </si>
  <si>
    <t>VR-1109</t>
  </si>
  <si>
    <t>812-0412569</t>
  </si>
  <si>
    <t>B150735668</t>
  </si>
  <si>
    <t>812-0412645</t>
  </si>
  <si>
    <t>B150734106</t>
  </si>
  <si>
    <t>VR-1048</t>
  </si>
  <si>
    <t>B150735674</t>
  </si>
  <si>
    <t>ARCADE CAFÉ &amp; PANCAKE HOUSE</t>
  </si>
  <si>
    <t>BREADEAUX PIZZA</t>
  </si>
  <si>
    <t>GOOD TO GO #88</t>
  </si>
  <si>
    <t>GURNEE TRUCK STOP</t>
  </si>
  <si>
    <t>IMPERIAL PUB &amp; CLUB, INCORPORATED</t>
  </si>
  <si>
    <t>INDIA HOUSE RESTAURANT</t>
  </si>
  <si>
    <t>JDS 3</t>
  </si>
  <si>
    <t>SOFTAILS BAR AND GRILL</t>
  </si>
  <si>
    <t>STONEY'S</t>
  </si>
  <si>
    <t>THAT ONE PLACE</t>
  </si>
  <si>
    <t>THE DINER INC</t>
  </si>
  <si>
    <t>WYNDHAM GARDEN URBANA</t>
  </si>
  <si>
    <t>ARCADE CAFÉ &amp; PANCAKE HOUSE INC.</t>
  </si>
  <si>
    <t>JAMES CLAYTON INCORPORATED</t>
  </si>
  <si>
    <t>GOOD OIL COMPANY OF ILLINOIS, INC.</t>
  </si>
  <si>
    <t>GURNEE TRUCK STOP, INC.</t>
  </si>
  <si>
    <t>HOUSE OF INDIA, INC.</t>
  </si>
  <si>
    <t>SOFTAILS INC</t>
  </si>
  <si>
    <t>MICHAEL TABELS</t>
  </si>
  <si>
    <t>DOUBLE DEUCE OF OREGON</t>
  </si>
  <si>
    <t>THE DINER INC.</t>
  </si>
  <si>
    <t>RAKA HOSPITALITY LLC</t>
  </si>
  <si>
    <t>GURNEE</t>
  </si>
  <si>
    <t>MAGNOLIA</t>
  </si>
  <si>
    <t>SAUGET</t>
  </si>
  <si>
    <t>BIG FOUR</t>
  </si>
  <si>
    <t>BOXSEATS</t>
  </si>
  <si>
    <t>CLUB 41</t>
  </si>
  <si>
    <t>DAR'S BAR</t>
  </si>
  <si>
    <t>FREDERKING'S EAGLES NEST, INC.</t>
  </si>
  <si>
    <t>HAVANA FAST STOP</t>
  </si>
  <si>
    <t>JACKSON'S HANDLEBAR</t>
  </si>
  <si>
    <t>JOHNSTON CITY "ROC" #9</t>
  </si>
  <si>
    <t>KICKN 66 LIQUOR &amp; MORE</t>
  </si>
  <si>
    <t>MOOSE LODGE #802 LOYAL ORDER OF MOOSE</t>
  </si>
  <si>
    <t>SCHIAPPA'S</t>
  </si>
  <si>
    <t>SLIDER'S PIZZA AND PUB</t>
  </si>
  <si>
    <t>THE PLACE BILLIARDS HALL</t>
  </si>
  <si>
    <t>THE SIXTH ROOM</t>
  </si>
  <si>
    <t>VITO'S ON BROADWAY</t>
  </si>
  <si>
    <t>WISE GUYS PIZZERIA</t>
  </si>
  <si>
    <t>JCH, INC.</t>
  </si>
  <si>
    <t>CLUB 41 LLC</t>
  </si>
  <si>
    <t>M.D.J., INC.</t>
  </si>
  <si>
    <t>HAVANA FUELS, INC.</t>
  </si>
  <si>
    <t>JACKSON'S HANDLEBAR INC.</t>
  </si>
  <si>
    <t>KICKN 66 LIQUOR &amp; MORE CORPORATION</t>
  </si>
  <si>
    <t>KANKAKEE LODGE #802 LOYAL ORDER OF MOOSE</t>
  </si>
  <si>
    <t>JOHN SCHIEPPE</t>
  </si>
  <si>
    <t>THE SLIDE INN SPORTS GRILL INC.</t>
  </si>
  <si>
    <t>VLWILLIAMS ENTERPRISE CORPORATION</t>
  </si>
  <si>
    <t>THE SIXTH ROOM, LLC</t>
  </si>
  <si>
    <t>WISE GUYS PIZZERIA, INC.</t>
  </si>
  <si>
    <t>ST AUGUSTINE</t>
  </si>
  <si>
    <t>ADDIEVILLE</t>
  </si>
  <si>
    <t>HAVANA</t>
  </si>
  <si>
    <t>LEBANON</t>
  </si>
  <si>
    <t>CHILLICOTHE</t>
  </si>
  <si>
    <t>SOUTHERN VIEW</t>
  </si>
  <si>
    <t>B. CIMINO'S PIZZA</t>
  </si>
  <si>
    <t>CAFÉ CABANA AND SHOVELHEAD SALOON</t>
  </si>
  <si>
    <t>GIBSON'S MINI MART</t>
  </si>
  <si>
    <t>LAZER KNIGHTS BAR &amp; GRILL</t>
  </si>
  <si>
    <t>MARGARITA'S WEST</t>
  </si>
  <si>
    <t>SPINS CAFÉ</t>
  </si>
  <si>
    <t>VILLA NAPOLI</t>
  </si>
  <si>
    <t>ZEN'S GAMING CHALET</t>
  </si>
  <si>
    <t>BENNY AND TERESA CIMINO</t>
  </si>
  <si>
    <t>CAFÉ CABANA AND SHOVELHEAD SALOON, LLC</t>
  </si>
  <si>
    <t>GATES PA., INC.</t>
  </si>
  <si>
    <t>LENART LIQUOR AND FOOD INC.</t>
  </si>
  <si>
    <t>ST. LOUIS KEG COMPANY</t>
  </si>
  <si>
    <t>VILLA NAPOLI L.T.D</t>
  </si>
  <si>
    <t>ZEN'S GAMING CHALET, LLC</t>
  </si>
  <si>
    <t>PHOENIX</t>
  </si>
  <si>
    <t>NORRIDGE</t>
  </si>
  <si>
    <t>ABSTRACT AMERICAN BAR &amp; GRILL</t>
  </si>
  <si>
    <t>ABSTRACT AMERICAN BAR &amp; GRILL, INC.</t>
  </si>
  <si>
    <t>B110116934</t>
  </si>
  <si>
    <t>812-0600610</t>
  </si>
  <si>
    <t>AMERICAN LEGION POST #429</t>
  </si>
  <si>
    <t>COMMUNITY POST #429, LOVINGTON, ILLINOIS</t>
  </si>
  <si>
    <t>AKMJ ENTERPRISES, INC.</t>
  </si>
  <si>
    <t>ARCHWAY TAP</t>
  </si>
  <si>
    <t>ARCHWAY TAP INC.</t>
  </si>
  <si>
    <t>BKB BAR INC.</t>
  </si>
  <si>
    <t>BOXING TURTLE SALOON</t>
  </si>
  <si>
    <t>BOXING TURTLE SALOON, INC.</t>
  </si>
  <si>
    <t>BUZZY HOLDINGS INC.</t>
  </si>
  <si>
    <t>CHANA TAP</t>
  </si>
  <si>
    <t>CHANA TAP INC.</t>
  </si>
  <si>
    <t>DARCY'S CAFÉ &amp; SLOTS</t>
  </si>
  <si>
    <t>CLAYGAMES, INC.</t>
  </si>
  <si>
    <t>EAST DUNDEE SHELL</t>
  </si>
  <si>
    <t>GLOGOVSKY OIL COMPANY III, INC.</t>
  </si>
  <si>
    <t>EHINGER BROS POST 8141</t>
  </si>
  <si>
    <t>EJ KARZ</t>
  </si>
  <si>
    <t>MONSTER INVESTMENTS, INC.</t>
  </si>
  <si>
    <t>ELFERNO BISTRO</t>
  </si>
  <si>
    <t>ELFERNO LLC</t>
  </si>
  <si>
    <t>EMMY'S CAFÉ</t>
  </si>
  <si>
    <t>EMMY'S CAFÉ LTD.</t>
  </si>
  <si>
    <t>FIREPIT BAR AND GRILL</t>
  </si>
  <si>
    <t>L FREDERICKS, INC.</t>
  </si>
  <si>
    <t>FRANK'S RESTAURANT</t>
  </si>
  <si>
    <t>FRANK'S RESTAURANT, INC.</t>
  </si>
  <si>
    <t>FUZZY'S</t>
  </si>
  <si>
    <t>EL CARRIZAL, INC</t>
  </si>
  <si>
    <t>GENO'S FOOD &amp; LIQUORS</t>
  </si>
  <si>
    <t>GENO'S PLACE</t>
  </si>
  <si>
    <t>GEORGE'S PLACE</t>
  </si>
  <si>
    <t>HAN-DEE MART</t>
  </si>
  <si>
    <t>YOGIBAPA LLC</t>
  </si>
  <si>
    <t>HOLIDAY ACRES CAMPING RESORT</t>
  </si>
  <si>
    <t>RIVER CITY FOREST, INC.</t>
  </si>
  <si>
    <t>JACK'S BAR &amp; GRILL</t>
  </si>
  <si>
    <t>JOHN L'S</t>
  </si>
  <si>
    <t>LA MALINCHE BAR &amp; GRILL</t>
  </si>
  <si>
    <t>LA MALINCHE BAR AND GRILL INC.</t>
  </si>
  <si>
    <t>LIL BIT'S SALOON</t>
  </si>
  <si>
    <t>LIL BIT'S SALOON, INC.</t>
  </si>
  <si>
    <t>LOUIE'S PAD BAR &amp; GRILL</t>
  </si>
  <si>
    <t>LOUIE'S PAD BAR &amp; GRILL, INC.</t>
  </si>
  <si>
    <t>MAMA'S VIP</t>
  </si>
  <si>
    <t>REUSCHER ENTERPRISES, INC.</t>
  </si>
  <si>
    <t>MANDY'S BAR</t>
  </si>
  <si>
    <t>AMANDA J SCHMITT LLC</t>
  </si>
  <si>
    <t>MANNY'S BLUE ROOM</t>
  </si>
  <si>
    <t>MARIACHI'S</t>
  </si>
  <si>
    <t>MARIACHI'S INC.</t>
  </si>
  <si>
    <t>MARKHAM MEM POST #9801 V F W</t>
  </si>
  <si>
    <t>MINNIHAN'S</t>
  </si>
  <si>
    <t>MINNIHAN'S, INC.</t>
  </si>
  <si>
    <t>MURDOCK'S PLACE</t>
  </si>
  <si>
    <t>MURDOCK'S PLACE, INC.</t>
  </si>
  <si>
    <t>NORTH MAIN BAR</t>
  </si>
  <si>
    <t>NORTH MAIN BAR, INC.</t>
  </si>
  <si>
    <t>ONE PAW'Z PUB</t>
  </si>
  <si>
    <t>ONE PAW'Z PUB, LLC</t>
  </si>
  <si>
    <t>PETE'S SPORTS LOUNGE</t>
  </si>
  <si>
    <t>PIN SPLITTER LANES LLC</t>
  </si>
  <si>
    <t>ALONSO LLC</t>
  </si>
  <si>
    <t>QUIQUE'S TAQUERIA</t>
  </si>
  <si>
    <t>QUIQUES TAQUERIA LLC</t>
  </si>
  <si>
    <t>RICHLAND COUNTRY CLUB</t>
  </si>
  <si>
    <t>RUBY'S HANGOUT</t>
  </si>
  <si>
    <t>SAGE HOUSE</t>
  </si>
  <si>
    <t>SLOTS OF FORTUNE 2</t>
  </si>
  <si>
    <t>A G P 18 INCORPORATED</t>
  </si>
  <si>
    <t>SPRINGFIELD GAS AND WASH</t>
  </si>
  <si>
    <t>SPRINGFIELD GAS AND WASH I, LLC</t>
  </si>
  <si>
    <t>TAQUERIAS ATOTONILCO</t>
  </si>
  <si>
    <t>S &amp; N STONE PARK</t>
  </si>
  <si>
    <t>THE WINNING CIRCLE</t>
  </si>
  <si>
    <t>TIENDA EL RANCHITO</t>
  </si>
  <si>
    <t>TIENDA RANCHITO INCORPORATED</t>
  </si>
  <si>
    <t>VEE-J'S SPORTS GRILL</t>
  </si>
  <si>
    <t>VEE-J'S SPORTS GRILL LLC</t>
  </si>
  <si>
    <t>WATERFRONT TAVERN LLC</t>
  </si>
  <si>
    <t>ZEG'S GAMING PARLOR</t>
  </si>
  <si>
    <t>EDWARD ZEGLIS SR</t>
  </si>
  <si>
    <t>B111142008</t>
  </si>
  <si>
    <t>B101012378</t>
  </si>
  <si>
    <t>B101012370</t>
  </si>
  <si>
    <t>B121171198</t>
  </si>
  <si>
    <t>B120555851</t>
  </si>
  <si>
    <t>B110523846</t>
  </si>
  <si>
    <t>B101012376</t>
  </si>
  <si>
    <t>B160357219</t>
  </si>
  <si>
    <t>B160357217</t>
  </si>
  <si>
    <t>B151250425</t>
  </si>
  <si>
    <t>B101012368</t>
  </si>
  <si>
    <t>B160357220</t>
  </si>
  <si>
    <t>B151250430</t>
  </si>
  <si>
    <t>B151250423</t>
  </si>
  <si>
    <t>B160357218</t>
  </si>
  <si>
    <t>B110116930</t>
  </si>
  <si>
    <t>B101012380</t>
  </si>
  <si>
    <t>B101012361</t>
  </si>
  <si>
    <t>W2248992</t>
  </si>
  <si>
    <t>B101012377</t>
  </si>
  <si>
    <t>B110116931</t>
  </si>
  <si>
    <t>B121171195</t>
  </si>
  <si>
    <t>B101012384</t>
  </si>
  <si>
    <t>B121171196</t>
  </si>
  <si>
    <t>B121171199</t>
  </si>
  <si>
    <t>W2321997</t>
  </si>
  <si>
    <t>B121171201</t>
  </si>
  <si>
    <t>B101012356</t>
  </si>
  <si>
    <t>B131171200</t>
  </si>
  <si>
    <t>B120350261</t>
  </si>
  <si>
    <t>B111142009</t>
  </si>
  <si>
    <t>B101012381</t>
  </si>
  <si>
    <t>B151250426</t>
  </si>
  <si>
    <t>B1211711194</t>
  </si>
  <si>
    <t>B101012382</t>
  </si>
  <si>
    <t>B110116932</t>
  </si>
  <si>
    <t>B151250427</t>
  </si>
  <si>
    <t>B110116929</t>
  </si>
  <si>
    <t>B141118733</t>
  </si>
  <si>
    <t>B101012371</t>
  </si>
  <si>
    <t>B131171197</t>
  </si>
  <si>
    <t>B110832455</t>
  </si>
  <si>
    <t>B110525500</t>
  </si>
  <si>
    <t>W2260855</t>
  </si>
  <si>
    <t>B141118729</t>
  </si>
  <si>
    <t>812-0412619</t>
  </si>
  <si>
    <t>812-0412649</t>
  </si>
  <si>
    <t>812-0412630</t>
  </si>
  <si>
    <t>812-0412636</t>
  </si>
  <si>
    <t>812-0412604</t>
  </si>
  <si>
    <t>812-0412623</t>
  </si>
  <si>
    <t>812-0412642</t>
  </si>
  <si>
    <t>812-0600482</t>
  </si>
  <si>
    <t>812-0412577</t>
  </si>
  <si>
    <t>812-0412739</t>
  </si>
  <si>
    <t>812-0412659</t>
  </si>
  <si>
    <t>812-0600565</t>
  </si>
  <si>
    <t>812-0600518</t>
  </si>
  <si>
    <t>812-0600503</t>
  </si>
  <si>
    <t>812-0600491</t>
  </si>
  <si>
    <t>812-0412560</t>
  </si>
  <si>
    <t>812-0600478</t>
  </si>
  <si>
    <t>812-0412717</t>
  </si>
  <si>
    <t>812-0412589</t>
  </si>
  <si>
    <t>812-0412692</t>
  </si>
  <si>
    <t>812-0412563</t>
  </si>
  <si>
    <t>812-0412575</t>
  </si>
  <si>
    <t>812-0412712</t>
  </si>
  <si>
    <t>812-0412661</t>
  </si>
  <si>
    <t>812-0412704</t>
  </si>
  <si>
    <t>812-0600511</t>
  </si>
  <si>
    <t>812-0412635</t>
  </si>
  <si>
    <t>812-0600493</t>
  </si>
  <si>
    <t>812-0412643</t>
  </si>
  <si>
    <t>LOVINGTON</t>
  </si>
  <si>
    <t>ROODHOUSE</t>
  </si>
  <si>
    <t>CHANA</t>
  </si>
  <si>
    <t>CREVE COEUR</t>
  </si>
  <si>
    <t>EAST DUNDEE</t>
  </si>
  <si>
    <t>VERONA</t>
  </si>
  <si>
    <t>GARDEN PRAIRIE</t>
  </si>
  <si>
    <t>MANITO</t>
  </si>
  <si>
    <t>VARNA</t>
  </si>
  <si>
    <t>PONTIAC</t>
  </si>
  <si>
    <t>STONE PARK</t>
  </si>
  <si>
    <t>FARIMONT CITY</t>
  </si>
  <si>
    <t>HENNEPIN</t>
  </si>
  <si>
    <t>812-0600470</t>
  </si>
  <si>
    <t>812-0600475</t>
  </si>
  <si>
    <t>812-0600476</t>
  </si>
  <si>
    <t>812-0600481</t>
  </si>
  <si>
    <t>812-0600504</t>
  </si>
  <si>
    <t>812-0600513</t>
  </si>
  <si>
    <t>812-0600516</t>
  </si>
  <si>
    <t>812-0600522</t>
  </si>
  <si>
    <t>812-0600523</t>
  </si>
  <si>
    <t>812-0600550</t>
  </si>
  <si>
    <t>812-0600611</t>
  </si>
  <si>
    <t>B101012359</t>
  </si>
  <si>
    <t>B101012362</t>
  </si>
  <si>
    <t>B101012379</t>
  </si>
  <si>
    <t>B110116933</t>
  </si>
  <si>
    <t>B110832454</t>
  </si>
  <si>
    <t>B111141316</t>
  </si>
  <si>
    <t>B120555849</t>
  </si>
  <si>
    <t>B120555852</t>
  </si>
  <si>
    <t>B121171194</t>
  </si>
  <si>
    <t>B121171197</t>
  </si>
  <si>
    <t>B121171200</t>
  </si>
  <si>
    <t>W2245525</t>
  </si>
  <si>
    <t>W2248998</t>
  </si>
  <si>
    <t>W2249061</t>
  </si>
  <si>
    <t>W2249081</t>
  </si>
  <si>
    <t>W2249106</t>
  </si>
  <si>
    <t>W2260746</t>
  </si>
  <si>
    <t>W2260770</t>
  </si>
  <si>
    <t>W2260774</t>
  </si>
  <si>
    <t>W2260843</t>
  </si>
  <si>
    <t>W2260845</t>
  </si>
  <si>
    <t>W2260869</t>
  </si>
  <si>
    <t>W2321990</t>
  </si>
  <si>
    <t>W2321998</t>
  </si>
  <si>
    <t>WMS Blade</t>
  </si>
  <si>
    <t>AP-1V22-ST - LAM</t>
  </si>
  <si>
    <t>121 CLUB</t>
  </si>
  <si>
    <t>BARBARA S WIRTJES</t>
  </si>
  <si>
    <t>B121067664</t>
  </si>
  <si>
    <t>AMERICAN LEGION POST 100</t>
  </si>
  <si>
    <t>AMF STRIKE 'N SPARE WEST</t>
  </si>
  <si>
    <t>ARROWHEAD COUNTRY CLUB</t>
  </si>
  <si>
    <t>BACK STREET WINE &amp; DINE</t>
  </si>
  <si>
    <t>BASKET CASE</t>
  </si>
  <si>
    <t>BEER 30</t>
  </si>
  <si>
    <t>BEER 32 BAR &amp; GRILL</t>
  </si>
  <si>
    <t>BEER BELLY'S</t>
  </si>
  <si>
    <t>BENNY'S CORNER BAR &amp; GRILL</t>
  </si>
  <si>
    <t>BERNARDIS</t>
  </si>
  <si>
    <t>BETTY'S RITE BANK SALOON</t>
  </si>
  <si>
    <t>BINA'S PLACE</t>
  </si>
  <si>
    <t>BOBALUK'S BEEF &amp; PIZZA</t>
  </si>
  <si>
    <t>BOGIE'S BAR &amp; GRILL</t>
  </si>
  <si>
    <t>BOTTOMS UP</t>
  </si>
  <si>
    <t>BRASKY'S</t>
  </si>
  <si>
    <t>BRASS KEY LOUNGE</t>
  </si>
  <si>
    <t>BREAKING POINT</t>
  </si>
  <si>
    <t>BREWMASTER RESTAURANT</t>
  </si>
  <si>
    <t>BRICKHOUSE</t>
  </si>
  <si>
    <t>BUDA BAR</t>
  </si>
  <si>
    <t>BUTLER'S SUPPER CLUB</t>
  </si>
  <si>
    <t>C &amp; J LOUNGE</t>
  </si>
  <si>
    <t>CARDINAL INN</t>
  </si>
  <si>
    <t>CARLOS TEQUILA GRILL</t>
  </si>
  <si>
    <t>CARRIGANS PUB</t>
  </si>
  <si>
    <t>CASH CABANA</t>
  </si>
  <si>
    <t>CASTLE'S PATIO INN</t>
  </si>
  <si>
    <t>CHAMPIONS SPORTS BAR</t>
  </si>
  <si>
    <t>CITY HEAT</t>
  </si>
  <si>
    <t>CITY LIMITS OF VIOLA</t>
  </si>
  <si>
    <t>CLIFF'S ON 5TH</t>
  </si>
  <si>
    <t>CLOVERLEAF GOLF COURSE</t>
  </si>
  <si>
    <t>CLUB CABARET</t>
  </si>
  <si>
    <t>COFFEE BAR</t>
  </si>
  <si>
    <t>CORNER INN</t>
  </si>
  <si>
    <t>CORNER PUB</t>
  </si>
  <si>
    <t>COUNTRY CLUB BBQ</t>
  </si>
  <si>
    <t>CUEWORKS</t>
  </si>
  <si>
    <t>CURVE 160 BAR</t>
  </si>
  <si>
    <t>DARCY'S CAFÉ &amp; SLOTS II</t>
  </si>
  <si>
    <t>DAVE'S BAR</t>
  </si>
  <si>
    <t>DIESEL DICK'S PUB &amp; GRUB</t>
  </si>
  <si>
    <t>DOC'S PUB</t>
  </si>
  <si>
    <t>DOUBLE A'S PIZZA PUB</t>
  </si>
  <si>
    <t>EAGLES-PEORIA AERIE</t>
  </si>
  <si>
    <t>EAST PEORIA BOATING &amp; RECREATION</t>
  </si>
  <si>
    <t>FABULOUS TAYLORS</t>
  </si>
  <si>
    <t>FARMINGTON MOOSE</t>
  </si>
  <si>
    <t>FAST EDDIE'S BON-AIR</t>
  </si>
  <si>
    <t>FAT FISH PUB</t>
  </si>
  <si>
    <t>GILS SUPPER CLUB</t>
  </si>
  <si>
    <t>GREATER PEORIA AMVETS</t>
  </si>
  <si>
    <t>GREEN RIVER COUNTRY CLUB</t>
  </si>
  <si>
    <t>HACIENDA FLUENTES</t>
  </si>
  <si>
    <t>HANGOVERS OF PEORIA</t>
  </si>
  <si>
    <t>HOOPS PUB &amp; PIZZA</t>
  </si>
  <si>
    <t>I R HERE</t>
  </si>
  <si>
    <t>ILLINI TAP</t>
  </si>
  <si>
    <t>J &amp; J ONE STOP</t>
  </si>
  <si>
    <t>J J &amp; FREDDIE'S</t>
  </si>
  <si>
    <t>JAC'S DOGHOUSE</t>
  </si>
  <si>
    <t>JIMMY EARP'S HIDEAWAY</t>
  </si>
  <si>
    <t>JIM'S DOWNTOWN STEAKHOUSE</t>
  </si>
  <si>
    <t>JOE'S PEORIA</t>
  </si>
  <si>
    <t>JOHNSON'S CORNER</t>
  </si>
  <si>
    <t>JUDGE'S CHAMBERS</t>
  </si>
  <si>
    <t>JUDI'S DELI</t>
  </si>
  <si>
    <t>KAPPA KABANNA</t>
  </si>
  <si>
    <t>KARI'S IRISH PUB &amp; GRILL</t>
  </si>
  <si>
    <t>KELLY'S MERNA BAR &amp; GRILL</t>
  </si>
  <si>
    <t>KEP'S SPORTS BAR INC</t>
  </si>
  <si>
    <t>KEVIN &amp; CINDY'S HANNA CITY TAP</t>
  </si>
  <si>
    <t>KICKBACK ON FULTON</t>
  </si>
  <si>
    <t>KOCH STREET BAR &amp; GRILL</t>
  </si>
  <si>
    <t>KOURI'S</t>
  </si>
  <si>
    <t>KOURIS GRILL AND BAR</t>
  </si>
  <si>
    <t>KOURI'S PUB</t>
  </si>
  <si>
    <t>KUCHIE'S CORNER TAP</t>
  </si>
  <si>
    <t>KUCHIES ON THE WATER</t>
  </si>
  <si>
    <t>LA CONNECTION</t>
  </si>
  <si>
    <t>LAMBOS 5</t>
  </si>
  <si>
    <t>LAURIE'S</t>
  </si>
  <si>
    <t>LUCKY TZ</t>
  </si>
  <si>
    <t>LUCKY'S</t>
  </si>
  <si>
    <t>MADISONS BANQUET CENTER AND TEA ROOM</t>
  </si>
  <si>
    <t>MAQUET'S RAIL HOUSE</t>
  </si>
  <si>
    <t>MARIACHI'S MEXICAN RESTAURANT</t>
  </si>
  <si>
    <t>MARSEILLES LION'S CLUB</t>
  </si>
  <si>
    <t>MESSENGER'S BAR AND GRILL, LLC</t>
  </si>
  <si>
    <t>MIDWAY DUCK INN</t>
  </si>
  <si>
    <t>MIKES TAVERN</t>
  </si>
  <si>
    <t>MINIER LANES</t>
  </si>
  <si>
    <t>MT HAWLEY BOWL</t>
  </si>
  <si>
    <t>MY PLACE</t>
  </si>
  <si>
    <t>MY PLACE BAR AND GRILL</t>
  </si>
  <si>
    <t>NANA'S BAR &amp; GRILL</t>
  </si>
  <si>
    <t>NO WAKE ZONE</t>
  </si>
  <si>
    <t>OAK VIEW COUNTRY CLUB</t>
  </si>
  <si>
    <t>OLD CHICAGO RESTAURANT</t>
  </si>
  <si>
    <t>OLIVER'S PIZZA &amp; PUB</t>
  </si>
  <si>
    <t>OWL'S NEST</t>
  </si>
  <si>
    <t>PARISH'S PUB</t>
  </si>
  <si>
    <t>PETER H CLARK LDGE 483 ELKS</t>
  </si>
  <si>
    <t>PHEASANT LANES - KEGLERS PUB</t>
  </si>
  <si>
    <t>PHYLLY'S</t>
  </si>
  <si>
    <t>PITCH KARAOKE BAR</t>
  </si>
  <si>
    <t>PIZZA FOR U</t>
  </si>
  <si>
    <t>PLAZA LANES</t>
  </si>
  <si>
    <t>PO-BOY'S ON FROSTWOOD, LLC</t>
  </si>
  <si>
    <t>PRAIRIE INN/NORTHSIDE INC.</t>
  </si>
  <si>
    <t>PULSE</t>
  </si>
  <si>
    <t>QUICK HITS VIDEO SLOTS &amp; POKER</t>
  </si>
  <si>
    <t>REBA'S MUTUAL TAP</t>
  </si>
  <si>
    <t>RED BARN</t>
  </si>
  <si>
    <t>RIP RACK LANES INC.</t>
  </si>
  <si>
    <t>RIVER RATZ BAR &amp; GRILL INC</t>
  </si>
  <si>
    <t>RIVER ROADHOUSE</t>
  </si>
  <si>
    <t>ROLANDO'S INC</t>
  </si>
  <si>
    <t>ROUTE 50 GOING GOING GONE</t>
  </si>
  <si>
    <t>ROXY'S LANES</t>
  </si>
  <si>
    <t>SAWMILL BBQ</t>
  </si>
  <si>
    <t>SCAPECCHI'S SUPPER CLUB</t>
  </si>
  <si>
    <t>SCHOONER'S</t>
  </si>
  <si>
    <t>SG PETRO MART LLC</t>
  </si>
  <si>
    <t>SILVER BULLET</t>
  </si>
  <si>
    <t>SIYA IN TUSCOLA INC.</t>
  </si>
  <si>
    <t>SMOKE TRAIL BBQ LLC</t>
  </si>
  <si>
    <t>SOCKS PLACE</t>
  </si>
  <si>
    <t>SPARKYS RINGSIDE BAR &amp; GRILLE</t>
  </si>
  <si>
    <t>SPOON RIVER BOWL</t>
  </si>
  <si>
    <t>SPOONIE'S BAR &amp; GRILL</t>
  </si>
  <si>
    <t>STANFORD POUR HOUSE</t>
  </si>
  <si>
    <t>SUE'S PLACE</t>
  </si>
  <si>
    <t>SULLY'S OF GALESBURG</t>
  </si>
  <si>
    <t>SUNNYLAND #1 STOP</t>
  </si>
  <si>
    <t>SUNSET LANES</t>
  </si>
  <si>
    <t>T &amp; D SWEETWATER CORP</t>
  </si>
  <si>
    <t>TARTAN INN</t>
  </si>
  <si>
    <t>THE BLACKSMITH STEAKHOUSE</t>
  </si>
  <si>
    <t>THE BOONE DOCKS</t>
  </si>
  <si>
    <t>THE COUNTY SEAT PUB &amp; PIZZERIA</t>
  </si>
  <si>
    <t>THE GEM SLOTS BAR &amp; GRILL</t>
  </si>
  <si>
    <t>THE GRAND HOTEL</t>
  </si>
  <si>
    <t>THE HILLSIDE</t>
  </si>
  <si>
    <t>THE LAKEWOOD GOLF CLUB</t>
  </si>
  <si>
    <t>THE LOCAL</t>
  </si>
  <si>
    <t>THE POUR HOUSE</t>
  </si>
  <si>
    <t>THE RAIL II</t>
  </si>
  <si>
    <t>THE SHOT SPOT PUB</t>
  </si>
  <si>
    <t>THE SLOT SPOT</t>
  </si>
  <si>
    <t>THE TROLLEY</t>
  </si>
  <si>
    <t>THE VAULT BAR &amp; GRILL</t>
  </si>
  <si>
    <t>TNT SPORTS BAR &amp; GRILL</t>
  </si>
  <si>
    <t>T-N-T'S SPORTS BAR &amp; GRILL NORTH</t>
  </si>
  <si>
    <t>TOM KELLY'S CHOPHOUSE &amp; PUB</t>
  </si>
  <si>
    <t>TRUST ME TAVERN</t>
  </si>
  <si>
    <t>ULRICH'S REBELLION ROOM</t>
  </si>
  <si>
    <t>VETERAN'S PUB &amp; PIZZA</t>
  </si>
  <si>
    <t>WAGON WHEEL</t>
  </si>
  <si>
    <t>WELCOME BAR &amp; RESTAURANT</t>
  </si>
  <si>
    <t>WHITETAILS...FIREPIT &amp; GRILL CO</t>
  </si>
  <si>
    <t>WHITEY'S TIP TOP INN</t>
  </si>
  <si>
    <t>WILD TALES BAR &amp; GRILL</t>
  </si>
  <si>
    <t>WILD WILLIE'S</t>
  </si>
  <si>
    <t>WILLISON ENTERPRISES LLC</t>
  </si>
  <si>
    <t>WYOMING LEGION POST #91</t>
  </si>
  <si>
    <t>KEWANEE AMERICAN LEGION POST #31</t>
  </si>
  <si>
    <t>AMERICAN LEGION POST NO. 100, INC.</t>
  </si>
  <si>
    <t>AMF BOWLING CENTERS, INC.</t>
  </si>
  <si>
    <t>BACK STREET LLC</t>
  </si>
  <si>
    <t>MAVERICK HOLDINGS OF PEORIA, INC.</t>
  </si>
  <si>
    <t>BASKET CASE PUB, INC.</t>
  </si>
  <si>
    <t>TNS BAR ENTERPRISES INC.</t>
  </si>
  <si>
    <t>TN'S BAR ENTERPRISES INC.</t>
  </si>
  <si>
    <t>NOLAM, INC.</t>
  </si>
  <si>
    <t>BERNARDI'S RESTAURANTS, INC.</t>
  </si>
  <si>
    <t>BETTY BREWER</t>
  </si>
  <si>
    <t>CSK VENTURES, INC.</t>
  </si>
  <si>
    <t>BOBALUK'S INC.</t>
  </si>
  <si>
    <t>APPLEGREN INC</t>
  </si>
  <si>
    <t>SORRENTINO INVESTMENTS INC.</t>
  </si>
  <si>
    <t>PEUGH PROPERTY MANAGEMENT LLC</t>
  </si>
  <si>
    <t>ZICKAR HOLDINGS, INC.</t>
  </si>
  <si>
    <t>HSB ENTERPRISES INC.</t>
  </si>
  <si>
    <t>CHAIRTREE, LLC</t>
  </si>
  <si>
    <t>TAMMY L BENSON</t>
  </si>
  <si>
    <t>MARK W. STOCKING LLC</t>
  </si>
  <si>
    <t>BUTLER'S SUPPER CLUB INC.</t>
  </si>
  <si>
    <t>C &amp; J LOUNGE INCORPORATED</t>
  </si>
  <si>
    <t>CARLOS TEQUILA GRILL CORP.</t>
  </si>
  <si>
    <t>CARRIGAN'S PUB INC</t>
  </si>
  <si>
    <t>MKR CAFES, LLC</t>
  </si>
  <si>
    <t>CASTLE'S PATIO INN, INC.</t>
  </si>
  <si>
    <t>GAMETIME SPORTS BAR &amp; GRILL INC.</t>
  </si>
  <si>
    <t>STEVE HEFTON INC</t>
  </si>
  <si>
    <t>CITY LIMITS OF VIOLA, INC.</t>
  </si>
  <si>
    <t>MCCUMBER L.L.C.</t>
  </si>
  <si>
    <t>CLOVERLEAF GOLF COURSE, INC.</t>
  </si>
  <si>
    <t>CLUB CABARET INC</t>
  </si>
  <si>
    <t>WWP INVESTMENTS, LLC</t>
  </si>
  <si>
    <t>MANESS ENTERPRISES, INC.</t>
  </si>
  <si>
    <t>CORNER PUB, INC.</t>
  </si>
  <si>
    <t>CLAM 1, INC.</t>
  </si>
  <si>
    <t>CUEWORKS INC</t>
  </si>
  <si>
    <t>CHARLES KRUEP AND CAROL KRUEP</t>
  </si>
  <si>
    <t>DAVID HITTLE</t>
  </si>
  <si>
    <t>DIESEL DICK'S PUB &amp; GRUB, INC.</t>
  </si>
  <si>
    <t>KAREN COWAN &amp; ADEL KHOIJA</t>
  </si>
  <si>
    <t>F.A.S.T. INC</t>
  </si>
  <si>
    <t>PEORIA AERIE NO. 265, FRATERNAL ORDER OF EAGLES</t>
  </si>
  <si>
    <t>THE EAST PEORIA BOATING AND RECREATION CLUB</t>
  </si>
  <si>
    <t>TAY-CAM, LTD.</t>
  </si>
  <si>
    <t>FARMINGTON LODGE NO 1571 LOYAL ORDER OF MOOSE</t>
  </si>
  <si>
    <t>FAST EDDIE'S BON-AIR, INC.</t>
  </si>
  <si>
    <t>GIL'S SUPPER CLUB LTD</t>
  </si>
  <si>
    <t>AMVETS GREATER PEORIA POST NO. 64</t>
  </si>
  <si>
    <t>FUENTES INC.</t>
  </si>
  <si>
    <t>HANGOVERS OF PEORIA INC.</t>
  </si>
  <si>
    <t>J &amp; J PIZZA PLUS INC</t>
  </si>
  <si>
    <t>IRHERE TAP, INC.</t>
  </si>
  <si>
    <t>PAUL E. VAN DE VELDE</t>
  </si>
  <si>
    <t>CATHY L. KLUKACZYNSKI</t>
  </si>
  <si>
    <t>J J &amp; FREDDIE'S, INC.</t>
  </si>
  <si>
    <t>JAC'S DOGHOUSE, INC.</t>
  </si>
  <si>
    <t>EARP ENTERPRISES INC</t>
  </si>
  <si>
    <t>JIM'S DOWNTOWN STEAKHOUSE, INC.</t>
  </si>
  <si>
    <t>CALIICO LLC</t>
  </si>
  <si>
    <t>JOHNSON'S CORNER, INC.</t>
  </si>
  <si>
    <t>THE NEW PEORIA PUFF INC</t>
  </si>
  <si>
    <t>JUDI'S DELI CORPORATION - PRIVATE</t>
  </si>
  <si>
    <t>WOODFORD INVESTMENTS, INC.</t>
  </si>
  <si>
    <t>GWPJ, INC.</t>
  </si>
  <si>
    <t>K M B &amp; G INC</t>
  </si>
  <si>
    <t>CYNTHIA ELLIOTT</t>
  </si>
  <si>
    <t>JSS PEORIA, INC.</t>
  </si>
  <si>
    <t>KNICKERBOCKER &amp; SON INC</t>
  </si>
  <si>
    <t>KOCH STREET BAR &amp; GRILL INC</t>
  </si>
  <si>
    <t>LDK-KOU, INC.</t>
  </si>
  <si>
    <t>TO-KOU, INC.</t>
  </si>
  <si>
    <t>JJ-KOU, INC.</t>
  </si>
  <si>
    <t>LUCKIE ENTERPRISES INC</t>
  </si>
  <si>
    <t>RIVERS EDGE ENTERPRISES INC.</t>
  </si>
  <si>
    <t>LA CONNECTION, INC.</t>
  </si>
  <si>
    <t>LANMAN OIL CO., INC.</t>
  </si>
  <si>
    <t>PEORIA FORREST HILLS DEVELOPMENT COMPANY</t>
  </si>
  <si>
    <t>PRAIRIELAND VENDING, INC.</t>
  </si>
  <si>
    <t>FAMILY AFFAIR LLC</t>
  </si>
  <si>
    <t>NANCY TENNANT</t>
  </si>
  <si>
    <t>MADISONS COMPANIES LLC</t>
  </si>
  <si>
    <t>ANI PETROS</t>
  </si>
  <si>
    <t>MAQUET, INC.</t>
  </si>
  <si>
    <t>MARSEILLES LIONS CLUB BUILDING CORPORATION</t>
  </si>
  <si>
    <t>MESSENGER'S BAR &amp; GRILL, LLC</t>
  </si>
  <si>
    <t>MIDWAY DUCK INN, INC.</t>
  </si>
  <si>
    <t>A.P.W. INC.</t>
  </si>
  <si>
    <t>MINIER LANES INC</t>
  </si>
  <si>
    <t>MT HAWLEY BOWL INC</t>
  </si>
  <si>
    <t>CADE, L.L.C.</t>
  </si>
  <si>
    <t>VENUS, INC.</t>
  </si>
  <si>
    <t>NANA'S PUB, INC.</t>
  </si>
  <si>
    <t>P &amp; L OF ILLINOIS LTD</t>
  </si>
  <si>
    <t>VITA MPL, INC</t>
  </si>
  <si>
    <t>KELLY ENTERTAINMENT CORPORATION - PRIVATE</t>
  </si>
  <si>
    <t>OWL'S NEST INC</t>
  </si>
  <si>
    <t>PARISH'S PUB, INC.</t>
  </si>
  <si>
    <t>PETER H. CLARK NO. 483 IBPOEW ELKS CLUB</t>
  </si>
  <si>
    <t>PHEASANT LANES FAMILY FUN CENTER, LLC</t>
  </si>
  <si>
    <t>PHYLLY'S PUBS, INC.</t>
  </si>
  <si>
    <t>MICHAEL TIEG MCCOY</t>
  </si>
  <si>
    <t>BRAD &amp; ANGELA HANSEN</t>
  </si>
  <si>
    <t>PLAZA LANES, LLC</t>
  </si>
  <si>
    <t>FANTASYLAND INC</t>
  </si>
  <si>
    <t>LUCKY SPIN, INC.</t>
  </si>
  <si>
    <t>REBA'S MUTUAL TAP, INC.</t>
  </si>
  <si>
    <t>BUFFALO DAN CORPORATION - PRIVATE</t>
  </si>
  <si>
    <t>MEGAN BALENSIEFEN</t>
  </si>
  <si>
    <t>RIVER ROADHOUSE, INC.</t>
  </si>
  <si>
    <t>CONSIGNMENTS AND MORE, INC.</t>
  </si>
  <si>
    <t>GEIER CORP</t>
  </si>
  <si>
    <t>SAWMILL BBQ, INC.</t>
  </si>
  <si>
    <t>SCAPECCHI'S SUPPER CLUB INC</t>
  </si>
  <si>
    <t>G CUBED INC</t>
  </si>
  <si>
    <t>GREGORY W. GEBHARDS, INC.</t>
  </si>
  <si>
    <t>L.D. MASSEY, INC</t>
  </si>
  <si>
    <t>MARK W. STOCKING, LLC</t>
  </si>
  <si>
    <t>DIBEC INC.</t>
  </si>
  <si>
    <t>SPOON RIVER BOWL INC</t>
  </si>
  <si>
    <t>SPOONIE'S BAR &amp; GRILL INC</t>
  </si>
  <si>
    <t>STANFORD POUR HOUSE, LLC</t>
  </si>
  <si>
    <t>SUE'S PLACE INC</t>
  </si>
  <si>
    <t>BERNARDI BROTHERS INC</t>
  </si>
  <si>
    <t>LACON RIVERVIEW SUBDIVISION, LLC</t>
  </si>
  <si>
    <t>SUNSET LANES INC</t>
  </si>
  <si>
    <t>T &amp; D SWEETWATER INC</t>
  </si>
  <si>
    <t>TRIFECTA MANAGEMENT LLC</t>
  </si>
  <si>
    <t>KEP'S SPORTS BAR, INC.</t>
  </si>
  <si>
    <t>THE BOONE DOCKS INCORPORATED</t>
  </si>
  <si>
    <t>THE TROLLEY INC</t>
  </si>
  <si>
    <t>THE COUNTY SEAT PUB &amp; PIZZERIA INC.</t>
  </si>
  <si>
    <t>UNDERGAB INC.</t>
  </si>
  <si>
    <t>BETTER HOTELS INC.</t>
  </si>
  <si>
    <t>SHERIDAN ROAD BEVERAGES, INC.</t>
  </si>
  <si>
    <t>THE ANDREW GROUP</t>
  </si>
  <si>
    <t>BITES AND PINTS, LLC</t>
  </si>
  <si>
    <t>OUTPOST ENTERPRISES INC</t>
  </si>
  <si>
    <t>BIG SIX LLC</t>
  </si>
  <si>
    <t>THE RAIL II INC.</t>
  </si>
  <si>
    <t>PRW-LLC</t>
  </si>
  <si>
    <t>DBD, INC.</t>
  </si>
  <si>
    <t>THE VAULT BAR AND GRILL, INC</t>
  </si>
  <si>
    <t>TROY DUEDE ENTERPRISES, INCORPORATED</t>
  </si>
  <si>
    <t>TROY DUEDE ENTERPRISES INCORPORATED</t>
  </si>
  <si>
    <t>TOM KELLY'S CHOPHOUSE &amp; PUB, LLC</t>
  </si>
  <si>
    <t>ROBERT L MILLER</t>
  </si>
  <si>
    <t>ULRICH'S REBELLION ROOM INC.</t>
  </si>
  <si>
    <t>CHRISTINE ANN AMERMAN</t>
  </si>
  <si>
    <t>ADCD INC</t>
  </si>
  <si>
    <t>WELCOME BAR &amp; RESTAURANT INC.</t>
  </si>
  <si>
    <t>WHITETAILS...FIRE PIT &amp; GRILL COMPANY</t>
  </si>
  <si>
    <t>WHITEY'S TIP TOP INC.</t>
  </si>
  <si>
    <t>B. T. MILLER, INC.</t>
  </si>
  <si>
    <t>SANDT INC</t>
  </si>
  <si>
    <t>WYOMING LEGION POST #91, INC.</t>
  </si>
  <si>
    <t>B130174225</t>
  </si>
  <si>
    <t>B130174222</t>
  </si>
  <si>
    <t>B140914057</t>
  </si>
  <si>
    <t>B121067712</t>
  </si>
  <si>
    <t>B121067628</t>
  </si>
  <si>
    <t>W2260817</t>
  </si>
  <si>
    <t>B160359260</t>
  </si>
  <si>
    <t>B160359252</t>
  </si>
  <si>
    <t>W2322559</t>
  </si>
  <si>
    <t>B121067704</t>
  </si>
  <si>
    <t>B121067668</t>
  </si>
  <si>
    <t>B130482113</t>
  </si>
  <si>
    <t>B120761514</t>
  </si>
  <si>
    <t>B160359256</t>
  </si>
  <si>
    <t>B120761509</t>
  </si>
  <si>
    <t>B140914056</t>
  </si>
  <si>
    <t>W2322540</t>
  </si>
  <si>
    <t>B150530272</t>
  </si>
  <si>
    <t>B121067687</t>
  </si>
  <si>
    <t>B140298787</t>
  </si>
  <si>
    <t>B160359254</t>
  </si>
  <si>
    <t>B120761500</t>
  </si>
  <si>
    <t>VIR2052651</t>
  </si>
  <si>
    <t>B121067681</t>
  </si>
  <si>
    <t>B121067673</t>
  </si>
  <si>
    <t>B121067726</t>
  </si>
  <si>
    <t>W2322549</t>
  </si>
  <si>
    <t>B121067710</t>
  </si>
  <si>
    <t>B121067694</t>
  </si>
  <si>
    <t>B160359263</t>
  </si>
  <si>
    <t>B120555383</t>
  </si>
  <si>
    <t>B160359264</t>
  </si>
  <si>
    <t>B160359257</t>
  </si>
  <si>
    <t>W2322555</t>
  </si>
  <si>
    <t>B121067625</t>
  </si>
  <si>
    <t>B140298789</t>
  </si>
  <si>
    <t>B160359259</t>
  </si>
  <si>
    <t>B120761521</t>
  </si>
  <si>
    <t>VR-1025</t>
  </si>
  <si>
    <t>B120761499</t>
  </si>
  <si>
    <t>B160359261</t>
  </si>
  <si>
    <t>B130482114</t>
  </si>
  <si>
    <t>B160359268</t>
  </si>
  <si>
    <t>B120554010</t>
  </si>
  <si>
    <t>B130277460</t>
  </si>
  <si>
    <t>B130378732</t>
  </si>
  <si>
    <t>B120555167</t>
  </si>
  <si>
    <t>B120555173</t>
  </si>
  <si>
    <t>W2322532</t>
  </si>
  <si>
    <t>B121067636</t>
  </si>
  <si>
    <t>B120554007</t>
  </si>
  <si>
    <t>B130277461</t>
  </si>
  <si>
    <t>B121067746</t>
  </si>
  <si>
    <t>B150530276</t>
  </si>
  <si>
    <t>B140298791</t>
  </si>
  <si>
    <t>B140298788</t>
  </si>
  <si>
    <t>W2322542</t>
  </si>
  <si>
    <t>B121067641</t>
  </si>
  <si>
    <t>B121067680</t>
  </si>
  <si>
    <t>B121067725</t>
  </si>
  <si>
    <t>B121067705</t>
  </si>
  <si>
    <t>B120555181</t>
  </si>
  <si>
    <t>B121067692</t>
  </si>
  <si>
    <t>B121067716</t>
  </si>
  <si>
    <t>B130277459</t>
  </si>
  <si>
    <t>B140298793</t>
  </si>
  <si>
    <t>W2322556</t>
  </si>
  <si>
    <t>B121067674</t>
  </si>
  <si>
    <t>B121067676</t>
  </si>
  <si>
    <t>B120761525</t>
  </si>
  <si>
    <t>B120761526</t>
  </si>
  <si>
    <t>B150530271</t>
  </si>
  <si>
    <t>B121067717</t>
  </si>
  <si>
    <t>B121067749</t>
  </si>
  <si>
    <t>W2322567</t>
  </si>
  <si>
    <t>B121067693</t>
  </si>
  <si>
    <t>B140298794</t>
  </si>
  <si>
    <t>B140298790</t>
  </si>
  <si>
    <t>B130277458</t>
  </si>
  <si>
    <t>B120761523</t>
  </si>
  <si>
    <t>B120761524</t>
  </si>
  <si>
    <t>B120761520</t>
  </si>
  <si>
    <t>B121067690</t>
  </si>
  <si>
    <t>B121067659</t>
  </si>
  <si>
    <t>B140298795</t>
  </si>
  <si>
    <t>W2322123</t>
  </si>
  <si>
    <t>B121067620</t>
  </si>
  <si>
    <t>B121067624</t>
  </si>
  <si>
    <t>B150530270</t>
  </si>
  <si>
    <t>B121067691</t>
  </si>
  <si>
    <t>B120761505</t>
  </si>
  <si>
    <t>B120761506</t>
  </si>
  <si>
    <t>B121067672</t>
  </si>
  <si>
    <t>B121067655</t>
  </si>
  <si>
    <t>B120555174</t>
  </si>
  <si>
    <t>W2322122</t>
  </si>
  <si>
    <t>B150530275</t>
  </si>
  <si>
    <t>B121067728</t>
  </si>
  <si>
    <t>W2322564</t>
  </si>
  <si>
    <t>B121067617</t>
  </si>
  <si>
    <t>B121067622</t>
  </si>
  <si>
    <t>B160359255</t>
  </si>
  <si>
    <t>B160359266</t>
  </si>
  <si>
    <t>VRFX2002072</t>
  </si>
  <si>
    <t>B121067618</t>
  </si>
  <si>
    <t>VR-1026</t>
  </si>
  <si>
    <t>VRFX2001893</t>
  </si>
  <si>
    <t>B121067675</t>
  </si>
  <si>
    <t>W2325319</t>
  </si>
  <si>
    <t>B121067731</t>
  </si>
  <si>
    <t>B121067702</t>
  </si>
  <si>
    <t>W2322533</t>
  </si>
  <si>
    <t>B121067632</t>
  </si>
  <si>
    <t>B140298792</t>
  </si>
  <si>
    <t>B121067633</t>
  </si>
  <si>
    <t>VR-1027</t>
  </si>
  <si>
    <t>B130174211</t>
  </si>
  <si>
    <t>B130684831</t>
  </si>
  <si>
    <t>B130482112</t>
  </si>
  <si>
    <t>VR-1056</t>
  </si>
  <si>
    <t>B140504691</t>
  </si>
  <si>
    <t>B120555143</t>
  </si>
  <si>
    <t>B160359262</t>
  </si>
  <si>
    <t>B160359253</t>
  </si>
  <si>
    <t>B121067682</t>
  </si>
  <si>
    <t>B120761511</t>
  </si>
  <si>
    <t>B120761512</t>
  </si>
  <si>
    <t>B110628025</t>
  </si>
  <si>
    <t>B120761510</t>
  </si>
  <si>
    <t>B121067698</t>
  </si>
  <si>
    <t>B160359251</t>
  </si>
  <si>
    <t>B121067722</t>
  </si>
  <si>
    <t>B121067699</t>
  </si>
  <si>
    <t>B121067727</t>
  </si>
  <si>
    <t>B121067621</t>
  </si>
  <si>
    <t>B150530274</t>
  </si>
  <si>
    <t>B120761515</t>
  </si>
  <si>
    <t>W2322562</t>
  </si>
  <si>
    <t>B121067627</t>
  </si>
  <si>
    <t>W2325314</t>
  </si>
  <si>
    <t>B121067732</t>
  </si>
  <si>
    <t>B121067730</t>
  </si>
  <si>
    <t>VIR2052645</t>
  </si>
  <si>
    <t>B130174260</t>
  </si>
  <si>
    <t>B120761522</t>
  </si>
  <si>
    <t>B120555168</t>
  </si>
  <si>
    <t>B120555177</t>
  </si>
  <si>
    <t>B121067677</t>
  </si>
  <si>
    <t>VRFX2001894</t>
  </si>
  <si>
    <t>B120555194</t>
  </si>
  <si>
    <t>B121067695</t>
  </si>
  <si>
    <t>B121067640</t>
  </si>
  <si>
    <t>B121067709</t>
  </si>
  <si>
    <t>B121067713</t>
  </si>
  <si>
    <t>B121067750</t>
  </si>
  <si>
    <t>B120761501</t>
  </si>
  <si>
    <t>B120761502</t>
  </si>
  <si>
    <t>B121067623</t>
  </si>
  <si>
    <t>B120761519</t>
  </si>
  <si>
    <t>B150530273</t>
  </si>
  <si>
    <t>B130174212</t>
  </si>
  <si>
    <t>B130174256</t>
  </si>
  <si>
    <t>W2322569</t>
  </si>
  <si>
    <t>B121067729</t>
  </si>
  <si>
    <t>B121067703</t>
  </si>
  <si>
    <t>B120761517</t>
  </si>
  <si>
    <t>B120761518</t>
  </si>
  <si>
    <t>B121067619</t>
  </si>
  <si>
    <t>B120555166</t>
  </si>
  <si>
    <t>B130482111</t>
  </si>
  <si>
    <t>B120761503</t>
  </si>
  <si>
    <t>B120761504</t>
  </si>
  <si>
    <t>B120761507</t>
  </si>
  <si>
    <t>B120761508</t>
  </si>
  <si>
    <t>B160359258</t>
  </si>
  <si>
    <t>VR-1057</t>
  </si>
  <si>
    <t>B121067626</t>
  </si>
  <si>
    <t>812-0600556</t>
  </si>
  <si>
    <t>812-0600458</t>
  </si>
  <si>
    <t>812-0600644</t>
  </si>
  <si>
    <t>812-0600536</t>
  </si>
  <si>
    <t>812-0600466</t>
  </si>
  <si>
    <t>812-0600505</t>
  </si>
  <si>
    <t>812-0600462</t>
  </si>
  <si>
    <t>812-0600543</t>
  </si>
  <si>
    <t>812-0600468</t>
  </si>
  <si>
    <t>812-0600618</t>
  </si>
  <si>
    <t>812-0600546</t>
  </si>
  <si>
    <t>812-0600455</t>
  </si>
  <si>
    <t>812-0600601</t>
  </si>
  <si>
    <t>812-0600499</t>
  </si>
  <si>
    <t>812-0600551</t>
  </si>
  <si>
    <t>812-0600616</t>
  </si>
  <si>
    <t>812-0600568</t>
  </si>
  <si>
    <t>812-0600528</t>
  </si>
  <si>
    <t>812-0600645</t>
  </si>
  <si>
    <t>812-0600602</t>
  </si>
  <si>
    <t>812-0600642</t>
  </si>
  <si>
    <t>812-0600619</t>
  </si>
  <si>
    <t>812-0600629</t>
  </si>
  <si>
    <t>812-0600555</t>
  </si>
  <si>
    <t>812-0600621</t>
  </si>
  <si>
    <t>EDELSTEIN</t>
  </si>
  <si>
    <t>HECKER</t>
  </si>
  <si>
    <t>ST DAVID</t>
  </si>
  <si>
    <t>PUTNAM</t>
  </si>
  <si>
    <t>MANLIUS</t>
  </si>
  <si>
    <t>BUDA</t>
  </si>
  <si>
    <t>MAPLETON</t>
  </si>
  <si>
    <t>WASHBURN</t>
  </si>
  <si>
    <t>PLAINFIELD</t>
  </si>
  <si>
    <t>VIOLA</t>
  </si>
  <si>
    <t>LINCOLN</t>
  </si>
  <si>
    <t>ROANOKE</t>
  </si>
  <si>
    <t>NORTH PEKIN</t>
  </si>
  <si>
    <t>HANNA CITY</t>
  </si>
  <si>
    <t>BELLEVUE</t>
  </si>
  <si>
    <t>KAPPA</t>
  </si>
  <si>
    <t>MERNA</t>
  </si>
  <si>
    <t>GERMANTOWN HILLS</t>
  </si>
  <si>
    <t>GROVELAND</t>
  </si>
  <si>
    <t>MOSSVILLE</t>
  </si>
  <si>
    <t>LOWPOINT</t>
  </si>
  <si>
    <t>MINIER</t>
  </si>
  <si>
    <t>DEER CREEK</t>
  </si>
  <si>
    <t>SHEFFIELD</t>
  </si>
  <si>
    <t>NEW BOSTON</t>
  </si>
  <si>
    <t>WYANET</t>
  </si>
  <si>
    <t>WYOMING</t>
  </si>
  <si>
    <t>STANFORD</t>
  </si>
  <si>
    <t>METAMORA</t>
  </si>
  <si>
    <t>LITTLE YORK</t>
  </si>
  <si>
    <t>JOY</t>
  </si>
  <si>
    <t>BATH</t>
  </si>
  <si>
    <t>EUREKA</t>
  </si>
  <si>
    <t>DANVERS</t>
  </si>
  <si>
    <t>MINERAL</t>
  </si>
  <si>
    <t>MILAN</t>
  </si>
  <si>
    <t>GLASFORD</t>
  </si>
  <si>
    <t>FAIRBURY</t>
  </si>
  <si>
    <t>OAKLAND</t>
  </si>
  <si>
    <t>PEORIA/ELMWOOD</t>
  </si>
  <si>
    <t>812-0600461</t>
  </si>
  <si>
    <t>812-0600506</t>
  </si>
  <si>
    <t>812-0600527</t>
  </si>
  <si>
    <t>812-0600529</t>
  </si>
  <si>
    <t>812-0600530</t>
  </si>
  <si>
    <t>812-0600535</t>
  </si>
  <si>
    <t>812-0600544</t>
  </si>
  <si>
    <t>812-0600553</t>
  </si>
  <si>
    <t>812-0600559</t>
  </si>
  <si>
    <t>812-0600560</t>
  </si>
  <si>
    <t>812-0600569</t>
  </si>
  <si>
    <t>812-0600574</t>
  </si>
  <si>
    <t>812-0600584</t>
  </si>
  <si>
    <t>812-0600586</t>
  </si>
  <si>
    <t>812-0600599</t>
  </si>
  <si>
    <t>812-0600612</t>
  </si>
  <si>
    <t>812-0600615</t>
  </si>
  <si>
    <t>812-0600626</t>
  </si>
  <si>
    <t>812-0600633</t>
  </si>
  <si>
    <t>812-0600639</t>
  </si>
  <si>
    <t>812-0600643</t>
  </si>
  <si>
    <t>812-0600647</t>
  </si>
  <si>
    <t>812-0600654</t>
  </si>
  <si>
    <t>B110730205</t>
  </si>
  <si>
    <t>B120350720</t>
  </si>
  <si>
    <t>B120350721</t>
  </si>
  <si>
    <t>B120350722</t>
  </si>
  <si>
    <t>B120350723</t>
  </si>
  <si>
    <t>B120350724</t>
  </si>
  <si>
    <t>B120350725</t>
  </si>
  <si>
    <t>B120351854</t>
  </si>
  <si>
    <t>B120554005</t>
  </si>
  <si>
    <t>B120554008</t>
  </si>
  <si>
    <t>B120554009</t>
  </si>
  <si>
    <t>B120555179</t>
  </si>
  <si>
    <t>B120761516</t>
  </si>
  <si>
    <t>B121067631</t>
  </si>
  <si>
    <t>B121067663</t>
  </si>
  <si>
    <t>B121067768</t>
  </si>
  <si>
    <t>B130174255</t>
  </si>
  <si>
    <t>B130277462</t>
  </si>
  <si>
    <t>B131193236</t>
  </si>
  <si>
    <t>B140298786</t>
  </si>
  <si>
    <t>B160359265</t>
  </si>
  <si>
    <t>B160359267</t>
  </si>
  <si>
    <t>B160566987</t>
  </si>
  <si>
    <t>B160566988</t>
  </si>
  <si>
    <t>B160566989</t>
  </si>
  <si>
    <t>B160566990</t>
  </si>
  <si>
    <t>B160566991</t>
  </si>
  <si>
    <t>B160566992</t>
  </si>
  <si>
    <t>B160566993</t>
  </si>
  <si>
    <t>B160566994</t>
  </si>
  <si>
    <t>B160566995</t>
  </si>
  <si>
    <t>B160566996</t>
  </si>
  <si>
    <t>B160566997</t>
  </si>
  <si>
    <t>B160566998</t>
  </si>
  <si>
    <t>B160566999</t>
  </si>
  <si>
    <t>B160567000</t>
  </si>
  <si>
    <t>B160567001</t>
  </si>
  <si>
    <t>B160567002</t>
  </si>
  <si>
    <t>B160567003</t>
  </si>
  <si>
    <t>B160567004</t>
  </si>
  <si>
    <t>B160567005</t>
  </si>
  <si>
    <t>B160567006</t>
  </si>
  <si>
    <t>B160567007</t>
  </si>
  <si>
    <t>B160567008</t>
  </si>
  <si>
    <t>B160567009</t>
  </si>
  <si>
    <t>B160567010</t>
  </si>
  <si>
    <t>B160567011</t>
  </si>
  <si>
    <t>B160567012</t>
  </si>
  <si>
    <t>B160567013</t>
  </si>
  <si>
    <t>B160567014</t>
  </si>
  <si>
    <t>B160567015</t>
  </si>
  <si>
    <t>B160567016</t>
  </si>
  <si>
    <t>B160567024</t>
  </si>
  <si>
    <t>B160567025</t>
  </si>
  <si>
    <t>B160567026</t>
  </si>
  <si>
    <t>B160567027</t>
  </si>
  <si>
    <t>B160567028</t>
  </si>
  <si>
    <t>VRFX2001895</t>
  </si>
  <si>
    <t>TR8011</t>
  </si>
  <si>
    <t>ECASH MINI CD2</t>
  </si>
  <si>
    <t>ASHBARY COFFEE HOUSE</t>
  </si>
  <si>
    <t>BOARDWALK</t>
  </si>
  <si>
    <t>CLUB 116</t>
  </si>
  <si>
    <t>DIESEL</t>
  </si>
  <si>
    <t>FOX'S ON WOLF</t>
  </si>
  <si>
    <t>FUELMASTER #2901</t>
  </si>
  <si>
    <t>GROTTO AT THE GROVE</t>
  </si>
  <si>
    <t>HERO'S SPORTS BAR AND GRILL</t>
  </si>
  <si>
    <t>JAMIE'S OUTPOST PARLOR</t>
  </si>
  <si>
    <t>JUST ADD WATER</t>
  </si>
  <si>
    <t>KNUCKLEHEADS ROADHOUSE</t>
  </si>
  <si>
    <t>MEAT N POTATO EATERY</t>
  </si>
  <si>
    <t>PARADOX EMPORIUM</t>
  </si>
  <si>
    <t>RACKS ON THE RACKS</t>
  </si>
  <si>
    <t>TAZEWELL FESTIVAL CENTER</t>
  </si>
  <si>
    <t>THOM'S INN LLC</t>
  </si>
  <si>
    <t>WILLOW SPRINGS FRIENDLY TAP</t>
  </si>
  <si>
    <t>HARVEST MOON, INC.</t>
  </si>
  <si>
    <t>THE BOARDWALK, INC.</t>
  </si>
  <si>
    <t>M. R. TUTHILL INCORPORATED</t>
  </si>
  <si>
    <t>CLUB 116 LLC</t>
  </si>
  <si>
    <t>629 MAIN, INC.</t>
  </si>
  <si>
    <t>FOX'S ON WOLF, INC.</t>
  </si>
  <si>
    <t>FUELMASTER OF AMERICAN LLC</t>
  </si>
  <si>
    <t>GROTTO AT ELGIN CORPORATION</t>
  </si>
  <si>
    <t>P.M.E.D., INC.</t>
  </si>
  <si>
    <t>JAMIE'S OUTPOST PARLOR, INC</t>
  </si>
  <si>
    <t>JUST ADD WATER, BAIT, TACKLE &amp; MORE LLC</t>
  </si>
  <si>
    <t>KNUCKLEHEADS ROADHOUSE, LLC</t>
  </si>
  <si>
    <t>DINING SOLUTIONS, INC.</t>
  </si>
  <si>
    <t>PARADOX EMPORIUM, INC.</t>
  </si>
  <si>
    <t>POT BELLY PUB, INC.</t>
  </si>
  <si>
    <t>TA OPERATING LLC</t>
  </si>
  <si>
    <t>COLEMAN UNLIMITED INC.</t>
  </si>
  <si>
    <t>GOOD LIFE GAMING &amp; SPIRITS</t>
  </si>
  <si>
    <t>WILLOW SPRINGS FRIENDLY TAP, INC.</t>
  </si>
  <si>
    <t>WILLOW SPRINGS</t>
  </si>
  <si>
    <t>NORTH UTICA</t>
  </si>
  <si>
    <t>WMS S23 Slant</t>
  </si>
  <si>
    <t>4TH &amp; GOAL GRILL</t>
  </si>
  <si>
    <t>4TH &amp; GOAL GRILL, LLC</t>
  </si>
  <si>
    <t>B100910742</t>
  </si>
  <si>
    <t>812-0600542</t>
  </si>
  <si>
    <t>BIG D'S</t>
  </si>
  <si>
    <t>BOILER ROOM</t>
  </si>
  <si>
    <t>CHASERS BAR &amp; GRILL</t>
  </si>
  <si>
    <t>CHERRY'S LOUNGE &amp; SLOTS</t>
  </si>
  <si>
    <t>CORNER PUB &amp; GRILLE</t>
  </si>
  <si>
    <t>ELKHORN INN</t>
  </si>
  <si>
    <t>GOAL LINE SPORTS BAR AND GRILL</t>
  </si>
  <si>
    <t>GREAT FOOD &amp; SPIRITS</t>
  </si>
  <si>
    <t>HIDEAWAY SLOTS N MORE</t>
  </si>
  <si>
    <t>HORIZON LIQUORS</t>
  </si>
  <si>
    <t>JAK'S PLACE</t>
  </si>
  <si>
    <t>LAKE SPORTS BAR</t>
  </si>
  <si>
    <t>LUCKY JACKS</t>
  </si>
  <si>
    <t>PATSY'S LLC</t>
  </si>
  <si>
    <t>R CORNER BAR CO</t>
  </si>
  <si>
    <t>ROC #6</t>
  </si>
  <si>
    <t>SIYA IN TUSCOLA</t>
  </si>
  <si>
    <t>SLOANS PUB HOUSE</t>
  </si>
  <si>
    <t>SMOKIN' HARRY'S</t>
  </si>
  <si>
    <t>SOUTHBANK ORIGINAL BARBEQUE</t>
  </si>
  <si>
    <t>SPANKY'S BAR &amp; GRILL</t>
  </si>
  <si>
    <t>STATION HOUSE RESTAURANT</t>
  </si>
  <si>
    <t>TASTE COUNTRY ROADHOUSE</t>
  </si>
  <si>
    <t>THE PIZZA JOINT</t>
  </si>
  <si>
    <t>VEGAS SLOTS &amp; GAMING</t>
  </si>
  <si>
    <t>WINDSOR CAFÉ</t>
  </si>
  <si>
    <t>BEGU 99, INC.</t>
  </si>
  <si>
    <t>A SEGURA LLC</t>
  </si>
  <si>
    <t>CHASERS BAR &amp; GRILL, INC.</t>
  </si>
  <si>
    <t>WOZ-KEN INC.</t>
  </si>
  <si>
    <t>ELKHORN INN, INC.</t>
  </si>
  <si>
    <t>GOAL LINE SPORTS BAR AND GRILL INC.</t>
  </si>
  <si>
    <t>GREAT FOOD &amp; SPIRITS INC.</t>
  </si>
  <si>
    <t>HIDEAWAY SLOTS N MORE, INC.</t>
  </si>
  <si>
    <t>HORIZON LIQUORS INC.</t>
  </si>
  <si>
    <t>M.L.C. ENTERPRISES LLC</t>
  </si>
  <si>
    <t>TRIPLE 777, LLC</t>
  </si>
  <si>
    <t>SHRIJALA 2016 INC.</t>
  </si>
  <si>
    <t>R CORNER BAR CO.</t>
  </si>
  <si>
    <t>SK ENTERPRISE I LLC</t>
  </si>
  <si>
    <t>HARRY LEROY COLEMAN</t>
  </si>
  <si>
    <t>BBQ123 DBA SOUTHBANK ORIGINAL BARBEQUE LLC</t>
  </si>
  <si>
    <t>JACOBY ENTERPRISES, INC.</t>
  </si>
  <si>
    <t>GALENA VENTURES LLC</t>
  </si>
  <si>
    <t>THE PIZZA JOIN BIZ, LLC</t>
  </si>
  <si>
    <t>VEGAS SLOTS &amp; GAMING, INC.</t>
  </si>
  <si>
    <t>D&amp;A GAMING, INC.</t>
  </si>
  <si>
    <t>B100910711</t>
  </si>
  <si>
    <t>B160770661</t>
  </si>
  <si>
    <t>B100910744</t>
  </si>
  <si>
    <t>B160770656</t>
  </si>
  <si>
    <t>3300013071</t>
  </si>
  <si>
    <t>2197798</t>
  </si>
  <si>
    <t>5053818</t>
  </si>
  <si>
    <t>3300012841</t>
  </si>
  <si>
    <t>B160770659</t>
  </si>
  <si>
    <t>B100808328</t>
  </si>
  <si>
    <t>B100910736</t>
  </si>
  <si>
    <t>B160770658</t>
  </si>
  <si>
    <t>2081818</t>
  </si>
  <si>
    <t>5038124</t>
  </si>
  <si>
    <t>3300002207</t>
  </si>
  <si>
    <t>812-0600570</t>
  </si>
  <si>
    <t>812-0600563</t>
  </si>
  <si>
    <t>812-0600648</t>
  </si>
  <si>
    <t>812-0600549</t>
  </si>
  <si>
    <t>81400044</t>
  </si>
  <si>
    <t>812-0600597</t>
  </si>
  <si>
    <t>812-0600646</t>
  </si>
  <si>
    <t>812-0600534</t>
  </si>
  <si>
    <t>812-0600537</t>
  </si>
  <si>
    <t>NILES</t>
  </si>
  <si>
    <t>COAL CITY</t>
  </si>
  <si>
    <t>CRYSTAL LAKE</t>
  </si>
  <si>
    <t>MATTOON</t>
  </si>
  <si>
    <t>ISLAND LAKE</t>
  </si>
  <si>
    <t>ROSICLARE</t>
  </si>
  <si>
    <t>ATWOOD</t>
  </si>
  <si>
    <t>CRESTON</t>
  </si>
  <si>
    <t>Peoria/Elmwood</t>
  </si>
  <si>
    <t>B160770660</t>
  </si>
  <si>
    <t>B160770654</t>
  </si>
  <si>
    <t>B160770657</t>
  </si>
  <si>
    <t>B160770653</t>
  </si>
  <si>
    <t>B160770652</t>
  </si>
  <si>
    <t>B160770655</t>
  </si>
  <si>
    <t>AMERICAN LEGION POST 287</t>
  </si>
  <si>
    <t>AMERICAN LEGION POST 51</t>
  </si>
  <si>
    <t>ART DECO SALOON</t>
  </si>
  <si>
    <t>BACK SHOP PIZZA LLC</t>
  </si>
  <si>
    <t>BACKWATER PUB &amp; GRUB</t>
  </si>
  <si>
    <t>BARBIE'S OUTPOST</t>
  </si>
  <si>
    <t>BELLA'S BISTRO</t>
  </si>
  <si>
    <t>BELLEVUE TAP</t>
  </si>
  <si>
    <t>BROKEN CHIMNEY</t>
  </si>
  <si>
    <t>CAFÉ FONTANA</t>
  </si>
  <si>
    <t>CHAMPAIGN-URBANA ELKS</t>
  </si>
  <si>
    <t>CHERRY RED'S GARAGE, LLC</t>
  </si>
  <si>
    <t>DARLING'S DINE &amp; DRAFT</t>
  </si>
  <si>
    <t>DEBENEDETTO'S RESTAURANT AND BAR INC</t>
  </si>
  <si>
    <t>DI &amp; TOM'S DOWNTOWN</t>
  </si>
  <si>
    <t>DOC'S INC</t>
  </si>
  <si>
    <t>EL INDIO AZTECA</t>
  </si>
  <si>
    <t>FRED'S FUEL 'N FOOD</t>
  </si>
  <si>
    <t>GIGI'S</t>
  </si>
  <si>
    <t>GOLDIE'S LOUNGE &amp; SLOTS</t>
  </si>
  <si>
    <t>HENRY'S DOUBLE K</t>
  </si>
  <si>
    <t>HOOTIE'S ROOST</t>
  </si>
  <si>
    <t>HUCK'S #379</t>
  </si>
  <si>
    <t>IRON HORSE LLC</t>
  </si>
  <si>
    <t>JAIMI'S PLACE</t>
  </si>
  <si>
    <t>KAYDEE KATS GOURMET PIZZA AND BURGERS</t>
  </si>
  <si>
    <t>LANDMARK PLAZA (BULLPEN)</t>
  </si>
  <si>
    <t>LUCKY ROSE</t>
  </si>
  <si>
    <t>MCMAHON'S PINTS AND PLATES</t>
  </si>
  <si>
    <t>MIMMO'S PIZZA</t>
  </si>
  <si>
    <t>NAT'S PLACE LLC</t>
  </si>
  <si>
    <t>NEWMAN AMERICAN LEGION</t>
  </si>
  <si>
    <t>OL' DAD'S PLACE</t>
  </si>
  <si>
    <t>PORKY BARN</t>
  </si>
  <si>
    <t>PORT ROYAL GASTROPUB</t>
  </si>
  <si>
    <t>POUR BROS</t>
  </si>
  <si>
    <t>RED'S BAR &amp; GRILL</t>
  </si>
  <si>
    <t>RESTAURANT ACAPULCO</t>
  </si>
  <si>
    <t>ROUTE 37 STORE</t>
  </si>
  <si>
    <t>SADIE'S PLACE</t>
  </si>
  <si>
    <t>SANDWICH FREEDOM HALL</t>
  </si>
  <si>
    <t>SCHOONERS</t>
  </si>
  <si>
    <t>SHOOTER'S</t>
  </si>
  <si>
    <t>STARKS CORNER</t>
  </si>
  <si>
    <t>STORM SHELTER PUB</t>
  </si>
  <si>
    <t>THE GRAPE ESCAPE</t>
  </si>
  <si>
    <t>THE JUNCTION</t>
  </si>
  <si>
    <t>THE LUCKY DOG</t>
  </si>
  <si>
    <t>TOWN AND COUNTRY BAR AND GRILL</t>
  </si>
  <si>
    <t>WARNER'S MVP LOUNGE</t>
  </si>
  <si>
    <t>WAYNE'S LANES</t>
  </si>
  <si>
    <t>WATER STREET PUB, INC.</t>
  </si>
  <si>
    <t>BACK SHOP PIZZA, LLC</t>
  </si>
  <si>
    <t>BACKWATER PUB &amp; GRUB LLC</t>
  </si>
  <si>
    <t>BARBIE'S OUTPOST, L.L.C.</t>
  </si>
  <si>
    <t>ELITE ENTERTAINMENT II, INC.</t>
  </si>
  <si>
    <t>BELLEVUE TAP, INC.</t>
  </si>
  <si>
    <t>BROKEN CHIMNEY INC.</t>
  </si>
  <si>
    <t>VLLEZNIT CORPORATION</t>
  </si>
  <si>
    <t>REGGIE'S PLACE, INC.</t>
  </si>
  <si>
    <t>DARLING'S BG, LLC</t>
  </si>
  <si>
    <t>DEBENEDETTO'S RESTAURANT AND BAR, INC.</t>
  </si>
  <si>
    <t>DI &amp; TOM'S DOWNTOWN, INC.</t>
  </si>
  <si>
    <t>DOC'S, INC OF MARSEILLES</t>
  </si>
  <si>
    <t>EL INDIO AZTECA CORP.</t>
  </si>
  <si>
    <t>FAT FISH PUB, I, LLC</t>
  </si>
  <si>
    <t>GILMAN OPCO LLC</t>
  </si>
  <si>
    <t>GIGI'S CRESTWOOD, LLC</t>
  </si>
  <si>
    <t>HENRY'S DOUBLE K, LLC</t>
  </si>
  <si>
    <t>JONATHAN HOOTMAN</t>
  </si>
  <si>
    <t>MARTIN &amp; BAYLEY, INC.</t>
  </si>
  <si>
    <t>JAIMI'S PLACE LLC</t>
  </si>
  <si>
    <t>KAYDEE EVANS, INC.</t>
  </si>
  <si>
    <t>LINN LANES, LLC</t>
  </si>
  <si>
    <t>LUCKY ROSE, INC.</t>
  </si>
  <si>
    <t>DOMENICO MANISCALCO</t>
  </si>
  <si>
    <t>NAT'S PLACE, LLC</t>
  </si>
  <si>
    <t>STANTON BURGETT POST 201 AMERICAN LEGION</t>
  </si>
  <si>
    <t>OL' DAD'S PLACE, LLC</t>
  </si>
  <si>
    <t>RADCON</t>
  </si>
  <si>
    <t>POUR BROS. CO.</t>
  </si>
  <si>
    <t>EL COSTENO INC.</t>
  </si>
  <si>
    <t>I KHODAL, LLC</t>
  </si>
  <si>
    <t>J AND W BLUHM PROPERTIES, INC.</t>
  </si>
  <si>
    <t>SADIE GIRL INC.</t>
  </si>
  <si>
    <t>RFH CORPORATION</t>
  </si>
  <si>
    <t>BLUE'S HIDEAWAY, INC.</t>
  </si>
  <si>
    <t>JR ANDERSON INC.</t>
  </si>
  <si>
    <t>THE GRAPE ESCAPE, INC.</t>
  </si>
  <si>
    <t>HOLLY E. MAESTAS</t>
  </si>
  <si>
    <t>TAYLOR GOSSETT</t>
  </si>
  <si>
    <t>WARNER'S MVP LOUNGE, LLC</t>
  </si>
  <si>
    <t>RICH &amp; JUNIE'S</t>
  </si>
  <si>
    <t>B160874832</t>
  </si>
  <si>
    <t>B160874831</t>
  </si>
  <si>
    <t>B160874820</t>
  </si>
  <si>
    <t>B160874813</t>
  </si>
  <si>
    <t>W2267255</t>
  </si>
  <si>
    <t>W2269919</t>
  </si>
  <si>
    <t>B160874838</t>
  </si>
  <si>
    <t>W2250903</t>
  </si>
  <si>
    <t>B160874819</t>
  </si>
  <si>
    <t>B160874821</t>
  </si>
  <si>
    <t>B100806505</t>
  </si>
  <si>
    <t>B140607190</t>
  </si>
  <si>
    <t>W2266225</t>
  </si>
  <si>
    <t>W2296560</t>
  </si>
  <si>
    <t>W2266886</t>
  </si>
  <si>
    <t>W2316042</t>
  </si>
  <si>
    <t>B160874825</t>
  </si>
  <si>
    <t>B160874814</t>
  </si>
  <si>
    <t>W2249763</t>
  </si>
  <si>
    <t>B140607194</t>
  </si>
  <si>
    <t>W2265111</t>
  </si>
  <si>
    <t>W2302835</t>
  </si>
  <si>
    <t>B110729995</t>
  </si>
  <si>
    <t>W2295619</t>
  </si>
  <si>
    <t>B120764392</t>
  </si>
  <si>
    <t>B160874839</t>
  </si>
  <si>
    <t>B110730163</t>
  </si>
  <si>
    <t>B160874823</t>
  </si>
  <si>
    <t>B160874834</t>
  </si>
  <si>
    <t>W2269902</t>
  </si>
  <si>
    <t>B140607189</t>
  </si>
  <si>
    <t>W2276441</t>
  </si>
  <si>
    <t>W2320293</t>
  </si>
  <si>
    <t>W2293714</t>
  </si>
  <si>
    <t>W2250853</t>
  </si>
  <si>
    <t>W2267348</t>
  </si>
  <si>
    <t>B160874842</t>
  </si>
  <si>
    <t>B160874835</t>
  </si>
  <si>
    <t>B100808946</t>
  </si>
  <si>
    <t>B110730161</t>
  </si>
  <si>
    <t>W2265505</t>
  </si>
  <si>
    <t>B160874833</t>
  </si>
  <si>
    <t>B160874828</t>
  </si>
  <si>
    <t>W2223327</t>
  </si>
  <si>
    <t>B160874840</t>
  </si>
  <si>
    <t>B160874837</t>
  </si>
  <si>
    <t>W2255958</t>
  </si>
  <si>
    <t>W2297815</t>
  </si>
  <si>
    <t>W2294393</t>
  </si>
  <si>
    <t>W2265510</t>
  </si>
  <si>
    <t>B160874822</t>
  </si>
  <si>
    <t>B160874824</t>
  </si>
  <si>
    <t>B160874829</t>
  </si>
  <si>
    <t>B160874826</t>
  </si>
  <si>
    <t>B160874830</t>
  </si>
  <si>
    <t>B110730374</t>
  </si>
  <si>
    <t>W2266923</t>
  </si>
  <si>
    <t>W2255957</t>
  </si>
  <si>
    <t>W2224371</t>
  </si>
  <si>
    <t>W2247087</t>
  </si>
  <si>
    <t>W2261224</t>
  </si>
  <si>
    <t>B160874815</t>
  </si>
  <si>
    <t>W2255956</t>
  </si>
  <si>
    <t>B160874816</t>
  </si>
  <si>
    <t>B160874841</t>
  </si>
  <si>
    <t>W2247430</t>
  </si>
  <si>
    <t>B160874817</t>
  </si>
  <si>
    <t>812-0600870</t>
  </si>
  <si>
    <t>812-0600876</t>
  </si>
  <si>
    <t>812-0600886</t>
  </si>
  <si>
    <t>812-0600942</t>
  </si>
  <si>
    <t>812-0600950</t>
  </si>
  <si>
    <t>812-0600953</t>
  </si>
  <si>
    <t>812-0600941</t>
  </si>
  <si>
    <t>812-0600923</t>
  </si>
  <si>
    <t>MN64AB120600159</t>
  </si>
  <si>
    <t>812-0600954</t>
  </si>
  <si>
    <t>812-0600868</t>
  </si>
  <si>
    <t>812-0600878</t>
  </si>
  <si>
    <t>812-0600902</t>
  </si>
  <si>
    <t>812-0600906</t>
  </si>
  <si>
    <t>812-0600892</t>
  </si>
  <si>
    <t>812-0600924</t>
  </si>
  <si>
    <t>812-0600896</t>
  </si>
  <si>
    <t>812-0600877</t>
  </si>
  <si>
    <t>812-0600869</t>
  </si>
  <si>
    <t>812-0600884</t>
  </si>
  <si>
    <t>812-0600889</t>
  </si>
  <si>
    <t>812-0600936</t>
  </si>
  <si>
    <t>812-0600913</t>
  </si>
  <si>
    <t>KIRKLAND</t>
  </si>
  <si>
    <t>MT CARROLL</t>
  </si>
  <si>
    <t>PANAMA</t>
  </si>
  <si>
    <t>SWANSEA</t>
  </si>
  <si>
    <t>CHRISMAN</t>
  </si>
  <si>
    <t>812-0600893</t>
  </si>
  <si>
    <t>812-0600911</t>
  </si>
  <si>
    <t>812-0600917</t>
  </si>
  <si>
    <t>812-0600955</t>
  </si>
  <si>
    <t>B160874818</t>
  </si>
  <si>
    <t>B160874827</t>
  </si>
  <si>
    <t>B160874836</t>
  </si>
  <si>
    <t>B161079386</t>
  </si>
  <si>
    <t>B161079389</t>
  </si>
  <si>
    <t>B161079394</t>
  </si>
  <si>
    <t>B161079395</t>
  </si>
  <si>
    <t>B161079398</t>
  </si>
  <si>
    <t>B161079399</t>
  </si>
  <si>
    <t>B161079401</t>
  </si>
  <si>
    <t>B161079402</t>
  </si>
  <si>
    <t>B161079403</t>
  </si>
  <si>
    <t>B161079405</t>
  </si>
  <si>
    <t>W2233141</t>
  </si>
  <si>
    <t>W2265509</t>
  </si>
  <si>
    <t>W2267254</t>
  </si>
  <si>
    <t>W2267845</t>
  </si>
  <si>
    <t>W2289190</t>
  </si>
  <si>
    <t>W2298701</t>
  </si>
  <si>
    <t>W2316624</t>
  </si>
  <si>
    <t>W2316637</t>
  </si>
  <si>
    <t>DELTA-SONIC (JOLIET)</t>
  </si>
  <si>
    <t>DELTA-SONIC (CRESTWOOD)</t>
  </si>
  <si>
    <t>CHIX RESTAURANT (OTTAWA)</t>
  </si>
  <si>
    <t>CHIX RESTAURANT (STREATOR)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</si>
</sst>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/d/yy;@"/>
    <numFmt numFmtId="165" formatCode="[$-409]m/d/yy\ h:mm\ AM/PM;@"/>
  </numFmts>
  <fonts count="4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11"/>
      <name val="Arial"/>
      <family val="2"/>
    </font>
    <font>
      <u/>
      <sz val="11"/>
      <color theme="10"/>
      <name val="Calibri"/>
      <family val="2"/>
    </font>
    <font>
      <u/>
      <sz val="11"/>
      <color theme="10"/>
      <name val="Calibri"/>
      <family val="2"/>
      <scheme val="minor"/>
    </font>
    <font>
      <i/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sz val="22"/>
      <color rgb="FFFF0000"/>
      <name val="Arial"/>
      <family val="2"/>
    </font>
    <font>
      <u/>
      <sz val="10"/>
      <name val="Arial"/>
      <family val="2"/>
    </font>
    <font>
      <b/>
      <sz val="12"/>
      <name val="Arial Black"/>
      <family val="2"/>
    </font>
    <font>
      <b/>
      <sz val="12"/>
      <color rgb="FFFF0000"/>
      <name val="Arial"/>
      <family val="2"/>
    </font>
    <font>
      <sz val="10"/>
      <color theme="0"/>
      <name val="Arial"/>
      <family val="2"/>
    </font>
    <font>
      <b/>
      <sz val="14"/>
      <color rgb="FFFF0000"/>
      <name val="Arial"/>
      <family val="2"/>
    </font>
    <font>
      <b/>
      <u/>
      <sz val="12"/>
      <name val="Arial"/>
      <family val="2"/>
    </font>
    <font>
      <b/>
      <sz val="14"/>
      <name val="Arial"/>
      <family val="2"/>
    </font>
    <font>
      <b/>
      <u/>
      <sz val="12"/>
      <color theme="0"/>
      <name val="Arial"/>
      <family val="2"/>
    </font>
    <font>
      <b/>
      <u/>
      <sz val="11"/>
      <color theme="0"/>
      <name val="Arial"/>
      <family val="2"/>
    </font>
    <font>
      <sz val="11"/>
      <color theme="0"/>
      <name val="Arial"/>
      <family val="2"/>
    </font>
    <font>
      <b/>
      <sz val="11"/>
      <name val="Arial"/>
      <family val="2"/>
    </font>
    <font>
      <b/>
      <sz val="10"/>
      <color rgb="FFFF0000"/>
      <name val="Arial"/>
      <family val="2"/>
    </font>
    <font>
      <b/>
      <sz val="16"/>
      <color rgb="FFFF0000"/>
      <name val="Arial"/>
      <family val="2"/>
    </font>
    <font>
      <b/>
      <sz val="20"/>
      <name val="Arial"/>
      <family val="2"/>
    </font>
    <font>
      <b/>
      <sz val="24"/>
      <color rgb="FFFF0000"/>
      <name val="Times New Roman"/>
      <family val="1"/>
    </font>
    <font>
      <b/>
      <u/>
      <sz val="14"/>
      <name val="Arial"/>
      <family val="2"/>
    </font>
    <font>
      <sz val="10"/>
      <color rgb="FFFF0000"/>
      <name val="Arial"/>
      <family val="2"/>
    </font>
    <font>
      <sz val="11"/>
      <color rgb="FFFF0000"/>
      <name val="Arial"/>
      <family val="2"/>
    </font>
    <font>
      <b/>
      <u/>
      <sz val="11"/>
      <color rgb="FFFF0000"/>
      <name val="Arial"/>
      <family val="2"/>
    </font>
    <font>
      <b/>
      <sz val="10"/>
      <color theme="0"/>
      <name val="Arial"/>
      <family val="2"/>
    </font>
    <font>
      <sz val="22"/>
      <color theme="0"/>
      <name val="Arial"/>
      <family val="2"/>
    </font>
    <font>
      <b/>
      <sz val="12"/>
      <color theme="0"/>
      <name val="Arial Black"/>
      <family val="2"/>
    </font>
    <font>
      <b/>
      <u/>
      <sz val="10"/>
      <color theme="0"/>
      <name val="Arial"/>
      <family val="2"/>
    </font>
    <font>
      <b/>
      <sz val="12"/>
      <color theme="0"/>
      <name val="Arial"/>
      <family val="2"/>
    </font>
    <font>
      <sz val="22"/>
      <color theme="0"/>
      <name val="Baskerville Old Face"/>
      <family val="1"/>
    </font>
    <font>
      <i/>
      <sz val="16"/>
      <color theme="0"/>
      <name val="Arial"/>
      <family val="2"/>
    </font>
    <font>
      <b/>
      <sz val="14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6AFD5F"/>
        <bgColor indexed="64"/>
      </patternFill>
    </fill>
    <fill>
      <patternFill patternType="solid">
        <fgColor rgb="FF0000FF"/>
        <bgColor indexed="64"/>
      </patternFill>
    </fill>
  </fills>
  <borders count="62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rgb="FFFF0000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theme="0" tint="-0.14996795556505021"/>
      </right>
      <top style="medium">
        <color auto="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medium">
        <color auto="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thin">
        <color theme="0" tint="-0.14996795556505021"/>
      </left>
      <right style="thin">
        <color theme="0" tint="-0.14996795556505021"/>
      </right>
      <top style="medium">
        <color auto="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6795556505021"/>
      </bottom>
      <diagonal/>
    </border>
    <border>
      <left style="medium">
        <color theme="1"/>
      </left>
      <right/>
      <top style="medium">
        <color rgb="FFFF0000"/>
      </top>
      <bottom style="medium">
        <color auto="1"/>
      </bottom>
      <diagonal/>
    </border>
    <border>
      <left/>
      <right style="medium">
        <color theme="1"/>
      </right>
      <top style="medium">
        <color rgb="FFFF0000"/>
      </top>
      <bottom style="medium">
        <color auto="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</borders>
  <cellStyleXfs count="10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0" fontId="10" fillId="0" borderId="0" applyNumberFormat="0" applyFill="0" applyBorder="0" applyAlignment="0" applyProtection="0"/>
    <xf numFmtId="0" fontId="5" fillId="0" borderId="0"/>
    <xf numFmtId="0" fontId="3" fillId="0" borderId="0"/>
    <xf numFmtId="0" fontId="2" fillId="0" borderId="0"/>
    <xf numFmtId="0" fontId="1" fillId="0" borderId="0"/>
    <xf numFmtId="0" fontId="5" fillId="0" borderId="0"/>
    <xf numFmtId="0" fontId="1" fillId="0" borderId="0"/>
    <xf numFmtId="0" fontId="1" fillId="0" borderId="0"/>
  </cellStyleXfs>
  <cellXfs count="271">
    <xf numFmtId="0" fontId="0" fillId="0" borderId="0" xfId="0"/>
    <xf numFmtId="0" fontId="0" fillId="0" borderId="0" xfId="0" applyFill="1"/>
    <xf numFmtId="0" fontId="0" fillId="0" borderId="0" xfId="0" applyFill="1" applyAlignment="1">
      <alignment horizontal="center"/>
    </xf>
    <xf numFmtId="0" fontId="4" fillId="0" borderId="0" xfId="0" applyFont="1"/>
    <xf numFmtId="0" fontId="4" fillId="0" borderId="0" xfId="0" applyFont="1" applyFill="1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49" fontId="4" fillId="0" borderId="0" xfId="0" applyNumberFormat="1" applyFont="1" applyAlignment="1">
      <alignment vertical="center"/>
    </xf>
    <xf numFmtId="0" fontId="8" fillId="0" borderId="0" xfId="0" applyFont="1" applyFill="1" applyBorder="1" applyAlignment="1"/>
    <xf numFmtId="0" fontId="5" fillId="0" borderId="0" xfId="0" applyFont="1" applyFill="1" applyBorder="1" applyAlignment="1">
      <alignment vertical="center" wrapText="1"/>
    </xf>
    <xf numFmtId="0" fontId="5" fillId="0" borderId="0" xfId="0" applyFont="1" applyFill="1" applyBorder="1" applyAlignment="1">
      <alignment vertical="center"/>
    </xf>
    <xf numFmtId="0" fontId="12" fillId="0" borderId="0" xfId="5" applyFont="1" applyAlignment="1">
      <alignment horizontal="left"/>
    </xf>
    <xf numFmtId="0" fontId="2" fillId="0" borderId="0" xfId="5"/>
    <xf numFmtId="0" fontId="2" fillId="0" borderId="0" xfId="5" applyAlignment="1">
      <alignment horizontal="left"/>
    </xf>
    <xf numFmtId="0" fontId="12" fillId="0" borderId="0" xfId="5" applyFont="1" applyBorder="1" applyAlignment="1">
      <alignment horizontal="left"/>
    </xf>
    <xf numFmtId="0" fontId="12" fillId="0" borderId="9" xfId="5" applyFont="1" applyBorder="1" applyAlignment="1">
      <alignment horizontal="left"/>
    </xf>
    <xf numFmtId="0" fontId="2" fillId="0" borderId="0" xfId="5" applyAlignment="1">
      <alignment wrapText="1"/>
    </xf>
    <xf numFmtId="0" fontId="12" fillId="0" borderId="0" xfId="5" applyFont="1" applyFill="1" applyAlignment="1">
      <alignment horizontal="center"/>
    </xf>
    <xf numFmtId="49" fontId="2" fillId="0" borderId="0" xfId="5" applyNumberFormat="1" applyBorder="1" applyAlignment="1">
      <alignment wrapText="1"/>
    </xf>
    <xf numFmtId="164" fontId="2" fillId="0" borderId="0" xfId="5" applyNumberFormat="1" applyAlignment="1">
      <alignment horizontal="left"/>
    </xf>
    <xf numFmtId="0" fontId="2" fillId="0" borderId="0" xfId="5" applyFill="1" applyAlignment="1">
      <alignment horizontal="left"/>
    </xf>
    <xf numFmtId="0" fontId="2" fillId="0" borderId="0" xfId="5" applyBorder="1"/>
    <xf numFmtId="0" fontId="2" fillId="0" borderId="0" xfId="5" applyBorder="1" applyAlignment="1">
      <alignment horizontal="left"/>
    </xf>
    <xf numFmtId="164" fontId="2" fillId="2" borderId="0" xfId="5" applyNumberFormat="1" applyFill="1" applyAlignment="1">
      <alignment horizontal="left"/>
    </xf>
    <xf numFmtId="164" fontId="2" fillId="0" borderId="0" xfId="5" applyNumberFormat="1" applyFill="1" applyAlignment="1">
      <alignment horizontal="left"/>
    </xf>
    <xf numFmtId="0" fontId="2" fillId="0" borderId="0" xfId="5" applyFill="1" applyBorder="1" applyAlignment="1">
      <alignment horizontal="left"/>
    </xf>
    <xf numFmtId="14" fontId="2" fillId="0" borderId="0" xfId="5" applyNumberFormat="1" applyAlignment="1">
      <alignment horizontal="left"/>
    </xf>
    <xf numFmtId="0" fontId="2" fillId="0" borderId="0" xfId="5" applyFont="1" applyAlignment="1">
      <alignment horizontal="left"/>
    </xf>
    <xf numFmtId="0" fontId="2" fillId="0" borderId="0" xfId="5" applyFill="1" applyBorder="1" applyAlignment="1">
      <alignment horizontal="left" vertical="center"/>
    </xf>
    <xf numFmtId="49" fontId="2" fillId="0" borderId="0" xfId="5" applyNumberFormat="1" applyFill="1" applyBorder="1" applyAlignment="1">
      <alignment horizontal="left" vertical="center" wrapText="1"/>
    </xf>
    <xf numFmtId="0" fontId="2" fillId="0" borderId="0" xfId="5" applyNumberFormat="1" applyFill="1" applyBorder="1" applyAlignment="1">
      <alignment horizontal="left" vertical="center" wrapText="1"/>
    </xf>
    <xf numFmtId="0" fontId="2" fillId="0" borderId="0" xfId="5" applyFill="1" applyBorder="1" applyAlignment="1">
      <alignment horizontal="left" vertical="center" wrapText="1"/>
    </xf>
    <xf numFmtId="49" fontId="2" fillId="0" borderId="0" xfId="5" applyNumberFormat="1" applyBorder="1" applyAlignment="1"/>
    <xf numFmtId="49" fontId="2" fillId="0" borderId="9" xfId="5" applyNumberFormat="1" applyBorder="1" applyAlignment="1">
      <alignment wrapText="1"/>
    </xf>
    <xf numFmtId="0" fontId="12" fillId="0" borderId="0" xfId="5" applyFont="1" applyAlignment="1">
      <alignment horizontal="left" wrapText="1"/>
    </xf>
    <xf numFmtId="0" fontId="2" fillId="0" borderId="0" xfId="5" applyAlignment="1">
      <alignment horizontal="left" wrapText="1"/>
    </xf>
    <xf numFmtId="0" fontId="5" fillId="0" borderId="0" xfId="0" applyFont="1"/>
    <xf numFmtId="0" fontId="15" fillId="0" borderId="0" xfId="0" applyFont="1"/>
    <xf numFmtId="0" fontId="15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5" fillId="0" borderId="0" xfId="0" applyFont="1" applyFill="1"/>
    <xf numFmtId="0" fontId="5" fillId="0" borderId="0" xfId="0" applyFont="1" applyFill="1" applyAlignment="1">
      <alignment horizontal="left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vertical="center"/>
    </xf>
    <xf numFmtId="0" fontId="17" fillId="0" borderId="0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left"/>
    </xf>
    <xf numFmtId="0" fontId="8" fillId="0" borderId="24" xfId="0" applyFont="1" applyFill="1" applyBorder="1" applyAlignment="1"/>
    <xf numFmtId="0" fontId="8" fillId="0" borderId="25" xfId="0" applyFont="1" applyFill="1" applyBorder="1" applyAlignment="1">
      <alignment horizontal="center"/>
    </xf>
    <xf numFmtId="0" fontId="4" fillId="0" borderId="25" xfId="0" applyFont="1" applyBorder="1" applyAlignment="1">
      <alignment vertical="center"/>
    </xf>
    <xf numFmtId="0" fontId="4" fillId="0" borderId="26" xfId="0" applyFont="1" applyBorder="1" applyAlignment="1">
      <alignment vertical="center"/>
    </xf>
    <xf numFmtId="0" fontId="8" fillId="0" borderId="21" xfId="0" applyFont="1" applyFill="1" applyBorder="1" applyAlignment="1">
      <alignment horizontal="center"/>
    </xf>
    <xf numFmtId="0" fontId="8" fillId="0" borderId="22" xfId="0" applyFont="1" applyFill="1" applyBorder="1" applyAlignment="1">
      <alignment horizontal="center"/>
    </xf>
    <xf numFmtId="0" fontId="8" fillId="0" borderId="23" xfId="0" applyFont="1" applyFill="1" applyBorder="1" applyAlignment="1">
      <alignment horizontal="center"/>
    </xf>
    <xf numFmtId="0" fontId="20" fillId="0" borderId="0" xfId="0" applyFont="1" applyFill="1" applyBorder="1" applyAlignment="1">
      <alignment horizontal="center"/>
    </xf>
    <xf numFmtId="165" fontId="13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vertical="center" wrapText="1"/>
    </xf>
    <xf numFmtId="0" fontId="17" fillId="0" borderId="0" xfId="0" applyFont="1" applyFill="1" applyBorder="1" applyAlignment="1">
      <alignment horizontal="left"/>
    </xf>
    <xf numFmtId="0" fontId="18" fillId="0" borderId="0" xfId="0" applyFont="1" applyFill="1"/>
    <xf numFmtId="49" fontId="22" fillId="5" borderId="0" xfId="0" applyNumberFormat="1" applyFont="1" applyFill="1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18" fillId="0" borderId="0" xfId="0" applyFont="1"/>
    <xf numFmtId="0" fontId="24" fillId="0" borderId="0" xfId="0" applyFont="1"/>
    <xf numFmtId="49" fontId="24" fillId="0" borderId="0" xfId="0" applyNumberFormat="1" applyFont="1" applyAlignment="1">
      <alignment vertical="center"/>
    </xf>
    <xf numFmtId="0" fontId="24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24" fillId="0" borderId="0" xfId="0" applyFont="1" applyFill="1"/>
    <xf numFmtId="0" fontId="23" fillId="0" borderId="0" xfId="0" applyFont="1" applyFill="1" applyBorder="1" applyAlignment="1"/>
    <xf numFmtId="0" fontId="25" fillId="0" borderId="0" xfId="0" applyFont="1" applyFill="1" applyBorder="1" applyAlignment="1"/>
    <xf numFmtId="49" fontId="22" fillId="5" borderId="17" xfId="0" applyNumberFormat="1" applyFont="1" applyFill="1" applyBorder="1" applyAlignment="1">
      <alignment horizontal="center" wrapText="1"/>
    </xf>
    <xf numFmtId="0" fontId="0" fillId="6" borderId="37" xfId="0" applyFill="1" applyBorder="1" applyAlignment="1">
      <alignment horizontal="center" vertical="center"/>
    </xf>
    <xf numFmtId="0" fontId="5" fillId="6" borderId="38" xfId="0" applyFont="1" applyFill="1" applyBorder="1" applyAlignment="1">
      <alignment horizontal="left" vertical="center" wrapText="1"/>
    </xf>
    <xf numFmtId="0" fontId="0" fillId="6" borderId="39" xfId="0" applyFill="1" applyBorder="1" applyAlignment="1">
      <alignment horizontal="center" vertical="center"/>
    </xf>
    <xf numFmtId="0" fontId="5" fillId="6" borderId="40" xfId="0" applyFont="1" applyFill="1" applyBorder="1" applyAlignment="1">
      <alignment horizontal="left" vertical="center" wrapText="1"/>
    </xf>
    <xf numFmtId="0" fontId="0" fillId="0" borderId="42" xfId="0" applyBorder="1" applyAlignment="1">
      <alignment vertical="center"/>
    </xf>
    <xf numFmtId="0" fontId="5" fillId="0" borderId="42" xfId="0" applyFont="1" applyBorder="1" applyAlignment="1">
      <alignment horizontal="left" vertical="center" wrapText="1"/>
    </xf>
    <xf numFmtId="0" fontId="0" fillId="0" borderId="42" xfId="0" applyFill="1" applyBorder="1" applyAlignment="1">
      <alignment horizontal="center"/>
    </xf>
    <xf numFmtId="0" fontId="5" fillId="6" borderId="43" xfId="0" applyFont="1" applyFill="1" applyBorder="1" applyAlignment="1">
      <alignment vertical="center" wrapText="1"/>
    </xf>
    <xf numFmtId="0" fontId="5" fillId="0" borderId="41" xfId="0" applyFont="1" applyBorder="1" applyAlignment="1">
      <alignment vertical="center" wrapText="1"/>
    </xf>
    <xf numFmtId="0" fontId="5" fillId="0" borderId="44" xfId="0" applyFont="1" applyBorder="1" applyAlignment="1">
      <alignment vertical="center" wrapText="1"/>
    </xf>
    <xf numFmtId="0" fontId="5" fillId="0" borderId="45" xfId="0" applyFont="1" applyBorder="1" applyAlignment="1">
      <alignment vertical="center" wrapText="1"/>
    </xf>
    <xf numFmtId="0" fontId="5" fillId="0" borderId="46" xfId="0" applyFont="1" applyBorder="1" applyAlignment="1">
      <alignment vertical="center" wrapText="1"/>
    </xf>
    <xf numFmtId="14" fontId="17" fillId="0" borderId="0" xfId="0" applyNumberFormat="1" applyFont="1" applyFill="1" applyBorder="1" applyAlignment="1">
      <alignment horizontal="left"/>
    </xf>
    <xf numFmtId="0" fontId="8" fillId="0" borderId="47" xfId="0" applyFont="1" applyFill="1" applyBorder="1" applyAlignment="1">
      <alignment horizontal="center"/>
    </xf>
    <xf numFmtId="0" fontId="8" fillId="0" borderId="48" xfId="0" applyFont="1" applyFill="1" applyBorder="1" applyAlignment="1">
      <alignment horizontal="center"/>
    </xf>
    <xf numFmtId="0" fontId="8" fillId="0" borderId="51" xfId="0" applyFont="1" applyFill="1" applyBorder="1" applyAlignment="1"/>
    <xf numFmtId="0" fontId="4" fillId="0" borderId="52" xfId="0" applyFont="1" applyBorder="1" applyAlignment="1">
      <alignment vertical="center"/>
    </xf>
    <xf numFmtId="0" fontId="0" fillId="0" borderId="10" xfId="0" applyBorder="1"/>
    <xf numFmtId="0" fontId="0" fillId="0" borderId="8" xfId="0" applyBorder="1"/>
    <xf numFmtId="0" fontId="0" fillId="0" borderId="11" xfId="0" applyBorder="1"/>
    <xf numFmtId="0" fontId="0" fillId="0" borderId="18" xfId="0" applyBorder="1"/>
    <xf numFmtId="0" fontId="0" fillId="0" borderId="19" xfId="0" applyBorder="1"/>
    <xf numFmtId="0" fontId="0" fillId="0" borderId="0" xfId="0" applyBorder="1"/>
    <xf numFmtId="0" fontId="6" fillId="0" borderId="0" xfId="0" applyFont="1" applyBorder="1"/>
    <xf numFmtId="0" fontId="0" fillId="0" borderId="12" xfId="0" applyBorder="1"/>
    <xf numFmtId="0" fontId="0" fillId="0" borderId="1" xfId="0" applyBorder="1"/>
    <xf numFmtId="0" fontId="0" fillId="0" borderId="13" xfId="0" applyBorder="1"/>
    <xf numFmtId="49" fontId="6" fillId="6" borderId="0" xfId="0" applyNumberFormat="1" applyFont="1" applyFill="1" applyBorder="1" applyAlignment="1">
      <alignment horizontal="left" wrapText="1"/>
    </xf>
    <xf numFmtId="49" fontId="7" fillId="6" borderId="0" xfId="0" applyNumberFormat="1" applyFont="1" applyFill="1" applyAlignment="1">
      <alignment horizontal="right" vertical="center"/>
    </xf>
    <xf numFmtId="0" fontId="0" fillId="6" borderId="0" xfId="0" applyFill="1" applyAlignment="1">
      <alignment horizontal="center" vertical="center"/>
    </xf>
    <xf numFmtId="0" fontId="5" fillId="6" borderId="58" xfId="0" applyFont="1" applyFill="1" applyBorder="1" applyAlignment="1">
      <alignment horizontal="left" vertical="center" wrapText="1"/>
    </xf>
    <xf numFmtId="0" fontId="31" fillId="0" borderId="0" xfId="0" applyFont="1"/>
    <xf numFmtId="0" fontId="32" fillId="0" borderId="0" xfId="0" applyFont="1"/>
    <xf numFmtId="49" fontId="33" fillId="0" borderId="0" xfId="0" applyNumberFormat="1" applyFont="1" applyAlignment="1">
      <alignment vertical="center"/>
    </xf>
    <xf numFmtId="49" fontId="32" fillId="0" borderId="0" xfId="0" applyNumberFormat="1" applyFont="1" applyAlignment="1">
      <alignment vertical="center"/>
    </xf>
    <xf numFmtId="0" fontId="32" fillId="0" borderId="0" xfId="0" applyFont="1" applyAlignment="1">
      <alignment vertical="center"/>
    </xf>
    <xf numFmtId="0" fontId="31" fillId="0" borderId="0" xfId="0" applyFont="1" applyAlignment="1">
      <alignment vertical="center"/>
    </xf>
    <xf numFmtId="0" fontId="32" fillId="0" borderId="0" xfId="0" applyFont="1" applyFill="1"/>
    <xf numFmtId="0" fontId="33" fillId="0" borderId="0" xfId="0" applyFont="1" applyFill="1" applyBorder="1" applyAlignment="1"/>
    <xf numFmtId="0" fontId="31" fillId="0" borderId="0" xfId="0" applyFont="1" applyFill="1"/>
    <xf numFmtId="49" fontId="34" fillId="0" borderId="0" xfId="0" applyNumberFormat="1" applyFont="1" applyFill="1" applyBorder="1" applyAlignment="1">
      <alignment horizontal="left" wrapText="1"/>
    </xf>
    <xf numFmtId="49" fontId="37" fillId="0" borderId="0" xfId="0" applyNumberFormat="1" applyFont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wrapText="1"/>
    </xf>
    <xf numFmtId="0" fontId="18" fillId="0" borderId="0" xfId="0" applyFont="1" applyAlignment="1">
      <alignment vertical="center" wrapText="1"/>
    </xf>
    <xf numFmtId="0" fontId="18" fillId="0" borderId="0" xfId="0" applyFont="1" applyFill="1" applyAlignment="1">
      <alignment horizontal="center"/>
    </xf>
    <xf numFmtId="0" fontId="38" fillId="0" borderId="0" xfId="0" applyFont="1" applyAlignment="1">
      <alignment vertical="center" wrapText="1"/>
    </xf>
    <xf numFmtId="0" fontId="22" fillId="0" borderId="0" xfId="0" applyFont="1" applyFill="1" applyBorder="1" applyAlignment="1">
      <alignment horizontal="center"/>
    </xf>
    <xf numFmtId="0" fontId="38" fillId="0" borderId="0" xfId="0" applyFont="1" applyFill="1" applyBorder="1" applyAlignment="1">
      <alignment horizontal="center"/>
    </xf>
    <xf numFmtId="165" fontId="38" fillId="0" borderId="0" xfId="0" applyNumberFormat="1" applyFont="1" applyFill="1" applyBorder="1" applyAlignment="1">
      <alignment horizontal="center"/>
    </xf>
    <xf numFmtId="0" fontId="38" fillId="0" borderId="0" xfId="0" applyFont="1" applyFill="1" applyBorder="1" applyAlignment="1">
      <alignment horizontal="left"/>
    </xf>
    <xf numFmtId="0" fontId="23" fillId="0" borderId="0" xfId="0" applyFont="1" applyFill="1" applyBorder="1" applyAlignment="1">
      <alignment horizontal="center"/>
    </xf>
    <xf numFmtId="0" fontId="23" fillId="0" borderId="21" xfId="0" applyFont="1" applyFill="1" applyBorder="1" applyAlignment="1">
      <alignment horizontal="center"/>
    </xf>
    <xf numFmtId="0" fontId="23" fillId="0" borderId="22" xfId="0" applyFont="1" applyFill="1" applyBorder="1" applyAlignment="1">
      <alignment horizontal="center"/>
    </xf>
    <xf numFmtId="0" fontId="23" fillId="0" borderId="23" xfId="0" applyFont="1" applyFill="1" applyBorder="1" applyAlignment="1">
      <alignment horizontal="center"/>
    </xf>
    <xf numFmtId="0" fontId="23" fillId="0" borderId="24" xfId="0" applyFont="1" applyFill="1" applyBorder="1" applyAlignment="1"/>
    <xf numFmtId="0" fontId="23" fillId="0" borderId="25" xfId="0" applyFont="1" applyFill="1" applyBorder="1" applyAlignment="1">
      <alignment horizontal="center"/>
    </xf>
    <xf numFmtId="0" fontId="24" fillId="0" borderId="25" xfId="0" applyFont="1" applyBorder="1" applyAlignment="1">
      <alignment vertical="center"/>
    </xf>
    <xf numFmtId="0" fontId="24" fillId="0" borderId="26" xfId="0" applyFont="1" applyBorder="1" applyAlignment="1">
      <alignment vertical="center"/>
    </xf>
    <xf numFmtId="0" fontId="18" fillId="0" borderId="0" xfId="0" applyFont="1" applyFill="1" applyBorder="1" applyAlignment="1">
      <alignment vertical="center"/>
    </xf>
    <xf numFmtId="0" fontId="18" fillId="0" borderId="0" xfId="0" applyFont="1" applyFill="1" applyBorder="1" applyAlignment="1">
      <alignment vertical="center" wrapText="1"/>
    </xf>
    <xf numFmtId="0" fontId="23" fillId="0" borderId="0" xfId="0" applyFont="1" applyFill="1" applyBorder="1" applyAlignment="1">
      <alignment vertical="center"/>
    </xf>
    <xf numFmtId="0" fontId="23" fillId="0" borderId="0" xfId="0" applyFont="1" applyFill="1" applyBorder="1" applyAlignment="1">
      <alignment horizontal="left"/>
    </xf>
    <xf numFmtId="49" fontId="13" fillId="0" borderId="59" xfId="0" applyNumberFormat="1" applyFont="1" applyFill="1" applyBorder="1" applyAlignment="1">
      <alignment horizontal="center" vertical="center" wrapText="1"/>
    </xf>
    <xf numFmtId="49" fontId="8" fillId="0" borderId="0" xfId="0" applyNumberFormat="1" applyFont="1" applyAlignment="1">
      <alignment vertical="center"/>
    </xf>
    <xf numFmtId="0" fontId="5" fillId="6" borderId="61" xfId="0" applyFont="1" applyFill="1" applyBorder="1" applyAlignment="1">
      <alignment vertical="center" wrapText="1"/>
    </xf>
    <xf numFmtId="0" fontId="5" fillId="0" borderId="0" xfId="0" applyNumberFormat="1" applyFont="1" applyFill="1" applyAlignment="1">
      <alignment horizontal="left"/>
    </xf>
    <xf numFmtId="0" fontId="5" fillId="0" borderId="0" xfId="0" applyNumberFormat="1" applyFont="1" applyAlignment="1">
      <alignment horizontal="left" vertical="center"/>
    </xf>
    <xf numFmtId="1" fontId="5" fillId="0" borderId="0" xfId="0" applyNumberFormat="1" applyFont="1" applyFill="1" applyAlignment="1">
      <alignment horizontal="left"/>
    </xf>
    <xf numFmtId="1" fontId="5" fillId="0" borderId="0" xfId="0" applyNumberFormat="1" applyFont="1" applyAlignment="1">
      <alignment horizontal="left" vertical="center"/>
    </xf>
    <xf numFmtId="1" fontId="5" fillId="0" borderId="0" xfId="0" applyNumberFormat="1" applyFont="1" applyAlignment="1">
      <alignment vertical="center"/>
    </xf>
    <xf numFmtId="0" fontId="25" fillId="0" borderId="20" xfId="0" applyFont="1" applyFill="1" applyBorder="1" applyAlignment="1">
      <alignment horizontal="center" vertical="center"/>
    </xf>
    <xf numFmtId="0" fontId="25" fillId="0" borderId="20" xfId="0" applyFont="1" applyFill="1" applyBorder="1" applyAlignment="1">
      <alignment horizontal="center" vertical="center" wrapText="1"/>
    </xf>
    <xf numFmtId="0" fontId="4" fillId="0" borderId="20" xfId="0" applyFont="1" applyBorder="1" applyAlignment="1">
      <alignment horizontal="center" vertical="center"/>
    </xf>
    <xf numFmtId="0" fontId="8" fillId="4" borderId="15" xfId="0" applyFont="1" applyFill="1" applyBorder="1" applyAlignment="1">
      <alignment horizontal="center"/>
    </xf>
    <xf numFmtId="0" fontId="8" fillId="4" borderId="16" xfId="0" applyFont="1" applyFill="1" applyBorder="1" applyAlignment="1">
      <alignment horizontal="center"/>
    </xf>
    <xf numFmtId="0" fontId="8" fillId="4" borderId="17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7" xfId="0" applyFont="1" applyFill="1" applyBorder="1" applyAlignment="1">
      <alignment horizontal="center"/>
    </xf>
    <xf numFmtId="49" fontId="13" fillId="0" borderId="55" xfId="0" applyNumberFormat="1" applyFont="1" applyFill="1" applyBorder="1" applyAlignment="1">
      <alignment horizontal="center" vertical="center" wrapText="1"/>
    </xf>
    <xf numFmtId="49" fontId="13" fillId="0" borderId="56" xfId="0" applyNumberFormat="1" applyFont="1" applyFill="1" applyBorder="1" applyAlignment="1">
      <alignment horizontal="center" vertical="center" wrapText="1"/>
    </xf>
    <xf numFmtId="0" fontId="11" fillId="0" borderId="6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49" fontId="13" fillId="0" borderId="10" xfId="0" applyNumberFormat="1" applyFont="1" applyFill="1" applyBorder="1" applyAlignment="1">
      <alignment horizontal="center" vertical="center" wrapText="1"/>
    </xf>
    <xf numFmtId="49" fontId="13" fillId="7" borderId="12" xfId="0" applyNumberFormat="1" applyFont="1" applyFill="1" applyBorder="1" applyAlignment="1">
      <alignment horizontal="center" vertical="center" wrapText="1"/>
    </xf>
    <xf numFmtId="0" fontId="14" fillId="0" borderId="10" xfId="0" applyFont="1" applyFill="1" applyBorder="1" applyAlignment="1">
      <alignment horizontal="center" vertical="top"/>
    </xf>
    <xf numFmtId="0" fontId="14" fillId="0" borderId="8" xfId="0" applyFont="1" applyFill="1" applyBorder="1" applyAlignment="1">
      <alignment horizontal="center" vertical="top"/>
    </xf>
    <xf numFmtId="0" fontId="14" fillId="0" borderId="11" xfId="0" applyFont="1" applyFill="1" applyBorder="1" applyAlignment="1">
      <alignment horizontal="center" vertical="top"/>
    </xf>
    <xf numFmtId="0" fontId="14" fillId="7" borderId="12" xfId="0" applyFont="1" applyFill="1" applyBorder="1" applyAlignment="1">
      <alignment horizontal="center" vertical="top"/>
    </xf>
    <xf numFmtId="0" fontId="14" fillId="7" borderId="1" xfId="0" applyFont="1" applyFill="1" applyBorder="1" applyAlignment="1">
      <alignment horizontal="center" vertical="top"/>
    </xf>
    <xf numFmtId="0" fontId="14" fillId="7" borderId="13" xfId="0" applyFont="1" applyFill="1" applyBorder="1" applyAlignment="1">
      <alignment horizontal="center" vertical="top"/>
    </xf>
    <xf numFmtId="0" fontId="38" fillId="8" borderId="59" xfId="0" applyNumberFormat="1" applyFont="1" applyFill="1" applyBorder="1" applyAlignment="1">
      <alignment horizontal="left" vertical="center" wrapText="1"/>
    </xf>
    <xf numFmtId="0" fontId="38" fillId="8" borderId="14" xfId="0" applyNumberFormat="1" applyFont="1" applyFill="1" applyBorder="1" applyAlignment="1">
      <alignment horizontal="left" vertical="center" wrapText="1"/>
    </xf>
    <xf numFmtId="0" fontId="38" fillId="8" borderId="60" xfId="0" applyNumberFormat="1" applyFont="1" applyFill="1" applyBorder="1" applyAlignment="1">
      <alignment horizontal="left" vertical="center" wrapText="1"/>
    </xf>
    <xf numFmtId="0" fontId="8" fillId="0" borderId="29" xfId="0" applyFont="1" applyFill="1" applyBorder="1" applyAlignment="1">
      <alignment horizontal="left" vertical="center"/>
    </xf>
    <xf numFmtId="0" fontId="8" fillId="0" borderId="31" xfId="0" applyFont="1" applyFill="1" applyBorder="1" applyAlignment="1">
      <alignment horizontal="left" vertical="center"/>
    </xf>
    <xf numFmtId="0" fontId="25" fillId="0" borderId="30" xfId="0" applyFont="1" applyFill="1" applyBorder="1" applyAlignment="1">
      <alignment horizontal="center" vertical="center"/>
    </xf>
    <xf numFmtId="0" fontId="25" fillId="0" borderId="32" xfId="0" applyFont="1" applyFill="1" applyBorder="1" applyAlignment="1">
      <alignment horizontal="center" vertical="center"/>
    </xf>
    <xf numFmtId="0" fontId="17" fillId="0" borderId="34" xfId="0" applyFont="1" applyFill="1" applyBorder="1" applyAlignment="1">
      <alignment horizontal="left" vertical="center"/>
    </xf>
    <xf numFmtId="0" fontId="17" fillId="0" borderId="8" xfId="0" applyFont="1" applyFill="1" applyBorder="1" applyAlignment="1">
      <alignment horizontal="left" vertical="center"/>
    </xf>
    <xf numFmtId="0" fontId="17" fillId="0" borderId="11" xfId="0" applyFont="1" applyFill="1" applyBorder="1" applyAlignment="1">
      <alignment horizontal="left" vertical="center"/>
    </xf>
    <xf numFmtId="0" fontId="17" fillId="0" borderId="35" xfId="0" applyFont="1" applyFill="1" applyBorder="1" applyAlignment="1">
      <alignment horizontal="left" vertical="center"/>
    </xf>
    <xf numFmtId="0" fontId="17" fillId="0" borderId="1" xfId="0" applyFont="1" applyFill="1" applyBorder="1" applyAlignment="1">
      <alignment horizontal="left" vertical="center"/>
    </xf>
    <xf numFmtId="0" fontId="17" fillId="0" borderId="13" xfId="0" applyFont="1" applyFill="1" applyBorder="1" applyAlignment="1">
      <alignment horizontal="left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8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18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9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19" fillId="0" borderId="1" xfId="0" applyFont="1" applyFill="1" applyBorder="1" applyAlignment="1">
      <alignment horizontal="center" vertical="center"/>
    </xf>
    <xf numFmtId="0" fontId="19" fillId="0" borderId="13" xfId="0" applyFont="1" applyFill="1" applyBorder="1" applyAlignment="1">
      <alignment horizontal="center" vertical="center"/>
    </xf>
    <xf numFmtId="0" fontId="19" fillId="0" borderId="49" xfId="0" applyFont="1" applyBorder="1" applyAlignment="1">
      <alignment horizontal="center" vertical="center"/>
    </xf>
    <xf numFmtId="0" fontId="19" fillId="0" borderId="50" xfId="0" applyFont="1" applyBorder="1" applyAlignment="1">
      <alignment horizontal="center" vertical="center"/>
    </xf>
    <xf numFmtId="0" fontId="8" fillId="4" borderId="47" xfId="0" applyFont="1" applyFill="1" applyBorder="1" applyAlignment="1">
      <alignment horizontal="center" vertical="center"/>
    </xf>
    <xf numFmtId="0" fontId="8" fillId="4" borderId="48" xfId="0" applyFont="1" applyFill="1" applyBorder="1" applyAlignment="1">
      <alignment horizontal="center" vertical="center"/>
    </xf>
    <xf numFmtId="0" fontId="29" fillId="0" borderId="10" xfId="0" applyFont="1" applyFill="1" applyBorder="1" applyAlignment="1">
      <alignment horizontal="center" vertical="center"/>
    </xf>
    <xf numFmtId="0" fontId="28" fillId="0" borderId="8" xfId="0" applyFont="1" applyFill="1" applyBorder="1" applyAlignment="1">
      <alignment horizontal="center" vertical="center"/>
    </xf>
    <xf numFmtId="0" fontId="28" fillId="0" borderId="11" xfId="0" applyFont="1" applyFill="1" applyBorder="1" applyAlignment="1">
      <alignment horizontal="center" vertical="center"/>
    </xf>
    <xf numFmtId="0" fontId="28" fillId="0" borderId="12" xfId="0" applyFont="1" applyFill="1" applyBorder="1" applyAlignment="1">
      <alignment horizontal="center" vertical="center"/>
    </xf>
    <xf numFmtId="0" fontId="28" fillId="0" borderId="1" xfId="0" applyFont="1" applyFill="1" applyBorder="1" applyAlignment="1">
      <alignment horizontal="center" vertical="center"/>
    </xf>
    <xf numFmtId="0" fontId="28" fillId="0" borderId="13" xfId="0" applyFont="1" applyFill="1" applyBorder="1" applyAlignment="1">
      <alignment horizontal="center" vertical="center"/>
    </xf>
    <xf numFmtId="1" fontId="25" fillId="0" borderId="30" xfId="0" applyNumberFormat="1" applyFont="1" applyFill="1" applyBorder="1" applyAlignment="1">
      <alignment horizontal="center" vertical="center"/>
    </xf>
    <xf numFmtId="1" fontId="25" fillId="0" borderId="32" xfId="0" applyNumberFormat="1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 wrapText="1"/>
    </xf>
    <xf numFmtId="14" fontId="25" fillId="0" borderId="30" xfId="0" applyNumberFormat="1" applyFont="1" applyFill="1" applyBorder="1" applyAlignment="1">
      <alignment horizontal="center" vertical="center"/>
    </xf>
    <xf numFmtId="14" fontId="25" fillId="0" borderId="32" xfId="0" applyNumberFormat="1" applyFont="1" applyFill="1" applyBorder="1" applyAlignment="1">
      <alignment horizontal="center" vertical="center"/>
    </xf>
    <xf numFmtId="0" fontId="16" fillId="6" borderId="8" xfId="0" applyNumberFormat="1" applyFont="1" applyFill="1" applyBorder="1" applyAlignment="1">
      <alignment horizontal="center" vertical="center" wrapText="1"/>
    </xf>
    <xf numFmtId="0" fontId="16" fillId="0" borderId="8" xfId="0" applyNumberFormat="1" applyFont="1" applyFill="1" applyBorder="1" applyAlignment="1">
      <alignment horizontal="center" vertical="center" wrapText="1"/>
    </xf>
    <xf numFmtId="0" fontId="23" fillId="3" borderId="15" xfId="0" applyFont="1" applyFill="1" applyBorder="1" applyAlignment="1">
      <alignment horizontal="center"/>
    </xf>
    <xf numFmtId="0" fontId="23" fillId="3" borderId="16" xfId="0" applyFont="1" applyFill="1" applyBorder="1" applyAlignment="1">
      <alignment horizontal="center"/>
    </xf>
    <xf numFmtId="0" fontId="23" fillId="3" borderId="17" xfId="0" applyFont="1" applyFill="1" applyBorder="1" applyAlignment="1">
      <alignment horizontal="center"/>
    </xf>
    <xf numFmtId="0" fontId="8" fillId="4" borderId="27" xfId="0" applyFont="1" applyFill="1" applyBorder="1" applyAlignment="1">
      <alignment horizontal="center" vertical="center"/>
    </xf>
    <xf numFmtId="0" fontId="8" fillId="4" borderId="28" xfId="0" applyFont="1" applyFill="1" applyBorder="1" applyAlignment="1">
      <alignment horizontal="center" vertical="center"/>
    </xf>
    <xf numFmtId="0" fontId="19" fillId="0" borderId="27" xfId="0" applyFont="1" applyBorder="1" applyAlignment="1">
      <alignment horizontal="center" vertical="center"/>
    </xf>
    <xf numFmtId="0" fontId="19" fillId="0" borderId="28" xfId="0" applyFont="1" applyBorder="1" applyAlignment="1">
      <alignment horizontal="center" vertical="center"/>
    </xf>
    <xf numFmtId="0" fontId="26" fillId="0" borderId="0" xfId="0" applyFont="1" applyBorder="1" applyAlignment="1">
      <alignment horizontal="left"/>
    </xf>
    <xf numFmtId="0" fontId="4" fillId="0" borderId="53" xfId="0" applyFont="1" applyFill="1" applyBorder="1" applyAlignment="1">
      <alignment horizontal="center" vertical="center"/>
    </xf>
    <xf numFmtId="0" fontId="4" fillId="0" borderId="20" xfId="0" applyFont="1" applyFill="1" applyBorder="1" applyAlignment="1">
      <alignment horizontal="center" vertical="center" wrapText="1"/>
    </xf>
    <xf numFmtId="0" fontId="4" fillId="0" borderId="54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5" fillId="0" borderId="0" xfId="0" applyFont="1" applyBorder="1" applyAlignment="1">
      <alignment horizontal="left" vertical="center" wrapText="1"/>
    </xf>
    <xf numFmtId="0" fontId="27" fillId="0" borderId="15" xfId="0" applyFont="1" applyBorder="1" applyAlignment="1">
      <alignment horizontal="center"/>
    </xf>
    <xf numFmtId="0" fontId="27" fillId="0" borderId="16" xfId="0" applyFont="1" applyBorder="1" applyAlignment="1">
      <alignment horizontal="center"/>
    </xf>
    <xf numFmtId="0" fontId="27" fillId="0" borderId="17" xfId="0" applyFont="1" applyBorder="1" applyAlignment="1">
      <alignment horizontal="center"/>
    </xf>
    <xf numFmtId="14" fontId="26" fillId="0" borderId="0" xfId="0" applyNumberFormat="1" applyFont="1" applyBorder="1" applyAlignment="1">
      <alignment horizontal="left"/>
    </xf>
    <xf numFmtId="0" fontId="23" fillId="0" borderId="29" xfId="0" applyFont="1" applyFill="1" applyBorder="1" applyAlignment="1">
      <alignment horizontal="left" vertical="center"/>
    </xf>
    <xf numFmtId="0" fontId="23" fillId="0" borderId="31" xfId="0" applyFont="1" applyFill="1" applyBorder="1" applyAlignment="1">
      <alignment horizontal="left" vertical="center"/>
    </xf>
    <xf numFmtId="0" fontId="23" fillId="0" borderId="30" xfId="0" applyFont="1" applyFill="1" applyBorder="1" applyAlignment="1">
      <alignment horizontal="center"/>
    </xf>
    <xf numFmtId="0" fontId="23" fillId="0" borderId="32" xfId="0" applyFont="1" applyFill="1" applyBorder="1" applyAlignment="1">
      <alignment horizontal="center"/>
    </xf>
    <xf numFmtId="0" fontId="23" fillId="0" borderId="10" xfId="0" applyFont="1" applyFill="1" applyBorder="1" applyAlignment="1">
      <alignment horizontal="center" vertical="center"/>
    </xf>
    <xf numFmtId="0" fontId="23" fillId="0" borderId="18" xfId="0" applyFont="1" applyFill="1" applyBorder="1" applyAlignment="1">
      <alignment horizontal="center" vertical="center"/>
    </xf>
    <xf numFmtId="0" fontId="23" fillId="0" borderId="12" xfId="0" applyFont="1" applyFill="1" applyBorder="1" applyAlignment="1">
      <alignment horizontal="center" vertical="center"/>
    </xf>
    <xf numFmtId="0" fontId="23" fillId="0" borderId="33" xfId="0" applyFont="1" applyFill="1" applyBorder="1" applyAlignment="1">
      <alignment horizontal="center"/>
    </xf>
    <xf numFmtId="0" fontId="23" fillId="0" borderId="20" xfId="0" applyFont="1" applyFill="1" applyBorder="1" applyAlignment="1">
      <alignment horizontal="center"/>
    </xf>
    <xf numFmtId="0" fontId="24" fillId="0" borderId="20" xfId="0" applyFont="1" applyBorder="1" applyAlignment="1">
      <alignment horizontal="center" vertical="center"/>
    </xf>
    <xf numFmtId="0" fontId="23" fillId="4" borderId="15" xfId="0" applyFont="1" applyFill="1" applyBorder="1" applyAlignment="1">
      <alignment horizontal="center"/>
    </xf>
    <xf numFmtId="0" fontId="23" fillId="4" borderId="16" xfId="0" applyFont="1" applyFill="1" applyBorder="1" applyAlignment="1">
      <alignment horizontal="center"/>
    </xf>
    <xf numFmtId="0" fontId="23" fillId="4" borderId="17" xfId="0" applyFont="1" applyFill="1" applyBorder="1" applyAlignment="1">
      <alignment horizontal="center"/>
    </xf>
    <xf numFmtId="0" fontId="23" fillId="0" borderId="10" xfId="0" applyFont="1" applyFill="1" applyBorder="1" applyAlignment="1">
      <alignment horizontal="center"/>
    </xf>
    <xf numFmtId="0" fontId="23" fillId="0" borderId="8" xfId="0" applyFont="1" applyFill="1" applyBorder="1" applyAlignment="1">
      <alignment horizontal="center"/>
    </xf>
    <xf numFmtId="0" fontId="23" fillId="0" borderId="11" xfId="0" applyFont="1" applyFill="1" applyBorder="1" applyAlignment="1">
      <alignment horizontal="center"/>
    </xf>
    <xf numFmtId="0" fontId="23" fillId="0" borderId="18" xfId="0" applyFont="1" applyFill="1" applyBorder="1" applyAlignment="1">
      <alignment horizontal="center"/>
    </xf>
    <xf numFmtId="0" fontId="23" fillId="0" borderId="0" xfId="0" applyFont="1" applyFill="1" applyBorder="1" applyAlignment="1">
      <alignment horizontal="center"/>
    </xf>
    <xf numFmtId="0" fontId="23" fillId="0" borderId="19" xfId="0" applyFont="1" applyFill="1" applyBorder="1" applyAlignment="1">
      <alignment horizontal="center"/>
    </xf>
    <xf numFmtId="0" fontId="23" fillId="0" borderId="12" xfId="0" applyFont="1" applyFill="1" applyBorder="1" applyAlignment="1">
      <alignment horizontal="center"/>
    </xf>
    <xf numFmtId="0" fontId="23" fillId="0" borderId="1" xfId="0" applyFont="1" applyFill="1" applyBorder="1" applyAlignment="1">
      <alignment horizontal="center"/>
    </xf>
    <xf numFmtId="0" fontId="23" fillId="0" borderId="13" xfId="0" applyFont="1" applyFill="1" applyBorder="1" applyAlignment="1">
      <alignment horizontal="center"/>
    </xf>
    <xf numFmtId="0" fontId="38" fillId="0" borderId="34" xfId="0" applyFont="1" applyFill="1" applyBorder="1" applyAlignment="1">
      <alignment horizontal="left" vertical="center"/>
    </xf>
    <xf numFmtId="0" fontId="38" fillId="0" borderId="8" xfId="0" applyFont="1" applyFill="1" applyBorder="1" applyAlignment="1">
      <alignment horizontal="left" vertical="center"/>
    </xf>
    <xf numFmtId="0" fontId="38" fillId="0" borderId="11" xfId="0" applyFont="1" applyFill="1" applyBorder="1" applyAlignment="1">
      <alignment horizontal="left" vertical="center"/>
    </xf>
    <xf numFmtId="0" fontId="38" fillId="0" borderId="35" xfId="0" applyFont="1" applyFill="1" applyBorder="1" applyAlignment="1">
      <alignment horizontal="left" vertical="center"/>
    </xf>
    <xf numFmtId="0" fontId="38" fillId="0" borderId="1" xfId="0" applyFont="1" applyFill="1" applyBorder="1" applyAlignment="1">
      <alignment horizontal="left" vertical="center"/>
    </xf>
    <xf numFmtId="0" fontId="38" fillId="0" borderId="13" xfId="0" applyFont="1" applyFill="1" applyBorder="1" applyAlignment="1">
      <alignment horizontal="left" vertical="center"/>
    </xf>
    <xf numFmtId="0" fontId="18" fillId="0" borderId="7" xfId="0" applyFont="1" applyFill="1" applyBorder="1" applyAlignment="1">
      <alignment horizontal="center"/>
    </xf>
    <xf numFmtId="49" fontId="39" fillId="0" borderId="2" xfId="0" applyNumberFormat="1" applyFont="1" applyFill="1" applyBorder="1" applyAlignment="1">
      <alignment horizontal="center" vertical="center" wrapText="1"/>
    </xf>
    <xf numFmtId="49" fontId="39" fillId="0" borderId="4" xfId="0" applyNumberFormat="1" applyFont="1" applyFill="1" applyBorder="1" applyAlignment="1">
      <alignment horizontal="center" vertical="center" wrapText="1"/>
    </xf>
    <xf numFmtId="0" fontId="40" fillId="0" borderId="6" xfId="0" applyFont="1" applyBorder="1" applyAlignment="1">
      <alignment horizontal="center" vertical="center"/>
    </xf>
    <xf numFmtId="0" fontId="40" fillId="0" borderId="3" xfId="0" applyFont="1" applyBorder="1" applyAlignment="1">
      <alignment horizontal="center" vertical="center"/>
    </xf>
    <xf numFmtId="0" fontId="40" fillId="0" borderId="7" xfId="0" applyFont="1" applyBorder="1" applyAlignment="1">
      <alignment horizontal="center" vertical="center"/>
    </xf>
    <xf numFmtId="0" fontId="40" fillId="0" borderId="5" xfId="0" applyFont="1" applyBorder="1" applyAlignment="1">
      <alignment horizontal="center" vertical="center"/>
    </xf>
    <xf numFmtId="49" fontId="34" fillId="0" borderId="14" xfId="0" applyNumberFormat="1" applyFont="1" applyFill="1" applyBorder="1" applyAlignment="1">
      <alignment horizontal="center" vertical="center" wrapText="1"/>
    </xf>
    <xf numFmtId="49" fontId="38" fillId="0" borderId="10" xfId="0" applyNumberFormat="1" applyFont="1" applyFill="1" applyBorder="1" applyAlignment="1">
      <alignment horizontal="center" vertical="center" wrapText="1"/>
    </xf>
    <xf numFmtId="49" fontId="38" fillId="0" borderId="12" xfId="0" applyNumberFormat="1" applyFont="1" applyFill="1" applyBorder="1" applyAlignment="1">
      <alignment horizontal="center" vertical="center" wrapText="1"/>
    </xf>
    <xf numFmtId="0" fontId="35" fillId="0" borderId="8" xfId="0" applyFont="1" applyFill="1" applyBorder="1" applyAlignment="1">
      <alignment horizontal="center" vertical="top"/>
    </xf>
    <xf numFmtId="0" fontId="35" fillId="0" borderId="11" xfId="0" applyFont="1" applyFill="1" applyBorder="1" applyAlignment="1">
      <alignment horizontal="center" vertical="top"/>
    </xf>
    <xf numFmtId="0" fontId="35" fillId="0" borderId="1" xfId="0" applyFont="1" applyFill="1" applyBorder="1" applyAlignment="1">
      <alignment horizontal="center" vertical="top"/>
    </xf>
    <xf numFmtId="0" fontId="35" fillId="0" borderId="13" xfId="0" applyFont="1" applyFill="1" applyBorder="1" applyAlignment="1">
      <alignment horizontal="center" vertical="top"/>
    </xf>
    <xf numFmtId="0" fontId="36" fillId="0" borderId="8" xfId="0" applyNumberFormat="1" applyFont="1" applyFill="1" applyBorder="1" applyAlignment="1">
      <alignment horizontal="center" vertical="center" wrapText="1"/>
    </xf>
    <xf numFmtId="0" fontId="23" fillId="4" borderId="27" xfId="0" applyFont="1" applyFill="1" applyBorder="1" applyAlignment="1">
      <alignment horizontal="center"/>
    </xf>
    <xf numFmtId="0" fontId="23" fillId="4" borderId="28" xfId="0" applyFont="1" applyFill="1" applyBorder="1" applyAlignment="1">
      <alignment horizontal="center"/>
    </xf>
    <xf numFmtId="0" fontId="41" fillId="0" borderId="27" xfId="0" applyFont="1" applyBorder="1" applyAlignment="1">
      <alignment horizontal="center" vertical="center"/>
    </xf>
    <xf numFmtId="0" fontId="41" fillId="0" borderId="28" xfId="0" applyFont="1" applyBorder="1" applyAlignment="1">
      <alignment horizontal="center" vertical="center"/>
    </xf>
    <xf numFmtId="0" fontId="0" fillId="6" borderId="36" xfId="0" applyFill="1" applyBorder="1" applyAlignment="1">
      <alignment horizontal="center" vertical="center"/>
    </xf>
    <xf numFmtId="0" fontId="5" fillId="6" borderId="57" xfId="0" applyFont="1" applyFill="1" applyBorder="1" applyAlignment="1">
      <alignment horizontal="left" vertical="center" wrapText="1"/>
    </xf>
  </cellXfs>
  <cellStyles count="10">
    <cellStyle name="Hyperlink 2" xfId="1"/>
    <cellStyle name="Hyperlink 3" xfId="2"/>
    <cellStyle name="Normal" xfId="0" builtinId="0"/>
    <cellStyle name="Normal 2" xfId="3"/>
    <cellStyle name="Normal 2 2" xfId="7"/>
    <cellStyle name="Normal 3" xfId="4"/>
    <cellStyle name="Normal 3 2" xfId="8"/>
    <cellStyle name="Normal 4" xfId="5"/>
    <cellStyle name="Normal 4 2" xfId="9"/>
    <cellStyle name="Normal 5" xfId="6"/>
  </cellStyles>
  <dxfs count="44">
    <dxf>
      <numFmt numFmtId="164" formatCode="m/d/yy;@"/>
      <alignment horizontal="left" vertical="bottom" textRotation="0" wrapText="0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1"/>
      </font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theme="1"/>
      </font>
    </dxf>
    <dxf>
      <font>
        <color theme="0"/>
      </font>
    </dxf>
    <dxf>
      <font>
        <color theme="0"/>
      </font>
    </dxf>
    <dxf>
      <font>
        <color theme="1"/>
      </font>
      <fill>
        <patternFill>
          <bgColor theme="1"/>
        </patternFill>
      </fill>
    </dxf>
    <dxf>
      <font>
        <strike val="0"/>
        <color theme="0"/>
      </font>
    </dxf>
    <dxf>
      <font>
        <color rgb="FF0000FF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1"/>
      </font>
      <fill>
        <patternFill>
          <bgColor theme="1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0000FF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81395</xdr:colOff>
      <xdr:row>12</xdr:row>
      <xdr:rowOff>0</xdr:rowOff>
    </xdr:from>
    <xdr:ext cx="129021" cy="217517"/>
    <xdr:sp macro="" textlink="">
      <xdr:nvSpPr>
        <xdr:cNvPr id="2" name="Rectangle 8"/>
        <xdr:cNvSpPr>
          <a:spLocks noChangeArrowheads="1"/>
        </xdr:cNvSpPr>
      </xdr:nvSpPr>
      <xdr:spPr bwMode="auto">
        <a:xfrm>
          <a:off x="1300595" y="1137805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4362450</xdr:colOff>
      <xdr:row>49</xdr:row>
      <xdr:rowOff>123825</xdr:rowOff>
    </xdr:from>
    <xdr:ext cx="143598" cy="213402"/>
    <xdr:sp macro="" textlink="">
      <xdr:nvSpPr>
        <xdr:cNvPr id="4" name="Rectangle 8"/>
        <xdr:cNvSpPr>
          <a:spLocks noChangeArrowheads="1"/>
        </xdr:cNvSpPr>
      </xdr:nvSpPr>
      <xdr:spPr bwMode="auto">
        <a:xfrm>
          <a:off x="1219200" y="1581150"/>
          <a:ext cx="143598" cy="21340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140927</xdr:colOff>
      <xdr:row>13</xdr:row>
      <xdr:rowOff>83344</xdr:rowOff>
    </xdr:from>
    <xdr:ext cx="129021" cy="217517"/>
    <xdr:sp macro="" textlink="">
      <xdr:nvSpPr>
        <xdr:cNvPr id="5" name="Rectangle 8"/>
        <xdr:cNvSpPr>
          <a:spLocks noChangeArrowheads="1"/>
        </xdr:cNvSpPr>
      </xdr:nvSpPr>
      <xdr:spPr bwMode="auto">
        <a:xfrm>
          <a:off x="2665052" y="2607469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81395</xdr:colOff>
      <xdr:row>14</xdr:row>
      <xdr:rowOff>0</xdr:rowOff>
    </xdr:from>
    <xdr:ext cx="129021" cy="217517"/>
    <xdr:sp macro="" textlink="">
      <xdr:nvSpPr>
        <xdr:cNvPr id="10" name="Rectangle 8"/>
        <xdr:cNvSpPr>
          <a:spLocks noChangeArrowheads="1"/>
        </xdr:cNvSpPr>
      </xdr:nvSpPr>
      <xdr:spPr bwMode="auto">
        <a:xfrm>
          <a:off x="81395" y="1762125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81395</xdr:colOff>
      <xdr:row>14</xdr:row>
      <xdr:rowOff>0</xdr:rowOff>
    </xdr:from>
    <xdr:ext cx="129021" cy="217517"/>
    <xdr:sp macro="" textlink="">
      <xdr:nvSpPr>
        <xdr:cNvPr id="11" name="Rectangle 8"/>
        <xdr:cNvSpPr>
          <a:spLocks noChangeArrowheads="1"/>
        </xdr:cNvSpPr>
      </xdr:nvSpPr>
      <xdr:spPr bwMode="auto">
        <a:xfrm>
          <a:off x="81395" y="1762125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81395</xdr:colOff>
      <xdr:row>15</xdr:row>
      <xdr:rowOff>0</xdr:rowOff>
    </xdr:from>
    <xdr:ext cx="129021" cy="217517"/>
    <xdr:sp macro="" textlink="">
      <xdr:nvSpPr>
        <xdr:cNvPr id="14" name="Rectangle 8"/>
        <xdr:cNvSpPr>
          <a:spLocks noChangeArrowheads="1"/>
        </xdr:cNvSpPr>
      </xdr:nvSpPr>
      <xdr:spPr bwMode="auto">
        <a:xfrm>
          <a:off x="81395" y="1762125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81395</xdr:colOff>
      <xdr:row>16</xdr:row>
      <xdr:rowOff>0</xdr:rowOff>
    </xdr:from>
    <xdr:ext cx="129021" cy="217517"/>
    <xdr:sp macro="" textlink="">
      <xdr:nvSpPr>
        <xdr:cNvPr id="16" name="Rectangle 8"/>
        <xdr:cNvSpPr>
          <a:spLocks noChangeArrowheads="1"/>
        </xdr:cNvSpPr>
      </xdr:nvSpPr>
      <xdr:spPr bwMode="auto">
        <a:xfrm>
          <a:off x="81395" y="196215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81395</xdr:colOff>
      <xdr:row>16</xdr:row>
      <xdr:rowOff>0</xdr:rowOff>
    </xdr:from>
    <xdr:ext cx="129021" cy="217517"/>
    <xdr:sp macro="" textlink="">
      <xdr:nvSpPr>
        <xdr:cNvPr id="17" name="Rectangle 8"/>
        <xdr:cNvSpPr>
          <a:spLocks noChangeArrowheads="1"/>
        </xdr:cNvSpPr>
      </xdr:nvSpPr>
      <xdr:spPr bwMode="auto">
        <a:xfrm>
          <a:off x="81395" y="196215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81395</xdr:colOff>
      <xdr:row>16</xdr:row>
      <xdr:rowOff>0</xdr:rowOff>
    </xdr:from>
    <xdr:ext cx="129021" cy="217517"/>
    <xdr:sp macro="" textlink="">
      <xdr:nvSpPr>
        <xdr:cNvPr id="18" name="Rectangle 8"/>
        <xdr:cNvSpPr>
          <a:spLocks noChangeArrowheads="1"/>
        </xdr:cNvSpPr>
      </xdr:nvSpPr>
      <xdr:spPr bwMode="auto">
        <a:xfrm>
          <a:off x="81395" y="1762125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81395</xdr:colOff>
      <xdr:row>16</xdr:row>
      <xdr:rowOff>0</xdr:rowOff>
    </xdr:from>
    <xdr:ext cx="129021" cy="217517"/>
    <xdr:sp macro="" textlink="">
      <xdr:nvSpPr>
        <xdr:cNvPr id="19" name="Rectangle 8"/>
        <xdr:cNvSpPr>
          <a:spLocks noChangeArrowheads="1"/>
        </xdr:cNvSpPr>
      </xdr:nvSpPr>
      <xdr:spPr bwMode="auto">
        <a:xfrm>
          <a:off x="81395" y="1762125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81395</xdr:colOff>
      <xdr:row>17</xdr:row>
      <xdr:rowOff>0</xdr:rowOff>
    </xdr:from>
    <xdr:ext cx="129021" cy="217517"/>
    <xdr:sp macro="" textlink="">
      <xdr:nvSpPr>
        <xdr:cNvPr id="20" name="Rectangle 8"/>
        <xdr:cNvSpPr>
          <a:spLocks noChangeArrowheads="1"/>
        </xdr:cNvSpPr>
      </xdr:nvSpPr>
      <xdr:spPr bwMode="auto">
        <a:xfrm>
          <a:off x="81395" y="196215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81395</xdr:colOff>
      <xdr:row>17</xdr:row>
      <xdr:rowOff>0</xdr:rowOff>
    </xdr:from>
    <xdr:ext cx="129021" cy="217517"/>
    <xdr:sp macro="" textlink="">
      <xdr:nvSpPr>
        <xdr:cNvPr id="21" name="Rectangle 8"/>
        <xdr:cNvSpPr>
          <a:spLocks noChangeArrowheads="1"/>
        </xdr:cNvSpPr>
      </xdr:nvSpPr>
      <xdr:spPr bwMode="auto">
        <a:xfrm>
          <a:off x="81395" y="196215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81395</xdr:colOff>
      <xdr:row>17</xdr:row>
      <xdr:rowOff>0</xdr:rowOff>
    </xdr:from>
    <xdr:ext cx="129021" cy="217517"/>
    <xdr:sp macro="" textlink="">
      <xdr:nvSpPr>
        <xdr:cNvPr id="22" name="Rectangle 8"/>
        <xdr:cNvSpPr>
          <a:spLocks noChangeArrowheads="1"/>
        </xdr:cNvSpPr>
      </xdr:nvSpPr>
      <xdr:spPr bwMode="auto">
        <a:xfrm>
          <a:off x="81395" y="196215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2</xdr:col>
      <xdr:colOff>81395</xdr:colOff>
      <xdr:row>16</xdr:row>
      <xdr:rowOff>0</xdr:rowOff>
    </xdr:from>
    <xdr:ext cx="129021" cy="217517"/>
    <xdr:sp macro="" textlink="">
      <xdr:nvSpPr>
        <xdr:cNvPr id="28" name="Rectangle 8"/>
        <xdr:cNvSpPr>
          <a:spLocks noChangeArrowheads="1"/>
        </xdr:cNvSpPr>
      </xdr:nvSpPr>
      <xdr:spPr bwMode="auto">
        <a:xfrm>
          <a:off x="2748395" y="1762125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2</xdr:col>
      <xdr:colOff>81395</xdr:colOff>
      <xdr:row>19</xdr:row>
      <xdr:rowOff>0</xdr:rowOff>
    </xdr:from>
    <xdr:ext cx="129021" cy="217517"/>
    <xdr:sp macro="" textlink="">
      <xdr:nvSpPr>
        <xdr:cNvPr id="30" name="Rectangle 8"/>
        <xdr:cNvSpPr>
          <a:spLocks noChangeArrowheads="1"/>
        </xdr:cNvSpPr>
      </xdr:nvSpPr>
      <xdr:spPr bwMode="auto">
        <a:xfrm>
          <a:off x="2748395" y="196215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1213812</xdr:colOff>
      <xdr:row>22</xdr:row>
      <xdr:rowOff>190500</xdr:rowOff>
    </xdr:from>
    <xdr:ext cx="129021" cy="217517"/>
    <xdr:sp macro="" textlink="">
      <xdr:nvSpPr>
        <xdr:cNvPr id="34" name="Rectangle 33"/>
        <xdr:cNvSpPr>
          <a:spLocks noChangeArrowheads="1"/>
        </xdr:cNvSpPr>
      </xdr:nvSpPr>
      <xdr:spPr bwMode="auto">
        <a:xfrm>
          <a:off x="9786312" y="457200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430645</xdr:colOff>
      <xdr:row>24</xdr:row>
      <xdr:rowOff>52917</xdr:rowOff>
    </xdr:from>
    <xdr:ext cx="129021" cy="217517"/>
    <xdr:sp macro="" textlink="">
      <xdr:nvSpPr>
        <xdr:cNvPr id="35" name="Rectangle 8"/>
        <xdr:cNvSpPr>
          <a:spLocks noChangeArrowheads="1"/>
        </xdr:cNvSpPr>
      </xdr:nvSpPr>
      <xdr:spPr bwMode="auto">
        <a:xfrm>
          <a:off x="9003145" y="4836584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1287895</xdr:colOff>
      <xdr:row>27</xdr:row>
      <xdr:rowOff>306916</xdr:rowOff>
    </xdr:from>
    <xdr:ext cx="129021" cy="217517"/>
    <xdr:sp macro="" textlink="">
      <xdr:nvSpPr>
        <xdr:cNvPr id="43" name="Rectangle 8"/>
        <xdr:cNvSpPr>
          <a:spLocks noChangeArrowheads="1"/>
        </xdr:cNvSpPr>
      </xdr:nvSpPr>
      <xdr:spPr bwMode="auto">
        <a:xfrm>
          <a:off x="9860395" y="5693833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504728</xdr:colOff>
      <xdr:row>28</xdr:row>
      <xdr:rowOff>169334</xdr:rowOff>
    </xdr:from>
    <xdr:ext cx="129021" cy="217517"/>
    <xdr:sp macro="" textlink="">
      <xdr:nvSpPr>
        <xdr:cNvPr id="44" name="Rectangle 43"/>
        <xdr:cNvSpPr>
          <a:spLocks noChangeArrowheads="1"/>
        </xdr:cNvSpPr>
      </xdr:nvSpPr>
      <xdr:spPr bwMode="auto">
        <a:xfrm>
          <a:off x="9077228" y="5916084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3</xdr:col>
      <xdr:colOff>81395</xdr:colOff>
      <xdr:row>16</xdr:row>
      <xdr:rowOff>0</xdr:rowOff>
    </xdr:from>
    <xdr:ext cx="129021" cy="217517"/>
    <xdr:sp macro="" textlink="">
      <xdr:nvSpPr>
        <xdr:cNvPr id="47" name="Rectangle 8"/>
        <xdr:cNvSpPr>
          <a:spLocks noChangeArrowheads="1"/>
        </xdr:cNvSpPr>
      </xdr:nvSpPr>
      <xdr:spPr bwMode="auto">
        <a:xfrm>
          <a:off x="5929745" y="1762125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3</xdr:col>
      <xdr:colOff>81395</xdr:colOff>
      <xdr:row>19</xdr:row>
      <xdr:rowOff>0</xdr:rowOff>
    </xdr:from>
    <xdr:ext cx="129021" cy="217517"/>
    <xdr:sp macro="" textlink="">
      <xdr:nvSpPr>
        <xdr:cNvPr id="49" name="Rectangle 8"/>
        <xdr:cNvSpPr>
          <a:spLocks noChangeArrowheads="1"/>
        </xdr:cNvSpPr>
      </xdr:nvSpPr>
      <xdr:spPr bwMode="auto">
        <a:xfrm>
          <a:off x="5929745" y="196215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3</xdr:col>
      <xdr:colOff>81395</xdr:colOff>
      <xdr:row>19</xdr:row>
      <xdr:rowOff>0</xdr:rowOff>
    </xdr:from>
    <xdr:ext cx="129021" cy="217517"/>
    <xdr:sp macro="" textlink="">
      <xdr:nvSpPr>
        <xdr:cNvPr id="50" name="Rectangle 8"/>
        <xdr:cNvSpPr>
          <a:spLocks noChangeArrowheads="1"/>
        </xdr:cNvSpPr>
      </xdr:nvSpPr>
      <xdr:spPr bwMode="auto">
        <a:xfrm>
          <a:off x="5929745" y="196215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8</xdr:row>
      <xdr:rowOff>0</xdr:rowOff>
    </xdr:from>
    <xdr:ext cx="129021" cy="217517"/>
    <xdr:sp macro="" textlink="">
      <xdr:nvSpPr>
        <xdr:cNvPr id="53" name="Rectangle 8"/>
        <xdr:cNvSpPr>
          <a:spLocks noChangeArrowheads="1"/>
        </xdr:cNvSpPr>
      </xdr:nvSpPr>
      <xdr:spPr bwMode="auto">
        <a:xfrm>
          <a:off x="5977370" y="236220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8</xdr:row>
      <xdr:rowOff>0</xdr:rowOff>
    </xdr:from>
    <xdr:ext cx="129021" cy="217517"/>
    <xdr:sp macro="" textlink="">
      <xdr:nvSpPr>
        <xdr:cNvPr id="56" name="Rectangle 55"/>
        <xdr:cNvSpPr>
          <a:spLocks noChangeArrowheads="1"/>
        </xdr:cNvSpPr>
      </xdr:nvSpPr>
      <xdr:spPr bwMode="auto">
        <a:xfrm>
          <a:off x="5977370" y="236220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8</xdr:row>
      <xdr:rowOff>0</xdr:rowOff>
    </xdr:from>
    <xdr:ext cx="129021" cy="217517"/>
    <xdr:sp macro="" textlink="">
      <xdr:nvSpPr>
        <xdr:cNvPr id="57" name="Rectangle 8"/>
        <xdr:cNvSpPr>
          <a:spLocks noChangeArrowheads="1"/>
        </xdr:cNvSpPr>
      </xdr:nvSpPr>
      <xdr:spPr bwMode="auto">
        <a:xfrm>
          <a:off x="5977370" y="236220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8</xdr:row>
      <xdr:rowOff>0</xdr:rowOff>
    </xdr:from>
    <xdr:ext cx="129021" cy="217517"/>
    <xdr:sp macro="" textlink="">
      <xdr:nvSpPr>
        <xdr:cNvPr id="58" name="Rectangle 8"/>
        <xdr:cNvSpPr>
          <a:spLocks noChangeArrowheads="1"/>
        </xdr:cNvSpPr>
      </xdr:nvSpPr>
      <xdr:spPr bwMode="auto">
        <a:xfrm>
          <a:off x="5977370" y="236220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8</xdr:row>
      <xdr:rowOff>0</xdr:rowOff>
    </xdr:from>
    <xdr:ext cx="129021" cy="217517"/>
    <xdr:sp macro="" textlink="">
      <xdr:nvSpPr>
        <xdr:cNvPr id="59" name="Rectangle 8"/>
        <xdr:cNvSpPr>
          <a:spLocks noChangeArrowheads="1"/>
        </xdr:cNvSpPr>
      </xdr:nvSpPr>
      <xdr:spPr bwMode="auto">
        <a:xfrm>
          <a:off x="5977370" y="236220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9</xdr:row>
      <xdr:rowOff>0</xdr:rowOff>
    </xdr:from>
    <xdr:ext cx="129021" cy="217517"/>
    <xdr:sp macro="" textlink="">
      <xdr:nvSpPr>
        <xdr:cNvPr id="60" name="Rectangle 59"/>
        <xdr:cNvSpPr>
          <a:spLocks noChangeArrowheads="1"/>
        </xdr:cNvSpPr>
      </xdr:nvSpPr>
      <xdr:spPr bwMode="auto">
        <a:xfrm>
          <a:off x="5977370" y="2562225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9</xdr:row>
      <xdr:rowOff>0</xdr:rowOff>
    </xdr:from>
    <xdr:ext cx="129021" cy="217517"/>
    <xdr:sp macro="" textlink="">
      <xdr:nvSpPr>
        <xdr:cNvPr id="61" name="Rectangle 8"/>
        <xdr:cNvSpPr>
          <a:spLocks noChangeArrowheads="1"/>
        </xdr:cNvSpPr>
      </xdr:nvSpPr>
      <xdr:spPr bwMode="auto">
        <a:xfrm>
          <a:off x="5977370" y="2562225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0</xdr:colOff>
      <xdr:row>426</xdr:row>
      <xdr:rowOff>0</xdr:rowOff>
    </xdr:from>
    <xdr:ext cx="129021" cy="217517"/>
    <xdr:sp macro="" textlink="">
      <xdr:nvSpPr>
        <xdr:cNvPr id="63" name="Rectangle 8"/>
        <xdr:cNvSpPr>
          <a:spLocks noChangeArrowheads="1"/>
        </xdr:cNvSpPr>
      </xdr:nvSpPr>
      <xdr:spPr bwMode="auto">
        <a:xfrm>
          <a:off x="8644370" y="156210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0</xdr:colOff>
      <xdr:row>426</xdr:row>
      <xdr:rowOff>0</xdr:rowOff>
    </xdr:from>
    <xdr:ext cx="129021" cy="217517"/>
    <xdr:sp macro="" textlink="">
      <xdr:nvSpPr>
        <xdr:cNvPr id="64" name="Rectangle 8"/>
        <xdr:cNvSpPr>
          <a:spLocks noChangeArrowheads="1"/>
        </xdr:cNvSpPr>
      </xdr:nvSpPr>
      <xdr:spPr bwMode="auto">
        <a:xfrm>
          <a:off x="8644370" y="156210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0</xdr:colOff>
      <xdr:row>426</xdr:row>
      <xdr:rowOff>0</xdr:rowOff>
    </xdr:from>
    <xdr:ext cx="129021" cy="217517"/>
    <xdr:sp macro="" textlink="">
      <xdr:nvSpPr>
        <xdr:cNvPr id="65" name="Rectangle 64"/>
        <xdr:cNvSpPr>
          <a:spLocks noChangeArrowheads="1"/>
        </xdr:cNvSpPr>
      </xdr:nvSpPr>
      <xdr:spPr bwMode="auto">
        <a:xfrm>
          <a:off x="8644370" y="156210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0</xdr:colOff>
      <xdr:row>426</xdr:row>
      <xdr:rowOff>0</xdr:rowOff>
    </xdr:from>
    <xdr:ext cx="129021" cy="217517"/>
    <xdr:sp macro="" textlink="">
      <xdr:nvSpPr>
        <xdr:cNvPr id="66" name="Rectangle 8"/>
        <xdr:cNvSpPr>
          <a:spLocks noChangeArrowheads="1"/>
        </xdr:cNvSpPr>
      </xdr:nvSpPr>
      <xdr:spPr bwMode="auto">
        <a:xfrm>
          <a:off x="8644370" y="156210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0</xdr:colOff>
      <xdr:row>426</xdr:row>
      <xdr:rowOff>0</xdr:rowOff>
    </xdr:from>
    <xdr:ext cx="129021" cy="217517"/>
    <xdr:sp macro="" textlink="">
      <xdr:nvSpPr>
        <xdr:cNvPr id="67" name="Rectangle 8"/>
        <xdr:cNvSpPr>
          <a:spLocks noChangeArrowheads="1"/>
        </xdr:cNvSpPr>
      </xdr:nvSpPr>
      <xdr:spPr bwMode="auto">
        <a:xfrm>
          <a:off x="8644370" y="156210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0</xdr:colOff>
      <xdr:row>426</xdr:row>
      <xdr:rowOff>0</xdr:rowOff>
    </xdr:from>
    <xdr:ext cx="129021" cy="217517"/>
    <xdr:sp macro="" textlink="">
      <xdr:nvSpPr>
        <xdr:cNvPr id="68" name="Rectangle 8"/>
        <xdr:cNvSpPr>
          <a:spLocks noChangeArrowheads="1"/>
        </xdr:cNvSpPr>
      </xdr:nvSpPr>
      <xdr:spPr bwMode="auto">
        <a:xfrm>
          <a:off x="8644370" y="156210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3</xdr:col>
          <xdr:colOff>1381125</xdr:colOff>
          <xdr:row>7</xdr:row>
          <xdr:rowOff>0</xdr:rowOff>
        </xdr:to>
        <xdr:sp macro="" textlink="">
          <xdr:nvSpPr>
            <xdr:cNvPr id="1035" name="ComboBox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81395</xdr:colOff>
      <xdr:row>12</xdr:row>
      <xdr:rowOff>0</xdr:rowOff>
    </xdr:from>
    <xdr:ext cx="129021" cy="217517"/>
    <xdr:sp macro="" textlink="">
      <xdr:nvSpPr>
        <xdr:cNvPr id="62" name="Rectangle 8"/>
        <xdr:cNvSpPr>
          <a:spLocks noChangeArrowheads="1"/>
        </xdr:cNvSpPr>
      </xdr:nvSpPr>
      <xdr:spPr bwMode="auto">
        <a:xfrm>
          <a:off x="2796020" y="161925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1762125</xdr:colOff>
          <xdr:row>19</xdr:row>
          <xdr:rowOff>228600</xdr:rowOff>
        </xdr:from>
        <xdr:to>
          <xdr:col>3</xdr:col>
          <xdr:colOff>171450</xdr:colOff>
          <xdr:row>21</xdr:row>
          <xdr:rowOff>9525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885825</xdr:colOff>
          <xdr:row>19</xdr:row>
          <xdr:rowOff>219075</xdr:rowOff>
        </xdr:from>
        <xdr:to>
          <xdr:col>2</xdr:col>
          <xdr:colOff>1104900</xdr:colOff>
          <xdr:row>21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1762125</xdr:colOff>
          <xdr:row>22</xdr:row>
          <xdr:rowOff>228600</xdr:rowOff>
        </xdr:from>
        <xdr:to>
          <xdr:col>3</xdr:col>
          <xdr:colOff>171450</xdr:colOff>
          <xdr:row>24</xdr:row>
          <xdr:rowOff>28575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885825</xdr:colOff>
          <xdr:row>22</xdr:row>
          <xdr:rowOff>219075</xdr:rowOff>
        </xdr:from>
        <xdr:to>
          <xdr:col>2</xdr:col>
          <xdr:colOff>1123950</xdr:colOff>
          <xdr:row>24</xdr:row>
          <xdr:rowOff>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10</xdr:row>
      <xdr:rowOff>0</xdr:rowOff>
    </xdr:from>
    <xdr:ext cx="129021" cy="217517"/>
    <xdr:sp macro="" textlink="">
      <xdr:nvSpPr>
        <xdr:cNvPr id="71" name="Rectangle 8"/>
        <xdr:cNvSpPr>
          <a:spLocks noChangeArrowheads="1"/>
        </xdr:cNvSpPr>
      </xdr:nvSpPr>
      <xdr:spPr bwMode="auto">
        <a:xfrm>
          <a:off x="8798719" y="1821656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10</xdr:row>
      <xdr:rowOff>0</xdr:rowOff>
    </xdr:from>
    <xdr:ext cx="129021" cy="217517"/>
    <xdr:sp macro="" textlink="">
      <xdr:nvSpPr>
        <xdr:cNvPr id="72" name="Rectangle 71"/>
        <xdr:cNvSpPr>
          <a:spLocks noChangeArrowheads="1"/>
        </xdr:cNvSpPr>
      </xdr:nvSpPr>
      <xdr:spPr bwMode="auto">
        <a:xfrm>
          <a:off x="8798719" y="1821656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10</xdr:row>
      <xdr:rowOff>0</xdr:rowOff>
    </xdr:from>
    <xdr:ext cx="129021" cy="217517"/>
    <xdr:sp macro="" textlink="">
      <xdr:nvSpPr>
        <xdr:cNvPr id="73" name="Rectangle 8"/>
        <xdr:cNvSpPr>
          <a:spLocks noChangeArrowheads="1"/>
        </xdr:cNvSpPr>
      </xdr:nvSpPr>
      <xdr:spPr bwMode="auto">
        <a:xfrm>
          <a:off x="8798719" y="1821656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10</xdr:row>
      <xdr:rowOff>0</xdr:rowOff>
    </xdr:from>
    <xdr:ext cx="129021" cy="217517"/>
    <xdr:sp macro="" textlink="">
      <xdr:nvSpPr>
        <xdr:cNvPr id="74" name="Rectangle 73"/>
        <xdr:cNvSpPr>
          <a:spLocks noChangeArrowheads="1"/>
        </xdr:cNvSpPr>
      </xdr:nvSpPr>
      <xdr:spPr bwMode="auto">
        <a:xfrm>
          <a:off x="8798719" y="1821656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10</xdr:row>
      <xdr:rowOff>0</xdr:rowOff>
    </xdr:from>
    <xdr:ext cx="129021" cy="217517"/>
    <xdr:sp macro="" textlink="">
      <xdr:nvSpPr>
        <xdr:cNvPr id="75" name="Rectangle 8"/>
        <xdr:cNvSpPr>
          <a:spLocks noChangeArrowheads="1"/>
        </xdr:cNvSpPr>
      </xdr:nvSpPr>
      <xdr:spPr bwMode="auto">
        <a:xfrm>
          <a:off x="8798719" y="1821656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10</xdr:row>
      <xdr:rowOff>0</xdr:rowOff>
    </xdr:from>
    <xdr:ext cx="129021" cy="217517"/>
    <xdr:sp macro="" textlink="">
      <xdr:nvSpPr>
        <xdr:cNvPr id="76" name="Rectangle 75"/>
        <xdr:cNvSpPr>
          <a:spLocks noChangeArrowheads="1"/>
        </xdr:cNvSpPr>
      </xdr:nvSpPr>
      <xdr:spPr bwMode="auto">
        <a:xfrm>
          <a:off x="8798719" y="1821656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10</xdr:row>
      <xdr:rowOff>0</xdr:rowOff>
    </xdr:from>
    <xdr:ext cx="129021" cy="217517"/>
    <xdr:sp macro="" textlink="">
      <xdr:nvSpPr>
        <xdr:cNvPr id="77" name="Rectangle 8"/>
        <xdr:cNvSpPr>
          <a:spLocks noChangeArrowheads="1"/>
        </xdr:cNvSpPr>
      </xdr:nvSpPr>
      <xdr:spPr bwMode="auto">
        <a:xfrm>
          <a:off x="8798719" y="1821656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11</xdr:row>
      <xdr:rowOff>0</xdr:rowOff>
    </xdr:from>
    <xdr:ext cx="129021" cy="217517"/>
    <xdr:sp macro="" textlink="">
      <xdr:nvSpPr>
        <xdr:cNvPr id="79" name="Rectangle 8"/>
        <xdr:cNvSpPr>
          <a:spLocks noChangeArrowheads="1"/>
        </xdr:cNvSpPr>
      </xdr:nvSpPr>
      <xdr:spPr bwMode="auto">
        <a:xfrm>
          <a:off x="8798719" y="2024063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11</xdr:row>
      <xdr:rowOff>0</xdr:rowOff>
    </xdr:from>
    <xdr:ext cx="129021" cy="217517"/>
    <xdr:sp macro="" textlink="">
      <xdr:nvSpPr>
        <xdr:cNvPr id="80" name="Rectangle 79"/>
        <xdr:cNvSpPr>
          <a:spLocks noChangeArrowheads="1"/>
        </xdr:cNvSpPr>
      </xdr:nvSpPr>
      <xdr:spPr bwMode="auto">
        <a:xfrm>
          <a:off x="8798719" y="2024063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11</xdr:row>
      <xdr:rowOff>0</xdr:rowOff>
    </xdr:from>
    <xdr:ext cx="129021" cy="217517"/>
    <xdr:sp macro="" textlink="">
      <xdr:nvSpPr>
        <xdr:cNvPr id="81" name="Rectangle 8"/>
        <xdr:cNvSpPr>
          <a:spLocks noChangeArrowheads="1"/>
        </xdr:cNvSpPr>
      </xdr:nvSpPr>
      <xdr:spPr bwMode="auto">
        <a:xfrm>
          <a:off x="8798719" y="2024063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10</xdr:row>
      <xdr:rowOff>0</xdr:rowOff>
    </xdr:from>
    <xdr:ext cx="129021" cy="217517"/>
    <xdr:sp macro="" textlink="">
      <xdr:nvSpPr>
        <xdr:cNvPr id="82" name="Rectangle 81"/>
        <xdr:cNvSpPr>
          <a:spLocks noChangeArrowheads="1"/>
        </xdr:cNvSpPr>
      </xdr:nvSpPr>
      <xdr:spPr bwMode="auto">
        <a:xfrm>
          <a:off x="8798719" y="1821656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10</xdr:row>
      <xdr:rowOff>0</xdr:rowOff>
    </xdr:from>
    <xdr:ext cx="129021" cy="217517"/>
    <xdr:sp macro="" textlink="">
      <xdr:nvSpPr>
        <xdr:cNvPr id="83" name="Rectangle 8"/>
        <xdr:cNvSpPr>
          <a:spLocks noChangeArrowheads="1"/>
        </xdr:cNvSpPr>
      </xdr:nvSpPr>
      <xdr:spPr bwMode="auto">
        <a:xfrm>
          <a:off x="8798719" y="1821656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10</xdr:row>
      <xdr:rowOff>0</xdr:rowOff>
    </xdr:from>
    <xdr:ext cx="129021" cy="217517"/>
    <xdr:sp macro="" textlink="">
      <xdr:nvSpPr>
        <xdr:cNvPr id="84" name="Rectangle 83"/>
        <xdr:cNvSpPr>
          <a:spLocks noChangeArrowheads="1"/>
        </xdr:cNvSpPr>
      </xdr:nvSpPr>
      <xdr:spPr bwMode="auto">
        <a:xfrm>
          <a:off x="8798719" y="1821656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10</xdr:row>
      <xdr:rowOff>0</xdr:rowOff>
    </xdr:from>
    <xdr:ext cx="129021" cy="217517"/>
    <xdr:sp macro="" textlink="">
      <xdr:nvSpPr>
        <xdr:cNvPr id="85" name="Rectangle 8"/>
        <xdr:cNvSpPr>
          <a:spLocks noChangeArrowheads="1"/>
        </xdr:cNvSpPr>
      </xdr:nvSpPr>
      <xdr:spPr bwMode="auto">
        <a:xfrm>
          <a:off x="8798719" y="1821656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11</xdr:row>
      <xdr:rowOff>0</xdr:rowOff>
    </xdr:from>
    <xdr:ext cx="129021" cy="217517"/>
    <xdr:sp macro="" textlink="">
      <xdr:nvSpPr>
        <xdr:cNvPr id="86" name="Rectangle 85"/>
        <xdr:cNvSpPr>
          <a:spLocks noChangeArrowheads="1"/>
        </xdr:cNvSpPr>
      </xdr:nvSpPr>
      <xdr:spPr bwMode="auto">
        <a:xfrm>
          <a:off x="8798719" y="2024063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11</xdr:row>
      <xdr:rowOff>0</xdr:rowOff>
    </xdr:from>
    <xdr:ext cx="129021" cy="217517"/>
    <xdr:sp macro="" textlink="">
      <xdr:nvSpPr>
        <xdr:cNvPr id="87" name="Rectangle 8"/>
        <xdr:cNvSpPr>
          <a:spLocks noChangeArrowheads="1"/>
        </xdr:cNvSpPr>
      </xdr:nvSpPr>
      <xdr:spPr bwMode="auto">
        <a:xfrm>
          <a:off x="8798719" y="2024063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11</xdr:row>
      <xdr:rowOff>0</xdr:rowOff>
    </xdr:from>
    <xdr:ext cx="129021" cy="217517"/>
    <xdr:sp macro="" textlink="">
      <xdr:nvSpPr>
        <xdr:cNvPr id="88" name="Rectangle 87"/>
        <xdr:cNvSpPr>
          <a:spLocks noChangeArrowheads="1"/>
        </xdr:cNvSpPr>
      </xdr:nvSpPr>
      <xdr:spPr bwMode="auto">
        <a:xfrm>
          <a:off x="8798719" y="2024063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11</xdr:row>
      <xdr:rowOff>0</xdr:rowOff>
    </xdr:from>
    <xdr:ext cx="129021" cy="217517"/>
    <xdr:sp macro="" textlink="">
      <xdr:nvSpPr>
        <xdr:cNvPr id="89" name="Rectangle 8"/>
        <xdr:cNvSpPr>
          <a:spLocks noChangeArrowheads="1"/>
        </xdr:cNvSpPr>
      </xdr:nvSpPr>
      <xdr:spPr bwMode="auto">
        <a:xfrm>
          <a:off x="8798719" y="2024063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11</xdr:row>
      <xdr:rowOff>0</xdr:rowOff>
    </xdr:from>
    <xdr:ext cx="129021" cy="217517"/>
    <xdr:sp macro="" textlink="">
      <xdr:nvSpPr>
        <xdr:cNvPr id="90" name="Rectangle 89"/>
        <xdr:cNvSpPr>
          <a:spLocks noChangeArrowheads="1"/>
        </xdr:cNvSpPr>
      </xdr:nvSpPr>
      <xdr:spPr bwMode="auto">
        <a:xfrm>
          <a:off x="8798719" y="2024063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11</xdr:row>
      <xdr:rowOff>0</xdr:rowOff>
    </xdr:from>
    <xdr:ext cx="129021" cy="217517"/>
    <xdr:sp macro="" textlink="">
      <xdr:nvSpPr>
        <xdr:cNvPr id="91" name="Rectangle 8"/>
        <xdr:cNvSpPr>
          <a:spLocks noChangeArrowheads="1"/>
        </xdr:cNvSpPr>
      </xdr:nvSpPr>
      <xdr:spPr bwMode="auto">
        <a:xfrm>
          <a:off x="8798719" y="2024063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11</xdr:row>
      <xdr:rowOff>0</xdr:rowOff>
    </xdr:from>
    <xdr:ext cx="129021" cy="217517"/>
    <xdr:sp macro="" textlink="">
      <xdr:nvSpPr>
        <xdr:cNvPr id="92" name="Rectangle 91"/>
        <xdr:cNvSpPr>
          <a:spLocks noChangeArrowheads="1"/>
        </xdr:cNvSpPr>
      </xdr:nvSpPr>
      <xdr:spPr bwMode="auto">
        <a:xfrm>
          <a:off x="8798719" y="2024063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11</xdr:row>
      <xdr:rowOff>0</xdr:rowOff>
    </xdr:from>
    <xdr:ext cx="129021" cy="217517"/>
    <xdr:sp macro="" textlink="">
      <xdr:nvSpPr>
        <xdr:cNvPr id="93" name="Rectangle 8"/>
        <xdr:cNvSpPr>
          <a:spLocks noChangeArrowheads="1"/>
        </xdr:cNvSpPr>
      </xdr:nvSpPr>
      <xdr:spPr bwMode="auto">
        <a:xfrm>
          <a:off x="8798719" y="2024063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9</xdr:row>
      <xdr:rowOff>0</xdr:rowOff>
    </xdr:from>
    <xdr:ext cx="129021" cy="217517"/>
    <xdr:sp macro="" textlink="">
      <xdr:nvSpPr>
        <xdr:cNvPr id="94" name="Rectangle 8"/>
        <xdr:cNvSpPr>
          <a:spLocks noChangeArrowheads="1"/>
        </xdr:cNvSpPr>
      </xdr:nvSpPr>
      <xdr:spPr bwMode="auto">
        <a:xfrm>
          <a:off x="8798719" y="161925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10</xdr:row>
      <xdr:rowOff>0</xdr:rowOff>
    </xdr:from>
    <xdr:ext cx="129021" cy="217517"/>
    <xdr:sp macro="" textlink="">
      <xdr:nvSpPr>
        <xdr:cNvPr id="95" name="Rectangle 94"/>
        <xdr:cNvSpPr>
          <a:spLocks noChangeArrowheads="1"/>
        </xdr:cNvSpPr>
      </xdr:nvSpPr>
      <xdr:spPr bwMode="auto">
        <a:xfrm>
          <a:off x="8798719" y="1821656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10</xdr:row>
      <xdr:rowOff>0</xdr:rowOff>
    </xdr:from>
    <xdr:ext cx="129021" cy="217517"/>
    <xdr:sp macro="" textlink="">
      <xdr:nvSpPr>
        <xdr:cNvPr id="96" name="Rectangle 8"/>
        <xdr:cNvSpPr>
          <a:spLocks noChangeArrowheads="1"/>
        </xdr:cNvSpPr>
      </xdr:nvSpPr>
      <xdr:spPr bwMode="auto">
        <a:xfrm>
          <a:off x="8798719" y="1821656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9</xdr:row>
      <xdr:rowOff>0</xdr:rowOff>
    </xdr:from>
    <xdr:ext cx="129021" cy="217517"/>
    <xdr:sp macro="" textlink="">
      <xdr:nvSpPr>
        <xdr:cNvPr id="97" name="Rectangle 96"/>
        <xdr:cNvSpPr>
          <a:spLocks noChangeArrowheads="1"/>
        </xdr:cNvSpPr>
      </xdr:nvSpPr>
      <xdr:spPr bwMode="auto">
        <a:xfrm>
          <a:off x="8798719" y="161925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9</xdr:row>
      <xdr:rowOff>0</xdr:rowOff>
    </xdr:from>
    <xdr:ext cx="129021" cy="217517"/>
    <xdr:sp macro="" textlink="">
      <xdr:nvSpPr>
        <xdr:cNvPr id="98" name="Rectangle 8"/>
        <xdr:cNvSpPr>
          <a:spLocks noChangeArrowheads="1"/>
        </xdr:cNvSpPr>
      </xdr:nvSpPr>
      <xdr:spPr bwMode="auto">
        <a:xfrm>
          <a:off x="8798719" y="161925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9</xdr:row>
      <xdr:rowOff>0</xdr:rowOff>
    </xdr:from>
    <xdr:ext cx="129021" cy="217517"/>
    <xdr:sp macro="" textlink="">
      <xdr:nvSpPr>
        <xdr:cNvPr id="99" name="Rectangle 8"/>
        <xdr:cNvSpPr>
          <a:spLocks noChangeArrowheads="1"/>
        </xdr:cNvSpPr>
      </xdr:nvSpPr>
      <xdr:spPr bwMode="auto">
        <a:xfrm>
          <a:off x="8798719" y="161925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9</xdr:row>
      <xdr:rowOff>0</xdr:rowOff>
    </xdr:from>
    <xdr:ext cx="129021" cy="217517"/>
    <xdr:sp macro="" textlink="">
      <xdr:nvSpPr>
        <xdr:cNvPr id="100" name="Rectangle 8"/>
        <xdr:cNvSpPr>
          <a:spLocks noChangeArrowheads="1"/>
        </xdr:cNvSpPr>
      </xdr:nvSpPr>
      <xdr:spPr bwMode="auto">
        <a:xfrm>
          <a:off x="8798719" y="161925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10</xdr:row>
      <xdr:rowOff>0</xdr:rowOff>
    </xdr:from>
    <xdr:ext cx="129021" cy="217517"/>
    <xdr:sp macro="" textlink="">
      <xdr:nvSpPr>
        <xdr:cNvPr id="101" name="Rectangle 100"/>
        <xdr:cNvSpPr>
          <a:spLocks noChangeArrowheads="1"/>
        </xdr:cNvSpPr>
      </xdr:nvSpPr>
      <xdr:spPr bwMode="auto">
        <a:xfrm>
          <a:off x="8798719" y="1821656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10</xdr:row>
      <xdr:rowOff>0</xdr:rowOff>
    </xdr:from>
    <xdr:ext cx="129021" cy="217517"/>
    <xdr:sp macro="" textlink="">
      <xdr:nvSpPr>
        <xdr:cNvPr id="102" name="Rectangle 8"/>
        <xdr:cNvSpPr>
          <a:spLocks noChangeArrowheads="1"/>
        </xdr:cNvSpPr>
      </xdr:nvSpPr>
      <xdr:spPr bwMode="auto">
        <a:xfrm>
          <a:off x="8798719" y="1821656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19</xdr:row>
          <xdr:rowOff>0</xdr:rowOff>
        </xdr:from>
        <xdr:to>
          <xdr:col>2</xdr:col>
          <xdr:colOff>0</xdr:colOff>
          <xdr:row>20</xdr:row>
          <xdr:rowOff>9525</xdr:rowOff>
        </xdr:to>
        <xdr:sp macro="" textlink="">
          <xdr:nvSpPr>
            <xdr:cNvPr id="1059" name="ComboBox2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0</xdr:rowOff>
        </xdr:from>
        <xdr:to>
          <xdr:col>2</xdr:col>
          <xdr:colOff>9525</xdr:colOff>
          <xdr:row>21</xdr:row>
          <xdr:rowOff>0</xdr:rowOff>
        </xdr:to>
        <xdr:sp macro="" textlink="">
          <xdr:nvSpPr>
            <xdr:cNvPr id="1060" name="ComboBox3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1762125</xdr:colOff>
          <xdr:row>25</xdr:row>
          <xdr:rowOff>152400</xdr:rowOff>
        </xdr:from>
        <xdr:to>
          <xdr:col>3</xdr:col>
          <xdr:colOff>171450</xdr:colOff>
          <xdr:row>27</xdr:row>
          <xdr:rowOff>38100</xdr:rowOff>
        </xdr:to>
        <xdr:sp macro="" textlink="">
          <xdr:nvSpPr>
            <xdr:cNvPr id="1061" name="Check Box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885825</xdr:colOff>
          <xdr:row>25</xdr:row>
          <xdr:rowOff>152400</xdr:rowOff>
        </xdr:from>
        <xdr:to>
          <xdr:col>2</xdr:col>
          <xdr:colOff>1123950</xdr:colOff>
          <xdr:row>27</xdr:row>
          <xdr:rowOff>38100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13</xdr:row>
          <xdr:rowOff>38100</xdr:rowOff>
        </xdr:from>
        <xdr:to>
          <xdr:col>0</xdr:col>
          <xdr:colOff>209550</xdr:colOff>
          <xdr:row>13</xdr:row>
          <xdr:rowOff>180975</xdr:rowOff>
        </xdr:to>
        <xdr:sp macro="" textlink="">
          <xdr:nvSpPr>
            <xdr:cNvPr id="1071" name="CheckBox1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47625</xdr:rowOff>
        </xdr:from>
        <xdr:to>
          <xdr:col>0</xdr:col>
          <xdr:colOff>209550</xdr:colOff>
          <xdr:row>14</xdr:row>
          <xdr:rowOff>190500</xdr:rowOff>
        </xdr:to>
        <xdr:sp macro="" textlink="">
          <xdr:nvSpPr>
            <xdr:cNvPr id="1072" name="CheckBox2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15</xdr:row>
          <xdr:rowOff>47625</xdr:rowOff>
        </xdr:from>
        <xdr:to>
          <xdr:col>0</xdr:col>
          <xdr:colOff>209550</xdr:colOff>
          <xdr:row>15</xdr:row>
          <xdr:rowOff>190500</xdr:rowOff>
        </xdr:to>
        <xdr:sp macro="" textlink="">
          <xdr:nvSpPr>
            <xdr:cNvPr id="1073" name="CheckBox3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16</xdr:row>
          <xdr:rowOff>57150</xdr:rowOff>
        </xdr:from>
        <xdr:to>
          <xdr:col>0</xdr:col>
          <xdr:colOff>209550</xdr:colOff>
          <xdr:row>16</xdr:row>
          <xdr:rowOff>200025</xdr:rowOff>
        </xdr:to>
        <xdr:sp macro="" textlink="">
          <xdr:nvSpPr>
            <xdr:cNvPr id="1074" name="CheckBox4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17</xdr:row>
          <xdr:rowOff>47625</xdr:rowOff>
        </xdr:from>
        <xdr:to>
          <xdr:col>0</xdr:col>
          <xdr:colOff>209550</xdr:colOff>
          <xdr:row>17</xdr:row>
          <xdr:rowOff>190500</xdr:rowOff>
        </xdr:to>
        <xdr:sp macro="" textlink="">
          <xdr:nvSpPr>
            <xdr:cNvPr id="1075" name="CheckBox5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1238250</xdr:colOff>
          <xdr:row>13</xdr:row>
          <xdr:rowOff>47625</xdr:rowOff>
        </xdr:from>
        <xdr:to>
          <xdr:col>3</xdr:col>
          <xdr:colOff>1381125</xdr:colOff>
          <xdr:row>13</xdr:row>
          <xdr:rowOff>200025</xdr:rowOff>
        </xdr:to>
        <xdr:sp macro="" textlink="">
          <xdr:nvSpPr>
            <xdr:cNvPr id="1076" name="CheckBox6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1762125</xdr:colOff>
          <xdr:row>56</xdr:row>
          <xdr:rowOff>171450</xdr:rowOff>
        </xdr:from>
        <xdr:to>
          <xdr:col>3</xdr:col>
          <xdr:colOff>171450</xdr:colOff>
          <xdr:row>58</xdr:row>
          <xdr:rowOff>38100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885825</xdr:colOff>
          <xdr:row>56</xdr:row>
          <xdr:rowOff>161925</xdr:rowOff>
        </xdr:from>
        <xdr:to>
          <xdr:col>2</xdr:col>
          <xdr:colOff>1104900</xdr:colOff>
          <xdr:row>58</xdr:row>
          <xdr:rowOff>38100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940594</xdr:colOff>
      <xdr:row>1</xdr:row>
      <xdr:rowOff>119061</xdr:rowOff>
    </xdr:from>
    <xdr:to>
      <xdr:col>0</xdr:col>
      <xdr:colOff>1557659</xdr:colOff>
      <xdr:row>4</xdr:row>
      <xdr:rowOff>95249</xdr:rowOff>
    </xdr:to>
    <xdr:pic>
      <xdr:nvPicPr>
        <xdr:cNvPr id="103" name="Picture 102" descr="cid:arl9f654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0594" y="119061"/>
          <a:ext cx="617065" cy="5834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457200</xdr:colOff>
          <xdr:row>60</xdr:row>
          <xdr:rowOff>0</xdr:rowOff>
        </xdr:from>
        <xdr:to>
          <xdr:col>3</xdr:col>
          <xdr:colOff>1362075</xdr:colOff>
          <xdr:row>63</xdr:row>
          <xdr:rowOff>190500</xdr:rowOff>
        </xdr:to>
        <xdr:sp macro="" textlink="">
          <xdr:nvSpPr>
            <xdr:cNvPr id="1080" name="CommandButton1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438150</xdr:colOff>
      <xdr:row>0</xdr:row>
      <xdr:rowOff>57150</xdr:rowOff>
    </xdr:from>
    <xdr:to>
      <xdr:col>1</xdr:col>
      <xdr:colOff>962025</xdr:colOff>
      <xdr:row>2</xdr:row>
      <xdr:rowOff>114300</xdr:rowOff>
    </xdr:to>
    <xdr:pic>
      <xdr:nvPicPr>
        <xdr:cNvPr id="2" name="Picture 1" descr="cid:arl9f654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" y="57150"/>
          <a:ext cx="52387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81395</xdr:colOff>
      <xdr:row>8</xdr:row>
      <xdr:rowOff>0</xdr:rowOff>
    </xdr:from>
    <xdr:ext cx="129021" cy="217517"/>
    <xdr:sp macro="" textlink="">
      <xdr:nvSpPr>
        <xdr:cNvPr id="2" name="Rectangle 8"/>
        <xdr:cNvSpPr>
          <a:spLocks noChangeArrowheads="1"/>
        </xdr:cNvSpPr>
      </xdr:nvSpPr>
      <xdr:spPr bwMode="auto">
        <a:xfrm>
          <a:off x="2605520" y="160020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4362450</xdr:colOff>
      <xdr:row>47</xdr:row>
      <xdr:rowOff>123825</xdr:rowOff>
    </xdr:from>
    <xdr:ext cx="143598" cy="213402"/>
    <xdr:sp macro="" textlink="">
      <xdr:nvSpPr>
        <xdr:cNvPr id="3" name="Rectangle 8"/>
        <xdr:cNvSpPr>
          <a:spLocks noChangeArrowheads="1"/>
        </xdr:cNvSpPr>
      </xdr:nvSpPr>
      <xdr:spPr bwMode="auto">
        <a:xfrm>
          <a:off x="5705475" y="9525000"/>
          <a:ext cx="143598" cy="21340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81395</xdr:colOff>
      <xdr:row>9</xdr:row>
      <xdr:rowOff>0</xdr:rowOff>
    </xdr:from>
    <xdr:ext cx="129021" cy="217517"/>
    <xdr:sp macro="" textlink="">
      <xdr:nvSpPr>
        <xdr:cNvPr id="4" name="Rectangle 8"/>
        <xdr:cNvSpPr>
          <a:spLocks noChangeArrowheads="1"/>
        </xdr:cNvSpPr>
      </xdr:nvSpPr>
      <xdr:spPr bwMode="auto">
        <a:xfrm>
          <a:off x="2605520" y="1800225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81395</xdr:colOff>
      <xdr:row>10</xdr:row>
      <xdr:rowOff>0</xdr:rowOff>
    </xdr:from>
    <xdr:ext cx="129021" cy="217517"/>
    <xdr:sp macro="" textlink="">
      <xdr:nvSpPr>
        <xdr:cNvPr id="5" name="Rectangle 8"/>
        <xdr:cNvSpPr>
          <a:spLocks noChangeArrowheads="1"/>
        </xdr:cNvSpPr>
      </xdr:nvSpPr>
      <xdr:spPr bwMode="auto">
        <a:xfrm>
          <a:off x="2605520" y="200025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81395</xdr:colOff>
      <xdr:row>10</xdr:row>
      <xdr:rowOff>0</xdr:rowOff>
    </xdr:from>
    <xdr:ext cx="129021" cy="217517"/>
    <xdr:sp macro="" textlink="">
      <xdr:nvSpPr>
        <xdr:cNvPr id="6" name="Rectangle 8"/>
        <xdr:cNvSpPr>
          <a:spLocks noChangeArrowheads="1"/>
        </xdr:cNvSpPr>
      </xdr:nvSpPr>
      <xdr:spPr bwMode="auto">
        <a:xfrm>
          <a:off x="2605520" y="200025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81395</xdr:colOff>
      <xdr:row>11</xdr:row>
      <xdr:rowOff>0</xdr:rowOff>
    </xdr:from>
    <xdr:ext cx="129021" cy="217517"/>
    <xdr:sp macro="" textlink="">
      <xdr:nvSpPr>
        <xdr:cNvPr id="7" name="Rectangle 8"/>
        <xdr:cNvSpPr>
          <a:spLocks noChangeArrowheads="1"/>
        </xdr:cNvSpPr>
      </xdr:nvSpPr>
      <xdr:spPr bwMode="auto">
        <a:xfrm>
          <a:off x="2605520" y="2200275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81395</xdr:colOff>
      <xdr:row>12</xdr:row>
      <xdr:rowOff>0</xdr:rowOff>
    </xdr:from>
    <xdr:ext cx="129021" cy="217517"/>
    <xdr:sp macro="" textlink="">
      <xdr:nvSpPr>
        <xdr:cNvPr id="8" name="Rectangle 8"/>
        <xdr:cNvSpPr>
          <a:spLocks noChangeArrowheads="1"/>
        </xdr:cNvSpPr>
      </xdr:nvSpPr>
      <xdr:spPr bwMode="auto">
        <a:xfrm>
          <a:off x="2605520" y="240030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81395</xdr:colOff>
      <xdr:row>12</xdr:row>
      <xdr:rowOff>0</xdr:rowOff>
    </xdr:from>
    <xdr:ext cx="129021" cy="217517"/>
    <xdr:sp macro="" textlink="">
      <xdr:nvSpPr>
        <xdr:cNvPr id="9" name="Rectangle 8"/>
        <xdr:cNvSpPr>
          <a:spLocks noChangeArrowheads="1"/>
        </xdr:cNvSpPr>
      </xdr:nvSpPr>
      <xdr:spPr bwMode="auto">
        <a:xfrm>
          <a:off x="2605520" y="240030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81395</xdr:colOff>
      <xdr:row>12</xdr:row>
      <xdr:rowOff>0</xdr:rowOff>
    </xdr:from>
    <xdr:ext cx="129021" cy="217517"/>
    <xdr:sp macro="" textlink="">
      <xdr:nvSpPr>
        <xdr:cNvPr id="10" name="Rectangle 8"/>
        <xdr:cNvSpPr>
          <a:spLocks noChangeArrowheads="1"/>
        </xdr:cNvSpPr>
      </xdr:nvSpPr>
      <xdr:spPr bwMode="auto">
        <a:xfrm>
          <a:off x="2605520" y="240030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81395</xdr:colOff>
      <xdr:row>12</xdr:row>
      <xdr:rowOff>0</xdr:rowOff>
    </xdr:from>
    <xdr:ext cx="129021" cy="217517"/>
    <xdr:sp macro="" textlink="">
      <xdr:nvSpPr>
        <xdr:cNvPr id="11" name="Rectangle 8"/>
        <xdr:cNvSpPr>
          <a:spLocks noChangeArrowheads="1"/>
        </xdr:cNvSpPr>
      </xdr:nvSpPr>
      <xdr:spPr bwMode="auto">
        <a:xfrm>
          <a:off x="2605520" y="240030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81395</xdr:colOff>
      <xdr:row>13</xdr:row>
      <xdr:rowOff>0</xdr:rowOff>
    </xdr:from>
    <xdr:ext cx="129021" cy="217517"/>
    <xdr:sp macro="" textlink="">
      <xdr:nvSpPr>
        <xdr:cNvPr id="12" name="Rectangle 8"/>
        <xdr:cNvSpPr>
          <a:spLocks noChangeArrowheads="1"/>
        </xdr:cNvSpPr>
      </xdr:nvSpPr>
      <xdr:spPr bwMode="auto">
        <a:xfrm>
          <a:off x="2605520" y="2600325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81395</xdr:colOff>
      <xdr:row>13</xdr:row>
      <xdr:rowOff>0</xdr:rowOff>
    </xdr:from>
    <xdr:ext cx="129021" cy="217517"/>
    <xdr:sp macro="" textlink="">
      <xdr:nvSpPr>
        <xdr:cNvPr id="13" name="Rectangle 8"/>
        <xdr:cNvSpPr>
          <a:spLocks noChangeArrowheads="1"/>
        </xdr:cNvSpPr>
      </xdr:nvSpPr>
      <xdr:spPr bwMode="auto">
        <a:xfrm>
          <a:off x="2605520" y="2600325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81395</xdr:colOff>
      <xdr:row>13</xdr:row>
      <xdr:rowOff>0</xdr:rowOff>
    </xdr:from>
    <xdr:ext cx="129021" cy="217517"/>
    <xdr:sp macro="" textlink="">
      <xdr:nvSpPr>
        <xdr:cNvPr id="14" name="Rectangle 8"/>
        <xdr:cNvSpPr>
          <a:spLocks noChangeArrowheads="1"/>
        </xdr:cNvSpPr>
      </xdr:nvSpPr>
      <xdr:spPr bwMode="auto">
        <a:xfrm>
          <a:off x="2605520" y="2600325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2</xdr:col>
      <xdr:colOff>81395</xdr:colOff>
      <xdr:row>12</xdr:row>
      <xdr:rowOff>0</xdr:rowOff>
    </xdr:from>
    <xdr:ext cx="129021" cy="217517"/>
    <xdr:sp macro="" textlink="">
      <xdr:nvSpPr>
        <xdr:cNvPr id="15" name="Rectangle 8"/>
        <xdr:cNvSpPr>
          <a:spLocks noChangeArrowheads="1"/>
        </xdr:cNvSpPr>
      </xdr:nvSpPr>
      <xdr:spPr bwMode="auto">
        <a:xfrm>
          <a:off x="5786870" y="240030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2</xdr:col>
      <xdr:colOff>81395</xdr:colOff>
      <xdr:row>15</xdr:row>
      <xdr:rowOff>0</xdr:rowOff>
    </xdr:from>
    <xdr:ext cx="129021" cy="217517"/>
    <xdr:sp macro="" textlink="">
      <xdr:nvSpPr>
        <xdr:cNvPr id="16" name="Rectangle 8"/>
        <xdr:cNvSpPr>
          <a:spLocks noChangeArrowheads="1"/>
        </xdr:cNvSpPr>
      </xdr:nvSpPr>
      <xdr:spPr bwMode="auto">
        <a:xfrm>
          <a:off x="5786870" y="3000375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1213812</xdr:colOff>
      <xdr:row>22</xdr:row>
      <xdr:rowOff>190500</xdr:rowOff>
    </xdr:from>
    <xdr:ext cx="129021" cy="217517"/>
    <xdr:sp macro="" textlink="">
      <xdr:nvSpPr>
        <xdr:cNvPr id="17" name="Rectangle 16"/>
        <xdr:cNvSpPr>
          <a:spLocks noChangeArrowheads="1"/>
        </xdr:cNvSpPr>
      </xdr:nvSpPr>
      <xdr:spPr bwMode="auto">
        <a:xfrm>
          <a:off x="10014912" y="459105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430645</xdr:colOff>
      <xdr:row>24</xdr:row>
      <xdr:rowOff>52917</xdr:rowOff>
    </xdr:from>
    <xdr:ext cx="129021" cy="217517"/>
    <xdr:sp macro="" textlink="">
      <xdr:nvSpPr>
        <xdr:cNvPr id="18" name="Rectangle 8"/>
        <xdr:cNvSpPr>
          <a:spLocks noChangeArrowheads="1"/>
        </xdr:cNvSpPr>
      </xdr:nvSpPr>
      <xdr:spPr bwMode="auto">
        <a:xfrm>
          <a:off x="9231745" y="4853517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1287895</xdr:colOff>
      <xdr:row>27</xdr:row>
      <xdr:rowOff>306916</xdr:rowOff>
    </xdr:from>
    <xdr:ext cx="129021" cy="217517"/>
    <xdr:sp macro="" textlink="">
      <xdr:nvSpPr>
        <xdr:cNvPr id="19" name="Rectangle 8"/>
        <xdr:cNvSpPr>
          <a:spLocks noChangeArrowheads="1"/>
        </xdr:cNvSpPr>
      </xdr:nvSpPr>
      <xdr:spPr bwMode="auto">
        <a:xfrm>
          <a:off x="10088995" y="5602816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504728</xdr:colOff>
      <xdr:row>28</xdr:row>
      <xdr:rowOff>169334</xdr:rowOff>
    </xdr:from>
    <xdr:ext cx="129021" cy="217517"/>
    <xdr:sp macro="" textlink="">
      <xdr:nvSpPr>
        <xdr:cNvPr id="20" name="Rectangle 19"/>
        <xdr:cNvSpPr>
          <a:spLocks noChangeArrowheads="1"/>
        </xdr:cNvSpPr>
      </xdr:nvSpPr>
      <xdr:spPr bwMode="auto">
        <a:xfrm>
          <a:off x="9305828" y="5770034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3</xdr:col>
      <xdr:colOff>81395</xdr:colOff>
      <xdr:row>12</xdr:row>
      <xdr:rowOff>0</xdr:rowOff>
    </xdr:from>
    <xdr:ext cx="129021" cy="217517"/>
    <xdr:sp macro="" textlink="">
      <xdr:nvSpPr>
        <xdr:cNvPr id="21" name="Rectangle 8"/>
        <xdr:cNvSpPr>
          <a:spLocks noChangeArrowheads="1"/>
        </xdr:cNvSpPr>
      </xdr:nvSpPr>
      <xdr:spPr bwMode="auto">
        <a:xfrm>
          <a:off x="7606145" y="240030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3</xdr:col>
      <xdr:colOff>81395</xdr:colOff>
      <xdr:row>15</xdr:row>
      <xdr:rowOff>0</xdr:rowOff>
    </xdr:from>
    <xdr:ext cx="129021" cy="217517"/>
    <xdr:sp macro="" textlink="">
      <xdr:nvSpPr>
        <xdr:cNvPr id="22" name="Rectangle 8"/>
        <xdr:cNvSpPr>
          <a:spLocks noChangeArrowheads="1"/>
        </xdr:cNvSpPr>
      </xdr:nvSpPr>
      <xdr:spPr bwMode="auto">
        <a:xfrm>
          <a:off x="7606145" y="3000375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3</xdr:col>
      <xdr:colOff>81395</xdr:colOff>
      <xdr:row>15</xdr:row>
      <xdr:rowOff>0</xdr:rowOff>
    </xdr:from>
    <xdr:ext cx="129021" cy="217517"/>
    <xdr:sp macro="" textlink="">
      <xdr:nvSpPr>
        <xdr:cNvPr id="23" name="Rectangle 8"/>
        <xdr:cNvSpPr>
          <a:spLocks noChangeArrowheads="1"/>
        </xdr:cNvSpPr>
      </xdr:nvSpPr>
      <xdr:spPr bwMode="auto">
        <a:xfrm>
          <a:off x="7606145" y="3000375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8</xdr:row>
      <xdr:rowOff>0</xdr:rowOff>
    </xdr:from>
    <xdr:ext cx="129021" cy="217517"/>
    <xdr:sp macro="" textlink="">
      <xdr:nvSpPr>
        <xdr:cNvPr id="24" name="Rectangle 8"/>
        <xdr:cNvSpPr>
          <a:spLocks noChangeArrowheads="1"/>
        </xdr:cNvSpPr>
      </xdr:nvSpPr>
      <xdr:spPr bwMode="auto">
        <a:xfrm>
          <a:off x="8801100" y="160020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9</xdr:row>
      <xdr:rowOff>0</xdr:rowOff>
    </xdr:from>
    <xdr:ext cx="129021" cy="217517"/>
    <xdr:sp macro="" textlink="">
      <xdr:nvSpPr>
        <xdr:cNvPr id="25" name="Rectangle 24"/>
        <xdr:cNvSpPr>
          <a:spLocks noChangeArrowheads="1"/>
        </xdr:cNvSpPr>
      </xdr:nvSpPr>
      <xdr:spPr bwMode="auto">
        <a:xfrm>
          <a:off x="8801100" y="1800225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9</xdr:row>
      <xdr:rowOff>0</xdr:rowOff>
    </xdr:from>
    <xdr:ext cx="129021" cy="217517"/>
    <xdr:sp macro="" textlink="">
      <xdr:nvSpPr>
        <xdr:cNvPr id="26" name="Rectangle 8"/>
        <xdr:cNvSpPr>
          <a:spLocks noChangeArrowheads="1"/>
        </xdr:cNvSpPr>
      </xdr:nvSpPr>
      <xdr:spPr bwMode="auto">
        <a:xfrm>
          <a:off x="8801100" y="1800225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8</xdr:row>
      <xdr:rowOff>0</xdr:rowOff>
    </xdr:from>
    <xdr:ext cx="129021" cy="217517"/>
    <xdr:sp macro="" textlink="">
      <xdr:nvSpPr>
        <xdr:cNvPr id="27" name="Rectangle 26"/>
        <xdr:cNvSpPr>
          <a:spLocks noChangeArrowheads="1"/>
        </xdr:cNvSpPr>
      </xdr:nvSpPr>
      <xdr:spPr bwMode="auto">
        <a:xfrm>
          <a:off x="8801100" y="160020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8</xdr:row>
      <xdr:rowOff>0</xdr:rowOff>
    </xdr:from>
    <xdr:ext cx="129021" cy="217517"/>
    <xdr:sp macro="" textlink="">
      <xdr:nvSpPr>
        <xdr:cNvPr id="28" name="Rectangle 8"/>
        <xdr:cNvSpPr>
          <a:spLocks noChangeArrowheads="1"/>
        </xdr:cNvSpPr>
      </xdr:nvSpPr>
      <xdr:spPr bwMode="auto">
        <a:xfrm>
          <a:off x="8801100" y="160020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8</xdr:row>
      <xdr:rowOff>0</xdr:rowOff>
    </xdr:from>
    <xdr:ext cx="129021" cy="217517"/>
    <xdr:sp macro="" textlink="">
      <xdr:nvSpPr>
        <xdr:cNvPr id="29" name="Rectangle 8"/>
        <xdr:cNvSpPr>
          <a:spLocks noChangeArrowheads="1"/>
        </xdr:cNvSpPr>
      </xdr:nvSpPr>
      <xdr:spPr bwMode="auto">
        <a:xfrm>
          <a:off x="8801100" y="160020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8</xdr:row>
      <xdr:rowOff>0</xdr:rowOff>
    </xdr:from>
    <xdr:ext cx="129021" cy="217517"/>
    <xdr:sp macro="" textlink="">
      <xdr:nvSpPr>
        <xdr:cNvPr id="30" name="Rectangle 8"/>
        <xdr:cNvSpPr>
          <a:spLocks noChangeArrowheads="1"/>
        </xdr:cNvSpPr>
      </xdr:nvSpPr>
      <xdr:spPr bwMode="auto">
        <a:xfrm>
          <a:off x="8801100" y="160020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9</xdr:row>
      <xdr:rowOff>0</xdr:rowOff>
    </xdr:from>
    <xdr:ext cx="129021" cy="217517"/>
    <xdr:sp macro="" textlink="">
      <xdr:nvSpPr>
        <xdr:cNvPr id="31" name="Rectangle 30"/>
        <xdr:cNvSpPr>
          <a:spLocks noChangeArrowheads="1"/>
        </xdr:cNvSpPr>
      </xdr:nvSpPr>
      <xdr:spPr bwMode="auto">
        <a:xfrm>
          <a:off x="8801100" y="1800225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9</xdr:row>
      <xdr:rowOff>0</xdr:rowOff>
    </xdr:from>
    <xdr:ext cx="129021" cy="217517"/>
    <xdr:sp macro="" textlink="">
      <xdr:nvSpPr>
        <xdr:cNvPr id="32" name="Rectangle 8"/>
        <xdr:cNvSpPr>
          <a:spLocks noChangeArrowheads="1"/>
        </xdr:cNvSpPr>
      </xdr:nvSpPr>
      <xdr:spPr bwMode="auto">
        <a:xfrm>
          <a:off x="8801100" y="1800225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0</xdr:colOff>
      <xdr:row>434</xdr:row>
      <xdr:rowOff>0</xdr:rowOff>
    </xdr:from>
    <xdr:ext cx="129021" cy="217517"/>
    <xdr:sp macro="" textlink="">
      <xdr:nvSpPr>
        <xdr:cNvPr id="33" name="Rectangle 8"/>
        <xdr:cNvSpPr>
          <a:spLocks noChangeArrowheads="1"/>
        </xdr:cNvSpPr>
      </xdr:nvSpPr>
      <xdr:spPr bwMode="auto">
        <a:xfrm>
          <a:off x="10582275" y="8521065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0</xdr:colOff>
      <xdr:row>434</xdr:row>
      <xdr:rowOff>0</xdr:rowOff>
    </xdr:from>
    <xdr:ext cx="129021" cy="217517"/>
    <xdr:sp macro="" textlink="">
      <xdr:nvSpPr>
        <xdr:cNvPr id="34" name="Rectangle 8"/>
        <xdr:cNvSpPr>
          <a:spLocks noChangeArrowheads="1"/>
        </xdr:cNvSpPr>
      </xdr:nvSpPr>
      <xdr:spPr bwMode="auto">
        <a:xfrm>
          <a:off x="10582275" y="8521065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0</xdr:colOff>
      <xdr:row>434</xdr:row>
      <xdr:rowOff>0</xdr:rowOff>
    </xdr:from>
    <xdr:ext cx="129021" cy="217517"/>
    <xdr:sp macro="" textlink="">
      <xdr:nvSpPr>
        <xdr:cNvPr id="35" name="Rectangle 34"/>
        <xdr:cNvSpPr>
          <a:spLocks noChangeArrowheads="1"/>
        </xdr:cNvSpPr>
      </xdr:nvSpPr>
      <xdr:spPr bwMode="auto">
        <a:xfrm>
          <a:off x="10582275" y="8521065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0</xdr:colOff>
      <xdr:row>434</xdr:row>
      <xdr:rowOff>0</xdr:rowOff>
    </xdr:from>
    <xdr:ext cx="129021" cy="217517"/>
    <xdr:sp macro="" textlink="">
      <xdr:nvSpPr>
        <xdr:cNvPr id="36" name="Rectangle 8"/>
        <xdr:cNvSpPr>
          <a:spLocks noChangeArrowheads="1"/>
        </xdr:cNvSpPr>
      </xdr:nvSpPr>
      <xdr:spPr bwMode="auto">
        <a:xfrm>
          <a:off x="10582275" y="8521065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0</xdr:colOff>
      <xdr:row>434</xdr:row>
      <xdr:rowOff>0</xdr:rowOff>
    </xdr:from>
    <xdr:ext cx="129021" cy="217517"/>
    <xdr:sp macro="" textlink="">
      <xdr:nvSpPr>
        <xdr:cNvPr id="37" name="Rectangle 8"/>
        <xdr:cNvSpPr>
          <a:spLocks noChangeArrowheads="1"/>
        </xdr:cNvSpPr>
      </xdr:nvSpPr>
      <xdr:spPr bwMode="auto">
        <a:xfrm>
          <a:off x="10582275" y="8521065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0</xdr:colOff>
      <xdr:row>434</xdr:row>
      <xdr:rowOff>0</xdr:rowOff>
    </xdr:from>
    <xdr:ext cx="129021" cy="217517"/>
    <xdr:sp macro="" textlink="">
      <xdr:nvSpPr>
        <xdr:cNvPr id="38" name="Rectangle 8"/>
        <xdr:cNvSpPr>
          <a:spLocks noChangeArrowheads="1"/>
        </xdr:cNvSpPr>
      </xdr:nvSpPr>
      <xdr:spPr bwMode="auto">
        <a:xfrm>
          <a:off x="10582275" y="8521065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1174</xdr:row>
          <xdr:rowOff>0</xdr:rowOff>
        </xdr:from>
        <xdr:to>
          <xdr:col>2</xdr:col>
          <xdr:colOff>466725</xdr:colOff>
          <xdr:row>1175</xdr:row>
          <xdr:rowOff>123825</xdr:rowOff>
        </xdr:to>
        <xdr:sp macro="" textlink="">
          <xdr:nvSpPr>
            <xdr:cNvPr id="4097" name="ComboBox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81395</xdr:colOff>
      <xdr:row>8</xdr:row>
      <xdr:rowOff>0</xdr:rowOff>
    </xdr:from>
    <xdr:ext cx="129021" cy="217517"/>
    <xdr:sp macro="" textlink="">
      <xdr:nvSpPr>
        <xdr:cNvPr id="40" name="Rectangle 8"/>
        <xdr:cNvSpPr>
          <a:spLocks noChangeArrowheads="1"/>
        </xdr:cNvSpPr>
      </xdr:nvSpPr>
      <xdr:spPr bwMode="auto">
        <a:xfrm>
          <a:off x="81395" y="160020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1762125</xdr:colOff>
          <xdr:row>16</xdr:row>
          <xdr:rowOff>180975</xdr:rowOff>
        </xdr:from>
        <xdr:to>
          <xdr:col>3</xdr:col>
          <xdr:colOff>171450</xdr:colOff>
          <xdr:row>18</xdr:row>
          <xdr:rowOff>47625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885825</xdr:colOff>
          <xdr:row>16</xdr:row>
          <xdr:rowOff>171450</xdr:rowOff>
        </xdr:from>
        <xdr:to>
          <xdr:col>2</xdr:col>
          <xdr:colOff>1114425</xdr:colOff>
          <xdr:row>18</xdr:row>
          <xdr:rowOff>28575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19</xdr:row>
          <xdr:rowOff>180975</xdr:rowOff>
        </xdr:from>
        <xdr:to>
          <xdr:col>3</xdr:col>
          <xdr:colOff>171450</xdr:colOff>
          <xdr:row>21</xdr:row>
          <xdr:rowOff>47625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895350</xdr:colOff>
          <xdr:row>19</xdr:row>
          <xdr:rowOff>171450</xdr:rowOff>
        </xdr:from>
        <xdr:to>
          <xdr:col>2</xdr:col>
          <xdr:colOff>1123950</xdr:colOff>
          <xdr:row>21</xdr:row>
          <xdr:rowOff>28575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10</xdr:row>
      <xdr:rowOff>0</xdr:rowOff>
    </xdr:from>
    <xdr:ext cx="129021" cy="217517"/>
    <xdr:sp macro="" textlink="">
      <xdr:nvSpPr>
        <xdr:cNvPr id="45" name="Rectangle 44"/>
        <xdr:cNvSpPr>
          <a:spLocks noChangeArrowheads="1"/>
        </xdr:cNvSpPr>
      </xdr:nvSpPr>
      <xdr:spPr bwMode="auto">
        <a:xfrm>
          <a:off x="8801100" y="200025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10</xdr:row>
      <xdr:rowOff>0</xdr:rowOff>
    </xdr:from>
    <xdr:ext cx="129021" cy="217517"/>
    <xdr:sp macro="" textlink="">
      <xdr:nvSpPr>
        <xdr:cNvPr id="46" name="Rectangle 8"/>
        <xdr:cNvSpPr>
          <a:spLocks noChangeArrowheads="1"/>
        </xdr:cNvSpPr>
      </xdr:nvSpPr>
      <xdr:spPr bwMode="auto">
        <a:xfrm>
          <a:off x="8801100" y="200025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10</xdr:row>
      <xdr:rowOff>0</xdr:rowOff>
    </xdr:from>
    <xdr:ext cx="129021" cy="217517"/>
    <xdr:sp macro="" textlink="">
      <xdr:nvSpPr>
        <xdr:cNvPr id="47" name="Rectangle 46"/>
        <xdr:cNvSpPr>
          <a:spLocks noChangeArrowheads="1"/>
        </xdr:cNvSpPr>
      </xdr:nvSpPr>
      <xdr:spPr bwMode="auto">
        <a:xfrm>
          <a:off x="8801100" y="200025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10</xdr:row>
      <xdr:rowOff>0</xdr:rowOff>
    </xdr:from>
    <xdr:ext cx="129021" cy="217517"/>
    <xdr:sp macro="" textlink="">
      <xdr:nvSpPr>
        <xdr:cNvPr id="48" name="Rectangle 8"/>
        <xdr:cNvSpPr>
          <a:spLocks noChangeArrowheads="1"/>
        </xdr:cNvSpPr>
      </xdr:nvSpPr>
      <xdr:spPr bwMode="auto">
        <a:xfrm>
          <a:off x="8801100" y="200025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10</xdr:row>
      <xdr:rowOff>0</xdr:rowOff>
    </xdr:from>
    <xdr:ext cx="129021" cy="217517"/>
    <xdr:sp macro="" textlink="">
      <xdr:nvSpPr>
        <xdr:cNvPr id="49" name="Rectangle 48"/>
        <xdr:cNvSpPr>
          <a:spLocks noChangeArrowheads="1"/>
        </xdr:cNvSpPr>
      </xdr:nvSpPr>
      <xdr:spPr bwMode="auto">
        <a:xfrm>
          <a:off x="8801100" y="200025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10</xdr:row>
      <xdr:rowOff>0</xdr:rowOff>
    </xdr:from>
    <xdr:ext cx="129021" cy="217517"/>
    <xdr:sp macro="" textlink="">
      <xdr:nvSpPr>
        <xdr:cNvPr id="50" name="Rectangle 8"/>
        <xdr:cNvSpPr>
          <a:spLocks noChangeArrowheads="1"/>
        </xdr:cNvSpPr>
      </xdr:nvSpPr>
      <xdr:spPr bwMode="auto">
        <a:xfrm>
          <a:off x="8801100" y="200025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10</xdr:row>
      <xdr:rowOff>0</xdr:rowOff>
    </xdr:from>
    <xdr:ext cx="129021" cy="217517"/>
    <xdr:sp macro="" textlink="">
      <xdr:nvSpPr>
        <xdr:cNvPr id="51" name="Rectangle 50"/>
        <xdr:cNvSpPr>
          <a:spLocks noChangeArrowheads="1"/>
        </xdr:cNvSpPr>
      </xdr:nvSpPr>
      <xdr:spPr bwMode="auto">
        <a:xfrm>
          <a:off x="8801100" y="200025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10</xdr:row>
      <xdr:rowOff>0</xdr:rowOff>
    </xdr:from>
    <xdr:ext cx="129021" cy="217517"/>
    <xdr:sp macro="" textlink="">
      <xdr:nvSpPr>
        <xdr:cNvPr id="52" name="Rectangle 8"/>
        <xdr:cNvSpPr>
          <a:spLocks noChangeArrowheads="1"/>
        </xdr:cNvSpPr>
      </xdr:nvSpPr>
      <xdr:spPr bwMode="auto">
        <a:xfrm>
          <a:off x="8801100" y="200025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11</xdr:row>
      <xdr:rowOff>0</xdr:rowOff>
    </xdr:from>
    <xdr:ext cx="129021" cy="217517"/>
    <xdr:sp macro="" textlink="">
      <xdr:nvSpPr>
        <xdr:cNvPr id="53" name="Rectangle 8"/>
        <xdr:cNvSpPr>
          <a:spLocks noChangeArrowheads="1"/>
        </xdr:cNvSpPr>
      </xdr:nvSpPr>
      <xdr:spPr bwMode="auto">
        <a:xfrm>
          <a:off x="8801100" y="2200275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11</xdr:row>
      <xdr:rowOff>0</xdr:rowOff>
    </xdr:from>
    <xdr:ext cx="129021" cy="217517"/>
    <xdr:sp macro="" textlink="">
      <xdr:nvSpPr>
        <xdr:cNvPr id="54" name="Rectangle 53"/>
        <xdr:cNvSpPr>
          <a:spLocks noChangeArrowheads="1"/>
        </xdr:cNvSpPr>
      </xdr:nvSpPr>
      <xdr:spPr bwMode="auto">
        <a:xfrm>
          <a:off x="8801100" y="2200275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11</xdr:row>
      <xdr:rowOff>0</xdr:rowOff>
    </xdr:from>
    <xdr:ext cx="129021" cy="217517"/>
    <xdr:sp macro="" textlink="">
      <xdr:nvSpPr>
        <xdr:cNvPr id="55" name="Rectangle 8"/>
        <xdr:cNvSpPr>
          <a:spLocks noChangeArrowheads="1"/>
        </xdr:cNvSpPr>
      </xdr:nvSpPr>
      <xdr:spPr bwMode="auto">
        <a:xfrm>
          <a:off x="8801100" y="2200275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10</xdr:row>
      <xdr:rowOff>0</xdr:rowOff>
    </xdr:from>
    <xdr:ext cx="129021" cy="217517"/>
    <xdr:sp macro="" textlink="">
      <xdr:nvSpPr>
        <xdr:cNvPr id="56" name="Rectangle 55"/>
        <xdr:cNvSpPr>
          <a:spLocks noChangeArrowheads="1"/>
        </xdr:cNvSpPr>
      </xdr:nvSpPr>
      <xdr:spPr bwMode="auto">
        <a:xfrm>
          <a:off x="8801100" y="200025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10</xdr:row>
      <xdr:rowOff>0</xdr:rowOff>
    </xdr:from>
    <xdr:ext cx="129021" cy="217517"/>
    <xdr:sp macro="" textlink="">
      <xdr:nvSpPr>
        <xdr:cNvPr id="57" name="Rectangle 8"/>
        <xdr:cNvSpPr>
          <a:spLocks noChangeArrowheads="1"/>
        </xdr:cNvSpPr>
      </xdr:nvSpPr>
      <xdr:spPr bwMode="auto">
        <a:xfrm>
          <a:off x="8801100" y="200025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10</xdr:row>
      <xdr:rowOff>0</xdr:rowOff>
    </xdr:from>
    <xdr:ext cx="129021" cy="217517"/>
    <xdr:sp macro="" textlink="">
      <xdr:nvSpPr>
        <xdr:cNvPr id="58" name="Rectangle 57"/>
        <xdr:cNvSpPr>
          <a:spLocks noChangeArrowheads="1"/>
        </xdr:cNvSpPr>
      </xdr:nvSpPr>
      <xdr:spPr bwMode="auto">
        <a:xfrm>
          <a:off x="8801100" y="200025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10</xdr:row>
      <xdr:rowOff>0</xdr:rowOff>
    </xdr:from>
    <xdr:ext cx="129021" cy="217517"/>
    <xdr:sp macro="" textlink="">
      <xdr:nvSpPr>
        <xdr:cNvPr id="59" name="Rectangle 8"/>
        <xdr:cNvSpPr>
          <a:spLocks noChangeArrowheads="1"/>
        </xdr:cNvSpPr>
      </xdr:nvSpPr>
      <xdr:spPr bwMode="auto">
        <a:xfrm>
          <a:off x="8801100" y="200025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11</xdr:row>
      <xdr:rowOff>0</xdr:rowOff>
    </xdr:from>
    <xdr:ext cx="129021" cy="217517"/>
    <xdr:sp macro="" textlink="">
      <xdr:nvSpPr>
        <xdr:cNvPr id="60" name="Rectangle 59"/>
        <xdr:cNvSpPr>
          <a:spLocks noChangeArrowheads="1"/>
        </xdr:cNvSpPr>
      </xdr:nvSpPr>
      <xdr:spPr bwMode="auto">
        <a:xfrm>
          <a:off x="8801100" y="2200275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11</xdr:row>
      <xdr:rowOff>0</xdr:rowOff>
    </xdr:from>
    <xdr:ext cx="129021" cy="217517"/>
    <xdr:sp macro="" textlink="">
      <xdr:nvSpPr>
        <xdr:cNvPr id="61" name="Rectangle 8"/>
        <xdr:cNvSpPr>
          <a:spLocks noChangeArrowheads="1"/>
        </xdr:cNvSpPr>
      </xdr:nvSpPr>
      <xdr:spPr bwMode="auto">
        <a:xfrm>
          <a:off x="8801100" y="2200275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11</xdr:row>
      <xdr:rowOff>0</xdr:rowOff>
    </xdr:from>
    <xdr:ext cx="129021" cy="217517"/>
    <xdr:sp macro="" textlink="">
      <xdr:nvSpPr>
        <xdr:cNvPr id="62" name="Rectangle 61"/>
        <xdr:cNvSpPr>
          <a:spLocks noChangeArrowheads="1"/>
        </xdr:cNvSpPr>
      </xdr:nvSpPr>
      <xdr:spPr bwMode="auto">
        <a:xfrm>
          <a:off x="8801100" y="2200275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11</xdr:row>
      <xdr:rowOff>0</xdr:rowOff>
    </xdr:from>
    <xdr:ext cx="129021" cy="217517"/>
    <xdr:sp macro="" textlink="">
      <xdr:nvSpPr>
        <xdr:cNvPr id="63" name="Rectangle 8"/>
        <xdr:cNvSpPr>
          <a:spLocks noChangeArrowheads="1"/>
        </xdr:cNvSpPr>
      </xdr:nvSpPr>
      <xdr:spPr bwMode="auto">
        <a:xfrm>
          <a:off x="8801100" y="2200275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11</xdr:row>
      <xdr:rowOff>0</xdr:rowOff>
    </xdr:from>
    <xdr:ext cx="129021" cy="217517"/>
    <xdr:sp macro="" textlink="">
      <xdr:nvSpPr>
        <xdr:cNvPr id="64" name="Rectangle 63"/>
        <xdr:cNvSpPr>
          <a:spLocks noChangeArrowheads="1"/>
        </xdr:cNvSpPr>
      </xdr:nvSpPr>
      <xdr:spPr bwMode="auto">
        <a:xfrm>
          <a:off x="8801100" y="2200275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11</xdr:row>
      <xdr:rowOff>0</xdr:rowOff>
    </xdr:from>
    <xdr:ext cx="129021" cy="217517"/>
    <xdr:sp macro="" textlink="">
      <xdr:nvSpPr>
        <xdr:cNvPr id="65" name="Rectangle 8"/>
        <xdr:cNvSpPr>
          <a:spLocks noChangeArrowheads="1"/>
        </xdr:cNvSpPr>
      </xdr:nvSpPr>
      <xdr:spPr bwMode="auto">
        <a:xfrm>
          <a:off x="8801100" y="2200275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11</xdr:row>
      <xdr:rowOff>0</xdr:rowOff>
    </xdr:from>
    <xdr:ext cx="129021" cy="217517"/>
    <xdr:sp macro="" textlink="">
      <xdr:nvSpPr>
        <xdr:cNvPr id="66" name="Rectangle 65"/>
        <xdr:cNvSpPr>
          <a:spLocks noChangeArrowheads="1"/>
        </xdr:cNvSpPr>
      </xdr:nvSpPr>
      <xdr:spPr bwMode="auto">
        <a:xfrm>
          <a:off x="8801100" y="2200275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11</xdr:row>
      <xdr:rowOff>0</xdr:rowOff>
    </xdr:from>
    <xdr:ext cx="129021" cy="217517"/>
    <xdr:sp macro="" textlink="">
      <xdr:nvSpPr>
        <xdr:cNvPr id="67" name="Rectangle 8"/>
        <xdr:cNvSpPr>
          <a:spLocks noChangeArrowheads="1"/>
        </xdr:cNvSpPr>
      </xdr:nvSpPr>
      <xdr:spPr bwMode="auto">
        <a:xfrm>
          <a:off x="8801100" y="2200275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9</xdr:row>
      <xdr:rowOff>0</xdr:rowOff>
    </xdr:from>
    <xdr:ext cx="129021" cy="217517"/>
    <xdr:sp macro="" textlink="">
      <xdr:nvSpPr>
        <xdr:cNvPr id="68" name="Rectangle 8"/>
        <xdr:cNvSpPr>
          <a:spLocks noChangeArrowheads="1"/>
        </xdr:cNvSpPr>
      </xdr:nvSpPr>
      <xdr:spPr bwMode="auto">
        <a:xfrm>
          <a:off x="8801100" y="1800225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10</xdr:row>
      <xdr:rowOff>0</xdr:rowOff>
    </xdr:from>
    <xdr:ext cx="129021" cy="217517"/>
    <xdr:sp macro="" textlink="">
      <xdr:nvSpPr>
        <xdr:cNvPr id="69" name="Rectangle 68"/>
        <xdr:cNvSpPr>
          <a:spLocks noChangeArrowheads="1"/>
        </xdr:cNvSpPr>
      </xdr:nvSpPr>
      <xdr:spPr bwMode="auto">
        <a:xfrm>
          <a:off x="8801100" y="200025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10</xdr:row>
      <xdr:rowOff>0</xdr:rowOff>
    </xdr:from>
    <xdr:ext cx="129021" cy="217517"/>
    <xdr:sp macro="" textlink="">
      <xdr:nvSpPr>
        <xdr:cNvPr id="70" name="Rectangle 8"/>
        <xdr:cNvSpPr>
          <a:spLocks noChangeArrowheads="1"/>
        </xdr:cNvSpPr>
      </xdr:nvSpPr>
      <xdr:spPr bwMode="auto">
        <a:xfrm>
          <a:off x="8801100" y="200025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9</xdr:row>
      <xdr:rowOff>0</xdr:rowOff>
    </xdr:from>
    <xdr:ext cx="129021" cy="217517"/>
    <xdr:sp macro="" textlink="">
      <xdr:nvSpPr>
        <xdr:cNvPr id="71" name="Rectangle 70"/>
        <xdr:cNvSpPr>
          <a:spLocks noChangeArrowheads="1"/>
        </xdr:cNvSpPr>
      </xdr:nvSpPr>
      <xdr:spPr bwMode="auto">
        <a:xfrm>
          <a:off x="8801100" y="1800225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9</xdr:row>
      <xdr:rowOff>0</xdr:rowOff>
    </xdr:from>
    <xdr:ext cx="129021" cy="217517"/>
    <xdr:sp macro="" textlink="">
      <xdr:nvSpPr>
        <xdr:cNvPr id="72" name="Rectangle 8"/>
        <xdr:cNvSpPr>
          <a:spLocks noChangeArrowheads="1"/>
        </xdr:cNvSpPr>
      </xdr:nvSpPr>
      <xdr:spPr bwMode="auto">
        <a:xfrm>
          <a:off x="8801100" y="1800225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9</xdr:row>
      <xdr:rowOff>0</xdr:rowOff>
    </xdr:from>
    <xdr:ext cx="129021" cy="217517"/>
    <xdr:sp macro="" textlink="">
      <xdr:nvSpPr>
        <xdr:cNvPr id="73" name="Rectangle 8"/>
        <xdr:cNvSpPr>
          <a:spLocks noChangeArrowheads="1"/>
        </xdr:cNvSpPr>
      </xdr:nvSpPr>
      <xdr:spPr bwMode="auto">
        <a:xfrm>
          <a:off x="8801100" y="1800225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9</xdr:row>
      <xdr:rowOff>0</xdr:rowOff>
    </xdr:from>
    <xdr:ext cx="129021" cy="217517"/>
    <xdr:sp macro="" textlink="">
      <xdr:nvSpPr>
        <xdr:cNvPr id="74" name="Rectangle 8"/>
        <xdr:cNvSpPr>
          <a:spLocks noChangeArrowheads="1"/>
        </xdr:cNvSpPr>
      </xdr:nvSpPr>
      <xdr:spPr bwMode="auto">
        <a:xfrm>
          <a:off x="8801100" y="1800225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10</xdr:row>
      <xdr:rowOff>0</xdr:rowOff>
    </xdr:from>
    <xdr:ext cx="129021" cy="217517"/>
    <xdr:sp macro="" textlink="">
      <xdr:nvSpPr>
        <xdr:cNvPr id="75" name="Rectangle 74"/>
        <xdr:cNvSpPr>
          <a:spLocks noChangeArrowheads="1"/>
        </xdr:cNvSpPr>
      </xdr:nvSpPr>
      <xdr:spPr bwMode="auto">
        <a:xfrm>
          <a:off x="8801100" y="200025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</xdr:col>
      <xdr:colOff>0</xdr:colOff>
      <xdr:row>10</xdr:row>
      <xdr:rowOff>0</xdr:rowOff>
    </xdr:from>
    <xdr:ext cx="129021" cy="217517"/>
    <xdr:sp macro="" textlink="">
      <xdr:nvSpPr>
        <xdr:cNvPr id="76" name="Rectangle 8"/>
        <xdr:cNvSpPr>
          <a:spLocks noChangeArrowheads="1"/>
        </xdr:cNvSpPr>
      </xdr:nvSpPr>
      <xdr:spPr bwMode="auto">
        <a:xfrm>
          <a:off x="8801100" y="2000250"/>
          <a:ext cx="129021" cy="2175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</xdr:wsDr>
</file>

<file path=xl/tables/table1.xml><?xml version="1.0" encoding="utf-8"?>
<table xmlns="http://schemas.openxmlformats.org/spreadsheetml/2006/main" id="1" name="Table2" displayName="Table2" ref="A1:Q853" totalsRowShown="0" headerRowDxfId="18" dataDxfId="17" dataCellStyle="Normal">
  <sortState ref="A2:Q853">
    <sortCondition ref="B2:B853"/>
  </sortState>
  <tableColumns count="17">
    <tableColumn id="15" name="PRIORITY" dataDxfId="16" dataCellStyle="Normal"/>
    <tableColumn id="1" name="COMPANY" dataDxfId="15" dataCellStyle="Normal"/>
    <tableColumn id="2" name="LEGAL LOCATION NAME" dataDxfId="14" dataCellStyle="Normal"/>
    <tableColumn id="3" name="ADDRESS" dataDxfId="13" dataCellStyle="Normal"/>
    <tableColumn id="4" name="CITY" dataDxfId="12" dataCellStyle="Normal"/>
    <tableColumn id="5" name="SERVICE REGION" dataDxfId="11" dataCellStyle="Normal"/>
    <tableColumn id="6" name="VGT #1" dataDxfId="10" dataCellStyle="Normal"/>
    <tableColumn id="7" name="VGT #2" dataDxfId="9" dataCellStyle="Normal"/>
    <tableColumn id="8" name="VGT #3" dataDxfId="8" dataCellStyle="Normal"/>
    <tableColumn id="9" name="VGT #4" dataDxfId="7" dataCellStyle="Normal"/>
    <tableColumn id="10" name="VGT #5" dataDxfId="6" dataCellStyle="Normal"/>
    <tableColumn id="11" name="RT" dataDxfId="5" dataCellStyle="Normal"/>
    <tableColumn id="12" name="GAMING LICENSE #" dataDxfId="4" dataCellStyle="Normal"/>
    <tableColumn id="13" name="RM" dataDxfId="3" dataCellStyle="Normal"/>
    <tableColumn id="17" name="ATM TERMINAL ID" dataDxfId="2"/>
    <tableColumn id="16" name="PHONE NUMBER" dataDxfId="1"/>
    <tableColumn id="14" name="VGT LIVE DATE" dataDxfId="0" dataCellStyle="Normal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18" Type="http://schemas.openxmlformats.org/officeDocument/2006/relationships/control" Target="../activeX/activeX10.xml"/><Relationship Id="rId26" Type="http://schemas.openxmlformats.org/officeDocument/2006/relationships/ctrlProp" Target="../ctrlProps/ctrlProp7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7.xml"/><Relationship Id="rId17" Type="http://schemas.openxmlformats.org/officeDocument/2006/relationships/image" Target="../media/image5.emf"/><Relationship Id="rId25" Type="http://schemas.openxmlformats.org/officeDocument/2006/relationships/ctrlProp" Target="../ctrlProps/ctrlProp6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9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6.xml"/><Relationship Id="rId24" Type="http://schemas.openxmlformats.org/officeDocument/2006/relationships/ctrlProp" Target="../ctrlProps/ctrlProp5.xml"/><Relationship Id="rId5" Type="http://schemas.openxmlformats.org/officeDocument/2006/relationships/image" Target="../media/image1.emf"/><Relationship Id="rId15" Type="http://schemas.openxmlformats.org/officeDocument/2006/relationships/image" Target="../media/image4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5.xml"/><Relationship Id="rId19" Type="http://schemas.openxmlformats.org/officeDocument/2006/relationships/image" Target="../media/image6.emf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8.xml"/><Relationship Id="rId22" Type="http://schemas.openxmlformats.org/officeDocument/2006/relationships/ctrlProp" Target="../ctrlProps/ctrlProp3.xml"/><Relationship Id="rId27" Type="http://schemas.openxmlformats.org/officeDocument/2006/relationships/ctrlProp" Target="../ctrlProps/ctrlProp8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image" Target="../media/image8.emf"/><Relationship Id="rId4" Type="http://schemas.openxmlformats.org/officeDocument/2006/relationships/control" Target="../activeX/activeX11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XAW4293"/>
  <sheetViews>
    <sheetView tabSelected="1" zoomScale="80" zoomScaleNormal="80" workbookViewId="0">
      <pane ySplit="1" topLeftCell="A2" activePane="bottomLeft" state="frozen"/>
      <selection pane="bottomLeft" activeCell="A2" sqref="A2"/>
    </sheetView>
  </sheetViews>
  <sheetFormatPr defaultColWidth="9.140625" defaultRowHeight="15.75" customHeight="1"/>
  <cols>
    <col min="1" max="1" width="37.85546875" style="1" customWidth="1"/>
    <col min="2" max="2" width="48.85546875" style="1" customWidth="1"/>
    <col min="3" max="3" width="27.28515625" style="2" customWidth="1"/>
    <col min="4" max="4" width="20.85546875" style="1" customWidth="1"/>
    <col min="5" max="5" width="41.5703125" style="110" bestFit="1" customWidth="1"/>
    <col min="6" max="6" width="58.7109375" style="40" customWidth="1"/>
    <col min="7" max="7" width="36" style="40" customWidth="1"/>
    <col min="8" max="9" width="32.7109375" style="40" customWidth="1"/>
    <col min="10" max="11" width="15.28515625" style="40" customWidth="1"/>
    <col min="12" max="12" width="17.85546875" style="42" customWidth="1"/>
    <col min="13" max="13" width="15.28515625" style="43" customWidth="1"/>
    <col min="14" max="14" width="15.85546875" style="43" customWidth="1"/>
    <col min="15" max="19" width="15.7109375" style="5" customWidth="1"/>
    <col min="20" max="20" width="19" style="43" customWidth="1"/>
    <col min="21" max="21" width="11.7109375" style="43" customWidth="1"/>
    <col min="22" max="26" width="9.140625" style="5" customWidth="1"/>
    <col min="27" max="28" width="9.140625" style="43" hidden="1" customWidth="1"/>
    <col min="29" max="30" width="9.140625" style="43" customWidth="1"/>
    <col min="31" max="31" width="9.140625" style="5" customWidth="1"/>
    <col min="32" max="32" width="19.140625" style="61" customWidth="1"/>
    <col min="33" max="33" width="23.28515625" style="61" customWidth="1"/>
    <col min="34" max="34" width="8.85546875" customWidth="1"/>
    <col min="35" max="16384" width="9.140625" style="5"/>
  </cols>
  <sheetData>
    <row r="1" spans="1:33" customFormat="1" ht="15.95" hidden="1" customHeight="1">
      <c r="A1" s="1"/>
      <c r="B1" s="1"/>
      <c r="C1" s="2"/>
      <c r="D1" s="1"/>
      <c r="E1" s="102"/>
      <c r="F1" s="36"/>
      <c r="G1" s="37"/>
      <c r="H1" s="37"/>
      <c r="I1" s="37"/>
      <c r="J1" s="38"/>
      <c r="K1" s="38"/>
      <c r="L1" s="39"/>
      <c r="M1" s="39"/>
      <c r="N1" s="39"/>
      <c r="O1" s="42"/>
      <c r="P1" s="42"/>
      <c r="Q1" s="42"/>
      <c r="R1" s="42"/>
      <c r="S1" s="42"/>
      <c r="T1" s="36"/>
      <c r="U1" s="36"/>
      <c r="AA1" s="36"/>
      <c r="AB1" s="36"/>
      <c r="AC1" s="36"/>
      <c r="AD1" s="36"/>
      <c r="AF1" s="60" t="s">
        <v>6526</v>
      </c>
      <c r="AG1" s="60" t="s">
        <v>6525</v>
      </c>
    </row>
    <row r="2" spans="1:33" customFormat="1" ht="15.95" customHeight="1" thickBot="1">
      <c r="A2" s="1"/>
      <c r="B2" s="1"/>
      <c r="C2" s="2"/>
      <c r="D2" s="1"/>
      <c r="E2" s="103"/>
      <c r="F2" s="40"/>
      <c r="G2" s="40"/>
      <c r="H2" s="40"/>
      <c r="I2" s="40"/>
      <c r="J2" s="41"/>
      <c r="K2" s="41"/>
      <c r="L2" s="39"/>
      <c r="M2" s="39"/>
      <c r="N2" s="39"/>
      <c r="O2" s="43"/>
      <c r="P2" s="43"/>
      <c r="Q2" s="43"/>
      <c r="R2" s="43"/>
      <c r="S2" s="43"/>
      <c r="T2" s="36"/>
      <c r="U2" s="36"/>
      <c r="AA2" s="36" t="s">
        <v>564</v>
      </c>
      <c r="AB2" s="36" t="s">
        <v>6854</v>
      </c>
      <c r="AC2" s="36"/>
      <c r="AD2" s="36"/>
      <c r="AF2" s="60"/>
      <c r="AG2" s="60"/>
    </row>
    <row r="3" spans="1:33" ht="15.95" customHeight="1">
      <c r="A3" s="191" t="s">
        <v>6915</v>
      </c>
      <c r="B3" s="192"/>
      <c r="C3" s="192"/>
      <c r="D3" s="193"/>
      <c r="E3" s="104"/>
      <c r="J3" s="41"/>
      <c r="K3" s="42"/>
      <c r="M3" s="42"/>
      <c r="N3" s="42"/>
      <c r="O3" s="43"/>
      <c r="P3" s="43"/>
      <c r="Q3" s="43"/>
      <c r="R3" s="43"/>
      <c r="S3" s="43"/>
      <c r="AA3" s="36" t="s">
        <v>564</v>
      </c>
      <c r="AB3" s="36" t="s">
        <v>7298</v>
      </c>
    </row>
    <row r="4" spans="1:33" ht="15.95" customHeight="1" thickBot="1">
      <c r="A4" s="194"/>
      <c r="B4" s="195"/>
      <c r="C4" s="195"/>
      <c r="D4" s="196"/>
      <c r="E4" s="104"/>
      <c r="J4" s="41"/>
      <c r="K4" s="41"/>
      <c r="M4" s="42"/>
      <c r="N4" s="42"/>
      <c r="O4" s="43"/>
      <c r="P4" s="43"/>
      <c r="Q4" s="43"/>
      <c r="R4" s="43"/>
      <c r="S4" s="43"/>
      <c r="AA4" s="43" t="s">
        <v>564</v>
      </c>
      <c r="AB4" s="43" t="s">
        <v>6855</v>
      </c>
    </row>
    <row r="5" spans="1:33" ht="15.95" customHeight="1" thickBot="1">
      <c r="A5" s="149"/>
      <c r="B5" s="150"/>
      <c r="C5" s="150"/>
      <c r="D5" s="150"/>
      <c r="E5" s="104"/>
      <c r="J5" s="41"/>
      <c r="K5" s="41"/>
      <c r="M5" s="42"/>
      <c r="N5" s="42"/>
      <c r="O5" s="42"/>
      <c r="P5" s="42"/>
      <c r="Q5" s="43"/>
      <c r="R5" s="43"/>
      <c r="S5" s="43"/>
      <c r="AA5" s="36" t="s">
        <v>564</v>
      </c>
      <c r="AB5" s="43" t="s">
        <v>6856</v>
      </c>
    </row>
    <row r="6" spans="1:33" ht="15.95" customHeight="1">
      <c r="A6" s="151" t="s">
        <v>66</v>
      </c>
      <c r="B6" s="153" t="s">
        <v>873</v>
      </c>
      <c r="C6" s="153"/>
      <c r="D6" s="154"/>
      <c r="E6" s="104"/>
      <c r="J6" s="41"/>
      <c r="K6" s="41"/>
      <c r="M6" s="42"/>
      <c r="N6" s="42"/>
      <c r="O6" s="43"/>
      <c r="P6" s="43"/>
      <c r="Q6" s="43"/>
      <c r="R6" s="43"/>
      <c r="S6" s="43"/>
      <c r="AA6" s="43" t="s">
        <v>564</v>
      </c>
      <c r="AB6" s="43" t="s">
        <v>6857</v>
      </c>
    </row>
    <row r="7" spans="1:33" ht="15.95" customHeight="1" thickBot="1">
      <c r="A7" s="152"/>
      <c r="B7" s="155"/>
      <c r="C7" s="155"/>
      <c r="D7" s="156"/>
      <c r="E7" s="105"/>
      <c r="J7" s="41"/>
      <c r="K7" s="41"/>
      <c r="M7" s="42"/>
      <c r="N7" s="42"/>
      <c r="O7" s="43"/>
      <c r="P7" s="42"/>
      <c r="Q7" s="43"/>
      <c r="R7" s="43"/>
      <c r="S7" s="43"/>
      <c r="AA7" s="36" t="s">
        <v>564</v>
      </c>
      <c r="AB7" s="43" t="s">
        <v>6858</v>
      </c>
    </row>
    <row r="8" spans="1:33" ht="15.95" customHeight="1" thickBot="1">
      <c r="A8" s="135" t="s">
        <v>6922</v>
      </c>
      <c r="B8" s="165" t="e">
        <f>IF("ComboBox1"="","",VLOOKUP(($B$6),Test!$F$2:$V$1301,17,FALSE))</f>
        <v>#N/A</v>
      </c>
      <c r="C8" s="166"/>
      <c r="D8" s="167"/>
      <c r="E8" s="106"/>
      <c r="J8" s="41"/>
      <c r="K8" s="41"/>
      <c r="M8" s="42"/>
      <c r="N8" s="42"/>
      <c r="O8" s="43"/>
      <c r="P8" s="43"/>
      <c r="Q8" s="43"/>
      <c r="R8" s="43"/>
      <c r="S8" s="43"/>
      <c r="AA8" s="43" t="s">
        <v>564</v>
      </c>
      <c r="AB8" s="43" t="s">
        <v>6859</v>
      </c>
    </row>
    <row r="9" spans="1:33" ht="15.95" customHeight="1">
      <c r="A9" s="157" t="s">
        <v>6477</v>
      </c>
      <c r="B9" s="159" t="e">
        <f>IF("ComboBox1"="","",VLOOKUP(($B$6),Test!$F$2:$U$1301,3,FALSE))</f>
        <v>#N/A</v>
      </c>
      <c r="C9" s="160"/>
      <c r="D9" s="161"/>
      <c r="E9" s="106"/>
      <c r="J9" s="41"/>
      <c r="K9" s="41"/>
      <c r="M9" s="42"/>
      <c r="N9" s="42"/>
      <c r="O9" s="43"/>
      <c r="P9" s="42"/>
      <c r="Q9" s="43"/>
      <c r="R9" s="43"/>
      <c r="S9" s="43"/>
      <c r="AA9" s="36" t="s">
        <v>564</v>
      </c>
      <c r="AB9" s="43" t="s">
        <v>6860</v>
      </c>
    </row>
    <row r="10" spans="1:33" ht="18" customHeight="1" thickBot="1">
      <c r="A10" s="158"/>
      <c r="B10" s="162"/>
      <c r="C10" s="163"/>
      <c r="D10" s="164"/>
      <c r="E10" s="107"/>
      <c r="J10" s="41"/>
      <c r="K10" s="41"/>
      <c r="M10" s="42"/>
      <c r="N10" s="42"/>
      <c r="O10" s="43"/>
      <c r="P10" s="43"/>
      <c r="Q10" s="43"/>
      <c r="R10" s="43"/>
      <c r="S10" s="43"/>
      <c r="AA10" s="43" t="s">
        <v>564</v>
      </c>
      <c r="AB10" s="43" t="s">
        <v>6861</v>
      </c>
    </row>
    <row r="11" spans="1:33" ht="18" customHeight="1">
      <c r="A11" s="202" t="e">
        <f>IF("ComboBox1"="","",VLOOKUP(($B$6),Test!$F$2:$U$1301,16,FALSE))</f>
        <v>#N/A</v>
      </c>
      <c r="B11" s="202"/>
      <c r="C11" s="202"/>
      <c r="D11" s="203"/>
      <c r="E11" s="107"/>
      <c r="J11" s="41"/>
      <c r="K11" s="41"/>
      <c r="M11" s="42"/>
      <c r="N11" s="42"/>
      <c r="O11" s="42"/>
      <c r="P11" s="42"/>
      <c r="Q11" s="43"/>
      <c r="R11" s="43"/>
      <c r="S11" s="43"/>
      <c r="AA11" s="36" t="s">
        <v>564</v>
      </c>
      <c r="AB11" s="43" t="s">
        <v>7236</v>
      </c>
    </row>
    <row r="12" spans="1:33" ht="18" customHeight="1" thickBot="1">
      <c r="A12" s="98"/>
      <c r="B12" s="99"/>
      <c r="C12" s="100"/>
      <c r="D12" s="7"/>
      <c r="E12" s="107"/>
      <c r="J12" s="41"/>
      <c r="K12" s="42"/>
      <c r="M12" s="42"/>
      <c r="O12" s="43"/>
      <c r="P12" s="43"/>
      <c r="Q12" s="43"/>
      <c r="R12" s="43"/>
      <c r="S12" s="43"/>
      <c r="AA12" s="43" t="s">
        <v>564</v>
      </c>
      <c r="AB12" s="43" t="s">
        <v>6862</v>
      </c>
    </row>
    <row r="13" spans="1:33" ht="18" customHeight="1" thickBot="1">
      <c r="A13" s="70" t="s">
        <v>6484</v>
      </c>
      <c r="B13" s="70" t="s">
        <v>6503</v>
      </c>
      <c r="C13" s="70" t="s">
        <v>821</v>
      </c>
      <c r="D13" s="70" t="s">
        <v>6846</v>
      </c>
      <c r="E13" s="107"/>
      <c r="H13" s="43"/>
      <c r="I13" s="43"/>
      <c r="J13" s="41"/>
      <c r="K13" s="41"/>
      <c r="M13" s="42"/>
      <c r="N13" s="42"/>
      <c r="O13" s="43"/>
      <c r="P13" s="43"/>
      <c r="Q13" s="43"/>
      <c r="R13" s="43"/>
      <c r="S13" s="43"/>
      <c r="AA13" s="36" t="s">
        <v>564</v>
      </c>
      <c r="AB13" s="43" t="s">
        <v>6863</v>
      </c>
    </row>
    <row r="14" spans="1:33" ht="18" customHeight="1">
      <c r="A14" s="269" t="str">
        <f>Test!J1</f>
        <v>VGT #1</v>
      </c>
      <c r="B14" s="270" t="e">
        <f>IF("ComboBox1"="","",VLOOKUP(($B$6),Test!$F$2:$U$1301,5,FALSE))</f>
        <v>#N/A</v>
      </c>
      <c r="C14" s="270" t="e">
        <f>VLOOKUP(B14,Test!AF2:AG7500,2,FALSE)</f>
        <v>#N/A</v>
      </c>
      <c r="D14" s="78" t="e">
        <f>IF("ComboBox1"="","",VLOOKUP(($B$6),Test!$F$2:$U$1301,15,FALSE))</f>
        <v>#N/A</v>
      </c>
      <c r="E14" s="106"/>
      <c r="H14" s="43"/>
      <c r="I14" s="43"/>
      <c r="J14" s="41"/>
      <c r="K14" s="41"/>
      <c r="M14" s="42"/>
      <c r="N14" s="42"/>
      <c r="O14" s="43"/>
      <c r="P14" s="43"/>
      <c r="Q14" s="43"/>
      <c r="R14" s="43"/>
      <c r="S14" s="43"/>
      <c r="AA14" s="43" t="s">
        <v>564</v>
      </c>
      <c r="AB14" s="43" t="s">
        <v>6864</v>
      </c>
    </row>
    <row r="15" spans="1:33" ht="18" customHeight="1">
      <c r="A15" s="71" t="str">
        <f>Test!K1</f>
        <v>VGT #2</v>
      </c>
      <c r="B15" s="101" t="e">
        <f>IF("ComboBox1"="","",VLOOKUP(($B$6),Test!$F$2:$U$1301,6,FALSE))</f>
        <v>#N/A</v>
      </c>
      <c r="C15" s="101" t="e">
        <f>VLOOKUP(B15,Test!AF3:AG7500,2,FALSE)</f>
        <v>#N/A</v>
      </c>
      <c r="D15" s="82"/>
      <c r="E15" s="106"/>
      <c r="J15" s="41"/>
      <c r="K15" s="41"/>
      <c r="M15" s="42"/>
      <c r="N15" s="42"/>
      <c r="O15" s="43"/>
      <c r="P15" s="43"/>
      <c r="Q15" s="43"/>
      <c r="R15" s="43"/>
      <c r="S15" s="43"/>
      <c r="AA15" s="36" t="s">
        <v>564</v>
      </c>
      <c r="AB15" s="43" t="s">
        <v>6865</v>
      </c>
    </row>
    <row r="16" spans="1:33" ht="18" customHeight="1">
      <c r="A16" s="71" t="str">
        <f>Test!L1</f>
        <v>VGT #3</v>
      </c>
      <c r="B16" s="72" t="e">
        <f>IF("ComboBox1"="","",VLOOKUP(($B$6),Test!$F$2:$U$1301,7,FALSE))</f>
        <v>#N/A</v>
      </c>
      <c r="C16" s="72" t="e">
        <f>VLOOKUP(B16,Test!AF4:AG7500,2,FALSE)</f>
        <v>#N/A</v>
      </c>
      <c r="D16" s="79"/>
      <c r="E16" s="106"/>
      <c r="J16" s="41"/>
      <c r="K16" s="41"/>
      <c r="M16" s="42"/>
      <c r="N16" s="42"/>
      <c r="O16" s="43"/>
      <c r="P16" s="43"/>
      <c r="Q16" s="43"/>
      <c r="R16" s="43"/>
      <c r="S16" s="43"/>
      <c r="AA16" s="43" t="s">
        <v>564</v>
      </c>
      <c r="AB16" s="43" t="s">
        <v>6866</v>
      </c>
    </row>
    <row r="17" spans="1:16273" ht="18" customHeight="1">
      <c r="A17" s="71" t="str">
        <f>Test!M1</f>
        <v>VGT #4</v>
      </c>
      <c r="B17" s="72" t="e">
        <f>IF("ComboBox1"="","",VLOOKUP(($B$6),Test!$F$2:$U$1301,8,FALSE))</f>
        <v>#N/A</v>
      </c>
      <c r="C17" s="72" t="e">
        <f>VLOOKUP(B17,Test!AF5:AG7500,2,FALSE)</f>
        <v>#N/A</v>
      </c>
      <c r="D17" s="80"/>
      <c r="E17" s="106"/>
      <c r="J17" s="41"/>
      <c r="K17" s="41"/>
      <c r="M17" s="42"/>
      <c r="N17" s="42"/>
      <c r="O17" s="43"/>
      <c r="P17" s="43"/>
      <c r="Q17" s="43"/>
      <c r="R17" s="43"/>
      <c r="S17" s="43"/>
      <c r="V17"/>
      <c r="W17"/>
      <c r="X17"/>
      <c r="Y17"/>
      <c r="Z17"/>
      <c r="AA17" s="43" t="s">
        <v>643</v>
      </c>
      <c r="AB17" s="43" t="s">
        <v>6867</v>
      </c>
      <c r="AC17" s="36"/>
      <c r="AD17" s="36"/>
      <c r="AE17"/>
      <c r="AF17" s="60"/>
      <c r="AG17" s="60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  <c r="AJY17"/>
      <c r="AJZ17"/>
      <c r="AKA17"/>
      <c r="AKB17"/>
      <c r="AKC17"/>
      <c r="AKD17"/>
      <c r="AKE17"/>
      <c r="AKF17"/>
      <c r="AKG17"/>
      <c r="AKH17"/>
      <c r="AKI17"/>
      <c r="AKJ17"/>
      <c r="AKK17"/>
      <c r="AKL17"/>
      <c r="AKM17"/>
      <c r="AKN17"/>
      <c r="AKO17"/>
      <c r="AKP17"/>
      <c r="AKQ17"/>
      <c r="AKR17"/>
      <c r="AKS17"/>
      <c r="AKT17"/>
      <c r="AKU17"/>
      <c r="AKV17"/>
      <c r="AKW17"/>
      <c r="AKX17"/>
      <c r="AKY17"/>
      <c r="AKZ17"/>
      <c r="ALA17"/>
      <c r="ALB17"/>
      <c r="ALC17"/>
      <c r="ALD17"/>
      <c r="ALE17"/>
      <c r="ALF17"/>
      <c r="ALG17"/>
      <c r="ALH17"/>
      <c r="ALI17"/>
      <c r="ALJ17"/>
      <c r="ALK17"/>
      <c r="ALL17"/>
      <c r="ALM17"/>
      <c r="ALN17"/>
      <c r="ALO17"/>
      <c r="ALP17"/>
      <c r="ALQ17"/>
      <c r="ALR17"/>
      <c r="ALS17"/>
      <c r="ALT17"/>
      <c r="ALU17"/>
      <c r="ALV17"/>
      <c r="ALW17"/>
      <c r="ALX17"/>
      <c r="ALY17"/>
      <c r="ALZ17"/>
      <c r="AMA17"/>
      <c r="AMB17"/>
      <c r="AMC17"/>
      <c r="AMD17"/>
      <c r="AME17"/>
      <c r="AMF17"/>
      <c r="AMG17"/>
      <c r="AMH17"/>
      <c r="AMI17"/>
      <c r="AMJ17"/>
      <c r="AMK17"/>
      <c r="AML17"/>
      <c r="AMM17"/>
      <c r="AMN17"/>
      <c r="AMO17"/>
      <c r="AMP17"/>
      <c r="AMQ17"/>
      <c r="AMR17"/>
      <c r="AMS17"/>
      <c r="AMT17"/>
      <c r="AMU17"/>
      <c r="AMV17"/>
      <c r="AMW17"/>
      <c r="AMX17"/>
      <c r="AMY17"/>
      <c r="AMZ17"/>
      <c r="ANA17"/>
      <c r="ANB17"/>
      <c r="ANC17"/>
      <c r="AND17"/>
      <c r="ANE17"/>
      <c r="ANF17"/>
      <c r="ANG17"/>
      <c r="ANH17"/>
      <c r="ANI17"/>
      <c r="ANJ17"/>
      <c r="ANK17"/>
      <c r="ANL17"/>
      <c r="ANM17"/>
      <c r="ANN17"/>
      <c r="ANO17"/>
      <c r="ANP17"/>
      <c r="ANQ17"/>
      <c r="ANR17"/>
      <c r="ANS17"/>
      <c r="ANT17"/>
      <c r="ANU17"/>
      <c r="ANV17"/>
      <c r="ANW17"/>
      <c r="ANX17"/>
      <c r="ANY17"/>
      <c r="ANZ17"/>
      <c r="AOA17"/>
      <c r="AOB17"/>
      <c r="AOC17"/>
      <c r="AOD17"/>
      <c r="AOE17"/>
      <c r="AOF17"/>
      <c r="AOG17"/>
      <c r="AOH17"/>
      <c r="AOI17"/>
      <c r="AOJ17"/>
      <c r="AOK17"/>
      <c r="AOL17"/>
      <c r="AOM17"/>
      <c r="AON17"/>
      <c r="AOO17"/>
      <c r="AOP17"/>
      <c r="AOQ17"/>
      <c r="AOR17"/>
      <c r="AOS17"/>
      <c r="AOT17"/>
      <c r="AOU17"/>
      <c r="AOV17"/>
      <c r="AOW17"/>
      <c r="AOX17"/>
      <c r="AOY17"/>
      <c r="AOZ17"/>
      <c r="APA17"/>
      <c r="APB17"/>
      <c r="APC17"/>
      <c r="APD17"/>
      <c r="APE17"/>
      <c r="APF17"/>
      <c r="APG17"/>
      <c r="APH17"/>
      <c r="API17"/>
      <c r="APJ17"/>
      <c r="APK17"/>
      <c r="APL17"/>
      <c r="APM17"/>
      <c r="APN17"/>
      <c r="APO17"/>
      <c r="APP17"/>
      <c r="APQ17"/>
      <c r="APR17"/>
      <c r="APS17"/>
      <c r="APT17"/>
      <c r="APU17"/>
      <c r="APV17"/>
      <c r="APW17"/>
      <c r="APX17"/>
      <c r="APY17"/>
      <c r="APZ17"/>
      <c r="AQA17"/>
      <c r="AQB17"/>
      <c r="AQC17"/>
      <c r="AQD17"/>
      <c r="AQE17"/>
      <c r="AQF17"/>
      <c r="AQG17"/>
      <c r="AQH17"/>
      <c r="AQI17"/>
      <c r="AQJ17"/>
      <c r="AQK17"/>
      <c r="AQL17"/>
      <c r="AQM17"/>
      <c r="AQN17"/>
      <c r="AQO17"/>
      <c r="AQP17"/>
      <c r="AQQ17"/>
      <c r="AQR17"/>
      <c r="AQS17"/>
      <c r="AQT17"/>
      <c r="AQU17"/>
      <c r="AQV17"/>
      <c r="AQW17"/>
      <c r="AQX17"/>
      <c r="AQY17"/>
      <c r="AQZ17"/>
      <c r="ARA17"/>
      <c r="ARB17"/>
      <c r="ARC17"/>
      <c r="ARD17"/>
      <c r="ARE17"/>
      <c r="ARF17"/>
      <c r="ARG17"/>
      <c r="ARH17"/>
      <c r="ARI17"/>
      <c r="ARJ17"/>
      <c r="ARK17"/>
      <c r="ARL17"/>
      <c r="ARM17"/>
      <c r="ARN17"/>
      <c r="ARO17"/>
      <c r="ARP17"/>
      <c r="ARQ17"/>
      <c r="ARR17"/>
      <c r="ARS17"/>
      <c r="ART17"/>
      <c r="ARU17"/>
      <c r="ARV17"/>
      <c r="ARW17"/>
      <c r="ARX17"/>
      <c r="ARY17"/>
      <c r="ARZ17"/>
      <c r="ASA17"/>
      <c r="ASB17"/>
      <c r="ASC17"/>
      <c r="ASD17"/>
      <c r="ASE17"/>
      <c r="ASF17"/>
      <c r="ASG17"/>
      <c r="ASH17"/>
      <c r="ASI17"/>
      <c r="ASJ17"/>
      <c r="ASK17"/>
      <c r="ASL17"/>
      <c r="ASM17"/>
      <c r="ASN17"/>
      <c r="ASO17"/>
      <c r="ASP17"/>
      <c r="ASQ17"/>
      <c r="ASR17"/>
      <c r="ASS17"/>
      <c r="AST17"/>
      <c r="ASU17"/>
      <c r="ASV17"/>
      <c r="ASW17"/>
      <c r="ASX17"/>
      <c r="ASY17"/>
      <c r="ASZ17"/>
      <c r="ATA17"/>
      <c r="ATB17"/>
      <c r="ATC17"/>
      <c r="ATD17"/>
      <c r="ATE17"/>
      <c r="ATF17"/>
      <c r="ATG17"/>
      <c r="ATH17"/>
      <c r="ATI17"/>
      <c r="ATJ17"/>
      <c r="ATK17"/>
      <c r="ATL17"/>
      <c r="ATM17"/>
      <c r="ATN17"/>
      <c r="ATO17"/>
      <c r="ATP17"/>
      <c r="ATQ17"/>
      <c r="ATR17"/>
      <c r="ATS17"/>
      <c r="ATT17"/>
      <c r="ATU17"/>
      <c r="ATV17"/>
      <c r="ATW17"/>
      <c r="ATX17"/>
      <c r="ATY17"/>
      <c r="ATZ17"/>
      <c r="AUA17"/>
      <c r="AUB17"/>
      <c r="AUC17"/>
      <c r="AUD17"/>
      <c r="AUE17"/>
      <c r="AUF17"/>
      <c r="AUG17"/>
      <c r="AUH17"/>
      <c r="AUI17"/>
      <c r="AUJ17"/>
      <c r="AUK17"/>
      <c r="AUL17"/>
      <c r="AUM17"/>
      <c r="AUN17"/>
      <c r="AUO17"/>
      <c r="AUP17"/>
      <c r="AUQ17"/>
      <c r="AUR17"/>
      <c r="AUS17"/>
      <c r="AUT17"/>
      <c r="AUU17"/>
      <c r="AUV17"/>
      <c r="AUW17"/>
      <c r="AUX17"/>
      <c r="AUY17"/>
      <c r="AUZ17"/>
      <c r="AVA17"/>
      <c r="AVB17"/>
      <c r="AVC17"/>
      <c r="AVD17"/>
      <c r="AVE17"/>
      <c r="AVF17"/>
      <c r="AVG17"/>
      <c r="AVH17"/>
      <c r="AVI17"/>
      <c r="AVJ17"/>
      <c r="AVK17"/>
      <c r="AVL17"/>
      <c r="AVM17"/>
      <c r="AVN17"/>
      <c r="AVO17"/>
      <c r="AVP17"/>
      <c r="AVQ17"/>
      <c r="AVR17"/>
      <c r="AVS17"/>
      <c r="AVT17"/>
      <c r="AVU17"/>
      <c r="AVV17"/>
      <c r="AVW17"/>
      <c r="AVX17"/>
      <c r="AVY17"/>
      <c r="AVZ17"/>
      <c r="AWA17"/>
      <c r="AWB17"/>
      <c r="AWC17"/>
      <c r="AWD17"/>
      <c r="AWE17"/>
      <c r="AWF17"/>
      <c r="AWG17"/>
      <c r="AWH17"/>
      <c r="AWI17"/>
      <c r="AWJ17"/>
      <c r="AWK17"/>
      <c r="AWL17"/>
      <c r="AWM17"/>
      <c r="AWN17"/>
      <c r="AWO17"/>
      <c r="AWP17"/>
      <c r="AWQ17"/>
      <c r="AWR17"/>
      <c r="AWS17"/>
      <c r="AWT17"/>
      <c r="AWU17"/>
      <c r="AWV17"/>
      <c r="AWW17"/>
      <c r="AWX17"/>
      <c r="AWY17"/>
      <c r="AWZ17"/>
      <c r="AXA17"/>
      <c r="AXB17"/>
      <c r="AXC17"/>
      <c r="AXD17"/>
      <c r="AXE17"/>
      <c r="AXF17"/>
      <c r="AXG17"/>
      <c r="AXH17"/>
      <c r="AXI17"/>
      <c r="AXJ17"/>
      <c r="AXK17"/>
      <c r="AXL17"/>
      <c r="AXM17"/>
      <c r="AXN17"/>
      <c r="AXO17"/>
      <c r="AXP17"/>
      <c r="AXQ17"/>
      <c r="AXR17"/>
      <c r="AXS17"/>
      <c r="AXT17"/>
      <c r="AXU17"/>
      <c r="AXV17"/>
      <c r="AXW17"/>
      <c r="AXX17"/>
      <c r="AXY17"/>
      <c r="AXZ17"/>
      <c r="AYA17"/>
      <c r="AYB17"/>
      <c r="AYC17"/>
      <c r="AYD17"/>
      <c r="AYE17"/>
      <c r="AYF17"/>
      <c r="AYG17"/>
      <c r="AYH17"/>
      <c r="AYI17"/>
      <c r="AYJ17"/>
      <c r="AYK17"/>
      <c r="AYL17"/>
      <c r="AYM17"/>
      <c r="AYN17"/>
      <c r="AYO17"/>
      <c r="AYP17"/>
      <c r="AYQ17"/>
      <c r="AYR17"/>
      <c r="AYS17"/>
      <c r="AYT17"/>
      <c r="AYU17"/>
      <c r="AYV17"/>
      <c r="AYW17"/>
      <c r="AYX17"/>
      <c r="AYY17"/>
      <c r="AYZ17"/>
      <c r="AZA17"/>
      <c r="AZB17"/>
      <c r="AZC17"/>
      <c r="AZD17"/>
      <c r="AZE17"/>
      <c r="AZF17"/>
      <c r="AZG17"/>
      <c r="AZH17"/>
      <c r="AZI17"/>
      <c r="AZJ17"/>
      <c r="AZK17"/>
      <c r="AZL17"/>
      <c r="AZM17"/>
      <c r="AZN17"/>
      <c r="AZO17"/>
      <c r="AZP17"/>
      <c r="AZQ17"/>
      <c r="AZR17"/>
      <c r="AZS17"/>
      <c r="AZT17"/>
      <c r="AZU17"/>
      <c r="AZV17"/>
      <c r="AZW17"/>
      <c r="AZX17"/>
      <c r="AZY17"/>
      <c r="AZZ17"/>
      <c r="BAA17"/>
      <c r="BAB17"/>
      <c r="BAC17"/>
      <c r="BAD17"/>
      <c r="BAE17"/>
      <c r="BAF17"/>
      <c r="BAG17"/>
      <c r="BAH17"/>
      <c r="BAI17"/>
      <c r="BAJ17"/>
      <c r="BAK17"/>
      <c r="BAL17"/>
      <c r="BAM17"/>
      <c r="BAN17"/>
      <c r="BAO17"/>
      <c r="BAP17"/>
      <c r="BAQ17"/>
      <c r="BAR17"/>
      <c r="BAS17"/>
      <c r="BAT17"/>
      <c r="BAU17"/>
      <c r="BAV17"/>
      <c r="BAW17"/>
      <c r="BAX17"/>
      <c r="BAY17"/>
      <c r="BAZ17"/>
      <c r="BBA17"/>
      <c r="BBB17"/>
      <c r="BBC17"/>
      <c r="BBD17"/>
      <c r="BBE17"/>
      <c r="BBF17"/>
      <c r="BBG17"/>
      <c r="BBH17"/>
      <c r="BBI17"/>
      <c r="BBJ17"/>
      <c r="BBK17"/>
      <c r="BBL17"/>
      <c r="BBM17"/>
      <c r="BBN17"/>
      <c r="BBO17"/>
      <c r="BBP17"/>
      <c r="BBQ17"/>
      <c r="BBR17"/>
      <c r="BBS17"/>
      <c r="BBT17"/>
      <c r="BBU17"/>
      <c r="BBV17"/>
      <c r="BBW17"/>
      <c r="BBX17"/>
      <c r="BBY17"/>
      <c r="BBZ17"/>
      <c r="BCA17"/>
      <c r="BCB17"/>
      <c r="BCC17"/>
      <c r="BCD17"/>
      <c r="BCE17"/>
      <c r="BCF17"/>
      <c r="BCG17"/>
      <c r="BCH17"/>
      <c r="BCI17"/>
      <c r="BCJ17"/>
      <c r="BCK17"/>
      <c r="BCL17"/>
      <c r="BCM17"/>
      <c r="BCN17"/>
      <c r="BCO17"/>
      <c r="BCP17"/>
      <c r="BCQ17"/>
      <c r="BCR17"/>
      <c r="BCS17"/>
      <c r="BCT17"/>
      <c r="BCU17"/>
      <c r="BCV17"/>
      <c r="BCW17"/>
      <c r="BCX17"/>
      <c r="BCY17"/>
      <c r="BCZ17"/>
      <c r="BDA17"/>
      <c r="BDB17"/>
      <c r="BDC17"/>
      <c r="BDD17"/>
      <c r="BDE17"/>
      <c r="BDF17"/>
      <c r="BDG17"/>
      <c r="BDH17"/>
      <c r="BDI17"/>
      <c r="BDJ17"/>
      <c r="BDK17"/>
      <c r="BDL17"/>
      <c r="BDM17"/>
      <c r="BDN17"/>
      <c r="BDO17"/>
      <c r="BDP17"/>
      <c r="BDQ17"/>
      <c r="BDR17"/>
      <c r="BDS17"/>
      <c r="BDT17"/>
      <c r="BDU17"/>
      <c r="BDV17"/>
      <c r="BDW17"/>
      <c r="BDX17"/>
      <c r="BDY17"/>
      <c r="BDZ17"/>
      <c r="BEA17"/>
      <c r="BEB17"/>
      <c r="BEC17"/>
      <c r="BED17"/>
      <c r="BEE17"/>
      <c r="BEF17"/>
      <c r="BEG17"/>
      <c r="BEH17"/>
      <c r="BEI17"/>
      <c r="BEJ17"/>
      <c r="BEK17"/>
      <c r="BEL17"/>
      <c r="BEM17"/>
      <c r="BEN17"/>
      <c r="BEO17"/>
      <c r="BEP17"/>
      <c r="BEQ17"/>
      <c r="BER17"/>
      <c r="BES17"/>
      <c r="BET17"/>
      <c r="BEU17"/>
      <c r="BEV17"/>
      <c r="BEW17"/>
      <c r="BEX17"/>
      <c r="BEY17"/>
      <c r="BEZ17"/>
      <c r="BFA17"/>
      <c r="BFB17"/>
      <c r="BFC17"/>
      <c r="BFD17"/>
      <c r="BFE17"/>
      <c r="BFF17"/>
      <c r="BFG17"/>
      <c r="BFH17"/>
      <c r="BFI17"/>
      <c r="BFJ17"/>
      <c r="BFK17"/>
      <c r="BFL17"/>
      <c r="BFM17"/>
      <c r="BFN17"/>
      <c r="BFO17"/>
      <c r="BFP17"/>
      <c r="BFQ17"/>
      <c r="BFR17"/>
      <c r="BFS17"/>
      <c r="BFT17"/>
      <c r="BFU17"/>
      <c r="BFV17"/>
      <c r="BFW17"/>
      <c r="BFX17"/>
      <c r="BFY17"/>
      <c r="BFZ17"/>
      <c r="BGA17"/>
      <c r="BGB17"/>
      <c r="BGC17"/>
      <c r="BGD17"/>
      <c r="BGE17"/>
      <c r="BGF17"/>
      <c r="BGG17"/>
      <c r="BGH17"/>
      <c r="BGI17"/>
      <c r="BGJ17"/>
      <c r="BGK17"/>
      <c r="BGL17"/>
      <c r="BGM17"/>
      <c r="BGN17"/>
      <c r="BGO17"/>
      <c r="BGP17"/>
      <c r="BGQ17"/>
      <c r="BGR17"/>
      <c r="BGS17"/>
      <c r="BGT17"/>
      <c r="BGU17"/>
      <c r="BGV17"/>
      <c r="BGW17"/>
      <c r="BGX17"/>
      <c r="BGY17"/>
      <c r="BGZ17"/>
      <c r="BHA17"/>
      <c r="BHB17"/>
      <c r="BHC17"/>
      <c r="BHD17"/>
      <c r="BHE17"/>
      <c r="BHF17"/>
      <c r="BHG17"/>
      <c r="BHH17"/>
      <c r="BHI17"/>
      <c r="BHJ17"/>
      <c r="BHK17"/>
      <c r="BHL17"/>
      <c r="BHM17"/>
      <c r="BHN17"/>
      <c r="BHO17"/>
      <c r="BHP17"/>
      <c r="BHQ17"/>
      <c r="BHR17"/>
      <c r="BHS17"/>
      <c r="BHT17"/>
      <c r="BHU17"/>
      <c r="BHV17"/>
      <c r="BHW17"/>
      <c r="BHX17"/>
      <c r="BHY17"/>
      <c r="BHZ17"/>
      <c r="BIA17"/>
      <c r="BIB17"/>
      <c r="BIC17"/>
      <c r="BID17"/>
      <c r="BIE17"/>
      <c r="BIF17"/>
      <c r="BIG17"/>
      <c r="BIH17"/>
      <c r="BII17"/>
      <c r="BIJ17"/>
      <c r="BIK17"/>
      <c r="BIL17"/>
      <c r="BIM17"/>
      <c r="BIN17"/>
      <c r="BIO17"/>
      <c r="BIP17"/>
      <c r="BIQ17"/>
      <c r="BIR17"/>
      <c r="BIS17"/>
      <c r="BIT17"/>
      <c r="BIU17"/>
      <c r="BIV17"/>
      <c r="BIW17"/>
      <c r="BIX17"/>
      <c r="BIY17"/>
      <c r="BIZ17"/>
      <c r="BJA17"/>
      <c r="BJB17"/>
      <c r="BJC17"/>
      <c r="BJD17"/>
      <c r="BJE17"/>
      <c r="BJF17"/>
      <c r="BJG17"/>
      <c r="BJH17"/>
      <c r="BJI17"/>
      <c r="BJJ17"/>
      <c r="BJK17"/>
      <c r="BJL17"/>
      <c r="BJM17"/>
      <c r="BJN17"/>
      <c r="BJO17"/>
      <c r="BJP17"/>
      <c r="BJQ17"/>
      <c r="BJR17"/>
      <c r="BJS17"/>
      <c r="BJT17"/>
      <c r="BJU17"/>
      <c r="BJV17"/>
      <c r="BJW17"/>
      <c r="BJX17"/>
      <c r="BJY17"/>
      <c r="BJZ17"/>
      <c r="BKA17"/>
      <c r="BKB17"/>
      <c r="BKC17"/>
      <c r="BKD17"/>
      <c r="BKE17"/>
      <c r="BKF17"/>
      <c r="BKG17"/>
      <c r="BKH17"/>
      <c r="BKI17"/>
      <c r="BKJ17"/>
      <c r="BKK17"/>
      <c r="BKL17"/>
      <c r="BKM17"/>
      <c r="BKN17"/>
      <c r="BKO17"/>
      <c r="BKP17"/>
      <c r="BKQ17"/>
      <c r="BKR17"/>
      <c r="BKS17"/>
      <c r="BKT17"/>
      <c r="BKU17"/>
      <c r="BKV17"/>
      <c r="BKW17"/>
      <c r="BKX17"/>
      <c r="BKY17"/>
      <c r="BKZ17"/>
      <c r="BLA17"/>
      <c r="BLB17"/>
      <c r="BLC17"/>
      <c r="BLD17"/>
      <c r="BLE17"/>
      <c r="BLF17"/>
      <c r="BLG17"/>
      <c r="BLH17"/>
      <c r="BLI17"/>
      <c r="BLJ17"/>
      <c r="BLK17"/>
      <c r="BLL17"/>
      <c r="BLM17"/>
      <c r="BLN17"/>
      <c r="BLO17"/>
      <c r="BLP17"/>
      <c r="BLQ17"/>
      <c r="BLR17"/>
      <c r="BLS17"/>
      <c r="BLT17"/>
      <c r="BLU17"/>
      <c r="BLV17"/>
      <c r="BLW17"/>
      <c r="BLX17"/>
      <c r="BLY17"/>
      <c r="BLZ17"/>
      <c r="BMA17"/>
      <c r="BMB17"/>
      <c r="BMC17"/>
      <c r="BMD17"/>
      <c r="BME17"/>
      <c r="BMF17"/>
      <c r="BMG17"/>
      <c r="BMH17"/>
      <c r="BMI17"/>
      <c r="BMJ17"/>
      <c r="BMK17"/>
      <c r="BML17"/>
      <c r="BMM17"/>
      <c r="BMN17"/>
      <c r="BMO17"/>
      <c r="BMP17"/>
      <c r="BMQ17"/>
      <c r="BMR17"/>
      <c r="BMS17"/>
      <c r="BMT17"/>
      <c r="BMU17"/>
      <c r="BMV17"/>
      <c r="BMW17"/>
      <c r="BMX17"/>
      <c r="BMY17"/>
      <c r="BMZ17"/>
      <c r="BNA17"/>
      <c r="BNB17"/>
      <c r="BNC17"/>
      <c r="BND17"/>
      <c r="BNE17"/>
      <c r="BNF17"/>
      <c r="BNG17"/>
      <c r="BNH17"/>
      <c r="BNI17"/>
      <c r="BNJ17"/>
      <c r="BNK17"/>
      <c r="BNL17"/>
      <c r="BNM17"/>
      <c r="BNN17"/>
      <c r="BNO17"/>
      <c r="BNP17"/>
      <c r="BNQ17"/>
      <c r="BNR17"/>
      <c r="BNS17"/>
      <c r="BNT17"/>
      <c r="BNU17"/>
      <c r="BNV17"/>
      <c r="BNW17"/>
      <c r="BNX17"/>
      <c r="BNY17"/>
      <c r="BNZ17"/>
      <c r="BOA17"/>
      <c r="BOB17"/>
      <c r="BOC17"/>
      <c r="BOD17"/>
      <c r="BOE17"/>
      <c r="BOF17"/>
      <c r="BOG17"/>
      <c r="BOH17"/>
      <c r="BOI17"/>
      <c r="BOJ17"/>
      <c r="BOK17"/>
      <c r="BOL17"/>
      <c r="BOM17"/>
      <c r="BON17"/>
      <c r="BOO17"/>
      <c r="BOP17"/>
      <c r="BOQ17"/>
      <c r="BOR17"/>
      <c r="BOS17"/>
      <c r="BOT17"/>
      <c r="BOU17"/>
      <c r="BOV17"/>
      <c r="BOW17"/>
      <c r="BOX17"/>
      <c r="BOY17"/>
      <c r="BOZ17"/>
      <c r="BPA17"/>
      <c r="BPB17"/>
      <c r="BPC17"/>
      <c r="BPD17"/>
      <c r="BPE17"/>
      <c r="BPF17"/>
      <c r="BPG17"/>
      <c r="BPH17"/>
      <c r="BPI17"/>
      <c r="BPJ17"/>
      <c r="BPK17"/>
      <c r="BPL17"/>
      <c r="BPM17"/>
      <c r="BPN17"/>
      <c r="BPO17"/>
      <c r="BPP17"/>
      <c r="BPQ17"/>
      <c r="BPR17"/>
      <c r="BPS17"/>
      <c r="BPT17"/>
      <c r="BPU17"/>
      <c r="BPV17"/>
      <c r="BPW17"/>
      <c r="BPX17"/>
      <c r="BPY17"/>
      <c r="BPZ17"/>
      <c r="BQA17"/>
      <c r="BQB17"/>
      <c r="BQC17"/>
      <c r="BQD17"/>
      <c r="BQE17"/>
      <c r="BQF17"/>
      <c r="BQG17"/>
      <c r="BQH17"/>
      <c r="BQI17"/>
      <c r="BQJ17"/>
      <c r="BQK17"/>
      <c r="BQL17"/>
      <c r="BQM17"/>
      <c r="BQN17"/>
      <c r="BQO17"/>
      <c r="BQP17"/>
      <c r="BQQ17"/>
      <c r="BQR17"/>
      <c r="BQS17"/>
      <c r="BQT17"/>
      <c r="BQU17"/>
      <c r="BQV17"/>
      <c r="BQW17"/>
      <c r="BQX17"/>
      <c r="BQY17"/>
      <c r="BQZ17"/>
      <c r="BRA17"/>
      <c r="BRB17"/>
      <c r="BRC17"/>
      <c r="BRD17"/>
      <c r="BRE17"/>
      <c r="BRF17"/>
      <c r="BRG17"/>
      <c r="BRH17"/>
      <c r="BRI17"/>
      <c r="BRJ17"/>
      <c r="BRK17"/>
      <c r="BRL17"/>
      <c r="BRM17"/>
      <c r="BRN17"/>
      <c r="BRO17"/>
      <c r="BRP17"/>
      <c r="BRQ17"/>
      <c r="BRR17"/>
      <c r="BRS17"/>
      <c r="BRT17"/>
      <c r="BRU17"/>
      <c r="BRV17"/>
      <c r="BRW17"/>
      <c r="BRX17"/>
      <c r="BRY17"/>
      <c r="BRZ17"/>
      <c r="BSA17"/>
      <c r="BSB17"/>
      <c r="BSC17"/>
      <c r="BSD17"/>
      <c r="BSE17"/>
      <c r="BSF17"/>
      <c r="BSG17"/>
      <c r="BSH17"/>
      <c r="BSI17"/>
      <c r="BSJ17"/>
      <c r="BSK17"/>
      <c r="BSL17"/>
      <c r="BSM17"/>
      <c r="BSN17"/>
      <c r="BSO17"/>
      <c r="BSP17"/>
      <c r="BSQ17"/>
      <c r="BSR17"/>
      <c r="BSS17"/>
      <c r="BST17"/>
      <c r="BSU17"/>
      <c r="BSV17"/>
      <c r="BSW17"/>
      <c r="BSX17"/>
      <c r="BSY17"/>
      <c r="BSZ17"/>
      <c r="BTA17"/>
      <c r="BTB17"/>
      <c r="BTC17"/>
      <c r="BTD17"/>
      <c r="BTE17"/>
      <c r="BTF17"/>
      <c r="BTG17"/>
      <c r="BTH17"/>
      <c r="BTI17"/>
      <c r="BTJ17"/>
      <c r="BTK17"/>
      <c r="BTL17"/>
      <c r="BTM17"/>
      <c r="BTN17"/>
      <c r="BTO17"/>
      <c r="BTP17"/>
      <c r="BTQ17"/>
      <c r="BTR17"/>
      <c r="BTS17"/>
      <c r="BTT17"/>
      <c r="BTU17"/>
      <c r="BTV17"/>
      <c r="BTW17"/>
      <c r="BTX17"/>
      <c r="BTY17"/>
      <c r="BTZ17"/>
      <c r="BUA17"/>
      <c r="BUB17"/>
      <c r="BUC17"/>
      <c r="BUD17"/>
      <c r="BUE17"/>
      <c r="BUF17"/>
      <c r="BUG17"/>
      <c r="BUH17"/>
      <c r="BUI17"/>
      <c r="BUJ17"/>
      <c r="BUK17"/>
      <c r="BUL17"/>
      <c r="BUM17"/>
      <c r="BUN17"/>
      <c r="BUO17"/>
      <c r="BUP17"/>
      <c r="BUQ17"/>
      <c r="BUR17"/>
      <c r="BUS17"/>
      <c r="BUT17"/>
      <c r="BUU17"/>
      <c r="BUV17"/>
      <c r="BUW17"/>
      <c r="BUX17"/>
      <c r="BUY17"/>
      <c r="BUZ17"/>
      <c r="BVA17"/>
      <c r="BVB17"/>
      <c r="BVC17"/>
      <c r="BVD17"/>
      <c r="BVE17"/>
      <c r="BVF17"/>
      <c r="BVG17"/>
      <c r="BVH17"/>
      <c r="BVI17"/>
      <c r="BVJ17"/>
      <c r="BVK17"/>
      <c r="BVL17"/>
      <c r="BVM17"/>
      <c r="BVN17"/>
      <c r="BVO17"/>
      <c r="BVP17"/>
      <c r="BVQ17"/>
      <c r="BVR17"/>
      <c r="BVS17"/>
      <c r="BVT17"/>
      <c r="BVU17"/>
      <c r="BVV17"/>
      <c r="BVW17"/>
      <c r="BVX17"/>
      <c r="BVY17"/>
      <c r="BVZ17"/>
      <c r="BWA17"/>
      <c r="BWB17"/>
      <c r="BWC17"/>
      <c r="BWD17"/>
      <c r="BWE17"/>
      <c r="BWF17"/>
      <c r="BWG17"/>
      <c r="BWH17"/>
      <c r="BWI17"/>
      <c r="BWJ17"/>
      <c r="BWK17"/>
      <c r="BWL17"/>
      <c r="BWM17"/>
      <c r="BWN17"/>
      <c r="BWO17"/>
      <c r="BWP17"/>
      <c r="BWQ17"/>
      <c r="BWR17"/>
      <c r="BWS17"/>
      <c r="BWT17"/>
      <c r="BWU17"/>
      <c r="BWV17"/>
      <c r="BWW17"/>
      <c r="BWX17"/>
      <c r="BWY17"/>
      <c r="BWZ17"/>
      <c r="BXA17"/>
      <c r="BXB17"/>
      <c r="BXC17"/>
      <c r="BXD17"/>
      <c r="BXE17"/>
      <c r="BXF17"/>
      <c r="BXG17"/>
      <c r="BXH17"/>
      <c r="BXI17"/>
      <c r="BXJ17"/>
      <c r="BXK17"/>
      <c r="BXL17"/>
      <c r="BXM17"/>
      <c r="BXN17"/>
      <c r="BXO17"/>
      <c r="BXP17"/>
      <c r="BXQ17"/>
      <c r="BXR17"/>
      <c r="BXS17"/>
      <c r="BXT17"/>
      <c r="BXU17"/>
      <c r="BXV17"/>
      <c r="BXW17"/>
      <c r="BXX17"/>
      <c r="BXY17"/>
      <c r="BXZ17"/>
      <c r="BYA17"/>
      <c r="BYB17"/>
      <c r="BYC17"/>
      <c r="BYD17"/>
      <c r="BYE17"/>
      <c r="BYF17"/>
      <c r="BYG17"/>
      <c r="BYH17"/>
      <c r="BYI17"/>
      <c r="BYJ17"/>
      <c r="BYK17"/>
      <c r="BYL17"/>
      <c r="BYM17"/>
      <c r="BYN17"/>
      <c r="BYO17"/>
      <c r="BYP17"/>
      <c r="BYQ17"/>
      <c r="BYR17"/>
      <c r="BYS17"/>
      <c r="BYT17"/>
      <c r="BYU17"/>
      <c r="BYV17"/>
      <c r="BYW17"/>
      <c r="BYX17"/>
      <c r="BYY17"/>
      <c r="BYZ17"/>
      <c r="BZA17"/>
      <c r="BZB17"/>
      <c r="BZC17"/>
      <c r="BZD17"/>
      <c r="BZE17"/>
      <c r="BZF17"/>
      <c r="BZG17"/>
      <c r="BZH17"/>
      <c r="BZI17"/>
      <c r="BZJ17"/>
      <c r="BZK17"/>
      <c r="BZL17"/>
      <c r="BZM17"/>
      <c r="BZN17"/>
      <c r="BZO17"/>
      <c r="BZP17"/>
      <c r="BZQ17"/>
      <c r="BZR17"/>
      <c r="BZS17"/>
      <c r="BZT17"/>
      <c r="BZU17"/>
      <c r="BZV17"/>
      <c r="BZW17"/>
      <c r="BZX17"/>
      <c r="BZY17"/>
      <c r="BZZ17"/>
      <c r="CAA17"/>
      <c r="CAB17"/>
      <c r="CAC17"/>
      <c r="CAD17"/>
      <c r="CAE17"/>
      <c r="CAF17"/>
      <c r="CAG17"/>
      <c r="CAH17"/>
      <c r="CAI17"/>
      <c r="CAJ17"/>
      <c r="CAK17"/>
      <c r="CAL17"/>
      <c r="CAM17"/>
      <c r="CAN17"/>
      <c r="CAO17"/>
      <c r="CAP17"/>
      <c r="CAQ17"/>
      <c r="CAR17"/>
      <c r="CAS17"/>
      <c r="CAT17"/>
      <c r="CAU17"/>
      <c r="CAV17"/>
      <c r="CAW17"/>
      <c r="CAX17"/>
      <c r="CAY17"/>
      <c r="CAZ17"/>
      <c r="CBA17"/>
      <c r="CBB17"/>
      <c r="CBC17"/>
      <c r="CBD17"/>
      <c r="CBE17"/>
      <c r="CBF17"/>
      <c r="CBG17"/>
      <c r="CBH17"/>
      <c r="CBI17"/>
      <c r="CBJ17"/>
      <c r="CBK17"/>
      <c r="CBL17"/>
      <c r="CBM17"/>
      <c r="CBN17"/>
      <c r="CBO17"/>
      <c r="CBP17"/>
      <c r="CBQ17"/>
      <c r="CBR17"/>
      <c r="CBS17"/>
      <c r="CBT17"/>
      <c r="CBU17"/>
      <c r="CBV17"/>
      <c r="CBW17"/>
      <c r="CBX17"/>
      <c r="CBY17"/>
      <c r="CBZ17"/>
      <c r="CCA17"/>
      <c r="CCB17"/>
      <c r="CCC17"/>
      <c r="CCD17"/>
      <c r="CCE17"/>
      <c r="CCF17"/>
      <c r="CCG17"/>
      <c r="CCH17"/>
      <c r="CCI17"/>
      <c r="CCJ17"/>
      <c r="CCK17"/>
      <c r="CCL17"/>
      <c r="CCM17"/>
      <c r="CCN17"/>
      <c r="CCO17"/>
      <c r="CCP17"/>
      <c r="CCQ17"/>
      <c r="CCR17"/>
      <c r="CCS17"/>
      <c r="CCT17"/>
      <c r="CCU17"/>
      <c r="CCV17"/>
      <c r="CCW17"/>
      <c r="CCX17"/>
      <c r="CCY17"/>
      <c r="CCZ17"/>
      <c r="CDA17"/>
      <c r="CDB17"/>
      <c r="CDC17"/>
      <c r="CDD17"/>
      <c r="CDE17"/>
      <c r="CDF17"/>
      <c r="CDG17"/>
      <c r="CDH17"/>
      <c r="CDI17"/>
      <c r="CDJ17"/>
      <c r="CDK17"/>
      <c r="CDL17"/>
      <c r="CDM17"/>
      <c r="CDN17"/>
      <c r="CDO17"/>
      <c r="CDP17"/>
      <c r="CDQ17"/>
      <c r="CDR17"/>
      <c r="CDS17"/>
      <c r="CDT17"/>
      <c r="CDU17"/>
      <c r="CDV17"/>
      <c r="CDW17"/>
      <c r="CDX17"/>
      <c r="CDY17"/>
      <c r="CDZ17"/>
      <c r="CEA17"/>
      <c r="CEB17"/>
      <c r="CEC17"/>
      <c r="CED17"/>
      <c r="CEE17"/>
      <c r="CEF17"/>
      <c r="CEG17"/>
      <c r="CEH17"/>
      <c r="CEI17"/>
      <c r="CEJ17"/>
      <c r="CEK17"/>
      <c r="CEL17"/>
      <c r="CEM17"/>
      <c r="CEN17"/>
      <c r="CEO17"/>
      <c r="CEP17"/>
      <c r="CEQ17"/>
      <c r="CER17"/>
      <c r="CES17"/>
      <c r="CET17"/>
      <c r="CEU17"/>
      <c r="CEV17"/>
      <c r="CEW17"/>
      <c r="CEX17"/>
      <c r="CEY17"/>
      <c r="CEZ17"/>
      <c r="CFA17"/>
      <c r="CFB17"/>
      <c r="CFC17"/>
      <c r="CFD17"/>
      <c r="CFE17"/>
      <c r="CFF17"/>
      <c r="CFG17"/>
      <c r="CFH17"/>
      <c r="CFI17"/>
      <c r="CFJ17"/>
      <c r="CFK17"/>
      <c r="CFL17"/>
      <c r="CFM17"/>
      <c r="CFN17"/>
      <c r="CFO17"/>
      <c r="CFP17"/>
      <c r="CFQ17"/>
      <c r="CFR17"/>
      <c r="CFS17"/>
      <c r="CFT17"/>
      <c r="CFU17"/>
      <c r="CFV17"/>
      <c r="CFW17"/>
      <c r="CFX17"/>
      <c r="CFY17"/>
      <c r="CFZ17"/>
      <c r="CGA17"/>
      <c r="CGB17"/>
      <c r="CGC17"/>
      <c r="CGD17"/>
      <c r="CGE17"/>
      <c r="CGF17"/>
      <c r="CGG17"/>
      <c r="CGH17"/>
      <c r="CGI17"/>
      <c r="CGJ17"/>
      <c r="CGK17"/>
      <c r="CGL17"/>
      <c r="CGM17"/>
      <c r="CGN17"/>
      <c r="CGO17"/>
      <c r="CGP17"/>
      <c r="CGQ17"/>
      <c r="CGR17"/>
      <c r="CGS17"/>
      <c r="CGT17"/>
      <c r="CGU17"/>
      <c r="CGV17"/>
      <c r="CGW17"/>
      <c r="CGX17"/>
      <c r="CGY17"/>
      <c r="CGZ17"/>
      <c r="CHA17"/>
      <c r="CHB17"/>
      <c r="CHC17"/>
      <c r="CHD17"/>
      <c r="CHE17"/>
      <c r="CHF17"/>
      <c r="CHG17"/>
      <c r="CHH17"/>
      <c r="CHI17"/>
      <c r="CHJ17"/>
      <c r="CHK17"/>
      <c r="CHL17"/>
      <c r="CHM17"/>
      <c r="CHN17"/>
      <c r="CHO17"/>
      <c r="CHP17"/>
      <c r="CHQ17"/>
      <c r="CHR17"/>
      <c r="CHS17"/>
      <c r="CHT17"/>
      <c r="CHU17"/>
      <c r="CHV17"/>
      <c r="CHW17"/>
      <c r="CHX17"/>
      <c r="CHY17"/>
      <c r="CHZ17"/>
      <c r="CIA17"/>
      <c r="CIB17"/>
      <c r="CIC17"/>
      <c r="CID17"/>
      <c r="CIE17"/>
      <c r="CIF17"/>
      <c r="CIG17"/>
      <c r="CIH17"/>
      <c r="CII17"/>
      <c r="CIJ17"/>
      <c r="CIK17"/>
      <c r="CIL17"/>
      <c r="CIM17"/>
      <c r="CIN17"/>
      <c r="CIO17"/>
      <c r="CIP17"/>
      <c r="CIQ17"/>
      <c r="CIR17"/>
      <c r="CIS17"/>
      <c r="CIT17"/>
      <c r="CIU17"/>
      <c r="CIV17"/>
      <c r="CIW17"/>
      <c r="CIX17"/>
      <c r="CIY17"/>
      <c r="CIZ17"/>
      <c r="CJA17"/>
      <c r="CJB17"/>
      <c r="CJC17"/>
      <c r="CJD17"/>
      <c r="CJE17"/>
      <c r="CJF17"/>
      <c r="CJG17"/>
      <c r="CJH17"/>
      <c r="CJI17"/>
      <c r="CJJ17"/>
      <c r="CJK17"/>
      <c r="CJL17"/>
      <c r="CJM17"/>
      <c r="CJN17"/>
      <c r="CJO17"/>
      <c r="CJP17"/>
      <c r="CJQ17"/>
      <c r="CJR17"/>
      <c r="CJS17"/>
      <c r="CJT17"/>
      <c r="CJU17"/>
      <c r="CJV17"/>
      <c r="CJW17"/>
      <c r="CJX17"/>
      <c r="CJY17"/>
      <c r="CJZ17"/>
      <c r="CKA17"/>
      <c r="CKB17"/>
      <c r="CKC17"/>
      <c r="CKD17"/>
      <c r="CKE17"/>
      <c r="CKF17"/>
      <c r="CKG17"/>
      <c r="CKH17"/>
      <c r="CKI17"/>
      <c r="CKJ17"/>
      <c r="CKK17"/>
      <c r="CKL17"/>
      <c r="CKM17"/>
      <c r="CKN17"/>
      <c r="CKO17"/>
      <c r="CKP17"/>
      <c r="CKQ17"/>
      <c r="CKR17"/>
      <c r="CKS17"/>
      <c r="CKT17"/>
      <c r="CKU17"/>
      <c r="CKV17"/>
      <c r="CKW17"/>
      <c r="CKX17"/>
      <c r="CKY17"/>
      <c r="CKZ17"/>
      <c r="CLA17"/>
      <c r="CLB17"/>
      <c r="CLC17"/>
      <c r="CLD17"/>
      <c r="CLE17"/>
      <c r="CLF17"/>
      <c r="CLG17"/>
      <c r="CLH17"/>
      <c r="CLI17"/>
      <c r="CLJ17"/>
      <c r="CLK17"/>
      <c r="CLL17"/>
      <c r="CLM17"/>
      <c r="CLN17"/>
      <c r="CLO17"/>
      <c r="CLP17"/>
      <c r="CLQ17"/>
      <c r="CLR17"/>
      <c r="CLS17"/>
      <c r="CLT17"/>
      <c r="CLU17"/>
      <c r="CLV17"/>
      <c r="CLW17"/>
      <c r="CLX17"/>
      <c r="CLY17"/>
      <c r="CLZ17"/>
      <c r="CMA17"/>
      <c r="CMB17"/>
      <c r="CMC17"/>
      <c r="CMD17"/>
      <c r="CME17"/>
      <c r="CMF17"/>
      <c r="CMG17"/>
      <c r="CMH17"/>
      <c r="CMI17"/>
      <c r="CMJ17"/>
      <c r="CMK17"/>
      <c r="CML17"/>
      <c r="CMM17"/>
      <c r="CMN17"/>
      <c r="CMO17"/>
      <c r="CMP17"/>
      <c r="CMQ17"/>
      <c r="CMR17"/>
      <c r="CMS17"/>
      <c r="CMT17"/>
      <c r="CMU17"/>
      <c r="CMV17"/>
      <c r="CMW17"/>
      <c r="CMX17"/>
      <c r="CMY17"/>
      <c r="CMZ17"/>
      <c r="CNA17"/>
      <c r="CNB17"/>
      <c r="CNC17"/>
      <c r="CND17"/>
      <c r="CNE17"/>
      <c r="CNF17"/>
      <c r="CNG17"/>
      <c r="CNH17"/>
      <c r="CNI17"/>
      <c r="CNJ17"/>
      <c r="CNK17"/>
      <c r="CNL17"/>
      <c r="CNM17"/>
      <c r="CNN17"/>
      <c r="CNO17"/>
      <c r="CNP17"/>
      <c r="CNQ17"/>
      <c r="CNR17"/>
      <c r="CNS17"/>
      <c r="CNT17"/>
      <c r="CNU17"/>
      <c r="CNV17"/>
      <c r="CNW17"/>
      <c r="CNX17"/>
      <c r="CNY17"/>
      <c r="CNZ17"/>
      <c r="COA17"/>
      <c r="COB17"/>
      <c r="COC17"/>
      <c r="COD17"/>
      <c r="COE17"/>
      <c r="COF17"/>
      <c r="COG17"/>
      <c r="COH17"/>
      <c r="COI17"/>
      <c r="COJ17"/>
      <c r="COK17"/>
      <c r="COL17"/>
      <c r="COM17"/>
      <c r="CON17"/>
      <c r="COO17"/>
      <c r="COP17"/>
      <c r="COQ17"/>
      <c r="COR17"/>
      <c r="COS17"/>
      <c r="COT17"/>
      <c r="COU17"/>
      <c r="COV17"/>
      <c r="COW17"/>
      <c r="COX17"/>
      <c r="COY17"/>
      <c r="COZ17"/>
      <c r="CPA17"/>
      <c r="CPB17"/>
      <c r="CPC17"/>
      <c r="CPD17"/>
      <c r="CPE17"/>
      <c r="CPF17"/>
      <c r="CPG17"/>
      <c r="CPH17"/>
      <c r="CPI17"/>
      <c r="CPJ17"/>
      <c r="CPK17"/>
      <c r="CPL17"/>
      <c r="CPM17"/>
      <c r="CPN17"/>
      <c r="CPO17"/>
      <c r="CPP17"/>
      <c r="CPQ17"/>
      <c r="CPR17"/>
      <c r="CPS17"/>
      <c r="CPT17"/>
      <c r="CPU17"/>
      <c r="CPV17"/>
      <c r="CPW17"/>
      <c r="CPX17"/>
      <c r="CPY17"/>
      <c r="CPZ17"/>
      <c r="CQA17"/>
      <c r="CQB17"/>
      <c r="CQC17"/>
      <c r="CQD17"/>
      <c r="CQE17"/>
      <c r="CQF17"/>
      <c r="CQG17"/>
      <c r="CQH17"/>
      <c r="CQI17"/>
      <c r="CQJ17"/>
      <c r="CQK17"/>
      <c r="CQL17"/>
      <c r="CQM17"/>
      <c r="CQN17"/>
      <c r="CQO17"/>
      <c r="CQP17"/>
      <c r="CQQ17"/>
      <c r="CQR17"/>
      <c r="CQS17"/>
      <c r="CQT17"/>
      <c r="CQU17"/>
      <c r="CQV17"/>
      <c r="CQW17"/>
      <c r="CQX17"/>
      <c r="CQY17"/>
      <c r="CQZ17"/>
      <c r="CRA17"/>
      <c r="CRB17"/>
      <c r="CRC17"/>
      <c r="CRD17"/>
      <c r="CRE17"/>
      <c r="CRF17"/>
      <c r="CRG17"/>
      <c r="CRH17"/>
      <c r="CRI17"/>
      <c r="CRJ17"/>
      <c r="CRK17"/>
      <c r="CRL17"/>
      <c r="CRM17"/>
      <c r="CRN17"/>
      <c r="CRO17"/>
      <c r="CRP17"/>
      <c r="CRQ17"/>
      <c r="CRR17"/>
      <c r="CRS17"/>
      <c r="CRT17"/>
      <c r="CRU17"/>
      <c r="CRV17"/>
      <c r="CRW17"/>
      <c r="CRX17"/>
      <c r="CRY17"/>
      <c r="CRZ17"/>
      <c r="CSA17"/>
      <c r="CSB17"/>
      <c r="CSC17"/>
      <c r="CSD17"/>
      <c r="CSE17"/>
      <c r="CSF17"/>
      <c r="CSG17"/>
      <c r="CSH17"/>
      <c r="CSI17"/>
      <c r="CSJ17"/>
      <c r="CSK17"/>
      <c r="CSL17"/>
      <c r="CSM17"/>
      <c r="CSN17"/>
      <c r="CSO17"/>
      <c r="CSP17"/>
      <c r="CSQ17"/>
      <c r="CSR17"/>
      <c r="CSS17"/>
      <c r="CST17"/>
      <c r="CSU17"/>
      <c r="CSV17"/>
      <c r="CSW17"/>
      <c r="CSX17"/>
      <c r="CSY17"/>
      <c r="CSZ17"/>
      <c r="CTA17"/>
      <c r="CTB17"/>
      <c r="CTC17"/>
      <c r="CTD17"/>
      <c r="CTE17"/>
      <c r="CTF17"/>
      <c r="CTG17"/>
      <c r="CTH17"/>
      <c r="CTI17"/>
      <c r="CTJ17"/>
      <c r="CTK17"/>
      <c r="CTL17"/>
      <c r="CTM17"/>
      <c r="CTN17"/>
      <c r="CTO17"/>
      <c r="CTP17"/>
      <c r="CTQ17"/>
      <c r="CTR17"/>
      <c r="CTS17"/>
      <c r="CTT17"/>
      <c r="CTU17"/>
      <c r="CTV17"/>
      <c r="CTW17"/>
      <c r="CTX17"/>
      <c r="CTY17"/>
      <c r="CTZ17"/>
      <c r="CUA17"/>
      <c r="CUB17"/>
      <c r="CUC17"/>
      <c r="CUD17"/>
      <c r="CUE17"/>
      <c r="CUF17"/>
      <c r="CUG17"/>
      <c r="CUH17"/>
      <c r="CUI17"/>
      <c r="CUJ17"/>
      <c r="CUK17"/>
      <c r="CUL17"/>
      <c r="CUM17"/>
      <c r="CUN17"/>
      <c r="CUO17"/>
      <c r="CUP17"/>
      <c r="CUQ17"/>
      <c r="CUR17"/>
      <c r="CUS17"/>
      <c r="CUT17"/>
      <c r="CUU17"/>
      <c r="CUV17"/>
      <c r="CUW17"/>
      <c r="CUX17"/>
      <c r="CUY17"/>
      <c r="CUZ17"/>
      <c r="CVA17"/>
      <c r="CVB17"/>
      <c r="CVC17"/>
      <c r="CVD17"/>
      <c r="CVE17"/>
      <c r="CVF17"/>
      <c r="CVG17"/>
      <c r="CVH17"/>
      <c r="CVI17"/>
      <c r="CVJ17"/>
      <c r="CVK17"/>
      <c r="CVL17"/>
      <c r="CVM17"/>
      <c r="CVN17"/>
      <c r="CVO17"/>
      <c r="CVP17"/>
      <c r="CVQ17"/>
      <c r="CVR17"/>
      <c r="CVS17"/>
      <c r="CVT17"/>
      <c r="CVU17"/>
      <c r="CVV17"/>
      <c r="CVW17"/>
      <c r="CVX17"/>
      <c r="CVY17"/>
      <c r="CVZ17"/>
      <c r="CWA17"/>
      <c r="CWB17"/>
      <c r="CWC17"/>
      <c r="CWD17"/>
      <c r="CWE17"/>
      <c r="CWF17"/>
      <c r="CWG17"/>
      <c r="CWH17"/>
      <c r="CWI17"/>
      <c r="CWJ17"/>
      <c r="CWK17"/>
      <c r="CWL17"/>
      <c r="CWM17"/>
      <c r="CWN17"/>
      <c r="CWO17"/>
      <c r="CWP17"/>
      <c r="CWQ17"/>
      <c r="CWR17"/>
      <c r="CWS17"/>
      <c r="CWT17"/>
      <c r="CWU17"/>
      <c r="CWV17"/>
      <c r="CWW17"/>
      <c r="CWX17"/>
      <c r="CWY17"/>
      <c r="CWZ17"/>
      <c r="CXA17"/>
      <c r="CXB17"/>
      <c r="CXC17"/>
      <c r="CXD17"/>
      <c r="CXE17"/>
      <c r="CXF17"/>
      <c r="CXG17"/>
      <c r="CXH17"/>
      <c r="CXI17"/>
      <c r="CXJ17"/>
      <c r="CXK17"/>
      <c r="CXL17"/>
      <c r="CXM17"/>
      <c r="CXN17"/>
      <c r="CXO17"/>
      <c r="CXP17"/>
      <c r="CXQ17"/>
      <c r="CXR17"/>
      <c r="CXS17"/>
      <c r="CXT17"/>
      <c r="CXU17"/>
      <c r="CXV17"/>
      <c r="CXW17"/>
      <c r="CXX17"/>
      <c r="CXY17"/>
      <c r="CXZ17"/>
      <c r="CYA17"/>
      <c r="CYB17"/>
      <c r="CYC17"/>
      <c r="CYD17"/>
      <c r="CYE17"/>
      <c r="CYF17"/>
      <c r="CYG17"/>
      <c r="CYH17"/>
      <c r="CYI17"/>
      <c r="CYJ17"/>
      <c r="CYK17"/>
      <c r="CYL17"/>
      <c r="CYM17"/>
      <c r="CYN17"/>
      <c r="CYO17"/>
      <c r="CYP17"/>
      <c r="CYQ17"/>
      <c r="CYR17"/>
      <c r="CYS17"/>
      <c r="CYT17"/>
      <c r="CYU17"/>
      <c r="CYV17"/>
      <c r="CYW17"/>
      <c r="CYX17"/>
      <c r="CYY17"/>
      <c r="CYZ17"/>
      <c r="CZA17"/>
      <c r="CZB17"/>
      <c r="CZC17"/>
      <c r="CZD17"/>
      <c r="CZE17"/>
      <c r="CZF17"/>
      <c r="CZG17"/>
      <c r="CZH17"/>
      <c r="CZI17"/>
      <c r="CZJ17"/>
      <c r="CZK17"/>
      <c r="CZL17"/>
      <c r="CZM17"/>
      <c r="CZN17"/>
      <c r="CZO17"/>
      <c r="CZP17"/>
      <c r="CZQ17"/>
      <c r="CZR17"/>
      <c r="CZS17"/>
      <c r="CZT17"/>
      <c r="CZU17"/>
      <c r="CZV17"/>
      <c r="CZW17"/>
      <c r="CZX17"/>
      <c r="CZY17"/>
      <c r="CZZ17"/>
      <c r="DAA17"/>
      <c r="DAB17"/>
      <c r="DAC17"/>
      <c r="DAD17"/>
      <c r="DAE17"/>
      <c r="DAF17"/>
      <c r="DAG17"/>
      <c r="DAH17"/>
      <c r="DAI17"/>
      <c r="DAJ17"/>
      <c r="DAK17"/>
      <c r="DAL17"/>
      <c r="DAM17"/>
      <c r="DAN17"/>
      <c r="DAO17"/>
      <c r="DAP17"/>
      <c r="DAQ17"/>
      <c r="DAR17"/>
      <c r="DAS17"/>
      <c r="DAT17"/>
      <c r="DAU17"/>
      <c r="DAV17"/>
      <c r="DAW17"/>
      <c r="DAX17"/>
      <c r="DAY17"/>
      <c r="DAZ17"/>
      <c r="DBA17"/>
      <c r="DBB17"/>
      <c r="DBC17"/>
      <c r="DBD17"/>
      <c r="DBE17"/>
      <c r="DBF17"/>
      <c r="DBG17"/>
      <c r="DBH17"/>
      <c r="DBI17"/>
      <c r="DBJ17"/>
      <c r="DBK17"/>
      <c r="DBL17"/>
      <c r="DBM17"/>
      <c r="DBN17"/>
      <c r="DBO17"/>
      <c r="DBP17"/>
      <c r="DBQ17"/>
      <c r="DBR17"/>
      <c r="DBS17"/>
      <c r="DBT17"/>
      <c r="DBU17"/>
      <c r="DBV17"/>
      <c r="DBW17"/>
      <c r="DBX17"/>
      <c r="DBY17"/>
      <c r="DBZ17"/>
      <c r="DCA17"/>
      <c r="DCB17"/>
      <c r="DCC17"/>
      <c r="DCD17"/>
      <c r="DCE17"/>
      <c r="DCF17"/>
      <c r="DCG17"/>
      <c r="DCH17"/>
      <c r="DCI17"/>
      <c r="DCJ17"/>
      <c r="DCK17"/>
      <c r="DCL17"/>
      <c r="DCM17"/>
      <c r="DCN17"/>
      <c r="DCO17"/>
      <c r="DCP17"/>
      <c r="DCQ17"/>
      <c r="DCR17"/>
      <c r="DCS17"/>
      <c r="DCT17"/>
      <c r="DCU17"/>
      <c r="DCV17"/>
      <c r="DCW17"/>
      <c r="DCX17"/>
      <c r="DCY17"/>
      <c r="DCZ17"/>
      <c r="DDA17"/>
      <c r="DDB17"/>
      <c r="DDC17"/>
      <c r="DDD17"/>
      <c r="DDE17"/>
      <c r="DDF17"/>
      <c r="DDG17"/>
      <c r="DDH17"/>
      <c r="DDI17"/>
      <c r="DDJ17"/>
      <c r="DDK17"/>
      <c r="DDL17"/>
      <c r="DDM17"/>
      <c r="DDN17"/>
      <c r="DDO17"/>
      <c r="DDP17"/>
      <c r="DDQ17"/>
      <c r="DDR17"/>
      <c r="DDS17"/>
      <c r="DDT17"/>
      <c r="DDU17"/>
      <c r="DDV17"/>
      <c r="DDW17"/>
      <c r="DDX17"/>
      <c r="DDY17"/>
      <c r="DDZ17"/>
      <c r="DEA17"/>
      <c r="DEB17"/>
      <c r="DEC17"/>
      <c r="DED17"/>
      <c r="DEE17"/>
      <c r="DEF17"/>
      <c r="DEG17"/>
      <c r="DEH17"/>
      <c r="DEI17"/>
      <c r="DEJ17"/>
      <c r="DEK17"/>
      <c r="DEL17"/>
      <c r="DEM17"/>
      <c r="DEN17"/>
      <c r="DEO17"/>
      <c r="DEP17"/>
      <c r="DEQ17"/>
      <c r="DER17"/>
      <c r="DES17"/>
      <c r="DET17"/>
      <c r="DEU17"/>
      <c r="DEV17"/>
      <c r="DEW17"/>
      <c r="DEX17"/>
      <c r="DEY17"/>
      <c r="DEZ17"/>
      <c r="DFA17"/>
      <c r="DFB17"/>
      <c r="DFC17"/>
      <c r="DFD17"/>
      <c r="DFE17"/>
      <c r="DFF17"/>
      <c r="DFG17"/>
      <c r="DFH17"/>
      <c r="DFI17"/>
      <c r="DFJ17"/>
      <c r="DFK17"/>
      <c r="DFL17"/>
      <c r="DFM17"/>
      <c r="DFN17"/>
      <c r="DFO17"/>
      <c r="DFP17"/>
      <c r="DFQ17"/>
      <c r="DFR17"/>
      <c r="DFS17"/>
      <c r="DFT17"/>
      <c r="DFU17"/>
      <c r="DFV17"/>
      <c r="DFW17"/>
      <c r="DFX17"/>
      <c r="DFY17"/>
      <c r="DFZ17"/>
      <c r="DGA17"/>
      <c r="DGB17"/>
      <c r="DGC17"/>
      <c r="DGD17"/>
      <c r="DGE17"/>
      <c r="DGF17"/>
      <c r="DGG17"/>
      <c r="DGH17"/>
      <c r="DGI17"/>
      <c r="DGJ17"/>
      <c r="DGK17"/>
      <c r="DGL17"/>
      <c r="DGM17"/>
      <c r="DGN17"/>
      <c r="DGO17"/>
      <c r="DGP17"/>
      <c r="DGQ17"/>
      <c r="DGR17"/>
      <c r="DGS17"/>
      <c r="DGT17"/>
      <c r="DGU17"/>
      <c r="DGV17"/>
      <c r="DGW17"/>
      <c r="DGX17"/>
      <c r="DGY17"/>
      <c r="DGZ17"/>
      <c r="DHA17"/>
      <c r="DHB17"/>
      <c r="DHC17"/>
      <c r="DHD17"/>
      <c r="DHE17"/>
      <c r="DHF17"/>
      <c r="DHG17"/>
      <c r="DHH17"/>
      <c r="DHI17"/>
      <c r="DHJ17"/>
      <c r="DHK17"/>
      <c r="DHL17"/>
      <c r="DHM17"/>
      <c r="DHN17"/>
      <c r="DHO17"/>
      <c r="DHP17"/>
      <c r="DHQ17"/>
      <c r="DHR17"/>
      <c r="DHS17"/>
      <c r="DHT17"/>
      <c r="DHU17"/>
      <c r="DHV17"/>
      <c r="DHW17"/>
      <c r="DHX17"/>
      <c r="DHY17"/>
      <c r="DHZ17"/>
      <c r="DIA17"/>
      <c r="DIB17"/>
      <c r="DIC17"/>
      <c r="DID17"/>
      <c r="DIE17"/>
      <c r="DIF17"/>
      <c r="DIG17"/>
      <c r="DIH17"/>
      <c r="DII17"/>
      <c r="DIJ17"/>
      <c r="DIK17"/>
      <c r="DIL17"/>
      <c r="DIM17"/>
      <c r="DIN17"/>
      <c r="DIO17"/>
      <c r="DIP17"/>
      <c r="DIQ17"/>
      <c r="DIR17"/>
      <c r="DIS17"/>
      <c r="DIT17"/>
      <c r="DIU17"/>
      <c r="DIV17"/>
      <c r="DIW17"/>
      <c r="DIX17"/>
      <c r="DIY17"/>
      <c r="DIZ17"/>
      <c r="DJA17"/>
      <c r="DJB17"/>
      <c r="DJC17"/>
      <c r="DJD17"/>
      <c r="DJE17"/>
      <c r="DJF17"/>
      <c r="DJG17"/>
      <c r="DJH17"/>
      <c r="DJI17"/>
      <c r="DJJ17"/>
      <c r="DJK17"/>
      <c r="DJL17"/>
      <c r="DJM17"/>
      <c r="DJN17"/>
      <c r="DJO17"/>
      <c r="DJP17"/>
      <c r="DJQ17"/>
      <c r="DJR17"/>
      <c r="DJS17"/>
      <c r="DJT17"/>
      <c r="DJU17"/>
      <c r="DJV17"/>
      <c r="DJW17"/>
      <c r="DJX17"/>
      <c r="DJY17"/>
      <c r="DJZ17"/>
      <c r="DKA17"/>
      <c r="DKB17"/>
      <c r="DKC17"/>
      <c r="DKD17"/>
      <c r="DKE17"/>
      <c r="DKF17"/>
      <c r="DKG17"/>
      <c r="DKH17"/>
      <c r="DKI17"/>
      <c r="DKJ17"/>
      <c r="DKK17"/>
      <c r="DKL17"/>
      <c r="DKM17"/>
      <c r="DKN17"/>
      <c r="DKO17"/>
      <c r="DKP17"/>
      <c r="DKQ17"/>
      <c r="DKR17"/>
      <c r="DKS17"/>
      <c r="DKT17"/>
      <c r="DKU17"/>
      <c r="DKV17"/>
      <c r="DKW17"/>
      <c r="DKX17"/>
      <c r="DKY17"/>
      <c r="DKZ17"/>
      <c r="DLA17"/>
      <c r="DLB17"/>
      <c r="DLC17"/>
      <c r="DLD17"/>
      <c r="DLE17"/>
      <c r="DLF17"/>
      <c r="DLG17"/>
      <c r="DLH17"/>
      <c r="DLI17"/>
      <c r="DLJ17"/>
      <c r="DLK17"/>
      <c r="DLL17"/>
      <c r="DLM17"/>
      <c r="DLN17"/>
      <c r="DLO17"/>
      <c r="DLP17"/>
      <c r="DLQ17"/>
      <c r="DLR17"/>
      <c r="DLS17"/>
      <c r="DLT17"/>
      <c r="DLU17"/>
      <c r="DLV17"/>
      <c r="DLW17"/>
      <c r="DLX17"/>
      <c r="DLY17"/>
      <c r="DLZ17"/>
      <c r="DMA17"/>
      <c r="DMB17"/>
      <c r="DMC17"/>
      <c r="DMD17"/>
      <c r="DME17"/>
      <c r="DMF17"/>
      <c r="DMG17"/>
      <c r="DMH17"/>
      <c r="DMI17"/>
      <c r="DMJ17"/>
      <c r="DMK17"/>
      <c r="DML17"/>
      <c r="DMM17"/>
      <c r="DMN17"/>
      <c r="DMO17"/>
      <c r="DMP17"/>
      <c r="DMQ17"/>
      <c r="DMR17"/>
      <c r="DMS17"/>
      <c r="DMT17"/>
      <c r="DMU17"/>
      <c r="DMV17"/>
      <c r="DMW17"/>
      <c r="DMX17"/>
      <c r="DMY17"/>
      <c r="DMZ17"/>
      <c r="DNA17"/>
      <c r="DNB17"/>
      <c r="DNC17"/>
      <c r="DND17"/>
      <c r="DNE17"/>
      <c r="DNF17"/>
      <c r="DNG17"/>
      <c r="DNH17"/>
      <c r="DNI17"/>
      <c r="DNJ17"/>
      <c r="DNK17"/>
      <c r="DNL17"/>
      <c r="DNM17"/>
      <c r="DNN17"/>
      <c r="DNO17"/>
      <c r="DNP17"/>
      <c r="DNQ17"/>
      <c r="DNR17"/>
      <c r="DNS17"/>
      <c r="DNT17"/>
      <c r="DNU17"/>
      <c r="DNV17"/>
      <c r="DNW17"/>
      <c r="DNX17"/>
      <c r="DNY17"/>
      <c r="DNZ17"/>
      <c r="DOA17"/>
      <c r="DOB17"/>
      <c r="DOC17"/>
      <c r="DOD17"/>
      <c r="DOE17"/>
      <c r="DOF17"/>
      <c r="DOG17"/>
      <c r="DOH17"/>
      <c r="DOI17"/>
      <c r="DOJ17"/>
      <c r="DOK17"/>
      <c r="DOL17"/>
      <c r="DOM17"/>
      <c r="DON17"/>
      <c r="DOO17"/>
      <c r="DOP17"/>
      <c r="DOQ17"/>
      <c r="DOR17"/>
      <c r="DOS17"/>
      <c r="DOT17"/>
      <c r="DOU17"/>
      <c r="DOV17"/>
      <c r="DOW17"/>
      <c r="DOX17"/>
      <c r="DOY17"/>
      <c r="DOZ17"/>
      <c r="DPA17"/>
      <c r="DPB17"/>
      <c r="DPC17"/>
      <c r="DPD17"/>
      <c r="DPE17"/>
      <c r="DPF17"/>
      <c r="DPG17"/>
      <c r="DPH17"/>
      <c r="DPI17"/>
      <c r="DPJ17"/>
      <c r="DPK17"/>
      <c r="DPL17"/>
      <c r="DPM17"/>
      <c r="DPN17"/>
      <c r="DPO17"/>
      <c r="DPP17"/>
      <c r="DPQ17"/>
      <c r="DPR17"/>
      <c r="DPS17"/>
      <c r="DPT17"/>
      <c r="DPU17"/>
      <c r="DPV17"/>
      <c r="DPW17"/>
      <c r="DPX17"/>
      <c r="DPY17"/>
      <c r="DPZ17"/>
      <c r="DQA17"/>
      <c r="DQB17"/>
      <c r="DQC17"/>
      <c r="DQD17"/>
      <c r="DQE17"/>
      <c r="DQF17"/>
      <c r="DQG17"/>
      <c r="DQH17"/>
      <c r="DQI17"/>
      <c r="DQJ17"/>
      <c r="DQK17"/>
      <c r="DQL17"/>
      <c r="DQM17"/>
      <c r="DQN17"/>
      <c r="DQO17"/>
      <c r="DQP17"/>
      <c r="DQQ17"/>
      <c r="DQR17"/>
      <c r="DQS17"/>
      <c r="DQT17"/>
      <c r="DQU17"/>
      <c r="DQV17"/>
      <c r="DQW17"/>
      <c r="DQX17"/>
      <c r="DQY17"/>
      <c r="DQZ17"/>
      <c r="DRA17"/>
      <c r="DRB17"/>
      <c r="DRC17"/>
      <c r="DRD17"/>
      <c r="DRE17"/>
      <c r="DRF17"/>
      <c r="DRG17"/>
      <c r="DRH17"/>
      <c r="DRI17"/>
      <c r="DRJ17"/>
      <c r="DRK17"/>
      <c r="DRL17"/>
      <c r="DRM17"/>
      <c r="DRN17"/>
      <c r="DRO17"/>
      <c r="DRP17"/>
      <c r="DRQ17"/>
      <c r="DRR17"/>
      <c r="DRS17"/>
      <c r="DRT17"/>
      <c r="DRU17"/>
      <c r="DRV17"/>
      <c r="DRW17"/>
      <c r="DRX17"/>
      <c r="DRY17"/>
      <c r="DRZ17"/>
      <c r="DSA17"/>
      <c r="DSB17"/>
      <c r="DSC17"/>
      <c r="DSD17"/>
      <c r="DSE17"/>
      <c r="DSF17"/>
      <c r="DSG17"/>
      <c r="DSH17"/>
      <c r="DSI17"/>
      <c r="DSJ17"/>
      <c r="DSK17"/>
      <c r="DSL17"/>
      <c r="DSM17"/>
      <c r="DSN17"/>
      <c r="DSO17"/>
      <c r="DSP17"/>
      <c r="DSQ17"/>
      <c r="DSR17"/>
      <c r="DSS17"/>
      <c r="DST17"/>
      <c r="DSU17"/>
      <c r="DSV17"/>
      <c r="DSW17"/>
      <c r="DSX17"/>
      <c r="DSY17"/>
      <c r="DSZ17"/>
      <c r="DTA17"/>
      <c r="DTB17"/>
      <c r="DTC17"/>
      <c r="DTD17"/>
      <c r="DTE17"/>
      <c r="DTF17"/>
      <c r="DTG17"/>
      <c r="DTH17"/>
      <c r="DTI17"/>
      <c r="DTJ17"/>
      <c r="DTK17"/>
      <c r="DTL17"/>
      <c r="DTM17"/>
      <c r="DTN17"/>
      <c r="DTO17"/>
      <c r="DTP17"/>
      <c r="DTQ17"/>
      <c r="DTR17"/>
      <c r="DTS17"/>
      <c r="DTT17"/>
      <c r="DTU17"/>
      <c r="DTV17"/>
      <c r="DTW17"/>
      <c r="DTX17"/>
      <c r="DTY17"/>
      <c r="DTZ17"/>
      <c r="DUA17"/>
      <c r="DUB17"/>
      <c r="DUC17"/>
      <c r="DUD17"/>
      <c r="DUE17"/>
      <c r="DUF17"/>
      <c r="DUG17"/>
      <c r="DUH17"/>
      <c r="DUI17"/>
      <c r="DUJ17"/>
      <c r="DUK17"/>
      <c r="DUL17"/>
      <c r="DUM17"/>
      <c r="DUN17"/>
      <c r="DUO17"/>
      <c r="DUP17"/>
      <c r="DUQ17"/>
      <c r="DUR17"/>
      <c r="DUS17"/>
      <c r="DUT17"/>
      <c r="DUU17"/>
      <c r="DUV17"/>
      <c r="DUW17"/>
      <c r="DUX17"/>
      <c r="DUY17"/>
      <c r="DUZ17"/>
      <c r="DVA17"/>
      <c r="DVB17"/>
      <c r="DVC17"/>
      <c r="DVD17"/>
      <c r="DVE17"/>
      <c r="DVF17"/>
      <c r="DVG17"/>
      <c r="DVH17"/>
      <c r="DVI17"/>
      <c r="DVJ17"/>
      <c r="DVK17"/>
      <c r="DVL17"/>
      <c r="DVM17"/>
      <c r="DVN17"/>
      <c r="DVO17"/>
      <c r="DVP17"/>
      <c r="DVQ17"/>
      <c r="DVR17"/>
      <c r="DVS17"/>
      <c r="DVT17"/>
      <c r="DVU17"/>
      <c r="DVV17"/>
      <c r="DVW17"/>
      <c r="DVX17"/>
      <c r="DVY17"/>
      <c r="DVZ17"/>
      <c r="DWA17"/>
      <c r="DWB17"/>
      <c r="DWC17"/>
      <c r="DWD17"/>
      <c r="DWE17"/>
      <c r="DWF17"/>
      <c r="DWG17"/>
      <c r="DWH17"/>
      <c r="DWI17"/>
      <c r="DWJ17"/>
      <c r="DWK17"/>
      <c r="DWL17"/>
      <c r="DWM17"/>
      <c r="DWN17"/>
      <c r="DWO17"/>
      <c r="DWP17"/>
      <c r="DWQ17"/>
      <c r="DWR17"/>
      <c r="DWS17"/>
      <c r="DWT17"/>
      <c r="DWU17"/>
      <c r="DWV17"/>
      <c r="DWW17"/>
      <c r="DWX17"/>
      <c r="DWY17"/>
      <c r="DWZ17"/>
      <c r="DXA17"/>
      <c r="DXB17"/>
      <c r="DXC17"/>
      <c r="DXD17"/>
      <c r="DXE17"/>
      <c r="DXF17"/>
      <c r="DXG17"/>
      <c r="DXH17"/>
      <c r="DXI17"/>
      <c r="DXJ17"/>
      <c r="DXK17"/>
      <c r="DXL17"/>
      <c r="DXM17"/>
      <c r="DXN17"/>
      <c r="DXO17"/>
      <c r="DXP17"/>
      <c r="DXQ17"/>
      <c r="DXR17"/>
      <c r="DXS17"/>
      <c r="DXT17"/>
      <c r="DXU17"/>
      <c r="DXV17"/>
      <c r="DXW17"/>
      <c r="DXX17"/>
      <c r="DXY17"/>
      <c r="DXZ17"/>
      <c r="DYA17"/>
      <c r="DYB17"/>
      <c r="DYC17"/>
      <c r="DYD17"/>
      <c r="DYE17"/>
      <c r="DYF17"/>
      <c r="DYG17"/>
      <c r="DYH17"/>
      <c r="DYI17"/>
      <c r="DYJ17"/>
      <c r="DYK17"/>
      <c r="DYL17"/>
      <c r="DYM17"/>
      <c r="DYN17"/>
      <c r="DYO17"/>
      <c r="DYP17"/>
      <c r="DYQ17"/>
      <c r="DYR17"/>
      <c r="DYS17"/>
      <c r="DYT17"/>
      <c r="DYU17"/>
      <c r="DYV17"/>
      <c r="DYW17"/>
      <c r="DYX17"/>
      <c r="DYY17"/>
      <c r="DYZ17"/>
      <c r="DZA17"/>
      <c r="DZB17"/>
      <c r="DZC17"/>
      <c r="DZD17"/>
      <c r="DZE17"/>
      <c r="DZF17"/>
      <c r="DZG17"/>
      <c r="DZH17"/>
      <c r="DZI17"/>
      <c r="DZJ17"/>
      <c r="DZK17"/>
      <c r="DZL17"/>
      <c r="DZM17"/>
      <c r="DZN17"/>
      <c r="DZO17"/>
      <c r="DZP17"/>
      <c r="DZQ17"/>
      <c r="DZR17"/>
      <c r="DZS17"/>
      <c r="DZT17"/>
      <c r="DZU17"/>
      <c r="DZV17"/>
      <c r="DZW17"/>
      <c r="DZX17"/>
      <c r="DZY17"/>
      <c r="DZZ17"/>
      <c r="EAA17"/>
      <c r="EAB17"/>
      <c r="EAC17"/>
      <c r="EAD17"/>
      <c r="EAE17"/>
      <c r="EAF17"/>
      <c r="EAG17"/>
      <c r="EAH17"/>
      <c r="EAI17"/>
      <c r="EAJ17"/>
      <c r="EAK17"/>
      <c r="EAL17"/>
      <c r="EAM17"/>
      <c r="EAN17"/>
      <c r="EAO17"/>
      <c r="EAP17"/>
      <c r="EAQ17"/>
      <c r="EAR17"/>
      <c r="EAS17"/>
      <c r="EAT17"/>
      <c r="EAU17"/>
      <c r="EAV17"/>
      <c r="EAW17"/>
      <c r="EAX17"/>
      <c r="EAY17"/>
      <c r="EAZ17"/>
      <c r="EBA17"/>
      <c r="EBB17"/>
      <c r="EBC17"/>
      <c r="EBD17"/>
      <c r="EBE17"/>
      <c r="EBF17"/>
      <c r="EBG17"/>
      <c r="EBH17"/>
      <c r="EBI17"/>
      <c r="EBJ17"/>
      <c r="EBK17"/>
      <c r="EBL17"/>
      <c r="EBM17"/>
      <c r="EBN17"/>
      <c r="EBO17"/>
      <c r="EBP17"/>
      <c r="EBQ17"/>
      <c r="EBR17"/>
      <c r="EBS17"/>
      <c r="EBT17"/>
      <c r="EBU17"/>
      <c r="EBV17"/>
      <c r="EBW17"/>
      <c r="EBX17"/>
      <c r="EBY17"/>
      <c r="EBZ17"/>
      <c r="ECA17"/>
      <c r="ECB17"/>
      <c r="ECC17"/>
      <c r="ECD17"/>
      <c r="ECE17"/>
      <c r="ECF17"/>
      <c r="ECG17"/>
      <c r="ECH17"/>
      <c r="ECI17"/>
      <c r="ECJ17"/>
      <c r="ECK17"/>
      <c r="ECL17"/>
      <c r="ECM17"/>
      <c r="ECN17"/>
      <c r="ECO17"/>
      <c r="ECP17"/>
      <c r="ECQ17"/>
      <c r="ECR17"/>
      <c r="ECS17"/>
      <c r="ECT17"/>
      <c r="ECU17"/>
      <c r="ECV17"/>
      <c r="ECW17"/>
      <c r="ECX17"/>
      <c r="ECY17"/>
      <c r="ECZ17"/>
      <c r="EDA17"/>
      <c r="EDB17"/>
      <c r="EDC17"/>
      <c r="EDD17"/>
      <c r="EDE17"/>
      <c r="EDF17"/>
      <c r="EDG17"/>
      <c r="EDH17"/>
      <c r="EDI17"/>
      <c r="EDJ17"/>
      <c r="EDK17"/>
      <c r="EDL17"/>
      <c r="EDM17"/>
      <c r="EDN17"/>
      <c r="EDO17"/>
      <c r="EDP17"/>
      <c r="EDQ17"/>
      <c r="EDR17"/>
      <c r="EDS17"/>
      <c r="EDT17"/>
      <c r="EDU17"/>
      <c r="EDV17"/>
      <c r="EDW17"/>
      <c r="EDX17"/>
      <c r="EDY17"/>
      <c r="EDZ17"/>
      <c r="EEA17"/>
      <c r="EEB17"/>
      <c r="EEC17"/>
      <c r="EED17"/>
      <c r="EEE17"/>
      <c r="EEF17"/>
      <c r="EEG17"/>
      <c r="EEH17"/>
      <c r="EEI17"/>
      <c r="EEJ17"/>
      <c r="EEK17"/>
      <c r="EEL17"/>
      <c r="EEM17"/>
      <c r="EEN17"/>
      <c r="EEO17"/>
      <c r="EEP17"/>
      <c r="EEQ17"/>
      <c r="EER17"/>
      <c r="EES17"/>
      <c r="EET17"/>
      <c r="EEU17"/>
      <c r="EEV17"/>
      <c r="EEW17"/>
      <c r="EEX17"/>
      <c r="EEY17"/>
      <c r="EEZ17"/>
      <c r="EFA17"/>
      <c r="EFB17"/>
      <c r="EFC17"/>
      <c r="EFD17"/>
      <c r="EFE17"/>
      <c r="EFF17"/>
      <c r="EFG17"/>
      <c r="EFH17"/>
      <c r="EFI17"/>
      <c r="EFJ17"/>
      <c r="EFK17"/>
      <c r="EFL17"/>
      <c r="EFM17"/>
      <c r="EFN17"/>
      <c r="EFO17"/>
      <c r="EFP17"/>
      <c r="EFQ17"/>
      <c r="EFR17"/>
      <c r="EFS17"/>
      <c r="EFT17"/>
      <c r="EFU17"/>
      <c r="EFV17"/>
      <c r="EFW17"/>
      <c r="EFX17"/>
      <c r="EFY17"/>
      <c r="EFZ17"/>
      <c r="EGA17"/>
      <c r="EGB17"/>
      <c r="EGC17"/>
      <c r="EGD17"/>
      <c r="EGE17"/>
      <c r="EGF17"/>
      <c r="EGG17"/>
      <c r="EGH17"/>
      <c r="EGI17"/>
      <c r="EGJ17"/>
      <c r="EGK17"/>
      <c r="EGL17"/>
      <c r="EGM17"/>
      <c r="EGN17"/>
      <c r="EGO17"/>
      <c r="EGP17"/>
      <c r="EGQ17"/>
      <c r="EGR17"/>
      <c r="EGS17"/>
      <c r="EGT17"/>
      <c r="EGU17"/>
      <c r="EGV17"/>
      <c r="EGW17"/>
      <c r="EGX17"/>
      <c r="EGY17"/>
      <c r="EGZ17"/>
      <c r="EHA17"/>
      <c r="EHB17"/>
      <c r="EHC17"/>
      <c r="EHD17"/>
      <c r="EHE17"/>
      <c r="EHF17"/>
      <c r="EHG17"/>
      <c r="EHH17"/>
      <c r="EHI17"/>
      <c r="EHJ17"/>
      <c r="EHK17"/>
      <c r="EHL17"/>
      <c r="EHM17"/>
      <c r="EHN17"/>
      <c r="EHO17"/>
      <c r="EHP17"/>
      <c r="EHQ17"/>
      <c r="EHR17"/>
      <c r="EHS17"/>
      <c r="EHT17"/>
      <c r="EHU17"/>
      <c r="EHV17"/>
      <c r="EHW17"/>
      <c r="EHX17"/>
      <c r="EHY17"/>
      <c r="EHZ17"/>
      <c r="EIA17"/>
      <c r="EIB17"/>
      <c r="EIC17"/>
      <c r="EID17"/>
      <c r="EIE17"/>
      <c r="EIF17"/>
      <c r="EIG17"/>
      <c r="EIH17"/>
      <c r="EII17"/>
      <c r="EIJ17"/>
      <c r="EIK17"/>
      <c r="EIL17"/>
      <c r="EIM17"/>
      <c r="EIN17"/>
      <c r="EIO17"/>
      <c r="EIP17"/>
      <c r="EIQ17"/>
      <c r="EIR17"/>
      <c r="EIS17"/>
      <c r="EIT17"/>
      <c r="EIU17"/>
      <c r="EIV17"/>
      <c r="EIW17"/>
      <c r="EIX17"/>
      <c r="EIY17"/>
      <c r="EIZ17"/>
      <c r="EJA17"/>
      <c r="EJB17"/>
      <c r="EJC17"/>
      <c r="EJD17"/>
      <c r="EJE17"/>
      <c r="EJF17"/>
      <c r="EJG17"/>
      <c r="EJH17"/>
      <c r="EJI17"/>
      <c r="EJJ17"/>
      <c r="EJK17"/>
      <c r="EJL17"/>
      <c r="EJM17"/>
      <c r="EJN17"/>
      <c r="EJO17"/>
      <c r="EJP17"/>
      <c r="EJQ17"/>
      <c r="EJR17"/>
      <c r="EJS17"/>
      <c r="EJT17"/>
      <c r="EJU17"/>
      <c r="EJV17"/>
      <c r="EJW17"/>
      <c r="EJX17"/>
      <c r="EJY17"/>
      <c r="EJZ17"/>
      <c r="EKA17"/>
      <c r="EKB17"/>
      <c r="EKC17"/>
      <c r="EKD17"/>
      <c r="EKE17"/>
      <c r="EKF17"/>
      <c r="EKG17"/>
      <c r="EKH17"/>
      <c r="EKI17"/>
      <c r="EKJ17"/>
      <c r="EKK17"/>
      <c r="EKL17"/>
      <c r="EKM17"/>
      <c r="EKN17"/>
      <c r="EKO17"/>
      <c r="EKP17"/>
      <c r="EKQ17"/>
      <c r="EKR17"/>
      <c r="EKS17"/>
      <c r="EKT17"/>
      <c r="EKU17"/>
      <c r="EKV17"/>
      <c r="EKW17"/>
      <c r="EKX17"/>
      <c r="EKY17"/>
      <c r="EKZ17"/>
      <c r="ELA17"/>
      <c r="ELB17"/>
      <c r="ELC17"/>
      <c r="ELD17"/>
      <c r="ELE17"/>
      <c r="ELF17"/>
      <c r="ELG17"/>
      <c r="ELH17"/>
      <c r="ELI17"/>
      <c r="ELJ17"/>
      <c r="ELK17"/>
      <c r="ELL17"/>
      <c r="ELM17"/>
      <c r="ELN17"/>
      <c r="ELO17"/>
      <c r="ELP17"/>
      <c r="ELQ17"/>
      <c r="ELR17"/>
      <c r="ELS17"/>
      <c r="ELT17"/>
      <c r="ELU17"/>
      <c r="ELV17"/>
      <c r="ELW17"/>
      <c r="ELX17"/>
      <c r="ELY17"/>
      <c r="ELZ17"/>
      <c r="EMA17"/>
      <c r="EMB17"/>
      <c r="EMC17"/>
      <c r="EMD17"/>
      <c r="EME17"/>
      <c r="EMF17"/>
      <c r="EMG17"/>
      <c r="EMH17"/>
      <c r="EMI17"/>
      <c r="EMJ17"/>
      <c r="EMK17"/>
      <c r="EML17"/>
      <c r="EMM17"/>
      <c r="EMN17"/>
      <c r="EMO17"/>
      <c r="EMP17"/>
      <c r="EMQ17"/>
      <c r="EMR17"/>
      <c r="EMS17"/>
      <c r="EMT17"/>
      <c r="EMU17"/>
      <c r="EMV17"/>
      <c r="EMW17"/>
      <c r="EMX17"/>
      <c r="EMY17"/>
      <c r="EMZ17"/>
      <c r="ENA17"/>
      <c r="ENB17"/>
      <c r="ENC17"/>
      <c r="END17"/>
      <c r="ENE17"/>
      <c r="ENF17"/>
      <c r="ENG17"/>
      <c r="ENH17"/>
      <c r="ENI17"/>
      <c r="ENJ17"/>
      <c r="ENK17"/>
      <c r="ENL17"/>
      <c r="ENM17"/>
      <c r="ENN17"/>
      <c r="ENO17"/>
      <c r="ENP17"/>
      <c r="ENQ17"/>
      <c r="ENR17"/>
      <c r="ENS17"/>
      <c r="ENT17"/>
      <c r="ENU17"/>
      <c r="ENV17"/>
      <c r="ENW17"/>
      <c r="ENX17"/>
      <c r="ENY17"/>
      <c r="ENZ17"/>
      <c r="EOA17"/>
      <c r="EOB17"/>
      <c r="EOC17"/>
      <c r="EOD17"/>
      <c r="EOE17"/>
      <c r="EOF17"/>
      <c r="EOG17"/>
      <c r="EOH17"/>
      <c r="EOI17"/>
      <c r="EOJ17"/>
      <c r="EOK17"/>
      <c r="EOL17"/>
      <c r="EOM17"/>
      <c r="EON17"/>
      <c r="EOO17"/>
      <c r="EOP17"/>
      <c r="EOQ17"/>
      <c r="EOR17"/>
      <c r="EOS17"/>
      <c r="EOT17"/>
      <c r="EOU17"/>
      <c r="EOV17"/>
      <c r="EOW17"/>
      <c r="EOX17"/>
      <c r="EOY17"/>
      <c r="EOZ17"/>
      <c r="EPA17"/>
      <c r="EPB17"/>
      <c r="EPC17"/>
      <c r="EPD17"/>
      <c r="EPE17"/>
      <c r="EPF17"/>
      <c r="EPG17"/>
      <c r="EPH17"/>
      <c r="EPI17"/>
      <c r="EPJ17"/>
      <c r="EPK17"/>
      <c r="EPL17"/>
      <c r="EPM17"/>
      <c r="EPN17"/>
      <c r="EPO17"/>
      <c r="EPP17"/>
      <c r="EPQ17"/>
      <c r="EPR17"/>
      <c r="EPS17"/>
      <c r="EPT17"/>
      <c r="EPU17"/>
      <c r="EPV17"/>
      <c r="EPW17"/>
      <c r="EPX17"/>
      <c r="EPY17"/>
      <c r="EPZ17"/>
      <c r="EQA17"/>
      <c r="EQB17"/>
      <c r="EQC17"/>
      <c r="EQD17"/>
      <c r="EQE17"/>
      <c r="EQF17"/>
      <c r="EQG17"/>
      <c r="EQH17"/>
      <c r="EQI17"/>
      <c r="EQJ17"/>
      <c r="EQK17"/>
      <c r="EQL17"/>
      <c r="EQM17"/>
      <c r="EQN17"/>
      <c r="EQO17"/>
      <c r="EQP17"/>
      <c r="EQQ17"/>
      <c r="EQR17"/>
      <c r="EQS17"/>
      <c r="EQT17"/>
      <c r="EQU17"/>
      <c r="EQV17"/>
      <c r="EQW17"/>
      <c r="EQX17"/>
      <c r="EQY17"/>
      <c r="EQZ17"/>
      <c r="ERA17"/>
      <c r="ERB17"/>
      <c r="ERC17"/>
      <c r="ERD17"/>
      <c r="ERE17"/>
      <c r="ERF17"/>
      <c r="ERG17"/>
      <c r="ERH17"/>
      <c r="ERI17"/>
      <c r="ERJ17"/>
      <c r="ERK17"/>
      <c r="ERL17"/>
      <c r="ERM17"/>
      <c r="ERN17"/>
      <c r="ERO17"/>
      <c r="ERP17"/>
      <c r="ERQ17"/>
      <c r="ERR17"/>
      <c r="ERS17"/>
      <c r="ERT17"/>
      <c r="ERU17"/>
      <c r="ERV17"/>
      <c r="ERW17"/>
      <c r="ERX17"/>
      <c r="ERY17"/>
      <c r="ERZ17"/>
      <c r="ESA17"/>
      <c r="ESB17"/>
      <c r="ESC17"/>
      <c r="ESD17"/>
      <c r="ESE17"/>
      <c r="ESF17"/>
      <c r="ESG17"/>
      <c r="ESH17"/>
      <c r="ESI17"/>
      <c r="ESJ17"/>
      <c r="ESK17"/>
      <c r="ESL17"/>
      <c r="ESM17"/>
      <c r="ESN17"/>
      <c r="ESO17"/>
      <c r="ESP17"/>
      <c r="ESQ17"/>
      <c r="ESR17"/>
      <c r="ESS17"/>
      <c r="EST17"/>
      <c r="ESU17"/>
      <c r="ESV17"/>
      <c r="ESW17"/>
      <c r="ESX17"/>
      <c r="ESY17"/>
      <c r="ESZ17"/>
      <c r="ETA17"/>
      <c r="ETB17"/>
      <c r="ETC17"/>
      <c r="ETD17"/>
      <c r="ETE17"/>
      <c r="ETF17"/>
      <c r="ETG17"/>
      <c r="ETH17"/>
      <c r="ETI17"/>
      <c r="ETJ17"/>
      <c r="ETK17"/>
      <c r="ETL17"/>
      <c r="ETM17"/>
      <c r="ETN17"/>
      <c r="ETO17"/>
      <c r="ETP17"/>
      <c r="ETQ17"/>
      <c r="ETR17"/>
      <c r="ETS17"/>
      <c r="ETT17"/>
      <c r="ETU17"/>
      <c r="ETV17"/>
      <c r="ETW17"/>
      <c r="ETX17"/>
      <c r="ETY17"/>
      <c r="ETZ17"/>
      <c r="EUA17"/>
      <c r="EUB17"/>
      <c r="EUC17"/>
      <c r="EUD17"/>
      <c r="EUE17"/>
      <c r="EUF17"/>
      <c r="EUG17"/>
      <c r="EUH17"/>
      <c r="EUI17"/>
      <c r="EUJ17"/>
      <c r="EUK17"/>
      <c r="EUL17"/>
      <c r="EUM17"/>
      <c r="EUN17"/>
      <c r="EUO17"/>
      <c r="EUP17"/>
      <c r="EUQ17"/>
      <c r="EUR17"/>
      <c r="EUS17"/>
      <c r="EUT17"/>
      <c r="EUU17"/>
      <c r="EUV17"/>
      <c r="EUW17"/>
      <c r="EUX17"/>
      <c r="EUY17"/>
      <c r="EUZ17"/>
      <c r="EVA17"/>
      <c r="EVB17"/>
      <c r="EVC17"/>
      <c r="EVD17"/>
      <c r="EVE17"/>
      <c r="EVF17"/>
      <c r="EVG17"/>
      <c r="EVH17"/>
      <c r="EVI17"/>
      <c r="EVJ17"/>
      <c r="EVK17"/>
      <c r="EVL17"/>
      <c r="EVM17"/>
      <c r="EVN17"/>
      <c r="EVO17"/>
      <c r="EVP17"/>
      <c r="EVQ17"/>
      <c r="EVR17"/>
      <c r="EVS17"/>
      <c r="EVT17"/>
      <c r="EVU17"/>
      <c r="EVV17"/>
      <c r="EVW17"/>
      <c r="EVX17"/>
      <c r="EVY17"/>
      <c r="EVZ17"/>
      <c r="EWA17"/>
      <c r="EWB17"/>
      <c r="EWC17"/>
      <c r="EWD17"/>
      <c r="EWE17"/>
      <c r="EWF17"/>
      <c r="EWG17"/>
      <c r="EWH17"/>
      <c r="EWI17"/>
      <c r="EWJ17"/>
      <c r="EWK17"/>
      <c r="EWL17"/>
      <c r="EWM17"/>
      <c r="EWN17"/>
      <c r="EWO17"/>
      <c r="EWP17"/>
      <c r="EWQ17"/>
      <c r="EWR17"/>
      <c r="EWS17"/>
      <c r="EWT17"/>
      <c r="EWU17"/>
      <c r="EWV17"/>
      <c r="EWW17"/>
      <c r="EWX17"/>
      <c r="EWY17"/>
      <c r="EWZ17"/>
      <c r="EXA17"/>
      <c r="EXB17"/>
      <c r="EXC17"/>
      <c r="EXD17"/>
      <c r="EXE17"/>
      <c r="EXF17"/>
      <c r="EXG17"/>
      <c r="EXH17"/>
      <c r="EXI17"/>
      <c r="EXJ17"/>
      <c r="EXK17"/>
      <c r="EXL17"/>
      <c r="EXM17"/>
      <c r="EXN17"/>
      <c r="EXO17"/>
      <c r="EXP17"/>
      <c r="EXQ17"/>
      <c r="EXR17"/>
      <c r="EXS17"/>
      <c r="EXT17"/>
      <c r="EXU17"/>
      <c r="EXV17"/>
      <c r="EXW17"/>
      <c r="EXX17"/>
      <c r="EXY17"/>
      <c r="EXZ17"/>
      <c r="EYA17"/>
      <c r="EYB17"/>
      <c r="EYC17"/>
      <c r="EYD17"/>
      <c r="EYE17"/>
      <c r="EYF17"/>
      <c r="EYG17"/>
      <c r="EYH17"/>
      <c r="EYI17"/>
      <c r="EYJ17"/>
      <c r="EYK17"/>
      <c r="EYL17"/>
      <c r="EYM17"/>
      <c r="EYN17"/>
      <c r="EYO17"/>
      <c r="EYP17"/>
      <c r="EYQ17"/>
      <c r="EYR17"/>
      <c r="EYS17"/>
      <c r="EYT17"/>
      <c r="EYU17"/>
      <c r="EYV17"/>
      <c r="EYW17"/>
      <c r="EYX17"/>
      <c r="EYY17"/>
      <c r="EYZ17"/>
      <c r="EZA17"/>
      <c r="EZB17"/>
      <c r="EZC17"/>
      <c r="EZD17"/>
      <c r="EZE17"/>
      <c r="EZF17"/>
      <c r="EZG17"/>
      <c r="EZH17"/>
      <c r="EZI17"/>
      <c r="EZJ17"/>
      <c r="EZK17"/>
      <c r="EZL17"/>
      <c r="EZM17"/>
      <c r="EZN17"/>
      <c r="EZO17"/>
      <c r="EZP17"/>
      <c r="EZQ17"/>
      <c r="EZR17"/>
      <c r="EZS17"/>
      <c r="EZT17"/>
      <c r="EZU17"/>
      <c r="EZV17"/>
      <c r="EZW17"/>
      <c r="EZX17"/>
      <c r="EZY17"/>
      <c r="EZZ17"/>
      <c r="FAA17"/>
      <c r="FAB17"/>
      <c r="FAC17"/>
      <c r="FAD17"/>
      <c r="FAE17"/>
      <c r="FAF17"/>
      <c r="FAG17"/>
      <c r="FAH17"/>
      <c r="FAI17"/>
      <c r="FAJ17"/>
      <c r="FAK17"/>
      <c r="FAL17"/>
      <c r="FAM17"/>
      <c r="FAN17"/>
      <c r="FAO17"/>
      <c r="FAP17"/>
      <c r="FAQ17"/>
      <c r="FAR17"/>
      <c r="FAS17"/>
      <c r="FAT17"/>
      <c r="FAU17"/>
      <c r="FAV17"/>
      <c r="FAW17"/>
      <c r="FAX17"/>
      <c r="FAY17"/>
      <c r="FAZ17"/>
      <c r="FBA17"/>
      <c r="FBB17"/>
      <c r="FBC17"/>
      <c r="FBD17"/>
      <c r="FBE17"/>
      <c r="FBF17"/>
      <c r="FBG17"/>
      <c r="FBH17"/>
      <c r="FBI17"/>
      <c r="FBJ17"/>
      <c r="FBK17"/>
      <c r="FBL17"/>
      <c r="FBM17"/>
      <c r="FBN17"/>
      <c r="FBO17"/>
      <c r="FBP17"/>
      <c r="FBQ17"/>
      <c r="FBR17"/>
      <c r="FBS17"/>
      <c r="FBT17"/>
      <c r="FBU17"/>
      <c r="FBV17"/>
      <c r="FBW17"/>
      <c r="FBX17"/>
      <c r="FBY17"/>
      <c r="FBZ17"/>
      <c r="FCA17"/>
      <c r="FCB17"/>
      <c r="FCC17"/>
      <c r="FCD17"/>
      <c r="FCE17"/>
      <c r="FCF17"/>
      <c r="FCG17"/>
      <c r="FCH17"/>
      <c r="FCI17"/>
      <c r="FCJ17"/>
      <c r="FCK17"/>
      <c r="FCL17"/>
      <c r="FCM17"/>
      <c r="FCN17"/>
      <c r="FCO17"/>
      <c r="FCP17"/>
      <c r="FCQ17"/>
      <c r="FCR17"/>
      <c r="FCS17"/>
      <c r="FCT17"/>
      <c r="FCU17"/>
      <c r="FCV17"/>
      <c r="FCW17"/>
      <c r="FCX17"/>
      <c r="FCY17"/>
      <c r="FCZ17"/>
      <c r="FDA17"/>
      <c r="FDB17"/>
      <c r="FDC17"/>
      <c r="FDD17"/>
      <c r="FDE17"/>
      <c r="FDF17"/>
      <c r="FDG17"/>
      <c r="FDH17"/>
      <c r="FDI17"/>
      <c r="FDJ17"/>
      <c r="FDK17"/>
      <c r="FDL17"/>
      <c r="FDM17"/>
      <c r="FDN17"/>
      <c r="FDO17"/>
      <c r="FDP17"/>
      <c r="FDQ17"/>
      <c r="FDR17"/>
      <c r="FDS17"/>
      <c r="FDT17"/>
      <c r="FDU17"/>
      <c r="FDV17"/>
      <c r="FDW17"/>
      <c r="FDX17"/>
      <c r="FDY17"/>
      <c r="FDZ17"/>
      <c r="FEA17"/>
      <c r="FEB17"/>
      <c r="FEC17"/>
      <c r="FED17"/>
      <c r="FEE17"/>
      <c r="FEF17"/>
      <c r="FEG17"/>
      <c r="FEH17"/>
      <c r="FEI17"/>
      <c r="FEJ17"/>
      <c r="FEK17"/>
      <c r="FEL17"/>
      <c r="FEM17"/>
      <c r="FEN17"/>
      <c r="FEO17"/>
      <c r="FEP17"/>
      <c r="FEQ17"/>
      <c r="FER17"/>
      <c r="FES17"/>
      <c r="FET17"/>
      <c r="FEU17"/>
      <c r="FEV17"/>
      <c r="FEW17"/>
      <c r="FEX17"/>
      <c r="FEY17"/>
      <c r="FEZ17"/>
      <c r="FFA17"/>
      <c r="FFB17"/>
      <c r="FFC17"/>
      <c r="FFD17"/>
      <c r="FFE17"/>
      <c r="FFF17"/>
      <c r="FFG17"/>
      <c r="FFH17"/>
      <c r="FFI17"/>
      <c r="FFJ17"/>
      <c r="FFK17"/>
      <c r="FFL17"/>
      <c r="FFM17"/>
      <c r="FFN17"/>
      <c r="FFO17"/>
      <c r="FFP17"/>
      <c r="FFQ17"/>
      <c r="FFR17"/>
      <c r="FFS17"/>
      <c r="FFT17"/>
      <c r="FFU17"/>
      <c r="FFV17"/>
      <c r="FFW17"/>
      <c r="FFX17"/>
      <c r="FFY17"/>
      <c r="FFZ17"/>
      <c r="FGA17"/>
      <c r="FGB17"/>
      <c r="FGC17"/>
      <c r="FGD17"/>
      <c r="FGE17"/>
      <c r="FGF17"/>
      <c r="FGG17"/>
      <c r="FGH17"/>
      <c r="FGI17"/>
      <c r="FGJ17"/>
      <c r="FGK17"/>
      <c r="FGL17"/>
      <c r="FGM17"/>
      <c r="FGN17"/>
      <c r="FGO17"/>
      <c r="FGP17"/>
      <c r="FGQ17"/>
      <c r="FGR17"/>
      <c r="FGS17"/>
      <c r="FGT17"/>
      <c r="FGU17"/>
      <c r="FGV17"/>
      <c r="FGW17"/>
      <c r="FGX17"/>
      <c r="FGY17"/>
      <c r="FGZ17"/>
      <c r="FHA17"/>
      <c r="FHB17"/>
      <c r="FHC17"/>
      <c r="FHD17"/>
      <c r="FHE17"/>
      <c r="FHF17"/>
      <c r="FHG17"/>
      <c r="FHH17"/>
      <c r="FHI17"/>
      <c r="FHJ17"/>
      <c r="FHK17"/>
      <c r="FHL17"/>
      <c r="FHM17"/>
      <c r="FHN17"/>
      <c r="FHO17"/>
      <c r="FHP17"/>
      <c r="FHQ17"/>
      <c r="FHR17"/>
      <c r="FHS17"/>
      <c r="FHT17"/>
      <c r="FHU17"/>
      <c r="FHV17"/>
      <c r="FHW17"/>
      <c r="FHX17"/>
      <c r="FHY17"/>
      <c r="FHZ17"/>
      <c r="FIA17"/>
      <c r="FIB17"/>
      <c r="FIC17"/>
      <c r="FID17"/>
      <c r="FIE17"/>
      <c r="FIF17"/>
      <c r="FIG17"/>
      <c r="FIH17"/>
      <c r="FII17"/>
      <c r="FIJ17"/>
      <c r="FIK17"/>
      <c r="FIL17"/>
      <c r="FIM17"/>
      <c r="FIN17"/>
      <c r="FIO17"/>
      <c r="FIP17"/>
      <c r="FIQ17"/>
      <c r="FIR17"/>
      <c r="FIS17"/>
      <c r="FIT17"/>
      <c r="FIU17"/>
      <c r="FIV17"/>
      <c r="FIW17"/>
      <c r="FIX17"/>
      <c r="FIY17"/>
      <c r="FIZ17"/>
      <c r="FJA17"/>
      <c r="FJB17"/>
      <c r="FJC17"/>
      <c r="FJD17"/>
      <c r="FJE17"/>
      <c r="FJF17"/>
      <c r="FJG17"/>
      <c r="FJH17"/>
      <c r="FJI17"/>
      <c r="FJJ17"/>
      <c r="FJK17"/>
      <c r="FJL17"/>
      <c r="FJM17"/>
      <c r="FJN17"/>
      <c r="FJO17"/>
      <c r="FJP17"/>
      <c r="FJQ17"/>
      <c r="FJR17"/>
      <c r="FJS17"/>
      <c r="FJT17"/>
      <c r="FJU17"/>
      <c r="FJV17"/>
      <c r="FJW17"/>
      <c r="FJX17"/>
      <c r="FJY17"/>
      <c r="FJZ17"/>
      <c r="FKA17"/>
      <c r="FKB17"/>
      <c r="FKC17"/>
      <c r="FKD17"/>
      <c r="FKE17"/>
      <c r="FKF17"/>
      <c r="FKG17"/>
      <c r="FKH17"/>
      <c r="FKI17"/>
      <c r="FKJ17"/>
      <c r="FKK17"/>
      <c r="FKL17"/>
      <c r="FKM17"/>
      <c r="FKN17"/>
      <c r="FKO17"/>
      <c r="FKP17"/>
      <c r="FKQ17"/>
      <c r="FKR17"/>
      <c r="FKS17"/>
      <c r="FKT17"/>
      <c r="FKU17"/>
      <c r="FKV17"/>
      <c r="FKW17"/>
      <c r="FKX17"/>
      <c r="FKY17"/>
      <c r="FKZ17"/>
      <c r="FLA17"/>
      <c r="FLB17"/>
      <c r="FLC17"/>
      <c r="FLD17"/>
      <c r="FLE17"/>
      <c r="FLF17"/>
      <c r="FLG17"/>
      <c r="FLH17"/>
      <c r="FLI17"/>
      <c r="FLJ17"/>
      <c r="FLK17"/>
      <c r="FLL17"/>
      <c r="FLM17"/>
      <c r="FLN17"/>
      <c r="FLO17"/>
      <c r="FLP17"/>
      <c r="FLQ17"/>
      <c r="FLR17"/>
      <c r="FLS17"/>
      <c r="FLT17"/>
      <c r="FLU17"/>
      <c r="FLV17"/>
      <c r="FLW17"/>
      <c r="FLX17"/>
      <c r="FLY17"/>
      <c r="FLZ17"/>
      <c r="FMA17"/>
      <c r="FMB17"/>
      <c r="FMC17"/>
      <c r="FMD17"/>
      <c r="FME17"/>
      <c r="FMF17"/>
      <c r="FMG17"/>
      <c r="FMH17"/>
      <c r="FMI17"/>
      <c r="FMJ17"/>
      <c r="FMK17"/>
      <c r="FML17"/>
      <c r="FMM17"/>
      <c r="FMN17"/>
      <c r="FMO17"/>
      <c r="FMP17"/>
      <c r="FMQ17"/>
      <c r="FMR17"/>
      <c r="FMS17"/>
      <c r="FMT17"/>
      <c r="FMU17"/>
      <c r="FMV17"/>
      <c r="FMW17"/>
      <c r="FMX17"/>
      <c r="FMY17"/>
      <c r="FMZ17"/>
      <c r="FNA17"/>
      <c r="FNB17"/>
      <c r="FNC17"/>
      <c r="FND17"/>
      <c r="FNE17"/>
      <c r="FNF17"/>
      <c r="FNG17"/>
      <c r="FNH17"/>
      <c r="FNI17"/>
      <c r="FNJ17"/>
      <c r="FNK17"/>
      <c r="FNL17"/>
      <c r="FNM17"/>
      <c r="FNN17"/>
      <c r="FNO17"/>
      <c r="FNP17"/>
      <c r="FNQ17"/>
      <c r="FNR17"/>
      <c r="FNS17"/>
      <c r="FNT17"/>
      <c r="FNU17"/>
      <c r="FNV17"/>
      <c r="FNW17"/>
      <c r="FNX17"/>
      <c r="FNY17"/>
      <c r="FNZ17"/>
      <c r="FOA17"/>
      <c r="FOB17"/>
      <c r="FOC17"/>
      <c r="FOD17"/>
      <c r="FOE17"/>
      <c r="FOF17"/>
      <c r="FOG17"/>
      <c r="FOH17"/>
      <c r="FOI17"/>
      <c r="FOJ17"/>
      <c r="FOK17"/>
      <c r="FOL17"/>
      <c r="FOM17"/>
      <c r="FON17"/>
      <c r="FOO17"/>
      <c r="FOP17"/>
      <c r="FOQ17"/>
      <c r="FOR17"/>
      <c r="FOS17"/>
      <c r="FOT17"/>
      <c r="FOU17"/>
      <c r="FOV17"/>
      <c r="FOW17"/>
      <c r="FOX17"/>
      <c r="FOY17"/>
      <c r="FOZ17"/>
      <c r="FPA17"/>
      <c r="FPB17"/>
      <c r="FPC17"/>
      <c r="FPD17"/>
      <c r="FPE17"/>
      <c r="FPF17"/>
      <c r="FPG17"/>
      <c r="FPH17"/>
      <c r="FPI17"/>
      <c r="FPJ17"/>
      <c r="FPK17"/>
      <c r="FPL17"/>
      <c r="FPM17"/>
      <c r="FPN17"/>
      <c r="FPO17"/>
      <c r="FPP17"/>
      <c r="FPQ17"/>
      <c r="FPR17"/>
      <c r="FPS17"/>
      <c r="FPT17"/>
      <c r="FPU17"/>
      <c r="FPV17"/>
      <c r="FPW17"/>
      <c r="FPX17"/>
      <c r="FPY17"/>
      <c r="FPZ17"/>
      <c r="FQA17"/>
      <c r="FQB17"/>
      <c r="FQC17"/>
      <c r="FQD17"/>
      <c r="FQE17"/>
      <c r="FQF17"/>
      <c r="FQG17"/>
      <c r="FQH17"/>
      <c r="FQI17"/>
      <c r="FQJ17"/>
      <c r="FQK17"/>
      <c r="FQL17"/>
      <c r="FQM17"/>
      <c r="FQN17"/>
      <c r="FQO17"/>
      <c r="FQP17"/>
      <c r="FQQ17"/>
      <c r="FQR17"/>
      <c r="FQS17"/>
      <c r="FQT17"/>
      <c r="FQU17"/>
      <c r="FQV17"/>
      <c r="FQW17"/>
      <c r="FQX17"/>
      <c r="FQY17"/>
      <c r="FQZ17"/>
      <c r="FRA17"/>
      <c r="FRB17"/>
      <c r="FRC17"/>
      <c r="FRD17"/>
      <c r="FRE17"/>
      <c r="FRF17"/>
      <c r="FRG17"/>
      <c r="FRH17"/>
      <c r="FRI17"/>
      <c r="FRJ17"/>
      <c r="FRK17"/>
      <c r="FRL17"/>
      <c r="FRM17"/>
      <c r="FRN17"/>
      <c r="FRO17"/>
      <c r="FRP17"/>
      <c r="FRQ17"/>
      <c r="FRR17"/>
      <c r="FRS17"/>
      <c r="FRT17"/>
      <c r="FRU17"/>
      <c r="FRV17"/>
      <c r="FRW17"/>
      <c r="FRX17"/>
      <c r="FRY17"/>
      <c r="FRZ17"/>
      <c r="FSA17"/>
      <c r="FSB17"/>
      <c r="FSC17"/>
      <c r="FSD17"/>
      <c r="FSE17"/>
      <c r="FSF17"/>
      <c r="FSG17"/>
      <c r="FSH17"/>
      <c r="FSI17"/>
      <c r="FSJ17"/>
      <c r="FSK17"/>
      <c r="FSL17"/>
      <c r="FSM17"/>
      <c r="FSN17"/>
      <c r="FSO17"/>
      <c r="FSP17"/>
      <c r="FSQ17"/>
      <c r="FSR17"/>
      <c r="FSS17"/>
      <c r="FST17"/>
      <c r="FSU17"/>
      <c r="FSV17"/>
      <c r="FSW17"/>
      <c r="FSX17"/>
      <c r="FSY17"/>
      <c r="FSZ17"/>
      <c r="FTA17"/>
      <c r="FTB17"/>
      <c r="FTC17"/>
      <c r="FTD17"/>
      <c r="FTE17"/>
      <c r="FTF17"/>
      <c r="FTG17"/>
      <c r="FTH17"/>
      <c r="FTI17"/>
      <c r="FTJ17"/>
      <c r="FTK17"/>
      <c r="FTL17"/>
      <c r="FTM17"/>
      <c r="FTN17"/>
      <c r="FTO17"/>
      <c r="FTP17"/>
      <c r="FTQ17"/>
      <c r="FTR17"/>
      <c r="FTS17"/>
      <c r="FTT17"/>
      <c r="FTU17"/>
      <c r="FTV17"/>
      <c r="FTW17"/>
      <c r="FTX17"/>
      <c r="FTY17"/>
      <c r="FTZ17"/>
      <c r="FUA17"/>
      <c r="FUB17"/>
      <c r="FUC17"/>
      <c r="FUD17"/>
      <c r="FUE17"/>
      <c r="FUF17"/>
      <c r="FUG17"/>
      <c r="FUH17"/>
      <c r="FUI17"/>
      <c r="FUJ17"/>
      <c r="FUK17"/>
      <c r="FUL17"/>
      <c r="FUM17"/>
      <c r="FUN17"/>
      <c r="FUO17"/>
      <c r="FUP17"/>
      <c r="FUQ17"/>
      <c r="FUR17"/>
      <c r="FUS17"/>
      <c r="FUT17"/>
      <c r="FUU17"/>
      <c r="FUV17"/>
      <c r="FUW17"/>
      <c r="FUX17"/>
      <c r="FUY17"/>
      <c r="FUZ17"/>
      <c r="FVA17"/>
      <c r="FVB17"/>
      <c r="FVC17"/>
      <c r="FVD17"/>
      <c r="FVE17"/>
      <c r="FVF17"/>
      <c r="FVG17"/>
      <c r="FVH17"/>
      <c r="FVI17"/>
      <c r="FVJ17"/>
      <c r="FVK17"/>
      <c r="FVL17"/>
      <c r="FVM17"/>
      <c r="FVN17"/>
      <c r="FVO17"/>
      <c r="FVP17"/>
      <c r="FVQ17"/>
      <c r="FVR17"/>
      <c r="FVS17"/>
      <c r="FVT17"/>
      <c r="FVU17"/>
      <c r="FVV17"/>
      <c r="FVW17"/>
      <c r="FVX17"/>
      <c r="FVY17"/>
      <c r="FVZ17"/>
      <c r="FWA17"/>
      <c r="FWB17"/>
      <c r="FWC17"/>
      <c r="FWD17"/>
      <c r="FWE17"/>
      <c r="FWF17"/>
      <c r="FWG17"/>
      <c r="FWH17"/>
      <c r="FWI17"/>
      <c r="FWJ17"/>
      <c r="FWK17"/>
      <c r="FWL17"/>
      <c r="FWM17"/>
      <c r="FWN17"/>
      <c r="FWO17"/>
      <c r="FWP17"/>
      <c r="FWQ17"/>
      <c r="FWR17"/>
      <c r="FWS17"/>
      <c r="FWT17"/>
      <c r="FWU17"/>
      <c r="FWV17"/>
      <c r="FWW17"/>
      <c r="FWX17"/>
      <c r="FWY17"/>
      <c r="FWZ17"/>
      <c r="FXA17"/>
      <c r="FXB17"/>
      <c r="FXC17"/>
      <c r="FXD17"/>
      <c r="FXE17"/>
      <c r="FXF17"/>
      <c r="FXG17"/>
      <c r="FXH17"/>
      <c r="FXI17"/>
      <c r="FXJ17"/>
      <c r="FXK17"/>
      <c r="FXL17"/>
      <c r="FXM17"/>
      <c r="FXN17"/>
      <c r="FXO17"/>
      <c r="FXP17"/>
      <c r="FXQ17"/>
      <c r="FXR17"/>
      <c r="FXS17"/>
      <c r="FXT17"/>
      <c r="FXU17"/>
      <c r="FXV17"/>
      <c r="FXW17"/>
      <c r="FXX17"/>
      <c r="FXY17"/>
      <c r="FXZ17"/>
      <c r="FYA17"/>
      <c r="FYB17"/>
      <c r="FYC17"/>
      <c r="FYD17"/>
      <c r="FYE17"/>
      <c r="FYF17"/>
      <c r="FYG17"/>
      <c r="FYH17"/>
      <c r="FYI17"/>
      <c r="FYJ17"/>
      <c r="FYK17"/>
      <c r="FYL17"/>
      <c r="FYM17"/>
      <c r="FYN17"/>
      <c r="FYO17"/>
      <c r="FYP17"/>
      <c r="FYQ17"/>
      <c r="FYR17"/>
      <c r="FYS17"/>
      <c r="FYT17"/>
      <c r="FYU17"/>
      <c r="FYV17"/>
      <c r="FYW17"/>
      <c r="FYX17"/>
      <c r="FYY17"/>
      <c r="FYZ17"/>
      <c r="FZA17"/>
      <c r="FZB17"/>
      <c r="FZC17"/>
      <c r="FZD17"/>
      <c r="FZE17"/>
      <c r="FZF17"/>
      <c r="FZG17"/>
      <c r="FZH17"/>
      <c r="FZI17"/>
      <c r="FZJ17"/>
      <c r="FZK17"/>
      <c r="FZL17"/>
      <c r="FZM17"/>
      <c r="FZN17"/>
      <c r="FZO17"/>
      <c r="FZP17"/>
      <c r="FZQ17"/>
      <c r="FZR17"/>
      <c r="FZS17"/>
      <c r="FZT17"/>
      <c r="FZU17"/>
      <c r="FZV17"/>
      <c r="FZW17"/>
      <c r="FZX17"/>
      <c r="FZY17"/>
      <c r="FZZ17"/>
      <c r="GAA17"/>
      <c r="GAB17"/>
      <c r="GAC17"/>
      <c r="GAD17"/>
      <c r="GAE17"/>
      <c r="GAF17"/>
      <c r="GAG17"/>
      <c r="GAH17"/>
      <c r="GAI17"/>
      <c r="GAJ17"/>
      <c r="GAK17"/>
      <c r="GAL17"/>
      <c r="GAM17"/>
      <c r="GAN17"/>
      <c r="GAO17"/>
      <c r="GAP17"/>
      <c r="GAQ17"/>
      <c r="GAR17"/>
      <c r="GAS17"/>
      <c r="GAT17"/>
      <c r="GAU17"/>
      <c r="GAV17"/>
      <c r="GAW17"/>
      <c r="GAX17"/>
      <c r="GAY17"/>
      <c r="GAZ17"/>
      <c r="GBA17"/>
      <c r="GBB17"/>
      <c r="GBC17"/>
      <c r="GBD17"/>
      <c r="GBE17"/>
      <c r="GBF17"/>
      <c r="GBG17"/>
      <c r="GBH17"/>
      <c r="GBI17"/>
      <c r="GBJ17"/>
      <c r="GBK17"/>
      <c r="GBL17"/>
      <c r="GBM17"/>
      <c r="GBN17"/>
      <c r="GBO17"/>
      <c r="GBP17"/>
      <c r="GBQ17"/>
      <c r="GBR17"/>
      <c r="GBS17"/>
      <c r="GBT17"/>
      <c r="GBU17"/>
      <c r="GBV17"/>
      <c r="GBW17"/>
      <c r="GBX17"/>
      <c r="GBY17"/>
      <c r="GBZ17"/>
      <c r="GCA17"/>
      <c r="GCB17"/>
      <c r="GCC17"/>
      <c r="GCD17"/>
      <c r="GCE17"/>
      <c r="GCF17"/>
      <c r="GCG17"/>
      <c r="GCH17"/>
      <c r="GCI17"/>
      <c r="GCJ17"/>
      <c r="GCK17"/>
      <c r="GCL17"/>
      <c r="GCM17"/>
      <c r="GCN17"/>
      <c r="GCO17"/>
      <c r="GCP17"/>
      <c r="GCQ17"/>
      <c r="GCR17"/>
      <c r="GCS17"/>
      <c r="GCT17"/>
      <c r="GCU17"/>
      <c r="GCV17"/>
      <c r="GCW17"/>
      <c r="GCX17"/>
      <c r="GCY17"/>
      <c r="GCZ17"/>
      <c r="GDA17"/>
      <c r="GDB17"/>
      <c r="GDC17"/>
      <c r="GDD17"/>
      <c r="GDE17"/>
      <c r="GDF17"/>
      <c r="GDG17"/>
      <c r="GDH17"/>
      <c r="GDI17"/>
      <c r="GDJ17"/>
      <c r="GDK17"/>
      <c r="GDL17"/>
      <c r="GDM17"/>
      <c r="GDN17"/>
      <c r="GDO17"/>
      <c r="GDP17"/>
      <c r="GDQ17"/>
      <c r="GDR17"/>
      <c r="GDS17"/>
      <c r="GDT17"/>
      <c r="GDU17"/>
      <c r="GDV17"/>
      <c r="GDW17"/>
      <c r="GDX17"/>
      <c r="GDY17"/>
      <c r="GDZ17"/>
      <c r="GEA17"/>
      <c r="GEB17"/>
      <c r="GEC17"/>
      <c r="GED17"/>
      <c r="GEE17"/>
      <c r="GEF17"/>
      <c r="GEG17"/>
      <c r="GEH17"/>
      <c r="GEI17"/>
      <c r="GEJ17"/>
      <c r="GEK17"/>
      <c r="GEL17"/>
      <c r="GEM17"/>
      <c r="GEN17"/>
      <c r="GEO17"/>
      <c r="GEP17"/>
      <c r="GEQ17"/>
      <c r="GER17"/>
      <c r="GES17"/>
      <c r="GET17"/>
      <c r="GEU17"/>
      <c r="GEV17"/>
      <c r="GEW17"/>
      <c r="GEX17"/>
      <c r="GEY17"/>
      <c r="GEZ17"/>
      <c r="GFA17"/>
      <c r="GFB17"/>
      <c r="GFC17"/>
      <c r="GFD17"/>
      <c r="GFE17"/>
      <c r="GFF17"/>
      <c r="GFG17"/>
      <c r="GFH17"/>
      <c r="GFI17"/>
      <c r="GFJ17"/>
      <c r="GFK17"/>
      <c r="GFL17"/>
      <c r="GFM17"/>
      <c r="GFN17"/>
      <c r="GFO17"/>
      <c r="GFP17"/>
      <c r="GFQ17"/>
      <c r="GFR17"/>
      <c r="GFS17"/>
      <c r="GFT17"/>
      <c r="GFU17"/>
      <c r="GFV17"/>
      <c r="GFW17"/>
      <c r="GFX17"/>
      <c r="GFY17"/>
      <c r="GFZ17"/>
      <c r="GGA17"/>
      <c r="GGB17"/>
      <c r="GGC17"/>
      <c r="GGD17"/>
      <c r="GGE17"/>
      <c r="GGF17"/>
      <c r="GGG17"/>
      <c r="GGH17"/>
      <c r="GGI17"/>
      <c r="GGJ17"/>
      <c r="GGK17"/>
      <c r="GGL17"/>
      <c r="GGM17"/>
      <c r="GGN17"/>
      <c r="GGO17"/>
      <c r="GGP17"/>
      <c r="GGQ17"/>
      <c r="GGR17"/>
      <c r="GGS17"/>
      <c r="GGT17"/>
      <c r="GGU17"/>
      <c r="GGV17"/>
      <c r="GGW17"/>
      <c r="GGX17"/>
      <c r="GGY17"/>
      <c r="GGZ17"/>
      <c r="GHA17"/>
      <c r="GHB17"/>
      <c r="GHC17"/>
      <c r="GHD17"/>
      <c r="GHE17"/>
      <c r="GHF17"/>
      <c r="GHG17"/>
      <c r="GHH17"/>
      <c r="GHI17"/>
      <c r="GHJ17"/>
      <c r="GHK17"/>
      <c r="GHL17"/>
      <c r="GHM17"/>
      <c r="GHN17"/>
      <c r="GHO17"/>
      <c r="GHP17"/>
      <c r="GHQ17"/>
      <c r="GHR17"/>
      <c r="GHS17"/>
      <c r="GHT17"/>
      <c r="GHU17"/>
      <c r="GHV17"/>
      <c r="GHW17"/>
      <c r="GHX17"/>
      <c r="GHY17"/>
      <c r="GHZ17"/>
      <c r="GIA17"/>
      <c r="GIB17"/>
      <c r="GIC17"/>
      <c r="GID17"/>
      <c r="GIE17"/>
      <c r="GIF17"/>
      <c r="GIG17"/>
      <c r="GIH17"/>
      <c r="GII17"/>
      <c r="GIJ17"/>
      <c r="GIK17"/>
      <c r="GIL17"/>
      <c r="GIM17"/>
      <c r="GIN17"/>
      <c r="GIO17"/>
      <c r="GIP17"/>
      <c r="GIQ17"/>
      <c r="GIR17"/>
      <c r="GIS17"/>
      <c r="GIT17"/>
      <c r="GIU17"/>
      <c r="GIV17"/>
      <c r="GIW17"/>
      <c r="GIX17"/>
      <c r="GIY17"/>
      <c r="GIZ17"/>
      <c r="GJA17"/>
      <c r="GJB17"/>
      <c r="GJC17"/>
      <c r="GJD17"/>
      <c r="GJE17"/>
      <c r="GJF17"/>
      <c r="GJG17"/>
      <c r="GJH17"/>
      <c r="GJI17"/>
      <c r="GJJ17"/>
      <c r="GJK17"/>
      <c r="GJL17"/>
      <c r="GJM17"/>
      <c r="GJN17"/>
      <c r="GJO17"/>
      <c r="GJP17"/>
      <c r="GJQ17"/>
      <c r="GJR17"/>
      <c r="GJS17"/>
      <c r="GJT17"/>
      <c r="GJU17"/>
      <c r="GJV17"/>
      <c r="GJW17"/>
      <c r="GJX17"/>
      <c r="GJY17"/>
      <c r="GJZ17"/>
      <c r="GKA17"/>
      <c r="GKB17"/>
      <c r="GKC17"/>
      <c r="GKD17"/>
      <c r="GKE17"/>
      <c r="GKF17"/>
      <c r="GKG17"/>
      <c r="GKH17"/>
      <c r="GKI17"/>
      <c r="GKJ17"/>
      <c r="GKK17"/>
      <c r="GKL17"/>
      <c r="GKM17"/>
      <c r="GKN17"/>
      <c r="GKO17"/>
      <c r="GKP17"/>
      <c r="GKQ17"/>
      <c r="GKR17"/>
      <c r="GKS17"/>
      <c r="GKT17"/>
      <c r="GKU17"/>
      <c r="GKV17"/>
      <c r="GKW17"/>
      <c r="GKX17"/>
      <c r="GKY17"/>
      <c r="GKZ17"/>
      <c r="GLA17"/>
      <c r="GLB17"/>
      <c r="GLC17"/>
      <c r="GLD17"/>
      <c r="GLE17"/>
      <c r="GLF17"/>
      <c r="GLG17"/>
      <c r="GLH17"/>
      <c r="GLI17"/>
      <c r="GLJ17"/>
      <c r="GLK17"/>
      <c r="GLL17"/>
      <c r="GLM17"/>
      <c r="GLN17"/>
      <c r="GLO17"/>
      <c r="GLP17"/>
      <c r="GLQ17"/>
      <c r="GLR17"/>
      <c r="GLS17"/>
      <c r="GLT17"/>
      <c r="GLU17"/>
      <c r="GLV17"/>
      <c r="GLW17"/>
      <c r="GLX17"/>
      <c r="GLY17"/>
      <c r="GLZ17"/>
      <c r="GMA17"/>
      <c r="GMB17"/>
      <c r="GMC17"/>
      <c r="GMD17"/>
      <c r="GME17"/>
      <c r="GMF17"/>
      <c r="GMG17"/>
      <c r="GMH17"/>
      <c r="GMI17"/>
      <c r="GMJ17"/>
      <c r="GMK17"/>
      <c r="GML17"/>
      <c r="GMM17"/>
      <c r="GMN17"/>
      <c r="GMO17"/>
      <c r="GMP17"/>
      <c r="GMQ17"/>
      <c r="GMR17"/>
      <c r="GMS17"/>
      <c r="GMT17"/>
      <c r="GMU17"/>
      <c r="GMV17"/>
      <c r="GMW17"/>
      <c r="GMX17"/>
      <c r="GMY17"/>
      <c r="GMZ17"/>
      <c r="GNA17"/>
      <c r="GNB17"/>
      <c r="GNC17"/>
      <c r="GND17"/>
      <c r="GNE17"/>
      <c r="GNF17"/>
      <c r="GNG17"/>
      <c r="GNH17"/>
      <c r="GNI17"/>
      <c r="GNJ17"/>
      <c r="GNK17"/>
      <c r="GNL17"/>
      <c r="GNM17"/>
      <c r="GNN17"/>
      <c r="GNO17"/>
      <c r="GNP17"/>
      <c r="GNQ17"/>
      <c r="GNR17"/>
      <c r="GNS17"/>
      <c r="GNT17"/>
      <c r="GNU17"/>
      <c r="GNV17"/>
      <c r="GNW17"/>
      <c r="GNX17"/>
      <c r="GNY17"/>
      <c r="GNZ17"/>
      <c r="GOA17"/>
      <c r="GOB17"/>
      <c r="GOC17"/>
      <c r="GOD17"/>
      <c r="GOE17"/>
      <c r="GOF17"/>
      <c r="GOG17"/>
      <c r="GOH17"/>
      <c r="GOI17"/>
      <c r="GOJ17"/>
      <c r="GOK17"/>
      <c r="GOL17"/>
      <c r="GOM17"/>
      <c r="GON17"/>
      <c r="GOO17"/>
      <c r="GOP17"/>
      <c r="GOQ17"/>
      <c r="GOR17"/>
      <c r="GOS17"/>
      <c r="GOT17"/>
      <c r="GOU17"/>
      <c r="GOV17"/>
      <c r="GOW17"/>
      <c r="GOX17"/>
      <c r="GOY17"/>
      <c r="GOZ17"/>
      <c r="GPA17"/>
      <c r="GPB17"/>
      <c r="GPC17"/>
      <c r="GPD17"/>
      <c r="GPE17"/>
      <c r="GPF17"/>
      <c r="GPG17"/>
      <c r="GPH17"/>
      <c r="GPI17"/>
      <c r="GPJ17"/>
      <c r="GPK17"/>
      <c r="GPL17"/>
      <c r="GPM17"/>
      <c r="GPN17"/>
      <c r="GPO17"/>
      <c r="GPP17"/>
      <c r="GPQ17"/>
      <c r="GPR17"/>
      <c r="GPS17"/>
      <c r="GPT17"/>
      <c r="GPU17"/>
      <c r="GPV17"/>
      <c r="GPW17"/>
      <c r="GPX17"/>
      <c r="GPY17"/>
      <c r="GPZ17"/>
      <c r="GQA17"/>
      <c r="GQB17"/>
      <c r="GQC17"/>
      <c r="GQD17"/>
      <c r="GQE17"/>
      <c r="GQF17"/>
      <c r="GQG17"/>
      <c r="GQH17"/>
      <c r="GQI17"/>
      <c r="GQJ17"/>
      <c r="GQK17"/>
      <c r="GQL17"/>
      <c r="GQM17"/>
      <c r="GQN17"/>
      <c r="GQO17"/>
      <c r="GQP17"/>
      <c r="GQQ17"/>
      <c r="GQR17"/>
      <c r="GQS17"/>
      <c r="GQT17"/>
      <c r="GQU17"/>
      <c r="GQV17"/>
      <c r="GQW17"/>
      <c r="GQX17"/>
      <c r="GQY17"/>
      <c r="GQZ17"/>
      <c r="GRA17"/>
      <c r="GRB17"/>
      <c r="GRC17"/>
      <c r="GRD17"/>
      <c r="GRE17"/>
      <c r="GRF17"/>
      <c r="GRG17"/>
      <c r="GRH17"/>
      <c r="GRI17"/>
      <c r="GRJ17"/>
      <c r="GRK17"/>
      <c r="GRL17"/>
      <c r="GRM17"/>
      <c r="GRN17"/>
      <c r="GRO17"/>
      <c r="GRP17"/>
      <c r="GRQ17"/>
      <c r="GRR17"/>
      <c r="GRS17"/>
      <c r="GRT17"/>
      <c r="GRU17"/>
      <c r="GRV17"/>
      <c r="GRW17"/>
      <c r="GRX17"/>
      <c r="GRY17"/>
      <c r="GRZ17"/>
      <c r="GSA17"/>
      <c r="GSB17"/>
      <c r="GSC17"/>
      <c r="GSD17"/>
      <c r="GSE17"/>
      <c r="GSF17"/>
      <c r="GSG17"/>
      <c r="GSH17"/>
      <c r="GSI17"/>
      <c r="GSJ17"/>
      <c r="GSK17"/>
      <c r="GSL17"/>
      <c r="GSM17"/>
      <c r="GSN17"/>
      <c r="GSO17"/>
      <c r="GSP17"/>
      <c r="GSQ17"/>
      <c r="GSR17"/>
      <c r="GSS17"/>
      <c r="GST17"/>
      <c r="GSU17"/>
      <c r="GSV17"/>
      <c r="GSW17"/>
      <c r="GSX17"/>
      <c r="GSY17"/>
      <c r="GSZ17"/>
      <c r="GTA17"/>
      <c r="GTB17"/>
      <c r="GTC17"/>
      <c r="GTD17"/>
      <c r="GTE17"/>
      <c r="GTF17"/>
      <c r="GTG17"/>
      <c r="GTH17"/>
      <c r="GTI17"/>
      <c r="GTJ17"/>
      <c r="GTK17"/>
      <c r="GTL17"/>
      <c r="GTM17"/>
      <c r="GTN17"/>
      <c r="GTO17"/>
      <c r="GTP17"/>
      <c r="GTQ17"/>
      <c r="GTR17"/>
      <c r="GTS17"/>
      <c r="GTT17"/>
      <c r="GTU17"/>
      <c r="GTV17"/>
      <c r="GTW17"/>
      <c r="GTX17"/>
      <c r="GTY17"/>
      <c r="GTZ17"/>
      <c r="GUA17"/>
      <c r="GUB17"/>
      <c r="GUC17"/>
      <c r="GUD17"/>
      <c r="GUE17"/>
      <c r="GUF17"/>
      <c r="GUG17"/>
      <c r="GUH17"/>
      <c r="GUI17"/>
      <c r="GUJ17"/>
      <c r="GUK17"/>
      <c r="GUL17"/>
      <c r="GUM17"/>
      <c r="GUN17"/>
      <c r="GUO17"/>
      <c r="GUP17"/>
      <c r="GUQ17"/>
      <c r="GUR17"/>
      <c r="GUS17"/>
      <c r="GUT17"/>
      <c r="GUU17"/>
      <c r="GUV17"/>
      <c r="GUW17"/>
      <c r="GUX17"/>
      <c r="GUY17"/>
      <c r="GUZ17"/>
      <c r="GVA17"/>
      <c r="GVB17"/>
      <c r="GVC17"/>
      <c r="GVD17"/>
      <c r="GVE17"/>
      <c r="GVF17"/>
      <c r="GVG17"/>
      <c r="GVH17"/>
      <c r="GVI17"/>
      <c r="GVJ17"/>
      <c r="GVK17"/>
      <c r="GVL17"/>
      <c r="GVM17"/>
      <c r="GVN17"/>
      <c r="GVO17"/>
      <c r="GVP17"/>
      <c r="GVQ17"/>
      <c r="GVR17"/>
      <c r="GVS17"/>
      <c r="GVT17"/>
      <c r="GVU17"/>
      <c r="GVV17"/>
      <c r="GVW17"/>
      <c r="GVX17"/>
      <c r="GVY17"/>
      <c r="GVZ17"/>
      <c r="GWA17"/>
      <c r="GWB17"/>
      <c r="GWC17"/>
      <c r="GWD17"/>
      <c r="GWE17"/>
      <c r="GWF17"/>
      <c r="GWG17"/>
      <c r="GWH17"/>
      <c r="GWI17"/>
      <c r="GWJ17"/>
      <c r="GWK17"/>
      <c r="GWL17"/>
      <c r="GWM17"/>
      <c r="GWN17"/>
      <c r="GWO17"/>
      <c r="GWP17"/>
      <c r="GWQ17"/>
      <c r="GWR17"/>
      <c r="GWS17"/>
      <c r="GWT17"/>
      <c r="GWU17"/>
      <c r="GWV17"/>
      <c r="GWW17"/>
      <c r="GWX17"/>
      <c r="GWY17"/>
      <c r="GWZ17"/>
      <c r="GXA17"/>
      <c r="GXB17"/>
      <c r="GXC17"/>
      <c r="GXD17"/>
      <c r="GXE17"/>
      <c r="GXF17"/>
      <c r="GXG17"/>
      <c r="GXH17"/>
      <c r="GXI17"/>
      <c r="GXJ17"/>
      <c r="GXK17"/>
      <c r="GXL17"/>
      <c r="GXM17"/>
      <c r="GXN17"/>
      <c r="GXO17"/>
      <c r="GXP17"/>
      <c r="GXQ17"/>
      <c r="GXR17"/>
      <c r="GXS17"/>
      <c r="GXT17"/>
      <c r="GXU17"/>
      <c r="GXV17"/>
      <c r="GXW17"/>
      <c r="GXX17"/>
      <c r="GXY17"/>
      <c r="GXZ17"/>
      <c r="GYA17"/>
      <c r="GYB17"/>
      <c r="GYC17"/>
      <c r="GYD17"/>
      <c r="GYE17"/>
      <c r="GYF17"/>
      <c r="GYG17"/>
      <c r="GYH17"/>
      <c r="GYI17"/>
      <c r="GYJ17"/>
      <c r="GYK17"/>
      <c r="GYL17"/>
      <c r="GYM17"/>
      <c r="GYN17"/>
      <c r="GYO17"/>
      <c r="GYP17"/>
      <c r="GYQ17"/>
      <c r="GYR17"/>
      <c r="GYS17"/>
      <c r="GYT17"/>
      <c r="GYU17"/>
      <c r="GYV17"/>
      <c r="GYW17"/>
      <c r="GYX17"/>
      <c r="GYY17"/>
      <c r="GYZ17"/>
      <c r="GZA17"/>
      <c r="GZB17"/>
      <c r="GZC17"/>
      <c r="GZD17"/>
      <c r="GZE17"/>
      <c r="GZF17"/>
      <c r="GZG17"/>
      <c r="GZH17"/>
      <c r="GZI17"/>
      <c r="GZJ17"/>
      <c r="GZK17"/>
      <c r="GZL17"/>
      <c r="GZM17"/>
      <c r="GZN17"/>
      <c r="GZO17"/>
      <c r="GZP17"/>
      <c r="GZQ17"/>
      <c r="GZR17"/>
      <c r="GZS17"/>
      <c r="GZT17"/>
      <c r="GZU17"/>
      <c r="GZV17"/>
      <c r="GZW17"/>
      <c r="GZX17"/>
      <c r="GZY17"/>
      <c r="GZZ17"/>
      <c r="HAA17"/>
      <c r="HAB17"/>
      <c r="HAC17"/>
      <c r="HAD17"/>
      <c r="HAE17"/>
      <c r="HAF17"/>
      <c r="HAG17"/>
      <c r="HAH17"/>
      <c r="HAI17"/>
      <c r="HAJ17"/>
      <c r="HAK17"/>
      <c r="HAL17"/>
      <c r="HAM17"/>
      <c r="HAN17"/>
      <c r="HAO17"/>
      <c r="HAP17"/>
      <c r="HAQ17"/>
      <c r="HAR17"/>
      <c r="HAS17"/>
      <c r="HAT17"/>
      <c r="HAU17"/>
      <c r="HAV17"/>
      <c r="HAW17"/>
      <c r="HAX17"/>
      <c r="HAY17"/>
      <c r="HAZ17"/>
      <c r="HBA17"/>
      <c r="HBB17"/>
      <c r="HBC17"/>
      <c r="HBD17"/>
      <c r="HBE17"/>
      <c r="HBF17"/>
      <c r="HBG17"/>
      <c r="HBH17"/>
      <c r="HBI17"/>
      <c r="HBJ17"/>
      <c r="HBK17"/>
      <c r="HBL17"/>
      <c r="HBM17"/>
      <c r="HBN17"/>
      <c r="HBO17"/>
      <c r="HBP17"/>
      <c r="HBQ17"/>
      <c r="HBR17"/>
      <c r="HBS17"/>
      <c r="HBT17"/>
      <c r="HBU17"/>
      <c r="HBV17"/>
      <c r="HBW17"/>
      <c r="HBX17"/>
      <c r="HBY17"/>
      <c r="HBZ17"/>
      <c r="HCA17"/>
      <c r="HCB17"/>
      <c r="HCC17"/>
      <c r="HCD17"/>
      <c r="HCE17"/>
      <c r="HCF17"/>
      <c r="HCG17"/>
      <c r="HCH17"/>
      <c r="HCI17"/>
      <c r="HCJ17"/>
      <c r="HCK17"/>
      <c r="HCL17"/>
      <c r="HCM17"/>
      <c r="HCN17"/>
      <c r="HCO17"/>
      <c r="HCP17"/>
      <c r="HCQ17"/>
      <c r="HCR17"/>
      <c r="HCS17"/>
      <c r="HCT17"/>
      <c r="HCU17"/>
      <c r="HCV17"/>
      <c r="HCW17"/>
      <c r="HCX17"/>
      <c r="HCY17"/>
      <c r="HCZ17"/>
      <c r="HDA17"/>
      <c r="HDB17"/>
      <c r="HDC17"/>
      <c r="HDD17"/>
      <c r="HDE17"/>
      <c r="HDF17"/>
      <c r="HDG17"/>
      <c r="HDH17"/>
      <c r="HDI17"/>
      <c r="HDJ17"/>
      <c r="HDK17"/>
      <c r="HDL17"/>
      <c r="HDM17"/>
      <c r="HDN17"/>
      <c r="HDO17"/>
      <c r="HDP17"/>
      <c r="HDQ17"/>
      <c r="HDR17"/>
      <c r="HDS17"/>
      <c r="HDT17"/>
      <c r="HDU17"/>
      <c r="HDV17"/>
      <c r="HDW17"/>
      <c r="HDX17"/>
      <c r="HDY17"/>
      <c r="HDZ17"/>
      <c r="HEA17"/>
      <c r="HEB17"/>
      <c r="HEC17"/>
      <c r="HED17"/>
      <c r="HEE17"/>
      <c r="HEF17"/>
      <c r="HEG17"/>
      <c r="HEH17"/>
      <c r="HEI17"/>
      <c r="HEJ17"/>
      <c r="HEK17"/>
      <c r="HEL17"/>
      <c r="HEM17"/>
      <c r="HEN17"/>
      <c r="HEO17"/>
      <c r="HEP17"/>
      <c r="HEQ17"/>
      <c r="HER17"/>
      <c r="HES17"/>
      <c r="HET17"/>
      <c r="HEU17"/>
      <c r="HEV17"/>
      <c r="HEW17"/>
      <c r="HEX17"/>
      <c r="HEY17"/>
      <c r="HEZ17"/>
      <c r="HFA17"/>
      <c r="HFB17"/>
      <c r="HFC17"/>
      <c r="HFD17"/>
      <c r="HFE17"/>
      <c r="HFF17"/>
      <c r="HFG17"/>
      <c r="HFH17"/>
      <c r="HFI17"/>
      <c r="HFJ17"/>
      <c r="HFK17"/>
      <c r="HFL17"/>
      <c r="HFM17"/>
      <c r="HFN17"/>
      <c r="HFO17"/>
      <c r="HFP17"/>
      <c r="HFQ17"/>
      <c r="HFR17"/>
      <c r="HFS17"/>
      <c r="HFT17"/>
      <c r="HFU17"/>
      <c r="HFV17"/>
      <c r="HFW17"/>
      <c r="HFX17"/>
      <c r="HFY17"/>
      <c r="HFZ17"/>
      <c r="HGA17"/>
      <c r="HGB17"/>
      <c r="HGC17"/>
      <c r="HGD17"/>
      <c r="HGE17"/>
      <c r="HGF17"/>
      <c r="HGG17"/>
      <c r="HGH17"/>
      <c r="HGI17"/>
      <c r="HGJ17"/>
      <c r="HGK17"/>
      <c r="HGL17"/>
      <c r="HGM17"/>
      <c r="HGN17"/>
      <c r="HGO17"/>
      <c r="HGP17"/>
      <c r="HGQ17"/>
      <c r="HGR17"/>
      <c r="HGS17"/>
      <c r="HGT17"/>
      <c r="HGU17"/>
      <c r="HGV17"/>
      <c r="HGW17"/>
      <c r="HGX17"/>
      <c r="HGY17"/>
      <c r="HGZ17"/>
      <c r="HHA17"/>
      <c r="HHB17"/>
      <c r="HHC17"/>
      <c r="HHD17"/>
      <c r="HHE17"/>
      <c r="HHF17"/>
      <c r="HHG17"/>
      <c r="HHH17"/>
      <c r="HHI17"/>
      <c r="HHJ17"/>
      <c r="HHK17"/>
      <c r="HHL17"/>
      <c r="HHM17"/>
      <c r="HHN17"/>
      <c r="HHO17"/>
      <c r="HHP17"/>
      <c r="HHQ17"/>
      <c r="HHR17"/>
      <c r="HHS17"/>
      <c r="HHT17"/>
      <c r="HHU17"/>
      <c r="HHV17"/>
      <c r="HHW17"/>
      <c r="HHX17"/>
      <c r="HHY17"/>
      <c r="HHZ17"/>
      <c r="HIA17"/>
      <c r="HIB17"/>
      <c r="HIC17"/>
      <c r="HID17"/>
      <c r="HIE17"/>
      <c r="HIF17"/>
      <c r="HIG17"/>
      <c r="HIH17"/>
      <c r="HII17"/>
      <c r="HIJ17"/>
      <c r="HIK17"/>
      <c r="HIL17"/>
      <c r="HIM17"/>
      <c r="HIN17"/>
      <c r="HIO17"/>
      <c r="HIP17"/>
      <c r="HIQ17"/>
      <c r="HIR17"/>
      <c r="HIS17"/>
      <c r="HIT17"/>
      <c r="HIU17"/>
      <c r="HIV17"/>
      <c r="HIW17"/>
      <c r="HIX17"/>
      <c r="HIY17"/>
      <c r="HIZ17"/>
      <c r="HJA17"/>
      <c r="HJB17"/>
      <c r="HJC17"/>
      <c r="HJD17"/>
      <c r="HJE17"/>
      <c r="HJF17"/>
      <c r="HJG17"/>
      <c r="HJH17"/>
      <c r="HJI17"/>
      <c r="HJJ17"/>
      <c r="HJK17"/>
      <c r="HJL17"/>
      <c r="HJM17"/>
      <c r="HJN17"/>
      <c r="HJO17"/>
      <c r="HJP17"/>
      <c r="HJQ17"/>
      <c r="HJR17"/>
      <c r="HJS17"/>
      <c r="HJT17"/>
      <c r="HJU17"/>
      <c r="HJV17"/>
      <c r="HJW17"/>
      <c r="HJX17"/>
      <c r="HJY17"/>
      <c r="HJZ17"/>
      <c r="HKA17"/>
      <c r="HKB17"/>
      <c r="HKC17"/>
      <c r="HKD17"/>
      <c r="HKE17"/>
      <c r="HKF17"/>
      <c r="HKG17"/>
      <c r="HKH17"/>
      <c r="HKI17"/>
      <c r="HKJ17"/>
      <c r="HKK17"/>
      <c r="HKL17"/>
      <c r="HKM17"/>
      <c r="HKN17"/>
      <c r="HKO17"/>
      <c r="HKP17"/>
      <c r="HKQ17"/>
      <c r="HKR17"/>
      <c r="HKS17"/>
      <c r="HKT17"/>
      <c r="HKU17"/>
      <c r="HKV17"/>
      <c r="HKW17"/>
      <c r="HKX17"/>
      <c r="HKY17"/>
      <c r="HKZ17"/>
      <c r="HLA17"/>
      <c r="HLB17"/>
      <c r="HLC17"/>
      <c r="HLD17"/>
      <c r="HLE17"/>
      <c r="HLF17"/>
      <c r="HLG17"/>
      <c r="HLH17"/>
      <c r="HLI17"/>
      <c r="HLJ17"/>
      <c r="HLK17"/>
      <c r="HLL17"/>
      <c r="HLM17"/>
      <c r="HLN17"/>
      <c r="HLO17"/>
      <c r="HLP17"/>
      <c r="HLQ17"/>
      <c r="HLR17"/>
      <c r="HLS17"/>
      <c r="HLT17"/>
      <c r="HLU17"/>
      <c r="HLV17"/>
      <c r="HLW17"/>
      <c r="HLX17"/>
      <c r="HLY17"/>
      <c r="HLZ17"/>
      <c r="HMA17"/>
      <c r="HMB17"/>
      <c r="HMC17"/>
      <c r="HMD17"/>
      <c r="HME17"/>
      <c r="HMF17"/>
      <c r="HMG17"/>
      <c r="HMH17"/>
      <c r="HMI17"/>
      <c r="HMJ17"/>
      <c r="HMK17"/>
      <c r="HML17"/>
      <c r="HMM17"/>
      <c r="HMN17"/>
      <c r="HMO17"/>
      <c r="HMP17"/>
      <c r="HMQ17"/>
      <c r="HMR17"/>
      <c r="HMS17"/>
      <c r="HMT17"/>
      <c r="HMU17"/>
      <c r="HMV17"/>
      <c r="HMW17"/>
      <c r="HMX17"/>
      <c r="HMY17"/>
      <c r="HMZ17"/>
      <c r="HNA17"/>
      <c r="HNB17"/>
      <c r="HNC17"/>
      <c r="HND17"/>
      <c r="HNE17"/>
      <c r="HNF17"/>
      <c r="HNG17"/>
      <c r="HNH17"/>
      <c r="HNI17"/>
      <c r="HNJ17"/>
      <c r="HNK17"/>
      <c r="HNL17"/>
      <c r="HNM17"/>
      <c r="HNN17"/>
      <c r="HNO17"/>
      <c r="HNP17"/>
      <c r="HNQ17"/>
      <c r="HNR17"/>
      <c r="HNS17"/>
      <c r="HNT17"/>
      <c r="HNU17"/>
      <c r="HNV17"/>
      <c r="HNW17"/>
      <c r="HNX17"/>
      <c r="HNY17"/>
      <c r="HNZ17"/>
      <c r="HOA17"/>
      <c r="HOB17"/>
      <c r="HOC17"/>
      <c r="HOD17"/>
      <c r="HOE17"/>
      <c r="HOF17"/>
      <c r="HOG17"/>
      <c r="HOH17"/>
      <c r="HOI17"/>
      <c r="HOJ17"/>
      <c r="HOK17"/>
      <c r="HOL17"/>
      <c r="HOM17"/>
      <c r="HON17"/>
      <c r="HOO17"/>
      <c r="HOP17"/>
      <c r="HOQ17"/>
      <c r="HOR17"/>
      <c r="HOS17"/>
      <c r="HOT17"/>
      <c r="HOU17"/>
      <c r="HOV17"/>
      <c r="HOW17"/>
      <c r="HOX17"/>
      <c r="HOY17"/>
      <c r="HOZ17"/>
      <c r="HPA17"/>
      <c r="HPB17"/>
      <c r="HPC17"/>
      <c r="HPD17"/>
      <c r="HPE17"/>
      <c r="HPF17"/>
      <c r="HPG17"/>
      <c r="HPH17"/>
      <c r="HPI17"/>
      <c r="HPJ17"/>
      <c r="HPK17"/>
      <c r="HPL17"/>
      <c r="HPM17"/>
      <c r="HPN17"/>
      <c r="HPO17"/>
      <c r="HPP17"/>
      <c r="HPQ17"/>
      <c r="HPR17"/>
      <c r="HPS17"/>
      <c r="HPT17"/>
      <c r="HPU17"/>
      <c r="HPV17"/>
      <c r="HPW17"/>
      <c r="HPX17"/>
      <c r="HPY17"/>
      <c r="HPZ17"/>
      <c r="HQA17"/>
      <c r="HQB17"/>
      <c r="HQC17"/>
      <c r="HQD17"/>
      <c r="HQE17"/>
      <c r="HQF17"/>
      <c r="HQG17"/>
      <c r="HQH17"/>
      <c r="HQI17"/>
      <c r="HQJ17"/>
      <c r="HQK17"/>
      <c r="HQL17"/>
      <c r="HQM17"/>
      <c r="HQN17"/>
      <c r="HQO17"/>
      <c r="HQP17"/>
      <c r="HQQ17"/>
      <c r="HQR17"/>
      <c r="HQS17"/>
      <c r="HQT17"/>
      <c r="HQU17"/>
      <c r="HQV17"/>
      <c r="HQW17"/>
      <c r="HQX17"/>
      <c r="HQY17"/>
      <c r="HQZ17"/>
      <c r="HRA17"/>
      <c r="HRB17"/>
      <c r="HRC17"/>
      <c r="HRD17"/>
      <c r="HRE17"/>
      <c r="HRF17"/>
      <c r="HRG17"/>
      <c r="HRH17"/>
      <c r="HRI17"/>
      <c r="HRJ17"/>
      <c r="HRK17"/>
      <c r="HRL17"/>
      <c r="HRM17"/>
      <c r="HRN17"/>
      <c r="HRO17"/>
      <c r="HRP17"/>
      <c r="HRQ17"/>
      <c r="HRR17"/>
      <c r="HRS17"/>
      <c r="HRT17"/>
      <c r="HRU17"/>
      <c r="HRV17"/>
      <c r="HRW17"/>
      <c r="HRX17"/>
      <c r="HRY17"/>
      <c r="HRZ17"/>
      <c r="HSA17"/>
      <c r="HSB17"/>
      <c r="HSC17"/>
      <c r="HSD17"/>
      <c r="HSE17"/>
      <c r="HSF17"/>
      <c r="HSG17"/>
      <c r="HSH17"/>
      <c r="HSI17"/>
      <c r="HSJ17"/>
      <c r="HSK17"/>
      <c r="HSL17"/>
      <c r="HSM17"/>
      <c r="HSN17"/>
      <c r="HSO17"/>
      <c r="HSP17"/>
      <c r="HSQ17"/>
      <c r="HSR17"/>
      <c r="HSS17"/>
      <c r="HST17"/>
      <c r="HSU17"/>
      <c r="HSV17"/>
      <c r="HSW17"/>
      <c r="HSX17"/>
      <c r="HSY17"/>
      <c r="HSZ17"/>
      <c r="HTA17"/>
      <c r="HTB17"/>
      <c r="HTC17"/>
      <c r="HTD17"/>
      <c r="HTE17"/>
      <c r="HTF17"/>
      <c r="HTG17"/>
      <c r="HTH17"/>
      <c r="HTI17"/>
      <c r="HTJ17"/>
      <c r="HTK17"/>
      <c r="HTL17"/>
      <c r="HTM17"/>
      <c r="HTN17"/>
      <c r="HTO17"/>
      <c r="HTP17"/>
      <c r="HTQ17"/>
      <c r="HTR17"/>
      <c r="HTS17"/>
      <c r="HTT17"/>
      <c r="HTU17"/>
      <c r="HTV17"/>
      <c r="HTW17"/>
      <c r="HTX17"/>
      <c r="HTY17"/>
      <c r="HTZ17"/>
      <c r="HUA17"/>
      <c r="HUB17"/>
      <c r="HUC17"/>
      <c r="HUD17"/>
      <c r="HUE17"/>
      <c r="HUF17"/>
      <c r="HUG17"/>
      <c r="HUH17"/>
      <c r="HUI17"/>
      <c r="HUJ17"/>
      <c r="HUK17"/>
      <c r="HUL17"/>
      <c r="HUM17"/>
      <c r="HUN17"/>
      <c r="HUO17"/>
      <c r="HUP17"/>
      <c r="HUQ17"/>
      <c r="HUR17"/>
      <c r="HUS17"/>
      <c r="HUT17"/>
      <c r="HUU17"/>
      <c r="HUV17"/>
      <c r="HUW17"/>
      <c r="HUX17"/>
      <c r="HUY17"/>
      <c r="HUZ17"/>
      <c r="HVA17"/>
      <c r="HVB17"/>
      <c r="HVC17"/>
      <c r="HVD17"/>
      <c r="HVE17"/>
      <c r="HVF17"/>
      <c r="HVG17"/>
      <c r="HVH17"/>
      <c r="HVI17"/>
      <c r="HVJ17"/>
      <c r="HVK17"/>
      <c r="HVL17"/>
      <c r="HVM17"/>
      <c r="HVN17"/>
      <c r="HVO17"/>
      <c r="HVP17"/>
      <c r="HVQ17"/>
      <c r="HVR17"/>
      <c r="HVS17"/>
      <c r="HVT17"/>
      <c r="HVU17"/>
      <c r="HVV17"/>
      <c r="HVW17"/>
      <c r="HVX17"/>
      <c r="HVY17"/>
      <c r="HVZ17"/>
      <c r="HWA17"/>
      <c r="HWB17"/>
      <c r="HWC17"/>
      <c r="HWD17"/>
      <c r="HWE17"/>
      <c r="HWF17"/>
      <c r="HWG17"/>
      <c r="HWH17"/>
      <c r="HWI17"/>
      <c r="HWJ17"/>
      <c r="HWK17"/>
      <c r="HWL17"/>
      <c r="HWM17"/>
      <c r="HWN17"/>
      <c r="HWO17"/>
      <c r="HWP17"/>
      <c r="HWQ17"/>
      <c r="HWR17"/>
      <c r="HWS17"/>
      <c r="HWT17"/>
      <c r="HWU17"/>
      <c r="HWV17"/>
      <c r="HWW17"/>
      <c r="HWX17"/>
      <c r="HWY17"/>
      <c r="HWZ17"/>
      <c r="HXA17"/>
      <c r="HXB17"/>
      <c r="HXC17"/>
      <c r="HXD17"/>
      <c r="HXE17"/>
      <c r="HXF17"/>
      <c r="HXG17"/>
      <c r="HXH17"/>
      <c r="HXI17"/>
      <c r="HXJ17"/>
      <c r="HXK17"/>
      <c r="HXL17"/>
      <c r="HXM17"/>
      <c r="HXN17"/>
      <c r="HXO17"/>
      <c r="HXP17"/>
      <c r="HXQ17"/>
      <c r="HXR17"/>
      <c r="HXS17"/>
      <c r="HXT17"/>
      <c r="HXU17"/>
      <c r="HXV17"/>
      <c r="HXW17"/>
      <c r="HXX17"/>
      <c r="HXY17"/>
      <c r="HXZ17"/>
      <c r="HYA17"/>
      <c r="HYB17"/>
      <c r="HYC17"/>
      <c r="HYD17"/>
      <c r="HYE17"/>
      <c r="HYF17"/>
      <c r="HYG17"/>
      <c r="HYH17"/>
      <c r="HYI17"/>
      <c r="HYJ17"/>
      <c r="HYK17"/>
      <c r="HYL17"/>
      <c r="HYM17"/>
      <c r="HYN17"/>
      <c r="HYO17"/>
      <c r="HYP17"/>
      <c r="HYQ17"/>
      <c r="HYR17"/>
      <c r="HYS17"/>
      <c r="HYT17"/>
      <c r="HYU17"/>
      <c r="HYV17"/>
      <c r="HYW17"/>
      <c r="HYX17"/>
      <c r="HYY17"/>
      <c r="HYZ17"/>
      <c r="HZA17"/>
      <c r="HZB17"/>
      <c r="HZC17"/>
      <c r="HZD17"/>
      <c r="HZE17"/>
      <c r="HZF17"/>
      <c r="HZG17"/>
      <c r="HZH17"/>
      <c r="HZI17"/>
      <c r="HZJ17"/>
      <c r="HZK17"/>
      <c r="HZL17"/>
      <c r="HZM17"/>
      <c r="HZN17"/>
      <c r="HZO17"/>
      <c r="HZP17"/>
      <c r="HZQ17"/>
      <c r="HZR17"/>
      <c r="HZS17"/>
      <c r="HZT17"/>
      <c r="HZU17"/>
      <c r="HZV17"/>
      <c r="HZW17"/>
      <c r="HZX17"/>
      <c r="HZY17"/>
      <c r="HZZ17"/>
      <c r="IAA17"/>
      <c r="IAB17"/>
      <c r="IAC17"/>
      <c r="IAD17"/>
      <c r="IAE17"/>
      <c r="IAF17"/>
      <c r="IAG17"/>
      <c r="IAH17"/>
      <c r="IAI17"/>
      <c r="IAJ17"/>
      <c r="IAK17"/>
      <c r="IAL17"/>
      <c r="IAM17"/>
      <c r="IAN17"/>
      <c r="IAO17"/>
      <c r="IAP17"/>
      <c r="IAQ17"/>
      <c r="IAR17"/>
      <c r="IAS17"/>
      <c r="IAT17"/>
      <c r="IAU17"/>
      <c r="IAV17"/>
      <c r="IAW17"/>
      <c r="IAX17"/>
      <c r="IAY17"/>
      <c r="IAZ17"/>
      <c r="IBA17"/>
      <c r="IBB17"/>
      <c r="IBC17"/>
      <c r="IBD17"/>
      <c r="IBE17"/>
      <c r="IBF17"/>
      <c r="IBG17"/>
      <c r="IBH17"/>
      <c r="IBI17"/>
      <c r="IBJ17"/>
      <c r="IBK17"/>
      <c r="IBL17"/>
      <c r="IBM17"/>
      <c r="IBN17"/>
      <c r="IBO17"/>
      <c r="IBP17"/>
      <c r="IBQ17"/>
      <c r="IBR17"/>
      <c r="IBS17"/>
      <c r="IBT17"/>
      <c r="IBU17"/>
      <c r="IBV17"/>
      <c r="IBW17"/>
      <c r="IBX17"/>
      <c r="IBY17"/>
      <c r="IBZ17"/>
      <c r="ICA17"/>
      <c r="ICB17"/>
      <c r="ICC17"/>
      <c r="ICD17"/>
      <c r="ICE17"/>
      <c r="ICF17"/>
      <c r="ICG17"/>
      <c r="ICH17"/>
      <c r="ICI17"/>
      <c r="ICJ17"/>
      <c r="ICK17"/>
      <c r="ICL17"/>
      <c r="ICM17"/>
      <c r="ICN17"/>
      <c r="ICO17"/>
      <c r="ICP17"/>
      <c r="ICQ17"/>
      <c r="ICR17"/>
      <c r="ICS17"/>
      <c r="ICT17"/>
      <c r="ICU17"/>
      <c r="ICV17"/>
      <c r="ICW17"/>
      <c r="ICX17"/>
      <c r="ICY17"/>
      <c r="ICZ17"/>
      <c r="IDA17"/>
      <c r="IDB17"/>
      <c r="IDC17"/>
      <c r="IDD17"/>
      <c r="IDE17"/>
      <c r="IDF17"/>
      <c r="IDG17"/>
      <c r="IDH17"/>
      <c r="IDI17"/>
      <c r="IDJ17"/>
      <c r="IDK17"/>
      <c r="IDL17"/>
      <c r="IDM17"/>
      <c r="IDN17"/>
      <c r="IDO17"/>
      <c r="IDP17"/>
      <c r="IDQ17"/>
      <c r="IDR17"/>
      <c r="IDS17"/>
      <c r="IDT17"/>
      <c r="IDU17"/>
      <c r="IDV17"/>
      <c r="IDW17"/>
      <c r="IDX17"/>
      <c r="IDY17"/>
      <c r="IDZ17"/>
      <c r="IEA17"/>
      <c r="IEB17"/>
      <c r="IEC17"/>
      <c r="IED17"/>
      <c r="IEE17"/>
      <c r="IEF17"/>
      <c r="IEG17"/>
      <c r="IEH17"/>
      <c r="IEI17"/>
      <c r="IEJ17"/>
      <c r="IEK17"/>
      <c r="IEL17"/>
      <c r="IEM17"/>
      <c r="IEN17"/>
      <c r="IEO17"/>
      <c r="IEP17"/>
      <c r="IEQ17"/>
      <c r="IER17"/>
      <c r="IES17"/>
      <c r="IET17"/>
      <c r="IEU17"/>
      <c r="IEV17"/>
      <c r="IEW17"/>
      <c r="IEX17"/>
      <c r="IEY17"/>
      <c r="IEZ17"/>
      <c r="IFA17"/>
      <c r="IFB17"/>
      <c r="IFC17"/>
      <c r="IFD17"/>
      <c r="IFE17"/>
      <c r="IFF17"/>
      <c r="IFG17"/>
      <c r="IFH17"/>
      <c r="IFI17"/>
      <c r="IFJ17"/>
      <c r="IFK17"/>
      <c r="IFL17"/>
      <c r="IFM17"/>
      <c r="IFN17"/>
      <c r="IFO17"/>
      <c r="IFP17"/>
      <c r="IFQ17"/>
      <c r="IFR17"/>
      <c r="IFS17"/>
      <c r="IFT17"/>
      <c r="IFU17"/>
      <c r="IFV17"/>
      <c r="IFW17"/>
      <c r="IFX17"/>
      <c r="IFY17"/>
      <c r="IFZ17"/>
      <c r="IGA17"/>
      <c r="IGB17"/>
      <c r="IGC17"/>
      <c r="IGD17"/>
      <c r="IGE17"/>
      <c r="IGF17"/>
      <c r="IGG17"/>
      <c r="IGH17"/>
      <c r="IGI17"/>
      <c r="IGJ17"/>
      <c r="IGK17"/>
      <c r="IGL17"/>
      <c r="IGM17"/>
      <c r="IGN17"/>
      <c r="IGO17"/>
      <c r="IGP17"/>
      <c r="IGQ17"/>
      <c r="IGR17"/>
      <c r="IGS17"/>
      <c r="IGT17"/>
      <c r="IGU17"/>
      <c r="IGV17"/>
      <c r="IGW17"/>
      <c r="IGX17"/>
      <c r="IGY17"/>
      <c r="IGZ17"/>
      <c r="IHA17"/>
      <c r="IHB17"/>
      <c r="IHC17"/>
      <c r="IHD17"/>
      <c r="IHE17"/>
      <c r="IHF17"/>
      <c r="IHG17"/>
      <c r="IHH17"/>
      <c r="IHI17"/>
      <c r="IHJ17"/>
      <c r="IHK17"/>
      <c r="IHL17"/>
      <c r="IHM17"/>
      <c r="IHN17"/>
      <c r="IHO17"/>
      <c r="IHP17"/>
      <c r="IHQ17"/>
      <c r="IHR17"/>
      <c r="IHS17"/>
      <c r="IHT17"/>
      <c r="IHU17"/>
      <c r="IHV17"/>
      <c r="IHW17"/>
      <c r="IHX17"/>
      <c r="IHY17"/>
      <c r="IHZ17"/>
      <c r="IIA17"/>
      <c r="IIB17"/>
      <c r="IIC17"/>
      <c r="IID17"/>
      <c r="IIE17"/>
      <c r="IIF17"/>
      <c r="IIG17"/>
      <c r="IIH17"/>
      <c r="III17"/>
      <c r="IIJ17"/>
      <c r="IIK17"/>
      <c r="IIL17"/>
      <c r="IIM17"/>
      <c r="IIN17"/>
      <c r="IIO17"/>
      <c r="IIP17"/>
      <c r="IIQ17"/>
      <c r="IIR17"/>
      <c r="IIS17"/>
      <c r="IIT17"/>
      <c r="IIU17"/>
      <c r="IIV17"/>
      <c r="IIW17"/>
      <c r="IIX17"/>
      <c r="IIY17"/>
      <c r="IIZ17"/>
      <c r="IJA17"/>
      <c r="IJB17"/>
      <c r="IJC17"/>
      <c r="IJD17"/>
      <c r="IJE17"/>
      <c r="IJF17"/>
      <c r="IJG17"/>
      <c r="IJH17"/>
      <c r="IJI17"/>
      <c r="IJJ17"/>
      <c r="IJK17"/>
      <c r="IJL17"/>
      <c r="IJM17"/>
      <c r="IJN17"/>
      <c r="IJO17"/>
      <c r="IJP17"/>
      <c r="IJQ17"/>
      <c r="IJR17"/>
      <c r="IJS17"/>
      <c r="IJT17"/>
      <c r="IJU17"/>
      <c r="IJV17"/>
      <c r="IJW17"/>
      <c r="IJX17"/>
      <c r="IJY17"/>
      <c r="IJZ17"/>
      <c r="IKA17"/>
      <c r="IKB17"/>
      <c r="IKC17"/>
      <c r="IKD17"/>
      <c r="IKE17"/>
      <c r="IKF17"/>
      <c r="IKG17"/>
      <c r="IKH17"/>
      <c r="IKI17"/>
      <c r="IKJ17"/>
      <c r="IKK17"/>
      <c r="IKL17"/>
      <c r="IKM17"/>
      <c r="IKN17"/>
      <c r="IKO17"/>
      <c r="IKP17"/>
      <c r="IKQ17"/>
      <c r="IKR17"/>
      <c r="IKS17"/>
      <c r="IKT17"/>
      <c r="IKU17"/>
      <c r="IKV17"/>
      <c r="IKW17"/>
      <c r="IKX17"/>
      <c r="IKY17"/>
      <c r="IKZ17"/>
      <c r="ILA17"/>
      <c r="ILB17"/>
      <c r="ILC17"/>
      <c r="ILD17"/>
      <c r="ILE17"/>
      <c r="ILF17"/>
      <c r="ILG17"/>
      <c r="ILH17"/>
      <c r="ILI17"/>
      <c r="ILJ17"/>
      <c r="ILK17"/>
      <c r="ILL17"/>
      <c r="ILM17"/>
      <c r="ILN17"/>
      <c r="ILO17"/>
      <c r="ILP17"/>
      <c r="ILQ17"/>
      <c r="ILR17"/>
      <c r="ILS17"/>
      <c r="ILT17"/>
      <c r="ILU17"/>
      <c r="ILV17"/>
      <c r="ILW17"/>
      <c r="ILX17"/>
      <c r="ILY17"/>
      <c r="ILZ17"/>
      <c r="IMA17"/>
      <c r="IMB17"/>
      <c r="IMC17"/>
      <c r="IMD17"/>
      <c r="IME17"/>
      <c r="IMF17"/>
      <c r="IMG17"/>
      <c r="IMH17"/>
      <c r="IMI17"/>
      <c r="IMJ17"/>
      <c r="IMK17"/>
      <c r="IML17"/>
      <c r="IMM17"/>
      <c r="IMN17"/>
      <c r="IMO17"/>
      <c r="IMP17"/>
      <c r="IMQ17"/>
      <c r="IMR17"/>
      <c r="IMS17"/>
      <c r="IMT17"/>
      <c r="IMU17"/>
      <c r="IMV17"/>
      <c r="IMW17"/>
      <c r="IMX17"/>
      <c r="IMY17"/>
      <c r="IMZ17"/>
      <c r="INA17"/>
      <c r="INB17"/>
      <c r="INC17"/>
      <c r="IND17"/>
      <c r="INE17"/>
      <c r="INF17"/>
      <c r="ING17"/>
      <c r="INH17"/>
      <c r="INI17"/>
      <c r="INJ17"/>
      <c r="INK17"/>
      <c r="INL17"/>
      <c r="INM17"/>
      <c r="INN17"/>
      <c r="INO17"/>
      <c r="INP17"/>
      <c r="INQ17"/>
      <c r="INR17"/>
      <c r="INS17"/>
      <c r="INT17"/>
      <c r="INU17"/>
      <c r="INV17"/>
      <c r="INW17"/>
      <c r="INX17"/>
      <c r="INY17"/>
      <c r="INZ17"/>
      <c r="IOA17"/>
      <c r="IOB17"/>
      <c r="IOC17"/>
      <c r="IOD17"/>
      <c r="IOE17"/>
      <c r="IOF17"/>
      <c r="IOG17"/>
      <c r="IOH17"/>
      <c r="IOI17"/>
      <c r="IOJ17"/>
      <c r="IOK17"/>
      <c r="IOL17"/>
      <c r="IOM17"/>
      <c r="ION17"/>
      <c r="IOO17"/>
      <c r="IOP17"/>
      <c r="IOQ17"/>
      <c r="IOR17"/>
      <c r="IOS17"/>
      <c r="IOT17"/>
      <c r="IOU17"/>
      <c r="IOV17"/>
      <c r="IOW17"/>
      <c r="IOX17"/>
      <c r="IOY17"/>
      <c r="IOZ17"/>
      <c r="IPA17"/>
      <c r="IPB17"/>
      <c r="IPC17"/>
      <c r="IPD17"/>
      <c r="IPE17"/>
      <c r="IPF17"/>
      <c r="IPG17"/>
      <c r="IPH17"/>
      <c r="IPI17"/>
      <c r="IPJ17"/>
      <c r="IPK17"/>
      <c r="IPL17"/>
      <c r="IPM17"/>
      <c r="IPN17"/>
      <c r="IPO17"/>
      <c r="IPP17"/>
      <c r="IPQ17"/>
      <c r="IPR17"/>
      <c r="IPS17"/>
      <c r="IPT17"/>
      <c r="IPU17"/>
      <c r="IPV17"/>
      <c r="IPW17"/>
      <c r="IPX17"/>
      <c r="IPY17"/>
      <c r="IPZ17"/>
      <c r="IQA17"/>
      <c r="IQB17"/>
      <c r="IQC17"/>
      <c r="IQD17"/>
      <c r="IQE17"/>
      <c r="IQF17"/>
      <c r="IQG17"/>
      <c r="IQH17"/>
      <c r="IQI17"/>
      <c r="IQJ17"/>
      <c r="IQK17"/>
      <c r="IQL17"/>
      <c r="IQM17"/>
      <c r="IQN17"/>
      <c r="IQO17"/>
      <c r="IQP17"/>
      <c r="IQQ17"/>
      <c r="IQR17"/>
      <c r="IQS17"/>
      <c r="IQT17"/>
      <c r="IQU17"/>
      <c r="IQV17"/>
      <c r="IQW17"/>
      <c r="IQX17"/>
      <c r="IQY17"/>
      <c r="IQZ17"/>
      <c r="IRA17"/>
      <c r="IRB17"/>
      <c r="IRC17"/>
      <c r="IRD17"/>
      <c r="IRE17"/>
      <c r="IRF17"/>
      <c r="IRG17"/>
      <c r="IRH17"/>
      <c r="IRI17"/>
      <c r="IRJ17"/>
      <c r="IRK17"/>
      <c r="IRL17"/>
      <c r="IRM17"/>
      <c r="IRN17"/>
      <c r="IRO17"/>
      <c r="IRP17"/>
      <c r="IRQ17"/>
      <c r="IRR17"/>
      <c r="IRS17"/>
      <c r="IRT17"/>
      <c r="IRU17"/>
      <c r="IRV17"/>
      <c r="IRW17"/>
      <c r="IRX17"/>
      <c r="IRY17"/>
      <c r="IRZ17"/>
      <c r="ISA17"/>
      <c r="ISB17"/>
      <c r="ISC17"/>
      <c r="ISD17"/>
      <c r="ISE17"/>
      <c r="ISF17"/>
      <c r="ISG17"/>
      <c r="ISH17"/>
      <c r="ISI17"/>
      <c r="ISJ17"/>
      <c r="ISK17"/>
      <c r="ISL17"/>
      <c r="ISM17"/>
      <c r="ISN17"/>
      <c r="ISO17"/>
      <c r="ISP17"/>
      <c r="ISQ17"/>
      <c r="ISR17"/>
      <c r="ISS17"/>
      <c r="IST17"/>
      <c r="ISU17"/>
      <c r="ISV17"/>
      <c r="ISW17"/>
      <c r="ISX17"/>
      <c r="ISY17"/>
      <c r="ISZ17"/>
      <c r="ITA17"/>
      <c r="ITB17"/>
      <c r="ITC17"/>
      <c r="ITD17"/>
      <c r="ITE17"/>
      <c r="ITF17"/>
      <c r="ITG17"/>
      <c r="ITH17"/>
      <c r="ITI17"/>
      <c r="ITJ17"/>
      <c r="ITK17"/>
      <c r="ITL17"/>
      <c r="ITM17"/>
      <c r="ITN17"/>
      <c r="ITO17"/>
      <c r="ITP17"/>
      <c r="ITQ17"/>
      <c r="ITR17"/>
      <c r="ITS17"/>
      <c r="ITT17"/>
      <c r="ITU17"/>
      <c r="ITV17"/>
      <c r="ITW17"/>
      <c r="ITX17"/>
      <c r="ITY17"/>
      <c r="ITZ17"/>
      <c r="IUA17"/>
      <c r="IUB17"/>
      <c r="IUC17"/>
      <c r="IUD17"/>
      <c r="IUE17"/>
      <c r="IUF17"/>
      <c r="IUG17"/>
      <c r="IUH17"/>
      <c r="IUI17"/>
      <c r="IUJ17"/>
      <c r="IUK17"/>
      <c r="IUL17"/>
      <c r="IUM17"/>
      <c r="IUN17"/>
      <c r="IUO17"/>
      <c r="IUP17"/>
      <c r="IUQ17"/>
      <c r="IUR17"/>
      <c r="IUS17"/>
      <c r="IUT17"/>
      <c r="IUU17"/>
      <c r="IUV17"/>
      <c r="IUW17"/>
      <c r="IUX17"/>
      <c r="IUY17"/>
      <c r="IUZ17"/>
      <c r="IVA17"/>
      <c r="IVB17"/>
      <c r="IVC17"/>
      <c r="IVD17"/>
      <c r="IVE17"/>
      <c r="IVF17"/>
      <c r="IVG17"/>
      <c r="IVH17"/>
      <c r="IVI17"/>
      <c r="IVJ17"/>
      <c r="IVK17"/>
      <c r="IVL17"/>
      <c r="IVM17"/>
      <c r="IVN17"/>
      <c r="IVO17"/>
      <c r="IVP17"/>
      <c r="IVQ17"/>
      <c r="IVR17"/>
      <c r="IVS17"/>
      <c r="IVT17"/>
      <c r="IVU17"/>
      <c r="IVV17"/>
      <c r="IVW17"/>
      <c r="IVX17"/>
      <c r="IVY17"/>
      <c r="IVZ17"/>
      <c r="IWA17"/>
      <c r="IWB17"/>
      <c r="IWC17"/>
      <c r="IWD17"/>
      <c r="IWE17"/>
      <c r="IWF17"/>
      <c r="IWG17"/>
      <c r="IWH17"/>
      <c r="IWI17"/>
      <c r="IWJ17"/>
      <c r="IWK17"/>
      <c r="IWL17"/>
      <c r="IWM17"/>
      <c r="IWN17"/>
      <c r="IWO17"/>
      <c r="IWP17"/>
      <c r="IWQ17"/>
      <c r="IWR17"/>
      <c r="IWS17"/>
      <c r="IWT17"/>
      <c r="IWU17"/>
      <c r="IWV17"/>
      <c r="IWW17"/>
      <c r="IWX17"/>
      <c r="IWY17"/>
      <c r="IWZ17"/>
      <c r="IXA17"/>
      <c r="IXB17"/>
      <c r="IXC17"/>
      <c r="IXD17"/>
      <c r="IXE17"/>
      <c r="IXF17"/>
      <c r="IXG17"/>
      <c r="IXH17"/>
      <c r="IXI17"/>
      <c r="IXJ17"/>
      <c r="IXK17"/>
      <c r="IXL17"/>
      <c r="IXM17"/>
      <c r="IXN17"/>
      <c r="IXO17"/>
      <c r="IXP17"/>
      <c r="IXQ17"/>
      <c r="IXR17"/>
      <c r="IXS17"/>
      <c r="IXT17"/>
      <c r="IXU17"/>
      <c r="IXV17"/>
      <c r="IXW17"/>
      <c r="IXX17"/>
      <c r="IXY17"/>
      <c r="IXZ17"/>
      <c r="IYA17"/>
      <c r="IYB17"/>
      <c r="IYC17"/>
      <c r="IYD17"/>
      <c r="IYE17"/>
      <c r="IYF17"/>
      <c r="IYG17"/>
      <c r="IYH17"/>
      <c r="IYI17"/>
      <c r="IYJ17"/>
      <c r="IYK17"/>
      <c r="IYL17"/>
      <c r="IYM17"/>
      <c r="IYN17"/>
      <c r="IYO17"/>
      <c r="IYP17"/>
      <c r="IYQ17"/>
      <c r="IYR17"/>
      <c r="IYS17"/>
      <c r="IYT17"/>
      <c r="IYU17"/>
      <c r="IYV17"/>
      <c r="IYW17"/>
      <c r="IYX17"/>
      <c r="IYY17"/>
      <c r="IYZ17"/>
      <c r="IZA17"/>
      <c r="IZB17"/>
      <c r="IZC17"/>
      <c r="IZD17"/>
      <c r="IZE17"/>
      <c r="IZF17"/>
      <c r="IZG17"/>
      <c r="IZH17"/>
      <c r="IZI17"/>
      <c r="IZJ17"/>
      <c r="IZK17"/>
      <c r="IZL17"/>
      <c r="IZM17"/>
      <c r="IZN17"/>
      <c r="IZO17"/>
      <c r="IZP17"/>
      <c r="IZQ17"/>
      <c r="IZR17"/>
      <c r="IZS17"/>
      <c r="IZT17"/>
      <c r="IZU17"/>
      <c r="IZV17"/>
      <c r="IZW17"/>
      <c r="IZX17"/>
      <c r="IZY17"/>
      <c r="IZZ17"/>
      <c r="JAA17"/>
      <c r="JAB17"/>
      <c r="JAC17"/>
      <c r="JAD17"/>
      <c r="JAE17"/>
      <c r="JAF17"/>
      <c r="JAG17"/>
      <c r="JAH17"/>
      <c r="JAI17"/>
      <c r="JAJ17"/>
      <c r="JAK17"/>
      <c r="JAL17"/>
      <c r="JAM17"/>
      <c r="JAN17"/>
      <c r="JAO17"/>
      <c r="JAP17"/>
      <c r="JAQ17"/>
      <c r="JAR17"/>
      <c r="JAS17"/>
      <c r="JAT17"/>
      <c r="JAU17"/>
      <c r="JAV17"/>
      <c r="JAW17"/>
      <c r="JAX17"/>
      <c r="JAY17"/>
      <c r="JAZ17"/>
      <c r="JBA17"/>
      <c r="JBB17"/>
      <c r="JBC17"/>
      <c r="JBD17"/>
      <c r="JBE17"/>
      <c r="JBF17"/>
      <c r="JBG17"/>
      <c r="JBH17"/>
      <c r="JBI17"/>
      <c r="JBJ17"/>
      <c r="JBK17"/>
      <c r="JBL17"/>
      <c r="JBM17"/>
      <c r="JBN17"/>
      <c r="JBO17"/>
      <c r="JBP17"/>
      <c r="JBQ17"/>
      <c r="JBR17"/>
      <c r="JBS17"/>
      <c r="JBT17"/>
      <c r="JBU17"/>
      <c r="JBV17"/>
      <c r="JBW17"/>
      <c r="JBX17"/>
      <c r="JBY17"/>
      <c r="JBZ17"/>
      <c r="JCA17"/>
      <c r="JCB17"/>
      <c r="JCC17"/>
      <c r="JCD17"/>
      <c r="JCE17"/>
      <c r="JCF17"/>
      <c r="JCG17"/>
      <c r="JCH17"/>
      <c r="JCI17"/>
      <c r="JCJ17"/>
      <c r="JCK17"/>
      <c r="JCL17"/>
      <c r="JCM17"/>
      <c r="JCN17"/>
      <c r="JCO17"/>
      <c r="JCP17"/>
      <c r="JCQ17"/>
      <c r="JCR17"/>
      <c r="JCS17"/>
      <c r="JCT17"/>
      <c r="JCU17"/>
      <c r="JCV17"/>
      <c r="JCW17"/>
      <c r="JCX17"/>
      <c r="JCY17"/>
      <c r="JCZ17"/>
      <c r="JDA17"/>
      <c r="JDB17"/>
      <c r="JDC17"/>
      <c r="JDD17"/>
      <c r="JDE17"/>
      <c r="JDF17"/>
      <c r="JDG17"/>
      <c r="JDH17"/>
      <c r="JDI17"/>
      <c r="JDJ17"/>
      <c r="JDK17"/>
      <c r="JDL17"/>
      <c r="JDM17"/>
      <c r="JDN17"/>
      <c r="JDO17"/>
      <c r="JDP17"/>
      <c r="JDQ17"/>
      <c r="JDR17"/>
      <c r="JDS17"/>
      <c r="JDT17"/>
      <c r="JDU17"/>
      <c r="JDV17"/>
      <c r="JDW17"/>
      <c r="JDX17"/>
      <c r="JDY17"/>
      <c r="JDZ17"/>
      <c r="JEA17"/>
      <c r="JEB17"/>
      <c r="JEC17"/>
      <c r="JED17"/>
      <c r="JEE17"/>
      <c r="JEF17"/>
      <c r="JEG17"/>
      <c r="JEH17"/>
      <c r="JEI17"/>
      <c r="JEJ17"/>
      <c r="JEK17"/>
      <c r="JEL17"/>
      <c r="JEM17"/>
      <c r="JEN17"/>
      <c r="JEO17"/>
      <c r="JEP17"/>
      <c r="JEQ17"/>
      <c r="JER17"/>
      <c r="JES17"/>
      <c r="JET17"/>
      <c r="JEU17"/>
      <c r="JEV17"/>
      <c r="JEW17"/>
      <c r="JEX17"/>
      <c r="JEY17"/>
      <c r="JEZ17"/>
      <c r="JFA17"/>
      <c r="JFB17"/>
      <c r="JFC17"/>
      <c r="JFD17"/>
      <c r="JFE17"/>
      <c r="JFF17"/>
      <c r="JFG17"/>
      <c r="JFH17"/>
      <c r="JFI17"/>
      <c r="JFJ17"/>
      <c r="JFK17"/>
      <c r="JFL17"/>
      <c r="JFM17"/>
      <c r="JFN17"/>
      <c r="JFO17"/>
      <c r="JFP17"/>
      <c r="JFQ17"/>
      <c r="JFR17"/>
      <c r="JFS17"/>
      <c r="JFT17"/>
      <c r="JFU17"/>
      <c r="JFV17"/>
      <c r="JFW17"/>
      <c r="JFX17"/>
      <c r="JFY17"/>
      <c r="JFZ17"/>
      <c r="JGA17"/>
      <c r="JGB17"/>
      <c r="JGC17"/>
      <c r="JGD17"/>
      <c r="JGE17"/>
      <c r="JGF17"/>
      <c r="JGG17"/>
      <c r="JGH17"/>
      <c r="JGI17"/>
      <c r="JGJ17"/>
      <c r="JGK17"/>
      <c r="JGL17"/>
      <c r="JGM17"/>
      <c r="JGN17"/>
      <c r="JGO17"/>
      <c r="JGP17"/>
      <c r="JGQ17"/>
      <c r="JGR17"/>
      <c r="JGS17"/>
      <c r="JGT17"/>
      <c r="JGU17"/>
      <c r="JGV17"/>
      <c r="JGW17"/>
      <c r="JGX17"/>
      <c r="JGY17"/>
      <c r="JGZ17"/>
      <c r="JHA17"/>
      <c r="JHB17"/>
      <c r="JHC17"/>
      <c r="JHD17"/>
      <c r="JHE17"/>
      <c r="JHF17"/>
      <c r="JHG17"/>
      <c r="JHH17"/>
      <c r="JHI17"/>
      <c r="JHJ17"/>
      <c r="JHK17"/>
      <c r="JHL17"/>
      <c r="JHM17"/>
      <c r="JHN17"/>
      <c r="JHO17"/>
      <c r="JHP17"/>
      <c r="JHQ17"/>
      <c r="JHR17"/>
      <c r="JHS17"/>
      <c r="JHT17"/>
      <c r="JHU17"/>
      <c r="JHV17"/>
      <c r="JHW17"/>
      <c r="JHX17"/>
      <c r="JHY17"/>
      <c r="JHZ17"/>
      <c r="JIA17"/>
      <c r="JIB17"/>
      <c r="JIC17"/>
      <c r="JID17"/>
      <c r="JIE17"/>
      <c r="JIF17"/>
      <c r="JIG17"/>
      <c r="JIH17"/>
      <c r="JII17"/>
      <c r="JIJ17"/>
      <c r="JIK17"/>
      <c r="JIL17"/>
      <c r="JIM17"/>
      <c r="JIN17"/>
      <c r="JIO17"/>
      <c r="JIP17"/>
      <c r="JIQ17"/>
      <c r="JIR17"/>
      <c r="JIS17"/>
      <c r="JIT17"/>
      <c r="JIU17"/>
      <c r="JIV17"/>
      <c r="JIW17"/>
      <c r="JIX17"/>
      <c r="JIY17"/>
      <c r="JIZ17"/>
      <c r="JJA17"/>
      <c r="JJB17"/>
      <c r="JJC17"/>
      <c r="JJD17"/>
      <c r="JJE17"/>
      <c r="JJF17"/>
      <c r="JJG17"/>
      <c r="JJH17"/>
      <c r="JJI17"/>
      <c r="JJJ17"/>
      <c r="JJK17"/>
      <c r="JJL17"/>
      <c r="JJM17"/>
      <c r="JJN17"/>
      <c r="JJO17"/>
      <c r="JJP17"/>
      <c r="JJQ17"/>
      <c r="JJR17"/>
      <c r="JJS17"/>
      <c r="JJT17"/>
      <c r="JJU17"/>
      <c r="JJV17"/>
      <c r="JJW17"/>
      <c r="JJX17"/>
      <c r="JJY17"/>
      <c r="JJZ17"/>
      <c r="JKA17"/>
      <c r="JKB17"/>
      <c r="JKC17"/>
      <c r="JKD17"/>
      <c r="JKE17"/>
      <c r="JKF17"/>
      <c r="JKG17"/>
      <c r="JKH17"/>
      <c r="JKI17"/>
      <c r="JKJ17"/>
      <c r="JKK17"/>
      <c r="JKL17"/>
      <c r="JKM17"/>
      <c r="JKN17"/>
      <c r="JKO17"/>
      <c r="JKP17"/>
      <c r="JKQ17"/>
      <c r="JKR17"/>
      <c r="JKS17"/>
      <c r="JKT17"/>
      <c r="JKU17"/>
      <c r="JKV17"/>
      <c r="JKW17"/>
      <c r="JKX17"/>
      <c r="JKY17"/>
      <c r="JKZ17"/>
      <c r="JLA17"/>
      <c r="JLB17"/>
      <c r="JLC17"/>
      <c r="JLD17"/>
      <c r="JLE17"/>
      <c r="JLF17"/>
      <c r="JLG17"/>
      <c r="JLH17"/>
      <c r="JLI17"/>
      <c r="JLJ17"/>
      <c r="JLK17"/>
      <c r="JLL17"/>
      <c r="JLM17"/>
      <c r="JLN17"/>
      <c r="JLO17"/>
      <c r="JLP17"/>
      <c r="JLQ17"/>
      <c r="JLR17"/>
      <c r="JLS17"/>
      <c r="JLT17"/>
      <c r="JLU17"/>
      <c r="JLV17"/>
      <c r="JLW17"/>
      <c r="JLX17"/>
      <c r="JLY17"/>
      <c r="JLZ17"/>
      <c r="JMA17"/>
      <c r="JMB17"/>
      <c r="JMC17"/>
      <c r="JMD17"/>
      <c r="JME17"/>
      <c r="JMF17"/>
      <c r="JMG17"/>
      <c r="JMH17"/>
      <c r="JMI17"/>
      <c r="JMJ17"/>
      <c r="JMK17"/>
      <c r="JML17"/>
      <c r="JMM17"/>
      <c r="JMN17"/>
      <c r="JMO17"/>
      <c r="JMP17"/>
      <c r="JMQ17"/>
      <c r="JMR17"/>
      <c r="JMS17"/>
      <c r="JMT17"/>
      <c r="JMU17"/>
      <c r="JMV17"/>
      <c r="JMW17"/>
      <c r="JMX17"/>
      <c r="JMY17"/>
      <c r="JMZ17"/>
      <c r="JNA17"/>
      <c r="JNB17"/>
      <c r="JNC17"/>
      <c r="JND17"/>
      <c r="JNE17"/>
      <c r="JNF17"/>
      <c r="JNG17"/>
      <c r="JNH17"/>
      <c r="JNI17"/>
      <c r="JNJ17"/>
      <c r="JNK17"/>
      <c r="JNL17"/>
      <c r="JNM17"/>
      <c r="JNN17"/>
      <c r="JNO17"/>
      <c r="JNP17"/>
      <c r="JNQ17"/>
      <c r="JNR17"/>
      <c r="JNS17"/>
      <c r="JNT17"/>
      <c r="JNU17"/>
      <c r="JNV17"/>
      <c r="JNW17"/>
      <c r="JNX17"/>
      <c r="JNY17"/>
      <c r="JNZ17"/>
      <c r="JOA17"/>
      <c r="JOB17"/>
      <c r="JOC17"/>
      <c r="JOD17"/>
      <c r="JOE17"/>
      <c r="JOF17"/>
      <c r="JOG17"/>
      <c r="JOH17"/>
      <c r="JOI17"/>
      <c r="JOJ17"/>
      <c r="JOK17"/>
      <c r="JOL17"/>
      <c r="JOM17"/>
      <c r="JON17"/>
      <c r="JOO17"/>
      <c r="JOP17"/>
      <c r="JOQ17"/>
      <c r="JOR17"/>
      <c r="JOS17"/>
      <c r="JOT17"/>
      <c r="JOU17"/>
      <c r="JOV17"/>
      <c r="JOW17"/>
      <c r="JOX17"/>
      <c r="JOY17"/>
      <c r="JOZ17"/>
      <c r="JPA17"/>
      <c r="JPB17"/>
      <c r="JPC17"/>
      <c r="JPD17"/>
      <c r="JPE17"/>
      <c r="JPF17"/>
      <c r="JPG17"/>
      <c r="JPH17"/>
      <c r="JPI17"/>
      <c r="JPJ17"/>
      <c r="JPK17"/>
      <c r="JPL17"/>
      <c r="JPM17"/>
      <c r="JPN17"/>
      <c r="JPO17"/>
      <c r="JPP17"/>
      <c r="JPQ17"/>
      <c r="JPR17"/>
      <c r="JPS17"/>
      <c r="JPT17"/>
      <c r="JPU17"/>
      <c r="JPV17"/>
      <c r="JPW17"/>
      <c r="JPX17"/>
      <c r="JPY17"/>
      <c r="JPZ17"/>
      <c r="JQA17"/>
      <c r="JQB17"/>
      <c r="JQC17"/>
      <c r="JQD17"/>
      <c r="JQE17"/>
      <c r="JQF17"/>
      <c r="JQG17"/>
      <c r="JQH17"/>
      <c r="JQI17"/>
      <c r="JQJ17"/>
      <c r="JQK17"/>
      <c r="JQL17"/>
      <c r="JQM17"/>
      <c r="JQN17"/>
      <c r="JQO17"/>
      <c r="JQP17"/>
      <c r="JQQ17"/>
      <c r="JQR17"/>
      <c r="JQS17"/>
      <c r="JQT17"/>
      <c r="JQU17"/>
      <c r="JQV17"/>
      <c r="JQW17"/>
      <c r="JQX17"/>
      <c r="JQY17"/>
      <c r="JQZ17"/>
      <c r="JRA17"/>
      <c r="JRB17"/>
      <c r="JRC17"/>
      <c r="JRD17"/>
      <c r="JRE17"/>
      <c r="JRF17"/>
      <c r="JRG17"/>
      <c r="JRH17"/>
      <c r="JRI17"/>
      <c r="JRJ17"/>
      <c r="JRK17"/>
      <c r="JRL17"/>
      <c r="JRM17"/>
      <c r="JRN17"/>
      <c r="JRO17"/>
      <c r="JRP17"/>
      <c r="JRQ17"/>
      <c r="JRR17"/>
      <c r="JRS17"/>
      <c r="JRT17"/>
      <c r="JRU17"/>
      <c r="JRV17"/>
      <c r="JRW17"/>
      <c r="JRX17"/>
      <c r="JRY17"/>
      <c r="JRZ17"/>
      <c r="JSA17"/>
      <c r="JSB17"/>
      <c r="JSC17"/>
      <c r="JSD17"/>
      <c r="JSE17"/>
      <c r="JSF17"/>
      <c r="JSG17"/>
      <c r="JSH17"/>
      <c r="JSI17"/>
      <c r="JSJ17"/>
      <c r="JSK17"/>
      <c r="JSL17"/>
      <c r="JSM17"/>
      <c r="JSN17"/>
      <c r="JSO17"/>
      <c r="JSP17"/>
      <c r="JSQ17"/>
      <c r="JSR17"/>
      <c r="JSS17"/>
      <c r="JST17"/>
      <c r="JSU17"/>
      <c r="JSV17"/>
      <c r="JSW17"/>
      <c r="JSX17"/>
      <c r="JSY17"/>
      <c r="JSZ17"/>
      <c r="JTA17"/>
      <c r="JTB17"/>
      <c r="JTC17"/>
      <c r="JTD17"/>
      <c r="JTE17"/>
      <c r="JTF17"/>
      <c r="JTG17"/>
      <c r="JTH17"/>
      <c r="JTI17"/>
      <c r="JTJ17"/>
      <c r="JTK17"/>
      <c r="JTL17"/>
      <c r="JTM17"/>
      <c r="JTN17"/>
      <c r="JTO17"/>
      <c r="JTP17"/>
      <c r="JTQ17"/>
      <c r="JTR17"/>
      <c r="JTS17"/>
      <c r="JTT17"/>
      <c r="JTU17"/>
      <c r="JTV17"/>
      <c r="JTW17"/>
      <c r="JTX17"/>
      <c r="JTY17"/>
      <c r="JTZ17"/>
      <c r="JUA17"/>
      <c r="JUB17"/>
      <c r="JUC17"/>
      <c r="JUD17"/>
      <c r="JUE17"/>
      <c r="JUF17"/>
      <c r="JUG17"/>
      <c r="JUH17"/>
      <c r="JUI17"/>
      <c r="JUJ17"/>
      <c r="JUK17"/>
      <c r="JUL17"/>
      <c r="JUM17"/>
      <c r="JUN17"/>
      <c r="JUO17"/>
      <c r="JUP17"/>
      <c r="JUQ17"/>
      <c r="JUR17"/>
      <c r="JUS17"/>
      <c r="JUT17"/>
      <c r="JUU17"/>
      <c r="JUV17"/>
      <c r="JUW17"/>
      <c r="JUX17"/>
      <c r="JUY17"/>
      <c r="JUZ17"/>
      <c r="JVA17"/>
      <c r="JVB17"/>
      <c r="JVC17"/>
      <c r="JVD17"/>
      <c r="JVE17"/>
      <c r="JVF17"/>
      <c r="JVG17"/>
      <c r="JVH17"/>
      <c r="JVI17"/>
      <c r="JVJ17"/>
      <c r="JVK17"/>
      <c r="JVL17"/>
      <c r="JVM17"/>
      <c r="JVN17"/>
      <c r="JVO17"/>
      <c r="JVP17"/>
      <c r="JVQ17"/>
      <c r="JVR17"/>
      <c r="JVS17"/>
      <c r="JVT17"/>
      <c r="JVU17"/>
      <c r="JVV17"/>
      <c r="JVW17"/>
      <c r="JVX17"/>
      <c r="JVY17"/>
      <c r="JVZ17"/>
      <c r="JWA17"/>
      <c r="JWB17"/>
      <c r="JWC17"/>
      <c r="JWD17"/>
      <c r="JWE17"/>
      <c r="JWF17"/>
      <c r="JWG17"/>
      <c r="JWH17"/>
      <c r="JWI17"/>
      <c r="JWJ17"/>
      <c r="JWK17"/>
      <c r="JWL17"/>
      <c r="JWM17"/>
      <c r="JWN17"/>
      <c r="JWO17"/>
      <c r="JWP17"/>
      <c r="JWQ17"/>
      <c r="JWR17"/>
      <c r="JWS17"/>
      <c r="JWT17"/>
      <c r="JWU17"/>
      <c r="JWV17"/>
      <c r="JWW17"/>
      <c r="JWX17"/>
      <c r="JWY17"/>
      <c r="JWZ17"/>
      <c r="JXA17"/>
      <c r="JXB17"/>
      <c r="JXC17"/>
      <c r="JXD17"/>
      <c r="JXE17"/>
      <c r="JXF17"/>
      <c r="JXG17"/>
      <c r="JXH17"/>
      <c r="JXI17"/>
      <c r="JXJ17"/>
      <c r="JXK17"/>
      <c r="JXL17"/>
      <c r="JXM17"/>
      <c r="JXN17"/>
      <c r="JXO17"/>
      <c r="JXP17"/>
      <c r="JXQ17"/>
      <c r="JXR17"/>
      <c r="JXS17"/>
      <c r="JXT17"/>
      <c r="JXU17"/>
      <c r="JXV17"/>
      <c r="JXW17"/>
      <c r="JXX17"/>
      <c r="JXY17"/>
      <c r="JXZ17"/>
      <c r="JYA17"/>
      <c r="JYB17"/>
      <c r="JYC17"/>
      <c r="JYD17"/>
      <c r="JYE17"/>
      <c r="JYF17"/>
      <c r="JYG17"/>
      <c r="JYH17"/>
      <c r="JYI17"/>
      <c r="JYJ17"/>
      <c r="JYK17"/>
      <c r="JYL17"/>
      <c r="JYM17"/>
      <c r="JYN17"/>
      <c r="JYO17"/>
      <c r="JYP17"/>
      <c r="JYQ17"/>
      <c r="JYR17"/>
      <c r="JYS17"/>
      <c r="JYT17"/>
      <c r="JYU17"/>
      <c r="JYV17"/>
      <c r="JYW17"/>
      <c r="JYX17"/>
      <c r="JYY17"/>
      <c r="JYZ17"/>
      <c r="JZA17"/>
      <c r="JZB17"/>
      <c r="JZC17"/>
      <c r="JZD17"/>
      <c r="JZE17"/>
      <c r="JZF17"/>
      <c r="JZG17"/>
      <c r="JZH17"/>
      <c r="JZI17"/>
      <c r="JZJ17"/>
      <c r="JZK17"/>
      <c r="JZL17"/>
      <c r="JZM17"/>
      <c r="JZN17"/>
      <c r="JZO17"/>
      <c r="JZP17"/>
      <c r="JZQ17"/>
      <c r="JZR17"/>
      <c r="JZS17"/>
      <c r="JZT17"/>
      <c r="JZU17"/>
      <c r="JZV17"/>
      <c r="JZW17"/>
      <c r="JZX17"/>
      <c r="JZY17"/>
      <c r="JZZ17"/>
      <c r="KAA17"/>
      <c r="KAB17"/>
      <c r="KAC17"/>
      <c r="KAD17"/>
      <c r="KAE17"/>
      <c r="KAF17"/>
      <c r="KAG17"/>
      <c r="KAH17"/>
      <c r="KAI17"/>
      <c r="KAJ17"/>
      <c r="KAK17"/>
      <c r="KAL17"/>
      <c r="KAM17"/>
      <c r="KAN17"/>
      <c r="KAO17"/>
      <c r="KAP17"/>
      <c r="KAQ17"/>
      <c r="KAR17"/>
      <c r="KAS17"/>
      <c r="KAT17"/>
      <c r="KAU17"/>
      <c r="KAV17"/>
      <c r="KAW17"/>
      <c r="KAX17"/>
      <c r="KAY17"/>
      <c r="KAZ17"/>
      <c r="KBA17"/>
      <c r="KBB17"/>
      <c r="KBC17"/>
      <c r="KBD17"/>
      <c r="KBE17"/>
      <c r="KBF17"/>
      <c r="KBG17"/>
      <c r="KBH17"/>
      <c r="KBI17"/>
      <c r="KBJ17"/>
      <c r="KBK17"/>
      <c r="KBL17"/>
      <c r="KBM17"/>
      <c r="KBN17"/>
      <c r="KBO17"/>
      <c r="KBP17"/>
      <c r="KBQ17"/>
      <c r="KBR17"/>
      <c r="KBS17"/>
      <c r="KBT17"/>
      <c r="KBU17"/>
      <c r="KBV17"/>
      <c r="KBW17"/>
      <c r="KBX17"/>
      <c r="KBY17"/>
      <c r="KBZ17"/>
      <c r="KCA17"/>
      <c r="KCB17"/>
      <c r="KCC17"/>
      <c r="KCD17"/>
      <c r="KCE17"/>
      <c r="KCF17"/>
      <c r="KCG17"/>
      <c r="KCH17"/>
      <c r="KCI17"/>
      <c r="KCJ17"/>
      <c r="KCK17"/>
      <c r="KCL17"/>
      <c r="KCM17"/>
      <c r="KCN17"/>
      <c r="KCO17"/>
      <c r="KCP17"/>
      <c r="KCQ17"/>
      <c r="KCR17"/>
      <c r="KCS17"/>
      <c r="KCT17"/>
      <c r="KCU17"/>
      <c r="KCV17"/>
      <c r="KCW17"/>
      <c r="KCX17"/>
      <c r="KCY17"/>
      <c r="KCZ17"/>
      <c r="KDA17"/>
      <c r="KDB17"/>
      <c r="KDC17"/>
      <c r="KDD17"/>
      <c r="KDE17"/>
      <c r="KDF17"/>
      <c r="KDG17"/>
      <c r="KDH17"/>
      <c r="KDI17"/>
      <c r="KDJ17"/>
      <c r="KDK17"/>
      <c r="KDL17"/>
      <c r="KDM17"/>
      <c r="KDN17"/>
      <c r="KDO17"/>
      <c r="KDP17"/>
      <c r="KDQ17"/>
      <c r="KDR17"/>
      <c r="KDS17"/>
      <c r="KDT17"/>
      <c r="KDU17"/>
      <c r="KDV17"/>
      <c r="KDW17"/>
      <c r="KDX17"/>
      <c r="KDY17"/>
      <c r="KDZ17"/>
      <c r="KEA17"/>
      <c r="KEB17"/>
      <c r="KEC17"/>
      <c r="KED17"/>
      <c r="KEE17"/>
      <c r="KEF17"/>
      <c r="KEG17"/>
      <c r="KEH17"/>
      <c r="KEI17"/>
      <c r="KEJ17"/>
      <c r="KEK17"/>
      <c r="KEL17"/>
      <c r="KEM17"/>
      <c r="KEN17"/>
      <c r="KEO17"/>
      <c r="KEP17"/>
      <c r="KEQ17"/>
      <c r="KER17"/>
      <c r="KES17"/>
      <c r="KET17"/>
      <c r="KEU17"/>
      <c r="KEV17"/>
      <c r="KEW17"/>
      <c r="KEX17"/>
      <c r="KEY17"/>
      <c r="KEZ17"/>
      <c r="KFA17"/>
      <c r="KFB17"/>
      <c r="KFC17"/>
      <c r="KFD17"/>
      <c r="KFE17"/>
      <c r="KFF17"/>
      <c r="KFG17"/>
      <c r="KFH17"/>
      <c r="KFI17"/>
      <c r="KFJ17"/>
      <c r="KFK17"/>
      <c r="KFL17"/>
      <c r="KFM17"/>
      <c r="KFN17"/>
      <c r="KFO17"/>
      <c r="KFP17"/>
      <c r="KFQ17"/>
      <c r="KFR17"/>
      <c r="KFS17"/>
      <c r="KFT17"/>
      <c r="KFU17"/>
      <c r="KFV17"/>
      <c r="KFW17"/>
      <c r="KFX17"/>
      <c r="KFY17"/>
      <c r="KFZ17"/>
      <c r="KGA17"/>
      <c r="KGB17"/>
      <c r="KGC17"/>
      <c r="KGD17"/>
      <c r="KGE17"/>
      <c r="KGF17"/>
      <c r="KGG17"/>
      <c r="KGH17"/>
      <c r="KGI17"/>
      <c r="KGJ17"/>
      <c r="KGK17"/>
      <c r="KGL17"/>
      <c r="KGM17"/>
      <c r="KGN17"/>
      <c r="KGO17"/>
      <c r="KGP17"/>
      <c r="KGQ17"/>
      <c r="KGR17"/>
      <c r="KGS17"/>
      <c r="KGT17"/>
      <c r="KGU17"/>
      <c r="KGV17"/>
      <c r="KGW17"/>
      <c r="KGX17"/>
      <c r="KGY17"/>
      <c r="KGZ17"/>
      <c r="KHA17"/>
      <c r="KHB17"/>
      <c r="KHC17"/>
      <c r="KHD17"/>
      <c r="KHE17"/>
      <c r="KHF17"/>
      <c r="KHG17"/>
      <c r="KHH17"/>
      <c r="KHI17"/>
      <c r="KHJ17"/>
      <c r="KHK17"/>
      <c r="KHL17"/>
      <c r="KHM17"/>
      <c r="KHN17"/>
      <c r="KHO17"/>
      <c r="KHP17"/>
      <c r="KHQ17"/>
      <c r="KHR17"/>
      <c r="KHS17"/>
      <c r="KHT17"/>
      <c r="KHU17"/>
      <c r="KHV17"/>
      <c r="KHW17"/>
      <c r="KHX17"/>
      <c r="KHY17"/>
      <c r="KHZ17"/>
      <c r="KIA17"/>
      <c r="KIB17"/>
      <c r="KIC17"/>
      <c r="KID17"/>
      <c r="KIE17"/>
      <c r="KIF17"/>
      <c r="KIG17"/>
      <c r="KIH17"/>
      <c r="KII17"/>
      <c r="KIJ17"/>
      <c r="KIK17"/>
      <c r="KIL17"/>
      <c r="KIM17"/>
      <c r="KIN17"/>
      <c r="KIO17"/>
      <c r="KIP17"/>
      <c r="KIQ17"/>
      <c r="KIR17"/>
      <c r="KIS17"/>
      <c r="KIT17"/>
      <c r="KIU17"/>
      <c r="KIV17"/>
      <c r="KIW17"/>
      <c r="KIX17"/>
      <c r="KIY17"/>
      <c r="KIZ17"/>
      <c r="KJA17"/>
      <c r="KJB17"/>
      <c r="KJC17"/>
      <c r="KJD17"/>
      <c r="KJE17"/>
      <c r="KJF17"/>
      <c r="KJG17"/>
      <c r="KJH17"/>
      <c r="KJI17"/>
      <c r="KJJ17"/>
      <c r="KJK17"/>
      <c r="KJL17"/>
      <c r="KJM17"/>
      <c r="KJN17"/>
      <c r="KJO17"/>
      <c r="KJP17"/>
      <c r="KJQ17"/>
      <c r="KJR17"/>
      <c r="KJS17"/>
      <c r="KJT17"/>
      <c r="KJU17"/>
      <c r="KJV17"/>
      <c r="KJW17"/>
      <c r="KJX17"/>
      <c r="KJY17"/>
      <c r="KJZ17"/>
      <c r="KKA17"/>
      <c r="KKB17"/>
      <c r="KKC17"/>
      <c r="KKD17"/>
      <c r="KKE17"/>
      <c r="KKF17"/>
      <c r="KKG17"/>
      <c r="KKH17"/>
      <c r="KKI17"/>
      <c r="KKJ17"/>
      <c r="KKK17"/>
      <c r="KKL17"/>
      <c r="KKM17"/>
      <c r="KKN17"/>
      <c r="KKO17"/>
      <c r="KKP17"/>
      <c r="KKQ17"/>
      <c r="KKR17"/>
      <c r="KKS17"/>
      <c r="KKT17"/>
      <c r="KKU17"/>
      <c r="KKV17"/>
      <c r="KKW17"/>
      <c r="KKX17"/>
      <c r="KKY17"/>
      <c r="KKZ17"/>
      <c r="KLA17"/>
      <c r="KLB17"/>
      <c r="KLC17"/>
      <c r="KLD17"/>
      <c r="KLE17"/>
      <c r="KLF17"/>
      <c r="KLG17"/>
      <c r="KLH17"/>
      <c r="KLI17"/>
      <c r="KLJ17"/>
      <c r="KLK17"/>
      <c r="KLL17"/>
      <c r="KLM17"/>
      <c r="KLN17"/>
      <c r="KLO17"/>
      <c r="KLP17"/>
      <c r="KLQ17"/>
      <c r="KLR17"/>
      <c r="KLS17"/>
      <c r="KLT17"/>
      <c r="KLU17"/>
      <c r="KLV17"/>
      <c r="KLW17"/>
      <c r="KLX17"/>
      <c r="KLY17"/>
      <c r="KLZ17"/>
      <c r="KMA17"/>
      <c r="KMB17"/>
      <c r="KMC17"/>
      <c r="KMD17"/>
      <c r="KME17"/>
      <c r="KMF17"/>
      <c r="KMG17"/>
      <c r="KMH17"/>
      <c r="KMI17"/>
      <c r="KMJ17"/>
      <c r="KMK17"/>
      <c r="KML17"/>
      <c r="KMM17"/>
      <c r="KMN17"/>
      <c r="KMO17"/>
      <c r="KMP17"/>
      <c r="KMQ17"/>
      <c r="KMR17"/>
      <c r="KMS17"/>
      <c r="KMT17"/>
      <c r="KMU17"/>
      <c r="KMV17"/>
      <c r="KMW17"/>
      <c r="KMX17"/>
      <c r="KMY17"/>
      <c r="KMZ17"/>
      <c r="KNA17"/>
      <c r="KNB17"/>
      <c r="KNC17"/>
      <c r="KND17"/>
      <c r="KNE17"/>
      <c r="KNF17"/>
      <c r="KNG17"/>
      <c r="KNH17"/>
      <c r="KNI17"/>
      <c r="KNJ17"/>
      <c r="KNK17"/>
      <c r="KNL17"/>
      <c r="KNM17"/>
      <c r="KNN17"/>
      <c r="KNO17"/>
      <c r="KNP17"/>
      <c r="KNQ17"/>
      <c r="KNR17"/>
      <c r="KNS17"/>
      <c r="KNT17"/>
      <c r="KNU17"/>
      <c r="KNV17"/>
      <c r="KNW17"/>
      <c r="KNX17"/>
      <c r="KNY17"/>
      <c r="KNZ17"/>
      <c r="KOA17"/>
      <c r="KOB17"/>
      <c r="KOC17"/>
      <c r="KOD17"/>
      <c r="KOE17"/>
      <c r="KOF17"/>
      <c r="KOG17"/>
      <c r="KOH17"/>
      <c r="KOI17"/>
      <c r="KOJ17"/>
      <c r="KOK17"/>
      <c r="KOL17"/>
      <c r="KOM17"/>
      <c r="KON17"/>
      <c r="KOO17"/>
      <c r="KOP17"/>
      <c r="KOQ17"/>
      <c r="KOR17"/>
      <c r="KOS17"/>
      <c r="KOT17"/>
      <c r="KOU17"/>
      <c r="KOV17"/>
      <c r="KOW17"/>
      <c r="KOX17"/>
      <c r="KOY17"/>
      <c r="KOZ17"/>
      <c r="KPA17"/>
      <c r="KPB17"/>
      <c r="KPC17"/>
      <c r="KPD17"/>
      <c r="KPE17"/>
      <c r="KPF17"/>
      <c r="KPG17"/>
      <c r="KPH17"/>
      <c r="KPI17"/>
      <c r="KPJ17"/>
      <c r="KPK17"/>
      <c r="KPL17"/>
      <c r="KPM17"/>
      <c r="KPN17"/>
      <c r="KPO17"/>
      <c r="KPP17"/>
      <c r="KPQ17"/>
      <c r="KPR17"/>
      <c r="KPS17"/>
      <c r="KPT17"/>
      <c r="KPU17"/>
      <c r="KPV17"/>
      <c r="KPW17"/>
      <c r="KPX17"/>
      <c r="KPY17"/>
      <c r="KPZ17"/>
      <c r="KQA17"/>
      <c r="KQB17"/>
      <c r="KQC17"/>
      <c r="KQD17"/>
      <c r="KQE17"/>
      <c r="KQF17"/>
      <c r="KQG17"/>
      <c r="KQH17"/>
      <c r="KQI17"/>
      <c r="KQJ17"/>
      <c r="KQK17"/>
      <c r="KQL17"/>
      <c r="KQM17"/>
      <c r="KQN17"/>
      <c r="KQO17"/>
      <c r="KQP17"/>
      <c r="KQQ17"/>
      <c r="KQR17"/>
      <c r="KQS17"/>
      <c r="KQT17"/>
      <c r="KQU17"/>
      <c r="KQV17"/>
      <c r="KQW17"/>
      <c r="KQX17"/>
      <c r="KQY17"/>
      <c r="KQZ17"/>
      <c r="KRA17"/>
      <c r="KRB17"/>
      <c r="KRC17"/>
      <c r="KRD17"/>
      <c r="KRE17"/>
      <c r="KRF17"/>
      <c r="KRG17"/>
      <c r="KRH17"/>
      <c r="KRI17"/>
      <c r="KRJ17"/>
      <c r="KRK17"/>
      <c r="KRL17"/>
      <c r="KRM17"/>
      <c r="KRN17"/>
      <c r="KRO17"/>
      <c r="KRP17"/>
      <c r="KRQ17"/>
      <c r="KRR17"/>
      <c r="KRS17"/>
      <c r="KRT17"/>
      <c r="KRU17"/>
      <c r="KRV17"/>
      <c r="KRW17"/>
      <c r="KRX17"/>
      <c r="KRY17"/>
      <c r="KRZ17"/>
      <c r="KSA17"/>
      <c r="KSB17"/>
      <c r="KSC17"/>
      <c r="KSD17"/>
      <c r="KSE17"/>
      <c r="KSF17"/>
      <c r="KSG17"/>
      <c r="KSH17"/>
      <c r="KSI17"/>
      <c r="KSJ17"/>
      <c r="KSK17"/>
      <c r="KSL17"/>
      <c r="KSM17"/>
      <c r="KSN17"/>
      <c r="KSO17"/>
      <c r="KSP17"/>
      <c r="KSQ17"/>
      <c r="KSR17"/>
      <c r="KSS17"/>
      <c r="KST17"/>
      <c r="KSU17"/>
      <c r="KSV17"/>
      <c r="KSW17"/>
      <c r="KSX17"/>
      <c r="KSY17"/>
      <c r="KSZ17"/>
      <c r="KTA17"/>
      <c r="KTB17"/>
      <c r="KTC17"/>
      <c r="KTD17"/>
      <c r="KTE17"/>
      <c r="KTF17"/>
      <c r="KTG17"/>
      <c r="KTH17"/>
      <c r="KTI17"/>
      <c r="KTJ17"/>
      <c r="KTK17"/>
      <c r="KTL17"/>
      <c r="KTM17"/>
      <c r="KTN17"/>
      <c r="KTO17"/>
      <c r="KTP17"/>
      <c r="KTQ17"/>
      <c r="KTR17"/>
      <c r="KTS17"/>
      <c r="KTT17"/>
      <c r="KTU17"/>
      <c r="KTV17"/>
      <c r="KTW17"/>
      <c r="KTX17"/>
      <c r="KTY17"/>
      <c r="KTZ17"/>
      <c r="KUA17"/>
      <c r="KUB17"/>
      <c r="KUC17"/>
      <c r="KUD17"/>
      <c r="KUE17"/>
      <c r="KUF17"/>
      <c r="KUG17"/>
      <c r="KUH17"/>
      <c r="KUI17"/>
      <c r="KUJ17"/>
      <c r="KUK17"/>
      <c r="KUL17"/>
      <c r="KUM17"/>
      <c r="KUN17"/>
      <c r="KUO17"/>
      <c r="KUP17"/>
      <c r="KUQ17"/>
      <c r="KUR17"/>
      <c r="KUS17"/>
      <c r="KUT17"/>
      <c r="KUU17"/>
      <c r="KUV17"/>
      <c r="KUW17"/>
      <c r="KUX17"/>
      <c r="KUY17"/>
      <c r="KUZ17"/>
      <c r="KVA17"/>
      <c r="KVB17"/>
      <c r="KVC17"/>
      <c r="KVD17"/>
      <c r="KVE17"/>
      <c r="KVF17"/>
      <c r="KVG17"/>
      <c r="KVH17"/>
      <c r="KVI17"/>
      <c r="KVJ17"/>
      <c r="KVK17"/>
      <c r="KVL17"/>
      <c r="KVM17"/>
      <c r="KVN17"/>
      <c r="KVO17"/>
      <c r="KVP17"/>
      <c r="KVQ17"/>
      <c r="KVR17"/>
      <c r="KVS17"/>
      <c r="KVT17"/>
      <c r="KVU17"/>
      <c r="KVV17"/>
      <c r="KVW17"/>
      <c r="KVX17"/>
      <c r="KVY17"/>
      <c r="KVZ17"/>
      <c r="KWA17"/>
      <c r="KWB17"/>
      <c r="KWC17"/>
      <c r="KWD17"/>
      <c r="KWE17"/>
      <c r="KWF17"/>
      <c r="KWG17"/>
      <c r="KWH17"/>
      <c r="KWI17"/>
      <c r="KWJ17"/>
      <c r="KWK17"/>
      <c r="KWL17"/>
      <c r="KWM17"/>
      <c r="KWN17"/>
      <c r="KWO17"/>
      <c r="KWP17"/>
      <c r="KWQ17"/>
      <c r="KWR17"/>
      <c r="KWS17"/>
      <c r="KWT17"/>
      <c r="KWU17"/>
      <c r="KWV17"/>
      <c r="KWW17"/>
      <c r="KWX17"/>
      <c r="KWY17"/>
      <c r="KWZ17"/>
      <c r="KXA17"/>
      <c r="KXB17"/>
      <c r="KXC17"/>
      <c r="KXD17"/>
      <c r="KXE17"/>
      <c r="KXF17"/>
      <c r="KXG17"/>
      <c r="KXH17"/>
      <c r="KXI17"/>
      <c r="KXJ17"/>
      <c r="KXK17"/>
      <c r="KXL17"/>
      <c r="KXM17"/>
      <c r="KXN17"/>
      <c r="KXO17"/>
      <c r="KXP17"/>
      <c r="KXQ17"/>
      <c r="KXR17"/>
      <c r="KXS17"/>
      <c r="KXT17"/>
      <c r="KXU17"/>
      <c r="KXV17"/>
      <c r="KXW17"/>
      <c r="KXX17"/>
      <c r="KXY17"/>
      <c r="KXZ17"/>
      <c r="KYA17"/>
      <c r="KYB17"/>
      <c r="KYC17"/>
      <c r="KYD17"/>
      <c r="KYE17"/>
      <c r="KYF17"/>
      <c r="KYG17"/>
      <c r="KYH17"/>
      <c r="KYI17"/>
      <c r="KYJ17"/>
      <c r="KYK17"/>
      <c r="KYL17"/>
      <c r="KYM17"/>
      <c r="KYN17"/>
      <c r="KYO17"/>
      <c r="KYP17"/>
      <c r="KYQ17"/>
      <c r="KYR17"/>
      <c r="KYS17"/>
      <c r="KYT17"/>
      <c r="KYU17"/>
      <c r="KYV17"/>
      <c r="KYW17"/>
      <c r="KYX17"/>
      <c r="KYY17"/>
      <c r="KYZ17"/>
      <c r="KZA17"/>
      <c r="KZB17"/>
      <c r="KZC17"/>
      <c r="KZD17"/>
      <c r="KZE17"/>
      <c r="KZF17"/>
      <c r="KZG17"/>
      <c r="KZH17"/>
      <c r="KZI17"/>
      <c r="KZJ17"/>
      <c r="KZK17"/>
      <c r="KZL17"/>
      <c r="KZM17"/>
      <c r="KZN17"/>
      <c r="KZO17"/>
      <c r="KZP17"/>
      <c r="KZQ17"/>
      <c r="KZR17"/>
      <c r="KZS17"/>
      <c r="KZT17"/>
      <c r="KZU17"/>
      <c r="KZV17"/>
      <c r="KZW17"/>
      <c r="KZX17"/>
      <c r="KZY17"/>
      <c r="KZZ17"/>
      <c r="LAA17"/>
      <c r="LAB17"/>
      <c r="LAC17"/>
      <c r="LAD17"/>
      <c r="LAE17"/>
      <c r="LAF17"/>
      <c r="LAG17"/>
      <c r="LAH17"/>
      <c r="LAI17"/>
      <c r="LAJ17"/>
      <c r="LAK17"/>
      <c r="LAL17"/>
      <c r="LAM17"/>
      <c r="LAN17"/>
      <c r="LAO17"/>
      <c r="LAP17"/>
      <c r="LAQ17"/>
      <c r="LAR17"/>
      <c r="LAS17"/>
      <c r="LAT17"/>
      <c r="LAU17"/>
      <c r="LAV17"/>
      <c r="LAW17"/>
      <c r="LAX17"/>
      <c r="LAY17"/>
      <c r="LAZ17"/>
      <c r="LBA17"/>
      <c r="LBB17"/>
      <c r="LBC17"/>
      <c r="LBD17"/>
      <c r="LBE17"/>
      <c r="LBF17"/>
      <c r="LBG17"/>
      <c r="LBH17"/>
      <c r="LBI17"/>
      <c r="LBJ17"/>
      <c r="LBK17"/>
      <c r="LBL17"/>
      <c r="LBM17"/>
      <c r="LBN17"/>
      <c r="LBO17"/>
      <c r="LBP17"/>
      <c r="LBQ17"/>
      <c r="LBR17"/>
      <c r="LBS17"/>
      <c r="LBT17"/>
      <c r="LBU17"/>
      <c r="LBV17"/>
      <c r="LBW17"/>
      <c r="LBX17"/>
      <c r="LBY17"/>
      <c r="LBZ17"/>
      <c r="LCA17"/>
      <c r="LCB17"/>
      <c r="LCC17"/>
      <c r="LCD17"/>
      <c r="LCE17"/>
      <c r="LCF17"/>
      <c r="LCG17"/>
      <c r="LCH17"/>
      <c r="LCI17"/>
      <c r="LCJ17"/>
      <c r="LCK17"/>
      <c r="LCL17"/>
      <c r="LCM17"/>
      <c r="LCN17"/>
      <c r="LCO17"/>
      <c r="LCP17"/>
      <c r="LCQ17"/>
      <c r="LCR17"/>
      <c r="LCS17"/>
      <c r="LCT17"/>
      <c r="LCU17"/>
      <c r="LCV17"/>
      <c r="LCW17"/>
      <c r="LCX17"/>
      <c r="LCY17"/>
      <c r="LCZ17"/>
      <c r="LDA17"/>
      <c r="LDB17"/>
      <c r="LDC17"/>
      <c r="LDD17"/>
      <c r="LDE17"/>
      <c r="LDF17"/>
      <c r="LDG17"/>
      <c r="LDH17"/>
      <c r="LDI17"/>
      <c r="LDJ17"/>
      <c r="LDK17"/>
      <c r="LDL17"/>
      <c r="LDM17"/>
      <c r="LDN17"/>
      <c r="LDO17"/>
      <c r="LDP17"/>
      <c r="LDQ17"/>
      <c r="LDR17"/>
      <c r="LDS17"/>
      <c r="LDT17"/>
      <c r="LDU17"/>
      <c r="LDV17"/>
      <c r="LDW17"/>
      <c r="LDX17"/>
      <c r="LDY17"/>
      <c r="LDZ17"/>
      <c r="LEA17"/>
      <c r="LEB17"/>
      <c r="LEC17"/>
      <c r="LED17"/>
      <c r="LEE17"/>
      <c r="LEF17"/>
      <c r="LEG17"/>
      <c r="LEH17"/>
      <c r="LEI17"/>
      <c r="LEJ17"/>
      <c r="LEK17"/>
      <c r="LEL17"/>
      <c r="LEM17"/>
      <c r="LEN17"/>
      <c r="LEO17"/>
      <c r="LEP17"/>
      <c r="LEQ17"/>
      <c r="LER17"/>
      <c r="LES17"/>
      <c r="LET17"/>
      <c r="LEU17"/>
      <c r="LEV17"/>
      <c r="LEW17"/>
      <c r="LEX17"/>
      <c r="LEY17"/>
      <c r="LEZ17"/>
      <c r="LFA17"/>
      <c r="LFB17"/>
      <c r="LFC17"/>
      <c r="LFD17"/>
      <c r="LFE17"/>
      <c r="LFF17"/>
      <c r="LFG17"/>
      <c r="LFH17"/>
      <c r="LFI17"/>
      <c r="LFJ17"/>
      <c r="LFK17"/>
      <c r="LFL17"/>
      <c r="LFM17"/>
      <c r="LFN17"/>
      <c r="LFO17"/>
      <c r="LFP17"/>
      <c r="LFQ17"/>
      <c r="LFR17"/>
      <c r="LFS17"/>
      <c r="LFT17"/>
      <c r="LFU17"/>
      <c r="LFV17"/>
      <c r="LFW17"/>
      <c r="LFX17"/>
      <c r="LFY17"/>
      <c r="LFZ17"/>
      <c r="LGA17"/>
      <c r="LGB17"/>
      <c r="LGC17"/>
      <c r="LGD17"/>
      <c r="LGE17"/>
      <c r="LGF17"/>
      <c r="LGG17"/>
      <c r="LGH17"/>
      <c r="LGI17"/>
      <c r="LGJ17"/>
      <c r="LGK17"/>
      <c r="LGL17"/>
      <c r="LGM17"/>
      <c r="LGN17"/>
      <c r="LGO17"/>
      <c r="LGP17"/>
      <c r="LGQ17"/>
      <c r="LGR17"/>
      <c r="LGS17"/>
      <c r="LGT17"/>
      <c r="LGU17"/>
      <c r="LGV17"/>
      <c r="LGW17"/>
      <c r="LGX17"/>
      <c r="LGY17"/>
      <c r="LGZ17"/>
      <c r="LHA17"/>
      <c r="LHB17"/>
      <c r="LHC17"/>
      <c r="LHD17"/>
      <c r="LHE17"/>
      <c r="LHF17"/>
      <c r="LHG17"/>
      <c r="LHH17"/>
      <c r="LHI17"/>
      <c r="LHJ17"/>
      <c r="LHK17"/>
      <c r="LHL17"/>
      <c r="LHM17"/>
      <c r="LHN17"/>
      <c r="LHO17"/>
      <c r="LHP17"/>
      <c r="LHQ17"/>
      <c r="LHR17"/>
      <c r="LHS17"/>
      <c r="LHT17"/>
      <c r="LHU17"/>
      <c r="LHV17"/>
      <c r="LHW17"/>
      <c r="LHX17"/>
      <c r="LHY17"/>
      <c r="LHZ17"/>
      <c r="LIA17"/>
      <c r="LIB17"/>
      <c r="LIC17"/>
      <c r="LID17"/>
      <c r="LIE17"/>
      <c r="LIF17"/>
      <c r="LIG17"/>
      <c r="LIH17"/>
      <c r="LII17"/>
      <c r="LIJ17"/>
      <c r="LIK17"/>
      <c r="LIL17"/>
      <c r="LIM17"/>
      <c r="LIN17"/>
      <c r="LIO17"/>
      <c r="LIP17"/>
      <c r="LIQ17"/>
      <c r="LIR17"/>
      <c r="LIS17"/>
      <c r="LIT17"/>
      <c r="LIU17"/>
      <c r="LIV17"/>
      <c r="LIW17"/>
      <c r="LIX17"/>
      <c r="LIY17"/>
      <c r="LIZ17"/>
      <c r="LJA17"/>
      <c r="LJB17"/>
      <c r="LJC17"/>
      <c r="LJD17"/>
      <c r="LJE17"/>
      <c r="LJF17"/>
      <c r="LJG17"/>
      <c r="LJH17"/>
      <c r="LJI17"/>
      <c r="LJJ17"/>
      <c r="LJK17"/>
      <c r="LJL17"/>
      <c r="LJM17"/>
      <c r="LJN17"/>
      <c r="LJO17"/>
      <c r="LJP17"/>
      <c r="LJQ17"/>
      <c r="LJR17"/>
      <c r="LJS17"/>
      <c r="LJT17"/>
      <c r="LJU17"/>
      <c r="LJV17"/>
      <c r="LJW17"/>
      <c r="LJX17"/>
      <c r="LJY17"/>
      <c r="LJZ17"/>
      <c r="LKA17"/>
      <c r="LKB17"/>
      <c r="LKC17"/>
      <c r="LKD17"/>
      <c r="LKE17"/>
      <c r="LKF17"/>
      <c r="LKG17"/>
      <c r="LKH17"/>
      <c r="LKI17"/>
      <c r="LKJ17"/>
      <c r="LKK17"/>
      <c r="LKL17"/>
      <c r="LKM17"/>
      <c r="LKN17"/>
      <c r="LKO17"/>
      <c r="LKP17"/>
      <c r="LKQ17"/>
      <c r="LKR17"/>
      <c r="LKS17"/>
      <c r="LKT17"/>
      <c r="LKU17"/>
      <c r="LKV17"/>
      <c r="LKW17"/>
      <c r="LKX17"/>
      <c r="LKY17"/>
      <c r="LKZ17"/>
      <c r="LLA17"/>
      <c r="LLB17"/>
      <c r="LLC17"/>
      <c r="LLD17"/>
      <c r="LLE17"/>
      <c r="LLF17"/>
      <c r="LLG17"/>
      <c r="LLH17"/>
      <c r="LLI17"/>
      <c r="LLJ17"/>
      <c r="LLK17"/>
      <c r="LLL17"/>
      <c r="LLM17"/>
      <c r="LLN17"/>
      <c r="LLO17"/>
      <c r="LLP17"/>
      <c r="LLQ17"/>
      <c r="LLR17"/>
      <c r="LLS17"/>
      <c r="LLT17"/>
      <c r="LLU17"/>
      <c r="LLV17"/>
      <c r="LLW17"/>
      <c r="LLX17"/>
      <c r="LLY17"/>
      <c r="LLZ17"/>
      <c r="LMA17"/>
      <c r="LMB17"/>
      <c r="LMC17"/>
      <c r="LMD17"/>
      <c r="LME17"/>
      <c r="LMF17"/>
      <c r="LMG17"/>
      <c r="LMH17"/>
      <c r="LMI17"/>
      <c r="LMJ17"/>
      <c r="LMK17"/>
      <c r="LML17"/>
      <c r="LMM17"/>
      <c r="LMN17"/>
      <c r="LMO17"/>
      <c r="LMP17"/>
      <c r="LMQ17"/>
      <c r="LMR17"/>
      <c r="LMS17"/>
      <c r="LMT17"/>
      <c r="LMU17"/>
      <c r="LMV17"/>
      <c r="LMW17"/>
      <c r="LMX17"/>
      <c r="LMY17"/>
      <c r="LMZ17"/>
      <c r="LNA17"/>
      <c r="LNB17"/>
      <c r="LNC17"/>
      <c r="LND17"/>
      <c r="LNE17"/>
      <c r="LNF17"/>
      <c r="LNG17"/>
      <c r="LNH17"/>
      <c r="LNI17"/>
      <c r="LNJ17"/>
      <c r="LNK17"/>
      <c r="LNL17"/>
      <c r="LNM17"/>
      <c r="LNN17"/>
      <c r="LNO17"/>
      <c r="LNP17"/>
      <c r="LNQ17"/>
      <c r="LNR17"/>
      <c r="LNS17"/>
      <c r="LNT17"/>
      <c r="LNU17"/>
      <c r="LNV17"/>
      <c r="LNW17"/>
      <c r="LNX17"/>
      <c r="LNY17"/>
      <c r="LNZ17"/>
      <c r="LOA17"/>
      <c r="LOB17"/>
      <c r="LOC17"/>
      <c r="LOD17"/>
      <c r="LOE17"/>
      <c r="LOF17"/>
      <c r="LOG17"/>
      <c r="LOH17"/>
      <c r="LOI17"/>
      <c r="LOJ17"/>
      <c r="LOK17"/>
      <c r="LOL17"/>
      <c r="LOM17"/>
      <c r="LON17"/>
      <c r="LOO17"/>
      <c r="LOP17"/>
      <c r="LOQ17"/>
      <c r="LOR17"/>
      <c r="LOS17"/>
      <c r="LOT17"/>
      <c r="LOU17"/>
      <c r="LOV17"/>
      <c r="LOW17"/>
      <c r="LOX17"/>
      <c r="LOY17"/>
      <c r="LOZ17"/>
      <c r="LPA17"/>
      <c r="LPB17"/>
      <c r="LPC17"/>
      <c r="LPD17"/>
      <c r="LPE17"/>
      <c r="LPF17"/>
      <c r="LPG17"/>
      <c r="LPH17"/>
      <c r="LPI17"/>
      <c r="LPJ17"/>
      <c r="LPK17"/>
      <c r="LPL17"/>
      <c r="LPM17"/>
      <c r="LPN17"/>
      <c r="LPO17"/>
      <c r="LPP17"/>
      <c r="LPQ17"/>
      <c r="LPR17"/>
      <c r="LPS17"/>
      <c r="LPT17"/>
      <c r="LPU17"/>
      <c r="LPV17"/>
      <c r="LPW17"/>
      <c r="LPX17"/>
      <c r="LPY17"/>
      <c r="LPZ17"/>
      <c r="LQA17"/>
      <c r="LQB17"/>
      <c r="LQC17"/>
      <c r="LQD17"/>
      <c r="LQE17"/>
      <c r="LQF17"/>
      <c r="LQG17"/>
      <c r="LQH17"/>
      <c r="LQI17"/>
      <c r="LQJ17"/>
      <c r="LQK17"/>
      <c r="LQL17"/>
      <c r="LQM17"/>
      <c r="LQN17"/>
      <c r="LQO17"/>
      <c r="LQP17"/>
      <c r="LQQ17"/>
      <c r="LQR17"/>
      <c r="LQS17"/>
      <c r="LQT17"/>
      <c r="LQU17"/>
      <c r="LQV17"/>
      <c r="LQW17"/>
      <c r="LQX17"/>
      <c r="LQY17"/>
      <c r="LQZ17"/>
      <c r="LRA17"/>
      <c r="LRB17"/>
      <c r="LRC17"/>
      <c r="LRD17"/>
      <c r="LRE17"/>
      <c r="LRF17"/>
      <c r="LRG17"/>
      <c r="LRH17"/>
      <c r="LRI17"/>
      <c r="LRJ17"/>
      <c r="LRK17"/>
      <c r="LRL17"/>
      <c r="LRM17"/>
      <c r="LRN17"/>
      <c r="LRO17"/>
      <c r="LRP17"/>
      <c r="LRQ17"/>
      <c r="LRR17"/>
      <c r="LRS17"/>
      <c r="LRT17"/>
      <c r="LRU17"/>
      <c r="LRV17"/>
      <c r="LRW17"/>
      <c r="LRX17"/>
      <c r="LRY17"/>
      <c r="LRZ17"/>
      <c r="LSA17"/>
      <c r="LSB17"/>
      <c r="LSC17"/>
      <c r="LSD17"/>
      <c r="LSE17"/>
      <c r="LSF17"/>
      <c r="LSG17"/>
      <c r="LSH17"/>
      <c r="LSI17"/>
      <c r="LSJ17"/>
      <c r="LSK17"/>
      <c r="LSL17"/>
      <c r="LSM17"/>
      <c r="LSN17"/>
      <c r="LSO17"/>
      <c r="LSP17"/>
      <c r="LSQ17"/>
      <c r="LSR17"/>
      <c r="LSS17"/>
      <c r="LST17"/>
      <c r="LSU17"/>
      <c r="LSV17"/>
      <c r="LSW17"/>
      <c r="LSX17"/>
      <c r="LSY17"/>
      <c r="LSZ17"/>
      <c r="LTA17"/>
      <c r="LTB17"/>
      <c r="LTC17"/>
      <c r="LTD17"/>
      <c r="LTE17"/>
      <c r="LTF17"/>
      <c r="LTG17"/>
      <c r="LTH17"/>
      <c r="LTI17"/>
      <c r="LTJ17"/>
      <c r="LTK17"/>
      <c r="LTL17"/>
      <c r="LTM17"/>
      <c r="LTN17"/>
      <c r="LTO17"/>
      <c r="LTP17"/>
      <c r="LTQ17"/>
      <c r="LTR17"/>
      <c r="LTS17"/>
      <c r="LTT17"/>
      <c r="LTU17"/>
      <c r="LTV17"/>
      <c r="LTW17"/>
      <c r="LTX17"/>
      <c r="LTY17"/>
      <c r="LTZ17"/>
      <c r="LUA17"/>
      <c r="LUB17"/>
      <c r="LUC17"/>
      <c r="LUD17"/>
      <c r="LUE17"/>
      <c r="LUF17"/>
      <c r="LUG17"/>
      <c r="LUH17"/>
      <c r="LUI17"/>
      <c r="LUJ17"/>
      <c r="LUK17"/>
      <c r="LUL17"/>
      <c r="LUM17"/>
      <c r="LUN17"/>
      <c r="LUO17"/>
      <c r="LUP17"/>
      <c r="LUQ17"/>
      <c r="LUR17"/>
      <c r="LUS17"/>
      <c r="LUT17"/>
      <c r="LUU17"/>
      <c r="LUV17"/>
      <c r="LUW17"/>
      <c r="LUX17"/>
      <c r="LUY17"/>
      <c r="LUZ17"/>
      <c r="LVA17"/>
      <c r="LVB17"/>
      <c r="LVC17"/>
      <c r="LVD17"/>
      <c r="LVE17"/>
      <c r="LVF17"/>
      <c r="LVG17"/>
      <c r="LVH17"/>
      <c r="LVI17"/>
      <c r="LVJ17"/>
      <c r="LVK17"/>
      <c r="LVL17"/>
      <c r="LVM17"/>
      <c r="LVN17"/>
      <c r="LVO17"/>
      <c r="LVP17"/>
      <c r="LVQ17"/>
      <c r="LVR17"/>
      <c r="LVS17"/>
      <c r="LVT17"/>
      <c r="LVU17"/>
      <c r="LVV17"/>
      <c r="LVW17"/>
      <c r="LVX17"/>
      <c r="LVY17"/>
      <c r="LVZ17"/>
      <c r="LWA17"/>
      <c r="LWB17"/>
      <c r="LWC17"/>
      <c r="LWD17"/>
      <c r="LWE17"/>
      <c r="LWF17"/>
      <c r="LWG17"/>
      <c r="LWH17"/>
      <c r="LWI17"/>
      <c r="LWJ17"/>
      <c r="LWK17"/>
      <c r="LWL17"/>
      <c r="LWM17"/>
      <c r="LWN17"/>
      <c r="LWO17"/>
      <c r="LWP17"/>
      <c r="LWQ17"/>
      <c r="LWR17"/>
      <c r="LWS17"/>
      <c r="LWT17"/>
      <c r="LWU17"/>
      <c r="LWV17"/>
      <c r="LWW17"/>
      <c r="LWX17"/>
      <c r="LWY17"/>
      <c r="LWZ17"/>
      <c r="LXA17"/>
      <c r="LXB17"/>
      <c r="LXC17"/>
      <c r="LXD17"/>
      <c r="LXE17"/>
      <c r="LXF17"/>
      <c r="LXG17"/>
      <c r="LXH17"/>
      <c r="LXI17"/>
      <c r="LXJ17"/>
      <c r="LXK17"/>
      <c r="LXL17"/>
      <c r="LXM17"/>
      <c r="LXN17"/>
      <c r="LXO17"/>
      <c r="LXP17"/>
      <c r="LXQ17"/>
      <c r="LXR17"/>
      <c r="LXS17"/>
      <c r="LXT17"/>
      <c r="LXU17"/>
      <c r="LXV17"/>
      <c r="LXW17"/>
      <c r="LXX17"/>
      <c r="LXY17"/>
      <c r="LXZ17"/>
      <c r="LYA17"/>
      <c r="LYB17"/>
      <c r="LYC17"/>
      <c r="LYD17"/>
      <c r="LYE17"/>
      <c r="LYF17"/>
      <c r="LYG17"/>
      <c r="LYH17"/>
      <c r="LYI17"/>
      <c r="LYJ17"/>
      <c r="LYK17"/>
      <c r="LYL17"/>
      <c r="LYM17"/>
      <c r="LYN17"/>
      <c r="LYO17"/>
      <c r="LYP17"/>
      <c r="LYQ17"/>
      <c r="LYR17"/>
      <c r="LYS17"/>
      <c r="LYT17"/>
      <c r="LYU17"/>
      <c r="LYV17"/>
      <c r="LYW17"/>
      <c r="LYX17"/>
      <c r="LYY17"/>
      <c r="LYZ17"/>
      <c r="LZA17"/>
      <c r="LZB17"/>
      <c r="LZC17"/>
      <c r="LZD17"/>
      <c r="LZE17"/>
      <c r="LZF17"/>
      <c r="LZG17"/>
      <c r="LZH17"/>
      <c r="LZI17"/>
      <c r="LZJ17"/>
      <c r="LZK17"/>
      <c r="LZL17"/>
      <c r="LZM17"/>
      <c r="LZN17"/>
      <c r="LZO17"/>
      <c r="LZP17"/>
      <c r="LZQ17"/>
      <c r="LZR17"/>
      <c r="LZS17"/>
      <c r="LZT17"/>
      <c r="LZU17"/>
      <c r="LZV17"/>
      <c r="LZW17"/>
      <c r="LZX17"/>
      <c r="LZY17"/>
      <c r="LZZ17"/>
      <c r="MAA17"/>
      <c r="MAB17"/>
      <c r="MAC17"/>
      <c r="MAD17"/>
      <c r="MAE17"/>
      <c r="MAF17"/>
      <c r="MAG17"/>
      <c r="MAH17"/>
      <c r="MAI17"/>
      <c r="MAJ17"/>
      <c r="MAK17"/>
      <c r="MAL17"/>
      <c r="MAM17"/>
      <c r="MAN17"/>
      <c r="MAO17"/>
      <c r="MAP17"/>
      <c r="MAQ17"/>
      <c r="MAR17"/>
      <c r="MAS17"/>
      <c r="MAT17"/>
      <c r="MAU17"/>
      <c r="MAV17"/>
      <c r="MAW17"/>
      <c r="MAX17"/>
      <c r="MAY17"/>
      <c r="MAZ17"/>
      <c r="MBA17"/>
      <c r="MBB17"/>
      <c r="MBC17"/>
      <c r="MBD17"/>
      <c r="MBE17"/>
      <c r="MBF17"/>
      <c r="MBG17"/>
      <c r="MBH17"/>
      <c r="MBI17"/>
      <c r="MBJ17"/>
      <c r="MBK17"/>
      <c r="MBL17"/>
      <c r="MBM17"/>
      <c r="MBN17"/>
      <c r="MBO17"/>
      <c r="MBP17"/>
      <c r="MBQ17"/>
      <c r="MBR17"/>
      <c r="MBS17"/>
      <c r="MBT17"/>
      <c r="MBU17"/>
      <c r="MBV17"/>
      <c r="MBW17"/>
      <c r="MBX17"/>
      <c r="MBY17"/>
      <c r="MBZ17"/>
      <c r="MCA17"/>
      <c r="MCB17"/>
      <c r="MCC17"/>
      <c r="MCD17"/>
      <c r="MCE17"/>
      <c r="MCF17"/>
      <c r="MCG17"/>
      <c r="MCH17"/>
      <c r="MCI17"/>
      <c r="MCJ17"/>
      <c r="MCK17"/>
      <c r="MCL17"/>
      <c r="MCM17"/>
      <c r="MCN17"/>
      <c r="MCO17"/>
      <c r="MCP17"/>
      <c r="MCQ17"/>
      <c r="MCR17"/>
      <c r="MCS17"/>
      <c r="MCT17"/>
      <c r="MCU17"/>
      <c r="MCV17"/>
      <c r="MCW17"/>
      <c r="MCX17"/>
      <c r="MCY17"/>
      <c r="MCZ17"/>
      <c r="MDA17"/>
      <c r="MDB17"/>
      <c r="MDC17"/>
      <c r="MDD17"/>
      <c r="MDE17"/>
      <c r="MDF17"/>
      <c r="MDG17"/>
      <c r="MDH17"/>
      <c r="MDI17"/>
      <c r="MDJ17"/>
      <c r="MDK17"/>
      <c r="MDL17"/>
      <c r="MDM17"/>
      <c r="MDN17"/>
      <c r="MDO17"/>
      <c r="MDP17"/>
      <c r="MDQ17"/>
      <c r="MDR17"/>
      <c r="MDS17"/>
      <c r="MDT17"/>
      <c r="MDU17"/>
      <c r="MDV17"/>
      <c r="MDW17"/>
      <c r="MDX17"/>
      <c r="MDY17"/>
      <c r="MDZ17"/>
      <c r="MEA17"/>
      <c r="MEB17"/>
      <c r="MEC17"/>
      <c r="MED17"/>
      <c r="MEE17"/>
      <c r="MEF17"/>
      <c r="MEG17"/>
      <c r="MEH17"/>
      <c r="MEI17"/>
      <c r="MEJ17"/>
      <c r="MEK17"/>
      <c r="MEL17"/>
      <c r="MEM17"/>
      <c r="MEN17"/>
      <c r="MEO17"/>
      <c r="MEP17"/>
      <c r="MEQ17"/>
      <c r="MER17"/>
      <c r="MES17"/>
      <c r="MET17"/>
      <c r="MEU17"/>
      <c r="MEV17"/>
      <c r="MEW17"/>
      <c r="MEX17"/>
      <c r="MEY17"/>
      <c r="MEZ17"/>
      <c r="MFA17"/>
      <c r="MFB17"/>
      <c r="MFC17"/>
      <c r="MFD17"/>
      <c r="MFE17"/>
      <c r="MFF17"/>
      <c r="MFG17"/>
      <c r="MFH17"/>
      <c r="MFI17"/>
      <c r="MFJ17"/>
      <c r="MFK17"/>
      <c r="MFL17"/>
      <c r="MFM17"/>
      <c r="MFN17"/>
      <c r="MFO17"/>
      <c r="MFP17"/>
      <c r="MFQ17"/>
      <c r="MFR17"/>
      <c r="MFS17"/>
      <c r="MFT17"/>
      <c r="MFU17"/>
      <c r="MFV17"/>
      <c r="MFW17"/>
      <c r="MFX17"/>
      <c r="MFY17"/>
      <c r="MFZ17"/>
      <c r="MGA17"/>
      <c r="MGB17"/>
      <c r="MGC17"/>
      <c r="MGD17"/>
      <c r="MGE17"/>
      <c r="MGF17"/>
      <c r="MGG17"/>
      <c r="MGH17"/>
      <c r="MGI17"/>
      <c r="MGJ17"/>
      <c r="MGK17"/>
      <c r="MGL17"/>
      <c r="MGM17"/>
      <c r="MGN17"/>
      <c r="MGO17"/>
      <c r="MGP17"/>
      <c r="MGQ17"/>
      <c r="MGR17"/>
      <c r="MGS17"/>
      <c r="MGT17"/>
      <c r="MGU17"/>
      <c r="MGV17"/>
      <c r="MGW17"/>
      <c r="MGX17"/>
      <c r="MGY17"/>
      <c r="MGZ17"/>
      <c r="MHA17"/>
      <c r="MHB17"/>
      <c r="MHC17"/>
      <c r="MHD17"/>
      <c r="MHE17"/>
      <c r="MHF17"/>
      <c r="MHG17"/>
      <c r="MHH17"/>
      <c r="MHI17"/>
      <c r="MHJ17"/>
      <c r="MHK17"/>
      <c r="MHL17"/>
      <c r="MHM17"/>
      <c r="MHN17"/>
      <c r="MHO17"/>
      <c r="MHP17"/>
      <c r="MHQ17"/>
      <c r="MHR17"/>
      <c r="MHS17"/>
      <c r="MHT17"/>
      <c r="MHU17"/>
      <c r="MHV17"/>
      <c r="MHW17"/>
      <c r="MHX17"/>
      <c r="MHY17"/>
      <c r="MHZ17"/>
      <c r="MIA17"/>
      <c r="MIB17"/>
      <c r="MIC17"/>
      <c r="MID17"/>
      <c r="MIE17"/>
      <c r="MIF17"/>
      <c r="MIG17"/>
      <c r="MIH17"/>
      <c r="MII17"/>
      <c r="MIJ17"/>
      <c r="MIK17"/>
      <c r="MIL17"/>
      <c r="MIM17"/>
      <c r="MIN17"/>
      <c r="MIO17"/>
      <c r="MIP17"/>
      <c r="MIQ17"/>
      <c r="MIR17"/>
      <c r="MIS17"/>
      <c r="MIT17"/>
      <c r="MIU17"/>
      <c r="MIV17"/>
      <c r="MIW17"/>
      <c r="MIX17"/>
      <c r="MIY17"/>
      <c r="MIZ17"/>
      <c r="MJA17"/>
      <c r="MJB17"/>
      <c r="MJC17"/>
      <c r="MJD17"/>
      <c r="MJE17"/>
      <c r="MJF17"/>
      <c r="MJG17"/>
      <c r="MJH17"/>
      <c r="MJI17"/>
      <c r="MJJ17"/>
      <c r="MJK17"/>
      <c r="MJL17"/>
      <c r="MJM17"/>
      <c r="MJN17"/>
      <c r="MJO17"/>
      <c r="MJP17"/>
      <c r="MJQ17"/>
      <c r="MJR17"/>
      <c r="MJS17"/>
      <c r="MJT17"/>
      <c r="MJU17"/>
      <c r="MJV17"/>
      <c r="MJW17"/>
      <c r="MJX17"/>
      <c r="MJY17"/>
      <c r="MJZ17"/>
      <c r="MKA17"/>
      <c r="MKB17"/>
      <c r="MKC17"/>
      <c r="MKD17"/>
      <c r="MKE17"/>
      <c r="MKF17"/>
      <c r="MKG17"/>
      <c r="MKH17"/>
      <c r="MKI17"/>
      <c r="MKJ17"/>
      <c r="MKK17"/>
      <c r="MKL17"/>
      <c r="MKM17"/>
      <c r="MKN17"/>
      <c r="MKO17"/>
      <c r="MKP17"/>
      <c r="MKQ17"/>
      <c r="MKR17"/>
      <c r="MKS17"/>
      <c r="MKT17"/>
      <c r="MKU17"/>
      <c r="MKV17"/>
      <c r="MKW17"/>
      <c r="MKX17"/>
      <c r="MKY17"/>
      <c r="MKZ17"/>
      <c r="MLA17"/>
      <c r="MLB17"/>
      <c r="MLC17"/>
      <c r="MLD17"/>
      <c r="MLE17"/>
      <c r="MLF17"/>
      <c r="MLG17"/>
      <c r="MLH17"/>
      <c r="MLI17"/>
      <c r="MLJ17"/>
      <c r="MLK17"/>
      <c r="MLL17"/>
      <c r="MLM17"/>
      <c r="MLN17"/>
      <c r="MLO17"/>
      <c r="MLP17"/>
      <c r="MLQ17"/>
      <c r="MLR17"/>
      <c r="MLS17"/>
      <c r="MLT17"/>
      <c r="MLU17"/>
      <c r="MLV17"/>
      <c r="MLW17"/>
      <c r="MLX17"/>
      <c r="MLY17"/>
      <c r="MLZ17"/>
      <c r="MMA17"/>
      <c r="MMB17"/>
      <c r="MMC17"/>
      <c r="MMD17"/>
      <c r="MME17"/>
      <c r="MMF17"/>
      <c r="MMG17"/>
      <c r="MMH17"/>
      <c r="MMI17"/>
      <c r="MMJ17"/>
      <c r="MMK17"/>
      <c r="MML17"/>
      <c r="MMM17"/>
      <c r="MMN17"/>
      <c r="MMO17"/>
      <c r="MMP17"/>
      <c r="MMQ17"/>
      <c r="MMR17"/>
      <c r="MMS17"/>
      <c r="MMT17"/>
      <c r="MMU17"/>
      <c r="MMV17"/>
      <c r="MMW17"/>
      <c r="MMX17"/>
      <c r="MMY17"/>
      <c r="MMZ17"/>
      <c r="MNA17"/>
      <c r="MNB17"/>
      <c r="MNC17"/>
      <c r="MND17"/>
      <c r="MNE17"/>
      <c r="MNF17"/>
      <c r="MNG17"/>
      <c r="MNH17"/>
      <c r="MNI17"/>
      <c r="MNJ17"/>
      <c r="MNK17"/>
      <c r="MNL17"/>
      <c r="MNM17"/>
      <c r="MNN17"/>
      <c r="MNO17"/>
      <c r="MNP17"/>
      <c r="MNQ17"/>
      <c r="MNR17"/>
      <c r="MNS17"/>
      <c r="MNT17"/>
      <c r="MNU17"/>
      <c r="MNV17"/>
      <c r="MNW17"/>
      <c r="MNX17"/>
      <c r="MNY17"/>
      <c r="MNZ17"/>
      <c r="MOA17"/>
      <c r="MOB17"/>
      <c r="MOC17"/>
      <c r="MOD17"/>
      <c r="MOE17"/>
      <c r="MOF17"/>
      <c r="MOG17"/>
      <c r="MOH17"/>
      <c r="MOI17"/>
      <c r="MOJ17"/>
      <c r="MOK17"/>
      <c r="MOL17"/>
      <c r="MOM17"/>
      <c r="MON17"/>
      <c r="MOO17"/>
      <c r="MOP17"/>
      <c r="MOQ17"/>
      <c r="MOR17"/>
      <c r="MOS17"/>
      <c r="MOT17"/>
      <c r="MOU17"/>
      <c r="MOV17"/>
      <c r="MOW17"/>
      <c r="MOX17"/>
      <c r="MOY17"/>
      <c r="MOZ17"/>
      <c r="MPA17"/>
      <c r="MPB17"/>
      <c r="MPC17"/>
      <c r="MPD17"/>
      <c r="MPE17"/>
      <c r="MPF17"/>
      <c r="MPG17"/>
      <c r="MPH17"/>
      <c r="MPI17"/>
      <c r="MPJ17"/>
      <c r="MPK17"/>
      <c r="MPL17"/>
      <c r="MPM17"/>
      <c r="MPN17"/>
      <c r="MPO17"/>
      <c r="MPP17"/>
      <c r="MPQ17"/>
      <c r="MPR17"/>
      <c r="MPS17"/>
      <c r="MPT17"/>
      <c r="MPU17"/>
      <c r="MPV17"/>
      <c r="MPW17"/>
      <c r="MPX17"/>
      <c r="MPY17"/>
      <c r="MPZ17"/>
      <c r="MQA17"/>
      <c r="MQB17"/>
      <c r="MQC17"/>
      <c r="MQD17"/>
      <c r="MQE17"/>
      <c r="MQF17"/>
      <c r="MQG17"/>
      <c r="MQH17"/>
      <c r="MQI17"/>
      <c r="MQJ17"/>
      <c r="MQK17"/>
      <c r="MQL17"/>
      <c r="MQM17"/>
      <c r="MQN17"/>
      <c r="MQO17"/>
      <c r="MQP17"/>
      <c r="MQQ17"/>
      <c r="MQR17"/>
      <c r="MQS17"/>
      <c r="MQT17"/>
      <c r="MQU17"/>
      <c r="MQV17"/>
      <c r="MQW17"/>
      <c r="MQX17"/>
      <c r="MQY17"/>
      <c r="MQZ17"/>
      <c r="MRA17"/>
      <c r="MRB17"/>
      <c r="MRC17"/>
      <c r="MRD17"/>
      <c r="MRE17"/>
      <c r="MRF17"/>
      <c r="MRG17"/>
      <c r="MRH17"/>
      <c r="MRI17"/>
      <c r="MRJ17"/>
      <c r="MRK17"/>
      <c r="MRL17"/>
      <c r="MRM17"/>
      <c r="MRN17"/>
      <c r="MRO17"/>
      <c r="MRP17"/>
      <c r="MRQ17"/>
      <c r="MRR17"/>
      <c r="MRS17"/>
      <c r="MRT17"/>
      <c r="MRU17"/>
      <c r="MRV17"/>
      <c r="MRW17"/>
      <c r="MRX17"/>
      <c r="MRY17"/>
      <c r="MRZ17"/>
      <c r="MSA17"/>
      <c r="MSB17"/>
      <c r="MSC17"/>
      <c r="MSD17"/>
      <c r="MSE17"/>
      <c r="MSF17"/>
      <c r="MSG17"/>
      <c r="MSH17"/>
      <c r="MSI17"/>
      <c r="MSJ17"/>
      <c r="MSK17"/>
      <c r="MSL17"/>
      <c r="MSM17"/>
      <c r="MSN17"/>
      <c r="MSO17"/>
      <c r="MSP17"/>
      <c r="MSQ17"/>
      <c r="MSR17"/>
      <c r="MSS17"/>
      <c r="MST17"/>
      <c r="MSU17"/>
      <c r="MSV17"/>
      <c r="MSW17"/>
      <c r="MSX17"/>
      <c r="MSY17"/>
      <c r="MSZ17"/>
      <c r="MTA17"/>
      <c r="MTB17"/>
      <c r="MTC17"/>
      <c r="MTD17"/>
      <c r="MTE17"/>
      <c r="MTF17"/>
      <c r="MTG17"/>
      <c r="MTH17"/>
      <c r="MTI17"/>
      <c r="MTJ17"/>
      <c r="MTK17"/>
      <c r="MTL17"/>
      <c r="MTM17"/>
      <c r="MTN17"/>
      <c r="MTO17"/>
      <c r="MTP17"/>
      <c r="MTQ17"/>
      <c r="MTR17"/>
      <c r="MTS17"/>
      <c r="MTT17"/>
      <c r="MTU17"/>
      <c r="MTV17"/>
      <c r="MTW17"/>
      <c r="MTX17"/>
      <c r="MTY17"/>
      <c r="MTZ17"/>
      <c r="MUA17"/>
      <c r="MUB17"/>
      <c r="MUC17"/>
      <c r="MUD17"/>
      <c r="MUE17"/>
      <c r="MUF17"/>
      <c r="MUG17"/>
      <c r="MUH17"/>
      <c r="MUI17"/>
      <c r="MUJ17"/>
      <c r="MUK17"/>
      <c r="MUL17"/>
      <c r="MUM17"/>
      <c r="MUN17"/>
      <c r="MUO17"/>
      <c r="MUP17"/>
      <c r="MUQ17"/>
      <c r="MUR17"/>
      <c r="MUS17"/>
      <c r="MUT17"/>
      <c r="MUU17"/>
      <c r="MUV17"/>
      <c r="MUW17"/>
      <c r="MUX17"/>
      <c r="MUY17"/>
      <c r="MUZ17"/>
      <c r="MVA17"/>
      <c r="MVB17"/>
      <c r="MVC17"/>
      <c r="MVD17"/>
      <c r="MVE17"/>
      <c r="MVF17"/>
      <c r="MVG17"/>
      <c r="MVH17"/>
      <c r="MVI17"/>
      <c r="MVJ17"/>
      <c r="MVK17"/>
      <c r="MVL17"/>
      <c r="MVM17"/>
      <c r="MVN17"/>
      <c r="MVO17"/>
      <c r="MVP17"/>
      <c r="MVQ17"/>
      <c r="MVR17"/>
      <c r="MVS17"/>
      <c r="MVT17"/>
      <c r="MVU17"/>
      <c r="MVV17"/>
      <c r="MVW17"/>
      <c r="MVX17"/>
      <c r="MVY17"/>
      <c r="MVZ17"/>
      <c r="MWA17"/>
      <c r="MWB17"/>
      <c r="MWC17"/>
      <c r="MWD17"/>
      <c r="MWE17"/>
      <c r="MWF17"/>
      <c r="MWG17"/>
      <c r="MWH17"/>
      <c r="MWI17"/>
      <c r="MWJ17"/>
      <c r="MWK17"/>
      <c r="MWL17"/>
      <c r="MWM17"/>
      <c r="MWN17"/>
      <c r="MWO17"/>
      <c r="MWP17"/>
      <c r="MWQ17"/>
      <c r="MWR17"/>
      <c r="MWS17"/>
      <c r="MWT17"/>
      <c r="MWU17"/>
      <c r="MWV17"/>
      <c r="MWW17"/>
      <c r="MWX17"/>
      <c r="MWY17"/>
      <c r="MWZ17"/>
      <c r="MXA17"/>
      <c r="MXB17"/>
      <c r="MXC17"/>
      <c r="MXD17"/>
      <c r="MXE17"/>
      <c r="MXF17"/>
      <c r="MXG17"/>
      <c r="MXH17"/>
      <c r="MXI17"/>
      <c r="MXJ17"/>
      <c r="MXK17"/>
      <c r="MXL17"/>
      <c r="MXM17"/>
      <c r="MXN17"/>
      <c r="MXO17"/>
      <c r="MXP17"/>
      <c r="MXQ17"/>
      <c r="MXR17"/>
      <c r="MXS17"/>
      <c r="MXT17"/>
      <c r="MXU17"/>
      <c r="MXV17"/>
      <c r="MXW17"/>
      <c r="MXX17"/>
      <c r="MXY17"/>
      <c r="MXZ17"/>
      <c r="MYA17"/>
      <c r="MYB17"/>
      <c r="MYC17"/>
      <c r="MYD17"/>
      <c r="MYE17"/>
      <c r="MYF17"/>
      <c r="MYG17"/>
      <c r="MYH17"/>
      <c r="MYI17"/>
      <c r="MYJ17"/>
      <c r="MYK17"/>
      <c r="MYL17"/>
      <c r="MYM17"/>
      <c r="MYN17"/>
      <c r="MYO17"/>
      <c r="MYP17"/>
      <c r="MYQ17"/>
      <c r="MYR17"/>
      <c r="MYS17"/>
      <c r="MYT17"/>
      <c r="MYU17"/>
      <c r="MYV17"/>
      <c r="MYW17"/>
      <c r="MYX17"/>
      <c r="MYY17"/>
      <c r="MYZ17"/>
      <c r="MZA17"/>
      <c r="MZB17"/>
      <c r="MZC17"/>
      <c r="MZD17"/>
      <c r="MZE17"/>
      <c r="MZF17"/>
      <c r="MZG17"/>
      <c r="MZH17"/>
      <c r="MZI17"/>
      <c r="MZJ17"/>
      <c r="MZK17"/>
      <c r="MZL17"/>
      <c r="MZM17"/>
      <c r="MZN17"/>
      <c r="MZO17"/>
      <c r="MZP17"/>
      <c r="MZQ17"/>
      <c r="MZR17"/>
      <c r="MZS17"/>
      <c r="MZT17"/>
      <c r="MZU17"/>
      <c r="MZV17"/>
      <c r="MZW17"/>
      <c r="MZX17"/>
      <c r="MZY17"/>
      <c r="MZZ17"/>
      <c r="NAA17"/>
      <c r="NAB17"/>
      <c r="NAC17"/>
      <c r="NAD17"/>
      <c r="NAE17"/>
      <c r="NAF17"/>
      <c r="NAG17"/>
      <c r="NAH17"/>
      <c r="NAI17"/>
      <c r="NAJ17"/>
      <c r="NAK17"/>
      <c r="NAL17"/>
      <c r="NAM17"/>
      <c r="NAN17"/>
      <c r="NAO17"/>
      <c r="NAP17"/>
      <c r="NAQ17"/>
      <c r="NAR17"/>
      <c r="NAS17"/>
      <c r="NAT17"/>
      <c r="NAU17"/>
      <c r="NAV17"/>
      <c r="NAW17"/>
      <c r="NAX17"/>
      <c r="NAY17"/>
      <c r="NAZ17"/>
      <c r="NBA17"/>
      <c r="NBB17"/>
      <c r="NBC17"/>
      <c r="NBD17"/>
      <c r="NBE17"/>
      <c r="NBF17"/>
      <c r="NBG17"/>
      <c r="NBH17"/>
      <c r="NBI17"/>
      <c r="NBJ17"/>
      <c r="NBK17"/>
      <c r="NBL17"/>
      <c r="NBM17"/>
      <c r="NBN17"/>
      <c r="NBO17"/>
      <c r="NBP17"/>
      <c r="NBQ17"/>
      <c r="NBR17"/>
      <c r="NBS17"/>
      <c r="NBT17"/>
      <c r="NBU17"/>
      <c r="NBV17"/>
      <c r="NBW17"/>
      <c r="NBX17"/>
      <c r="NBY17"/>
      <c r="NBZ17"/>
      <c r="NCA17"/>
      <c r="NCB17"/>
      <c r="NCC17"/>
      <c r="NCD17"/>
      <c r="NCE17"/>
      <c r="NCF17"/>
      <c r="NCG17"/>
      <c r="NCH17"/>
      <c r="NCI17"/>
      <c r="NCJ17"/>
      <c r="NCK17"/>
      <c r="NCL17"/>
      <c r="NCM17"/>
      <c r="NCN17"/>
      <c r="NCO17"/>
      <c r="NCP17"/>
      <c r="NCQ17"/>
      <c r="NCR17"/>
      <c r="NCS17"/>
      <c r="NCT17"/>
      <c r="NCU17"/>
      <c r="NCV17"/>
      <c r="NCW17"/>
      <c r="NCX17"/>
      <c r="NCY17"/>
      <c r="NCZ17"/>
      <c r="NDA17"/>
      <c r="NDB17"/>
      <c r="NDC17"/>
      <c r="NDD17"/>
      <c r="NDE17"/>
      <c r="NDF17"/>
      <c r="NDG17"/>
      <c r="NDH17"/>
      <c r="NDI17"/>
      <c r="NDJ17"/>
      <c r="NDK17"/>
      <c r="NDL17"/>
      <c r="NDM17"/>
      <c r="NDN17"/>
      <c r="NDO17"/>
      <c r="NDP17"/>
      <c r="NDQ17"/>
      <c r="NDR17"/>
      <c r="NDS17"/>
      <c r="NDT17"/>
      <c r="NDU17"/>
      <c r="NDV17"/>
      <c r="NDW17"/>
      <c r="NDX17"/>
      <c r="NDY17"/>
      <c r="NDZ17"/>
      <c r="NEA17"/>
      <c r="NEB17"/>
      <c r="NEC17"/>
      <c r="NED17"/>
      <c r="NEE17"/>
      <c r="NEF17"/>
      <c r="NEG17"/>
      <c r="NEH17"/>
      <c r="NEI17"/>
      <c r="NEJ17"/>
      <c r="NEK17"/>
      <c r="NEL17"/>
      <c r="NEM17"/>
      <c r="NEN17"/>
      <c r="NEO17"/>
      <c r="NEP17"/>
      <c r="NEQ17"/>
      <c r="NER17"/>
      <c r="NES17"/>
      <c r="NET17"/>
      <c r="NEU17"/>
      <c r="NEV17"/>
      <c r="NEW17"/>
      <c r="NEX17"/>
      <c r="NEY17"/>
      <c r="NEZ17"/>
      <c r="NFA17"/>
      <c r="NFB17"/>
      <c r="NFC17"/>
      <c r="NFD17"/>
      <c r="NFE17"/>
      <c r="NFF17"/>
      <c r="NFG17"/>
      <c r="NFH17"/>
      <c r="NFI17"/>
      <c r="NFJ17"/>
      <c r="NFK17"/>
      <c r="NFL17"/>
      <c r="NFM17"/>
      <c r="NFN17"/>
      <c r="NFO17"/>
      <c r="NFP17"/>
      <c r="NFQ17"/>
      <c r="NFR17"/>
      <c r="NFS17"/>
      <c r="NFT17"/>
      <c r="NFU17"/>
      <c r="NFV17"/>
      <c r="NFW17"/>
      <c r="NFX17"/>
      <c r="NFY17"/>
      <c r="NFZ17"/>
      <c r="NGA17"/>
      <c r="NGB17"/>
      <c r="NGC17"/>
      <c r="NGD17"/>
      <c r="NGE17"/>
      <c r="NGF17"/>
      <c r="NGG17"/>
      <c r="NGH17"/>
      <c r="NGI17"/>
      <c r="NGJ17"/>
      <c r="NGK17"/>
      <c r="NGL17"/>
      <c r="NGM17"/>
      <c r="NGN17"/>
      <c r="NGO17"/>
      <c r="NGP17"/>
      <c r="NGQ17"/>
      <c r="NGR17"/>
      <c r="NGS17"/>
      <c r="NGT17"/>
      <c r="NGU17"/>
      <c r="NGV17"/>
      <c r="NGW17"/>
      <c r="NGX17"/>
      <c r="NGY17"/>
      <c r="NGZ17"/>
      <c r="NHA17"/>
      <c r="NHB17"/>
      <c r="NHC17"/>
      <c r="NHD17"/>
      <c r="NHE17"/>
      <c r="NHF17"/>
      <c r="NHG17"/>
      <c r="NHH17"/>
      <c r="NHI17"/>
      <c r="NHJ17"/>
      <c r="NHK17"/>
      <c r="NHL17"/>
      <c r="NHM17"/>
      <c r="NHN17"/>
      <c r="NHO17"/>
      <c r="NHP17"/>
      <c r="NHQ17"/>
      <c r="NHR17"/>
      <c r="NHS17"/>
      <c r="NHT17"/>
      <c r="NHU17"/>
      <c r="NHV17"/>
      <c r="NHW17"/>
      <c r="NHX17"/>
      <c r="NHY17"/>
      <c r="NHZ17"/>
      <c r="NIA17"/>
      <c r="NIB17"/>
      <c r="NIC17"/>
      <c r="NID17"/>
      <c r="NIE17"/>
      <c r="NIF17"/>
      <c r="NIG17"/>
      <c r="NIH17"/>
      <c r="NII17"/>
      <c r="NIJ17"/>
      <c r="NIK17"/>
      <c r="NIL17"/>
      <c r="NIM17"/>
      <c r="NIN17"/>
      <c r="NIO17"/>
      <c r="NIP17"/>
      <c r="NIQ17"/>
      <c r="NIR17"/>
      <c r="NIS17"/>
      <c r="NIT17"/>
      <c r="NIU17"/>
      <c r="NIV17"/>
      <c r="NIW17"/>
      <c r="NIX17"/>
      <c r="NIY17"/>
      <c r="NIZ17"/>
      <c r="NJA17"/>
      <c r="NJB17"/>
      <c r="NJC17"/>
      <c r="NJD17"/>
      <c r="NJE17"/>
      <c r="NJF17"/>
      <c r="NJG17"/>
      <c r="NJH17"/>
      <c r="NJI17"/>
      <c r="NJJ17"/>
      <c r="NJK17"/>
      <c r="NJL17"/>
      <c r="NJM17"/>
      <c r="NJN17"/>
      <c r="NJO17"/>
      <c r="NJP17"/>
      <c r="NJQ17"/>
      <c r="NJR17"/>
      <c r="NJS17"/>
      <c r="NJT17"/>
      <c r="NJU17"/>
      <c r="NJV17"/>
      <c r="NJW17"/>
      <c r="NJX17"/>
      <c r="NJY17"/>
      <c r="NJZ17"/>
      <c r="NKA17"/>
      <c r="NKB17"/>
      <c r="NKC17"/>
      <c r="NKD17"/>
      <c r="NKE17"/>
      <c r="NKF17"/>
      <c r="NKG17"/>
      <c r="NKH17"/>
      <c r="NKI17"/>
      <c r="NKJ17"/>
      <c r="NKK17"/>
      <c r="NKL17"/>
      <c r="NKM17"/>
      <c r="NKN17"/>
      <c r="NKO17"/>
      <c r="NKP17"/>
      <c r="NKQ17"/>
      <c r="NKR17"/>
      <c r="NKS17"/>
      <c r="NKT17"/>
      <c r="NKU17"/>
      <c r="NKV17"/>
      <c r="NKW17"/>
      <c r="NKX17"/>
      <c r="NKY17"/>
      <c r="NKZ17"/>
      <c r="NLA17"/>
      <c r="NLB17"/>
      <c r="NLC17"/>
      <c r="NLD17"/>
      <c r="NLE17"/>
      <c r="NLF17"/>
      <c r="NLG17"/>
      <c r="NLH17"/>
      <c r="NLI17"/>
      <c r="NLJ17"/>
      <c r="NLK17"/>
      <c r="NLL17"/>
      <c r="NLM17"/>
      <c r="NLN17"/>
      <c r="NLO17"/>
      <c r="NLP17"/>
      <c r="NLQ17"/>
      <c r="NLR17"/>
      <c r="NLS17"/>
      <c r="NLT17"/>
      <c r="NLU17"/>
      <c r="NLV17"/>
      <c r="NLW17"/>
      <c r="NLX17"/>
      <c r="NLY17"/>
      <c r="NLZ17"/>
      <c r="NMA17"/>
      <c r="NMB17"/>
      <c r="NMC17"/>
      <c r="NMD17"/>
      <c r="NME17"/>
      <c r="NMF17"/>
      <c r="NMG17"/>
      <c r="NMH17"/>
      <c r="NMI17"/>
      <c r="NMJ17"/>
      <c r="NMK17"/>
      <c r="NML17"/>
      <c r="NMM17"/>
      <c r="NMN17"/>
      <c r="NMO17"/>
      <c r="NMP17"/>
      <c r="NMQ17"/>
      <c r="NMR17"/>
      <c r="NMS17"/>
      <c r="NMT17"/>
      <c r="NMU17"/>
      <c r="NMV17"/>
      <c r="NMW17"/>
      <c r="NMX17"/>
      <c r="NMY17"/>
      <c r="NMZ17"/>
      <c r="NNA17"/>
      <c r="NNB17"/>
      <c r="NNC17"/>
      <c r="NND17"/>
      <c r="NNE17"/>
      <c r="NNF17"/>
      <c r="NNG17"/>
      <c r="NNH17"/>
      <c r="NNI17"/>
      <c r="NNJ17"/>
      <c r="NNK17"/>
      <c r="NNL17"/>
      <c r="NNM17"/>
      <c r="NNN17"/>
      <c r="NNO17"/>
      <c r="NNP17"/>
      <c r="NNQ17"/>
      <c r="NNR17"/>
      <c r="NNS17"/>
      <c r="NNT17"/>
      <c r="NNU17"/>
      <c r="NNV17"/>
      <c r="NNW17"/>
      <c r="NNX17"/>
      <c r="NNY17"/>
      <c r="NNZ17"/>
      <c r="NOA17"/>
      <c r="NOB17"/>
      <c r="NOC17"/>
      <c r="NOD17"/>
      <c r="NOE17"/>
      <c r="NOF17"/>
      <c r="NOG17"/>
      <c r="NOH17"/>
      <c r="NOI17"/>
      <c r="NOJ17"/>
      <c r="NOK17"/>
      <c r="NOL17"/>
      <c r="NOM17"/>
      <c r="NON17"/>
      <c r="NOO17"/>
      <c r="NOP17"/>
      <c r="NOQ17"/>
      <c r="NOR17"/>
      <c r="NOS17"/>
      <c r="NOT17"/>
      <c r="NOU17"/>
      <c r="NOV17"/>
      <c r="NOW17"/>
      <c r="NOX17"/>
      <c r="NOY17"/>
      <c r="NOZ17"/>
      <c r="NPA17"/>
      <c r="NPB17"/>
      <c r="NPC17"/>
      <c r="NPD17"/>
      <c r="NPE17"/>
      <c r="NPF17"/>
      <c r="NPG17"/>
      <c r="NPH17"/>
      <c r="NPI17"/>
      <c r="NPJ17"/>
      <c r="NPK17"/>
      <c r="NPL17"/>
      <c r="NPM17"/>
      <c r="NPN17"/>
      <c r="NPO17"/>
      <c r="NPP17"/>
      <c r="NPQ17"/>
      <c r="NPR17"/>
      <c r="NPS17"/>
      <c r="NPT17"/>
      <c r="NPU17"/>
      <c r="NPV17"/>
      <c r="NPW17"/>
      <c r="NPX17"/>
      <c r="NPY17"/>
      <c r="NPZ17"/>
      <c r="NQA17"/>
      <c r="NQB17"/>
      <c r="NQC17"/>
      <c r="NQD17"/>
      <c r="NQE17"/>
      <c r="NQF17"/>
      <c r="NQG17"/>
      <c r="NQH17"/>
      <c r="NQI17"/>
      <c r="NQJ17"/>
      <c r="NQK17"/>
      <c r="NQL17"/>
      <c r="NQM17"/>
      <c r="NQN17"/>
      <c r="NQO17"/>
      <c r="NQP17"/>
      <c r="NQQ17"/>
      <c r="NQR17"/>
      <c r="NQS17"/>
      <c r="NQT17"/>
      <c r="NQU17"/>
      <c r="NQV17"/>
      <c r="NQW17"/>
      <c r="NQX17"/>
      <c r="NQY17"/>
      <c r="NQZ17"/>
      <c r="NRA17"/>
      <c r="NRB17"/>
      <c r="NRC17"/>
      <c r="NRD17"/>
      <c r="NRE17"/>
      <c r="NRF17"/>
      <c r="NRG17"/>
      <c r="NRH17"/>
      <c r="NRI17"/>
      <c r="NRJ17"/>
      <c r="NRK17"/>
      <c r="NRL17"/>
      <c r="NRM17"/>
      <c r="NRN17"/>
      <c r="NRO17"/>
      <c r="NRP17"/>
      <c r="NRQ17"/>
      <c r="NRR17"/>
      <c r="NRS17"/>
      <c r="NRT17"/>
      <c r="NRU17"/>
      <c r="NRV17"/>
      <c r="NRW17"/>
      <c r="NRX17"/>
      <c r="NRY17"/>
      <c r="NRZ17"/>
      <c r="NSA17"/>
      <c r="NSB17"/>
      <c r="NSC17"/>
      <c r="NSD17"/>
      <c r="NSE17"/>
      <c r="NSF17"/>
      <c r="NSG17"/>
      <c r="NSH17"/>
      <c r="NSI17"/>
      <c r="NSJ17"/>
      <c r="NSK17"/>
      <c r="NSL17"/>
      <c r="NSM17"/>
      <c r="NSN17"/>
      <c r="NSO17"/>
      <c r="NSP17"/>
      <c r="NSQ17"/>
      <c r="NSR17"/>
      <c r="NSS17"/>
      <c r="NST17"/>
      <c r="NSU17"/>
      <c r="NSV17"/>
      <c r="NSW17"/>
      <c r="NSX17"/>
      <c r="NSY17"/>
      <c r="NSZ17"/>
      <c r="NTA17"/>
      <c r="NTB17"/>
      <c r="NTC17"/>
      <c r="NTD17"/>
      <c r="NTE17"/>
      <c r="NTF17"/>
      <c r="NTG17"/>
      <c r="NTH17"/>
      <c r="NTI17"/>
      <c r="NTJ17"/>
      <c r="NTK17"/>
      <c r="NTL17"/>
      <c r="NTM17"/>
      <c r="NTN17"/>
      <c r="NTO17"/>
      <c r="NTP17"/>
      <c r="NTQ17"/>
      <c r="NTR17"/>
      <c r="NTS17"/>
      <c r="NTT17"/>
      <c r="NTU17"/>
      <c r="NTV17"/>
      <c r="NTW17"/>
      <c r="NTX17"/>
      <c r="NTY17"/>
      <c r="NTZ17"/>
      <c r="NUA17"/>
      <c r="NUB17"/>
      <c r="NUC17"/>
      <c r="NUD17"/>
      <c r="NUE17"/>
      <c r="NUF17"/>
      <c r="NUG17"/>
      <c r="NUH17"/>
      <c r="NUI17"/>
      <c r="NUJ17"/>
      <c r="NUK17"/>
      <c r="NUL17"/>
      <c r="NUM17"/>
      <c r="NUN17"/>
      <c r="NUO17"/>
      <c r="NUP17"/>
      <c r="NUQ17"/>
      <c r="NUR17"/>
      <c r="NUS17"/>
      <c r="NUT17"/>
      <c r="NUU17"/>
      <c r="NUV17"/>
      <c r="NUW17"/>
      <c r="NUX17"/>
      <c r="NUY17"/>
      <c r="NUZ17"/>
      <c r="NVA17"/>
      <c r="NVB17"/>
      <c r="NVC17"/>
      <c r="NVD17"/>
      <c r="NVE17"/>
      <c r="NVF17"/>
      <c r="NVG17"/>
      <c r="NVH17"/>
      <c r="NVI17"/>
      <c r="NVJ17"/>
      <c r="NVK17"/>
      <c r="NVL17"/>
      <c r="NVM17"/>
      <c r="NVN17"/>
      <c r="NVO17"/>
      <c r="NVP17"/>
      <c r="NVQ17"/>
      <c r="NVR17"/>
      <c r="NVS17"/>
      <c r="NVT17"/>
      <c r="NVU17"/>
      <c r="NVV17"/>
      <c r="NVW17"/>
      <c r="NVX17"/>
      <c r="NVY17"/>
      <c r="NVZ17"/>
      <c r="NWA17"/>
      <c r="NWB17"/>
      <c r="NWC17"/>
      <c r="NWD17"/>
      <c r="NWE17"/>
      <c r="NWF17"/>
      <c r="NWG17"/>
      <c r="NWH17"/>
      <c r="NWI17"/>
      <c r="NWJ17"/>
      <c r="NWK17"/>
      <c r="NWL17"/>
      <c r="NWM17"/>
      <c r="NWN17"/>
      <c r="NWO17"/>
      <c r="NWP17"/>
      <c r="NWQ17"/>
      <c r="NWR17"/>
      <c r="NWS17"/>
      <c r="NWT17"/>
      <c r="NWU17"/>
      <c r="NWV17"/>
      <c r="NWW17"/>
      <c r="NWX17"/>
      <c r="NWY17"/>
      <c r="NWZ17"/>
      <c r="NXA17"/>
      <c r="NXB17"/>
      <c r="NXC17"/>
      <c r="NXD17"/>
      <c r="NXE17"/>
      <c r="NXF17"/>
      <c r="NXG17"/>
      <c r="NXH17"/>
      <c r="NXI17"/>
      <c r="NXJ17"/>
      <c r="NXK17"/>
      <c r="NXL17"/>
      <c r="NXM17"/>
      <c r="NXN17"/>
      <c r="NXO17"/>
      <c r="NXP17"/>
      <c r="NXQ17"/>
      <c r="NXR17"/>
      <c r="NXS17"/>
      <c r="NXT17"/>
      <c r="NXU17"/>
      <c r="NXV17"/>
      <c r="NXW17"/>
      <c r="NXX17"/>
      <c r="NXY17"/>
      <c r="NXZ17"/>
      <c r="NYA17"/>
      <c r="NYB17"/>
      <c r="NYC17"/>
      <c r="NYD17"/>
      <c r="NYE17"/>
      <c r="NYF17"/>
      <c r="NYG17"/>
      <c r="NYH17"/>
      <c r="NYI17"/>
      <c r="NYJ17"/>
      <c r="NYK17"/>
      <c r="NYL17"/>
      <c r="NYM17"/>
      <c r="NYN17"/>
      <c r="NYO17"/>
      <c r="NYP17"/>
      <c r="NYQ17"/>
      <c r="NYR17"/>
      <c r="NYS17"/>
      <c r="NYT17"/>
      <c r="NYU17"/>
      <c r="NYV17"/>
      <c r="NYW17"/>
      <c r="NYX17"/>
      <c r="NYY17"/>
      <c r="NYZ17"/>
      <c r="NZA17"/>
      <c r="NZB17"/>
      <c r="NZC17"/>
      <c r="NZD17"/>
      <c r="NZE17"/>
      <c r="NZF17"/>
      <c r="NZG17"/>
      <c r="NZH17"/>
      <c r="NZI17"/>
      <c r="NZJ17"/>
      <c r="NZK17"/>
      <c r="NZL17"/>
      <c r="NZM17"/>
      <c r="NZN17"/>
      <c r="NZO17"/>
      <c r="NZP17"/>
      <c r="NZQ17"/>
      <c r="NZR17"/>
      <c r="NZS17"/>
      <c r="NZT17"/>
      <c r="NZU17"/>
      <c r="NZV17"/>
      <c r="NZW17"/>
      <c r="NZX17"/>
      <c r="NZY17"/>
      <c r="NZZ17"/>
      <c r="OAA17"/>
      <c r="OAB17"/>
      <c r="OAC17"/>
      <c r="OAD17"/>
      <c r="OAE17"/>
      <c r="OAF17"/>
      <c r="OAG17"/>
      <c r="OAH17"/>
      <c r="OAI17"/>
      <c r="OAJ17"/>
      <c r="OAK17"/>
      <c r="OAL17"/>
      <c r="OAM17"/>
      <c r="OAN17"/>
      <c r="OAO17"/>
      <c r="OAP17"/>
      <c r="OAQ17"/>
      <c r="OAR17"/>
      <c r="OAS17"/>
      <c r="OAT17"/>
      <c r="OAU17"/>
      <c r="OAV17"/>
      <c r="OAW17"/>
      <c r="OAX17"/>
      <c r="OAY17"/>
      <c r="OAZ17"/>
      <c r="OBA17"/>
      <c r="OBB17"/>
      <c r="OBC17"/>
      <c r="OBD17"/>
      <c r="OBE17"/>
      <c r="OBF17"/>
      <c r="OBG17"/>
      <c r="OBH17"/>
      <c r="OBI17"/>
      <c r="OBJ17"/>
      <c r="OBK17"/>
      <c r="OBL17"/>
      <c r="OBM17"/>
      <c r="OBN17"/>
      <c r="OBO17"/>
      <c r="OBP17"/>
      <c r="OBQ17"/>
      <c r="OBR17"/>
      <c r="OBS17"/>
      <c r="OBT17"/>
      <c r="OBU17"/>
      <c r="OBV17"/>
      <c r="OBW17"/>
      <c r="OBX17"/>
      <c r="OBY17"/>
      <c r="OBZ17"/>
      <c r="OCA17"/>
      <c r="OCB17"/>
      <c r="OCC17"/>
      <c r="OCD17"/>
      <c r="OCE17"/>
      <c r="OCF17"/>
      <c r="OCG17"/>
      <c r="OCH17"/>
      <c r="OCI17"/>
      <c r="OCJ17"/>
      <c r="OCK17"/>
      <c r="OCL17"/>
      <c r="OCM17"/>
      <c r="OCN17"/>
      <c r="OCO17"/>
      <c r="OCP17"/>
      <c r="OCQ17"/>
      <c r="OCR17"/>
      <c r="OCS17"/>
      <c r="OCT17"/>
      <c r="OCU17"/>
      <c r="OCV17"/>
      <c r="OCW17"/>
      <c r="OCX17"/>
      <c r="OCY17"/>
      <c r="OCZ17"/>
      <c r="ODA17"/>
      <c r="ODB17"/>
      <c r="ODC17"/>
      <c r="ODD17"/>
      <c r="ODE17"/>
      <c r="ODF17"/>
      <c r="ODG17"/>
      <c r="ODH17"/>
      <c r="ODI17"/>
      <c r="ODJ17"/>
      <c r="ODK17"/>
      <c r="ODL17"/>
      <c r="ODM17"/>
      <c r="ODN17"/>
      <c r="ODO17"/>
      <c r="ODP17"/>
      <c r="ODQ17"/>
      <c r="ODR17"/>
      <c r="ODS17"/>
      <c r="ODT17"/>
      <c r="ODU17"/>
      <c r="ODV17"/>
      <c r="ODW17"/>
      <c r="ODX17"/>
      <c r="ODY17"/>
      <c r="ODZ17"/>
      <c r="OEA17"/>
      <c r="OEB17"/>
      <c r="OEC17"/>
      <c r="OED17"/>
      <c r="OEE17"/>
      <c r="OEF17"/>
      <c r="OEG17"/>
      <c r="OEH17"/>
      <c r="OEI17"/>
      <c r="OEJ17"/>
      <c r="OEK17"/>
      <c r="OEL17"/>
      <c r="OEM17"/>
      <c r="OEN17"/>
      <c r="OEO17"/>
      <c r="OEP17"/>
      <c r="OEQ17"/>
      <c r="OER17"/>
      <c r="OES17"/>
      <c r="OET17"/>
      <c r="OEU17"/>
      <c r="OEV17"/>
      <c r="OEW17"/>
      <c r="OEX17"/>
      <c r="OEY17"/>
      <c r="OEZ17"/>
      <c r="OFA17"/>
      <c r="OFB17"/>
      <c r="OFC17"/>
      <c r="OFD17"/>
      <c r="OFE17"/>
      <c r="OFF17"/>
      <c r="OFG17"/>
      <c r="OFH17"/>
      <c r="OFI17"/>
      <c r="OFJ17"/>
      <c r="OFK17"/>
      <c r="OFL17"/>
      <c r="OFM17"/>
      <c r="OFN17"/>
      <c r="OFO17"/>
      <c r="OFP17"/>
      <c r="OFQ17"/>
      <c r="OFR17"/>
      <c r="OFS17"/>
      <c r="OFT17"/>
      <c r="OFU17"/>
      <c r="OFV17"/>
      <c r="OFW17"/>
      <c r="OFX17"/>
      <c r="OFY17"/>
      <c r="OFZ17"/>
      <c r="OGA17"/>
      <c r="OGB17"/>
      <c r="OGC17"/>
      <c r="OGD17"/>
      <c r="OGE17"/>
      <c r="OGF17"/>
      <c r="OGG17"/>
      <c r="OGH17"/>
      <c r="OGI17"/>
      <c r="OGJ17"/>
      <c r="OGK17"/>
      <c r="OGL17"/>
      <c r="OGM17"/>
      <c r="OGN17"/>
      <c r="OGO17"/>
      <c r="OGP17"/>
      <c r="OGQ17"/>
      <c r="OGR17"/>
      <c r="OGS17"/>
      <c r="OGT17"/>
      <c r="OGU17"/>
      <c r="OGV17"/>
      <c r="OGW17"/>
      <c r="OGX17"/>
      <c r="OGY17"/>
      <c r="OGZ17"/>
      <c r="OHA17"/>
      <c r="OHB17"/>
      <c r="OHC17"/>
      <c r="OHD17"/>
      <c r="OHE17"/>
      <c r="OHF17"/>
      <c r="OHG17"/>
      <c r="OHH17"/>
      <c r="OHI17"/>
      <c r="OHJ17"/>
      <c r="OHK17"/>
      <c r="OHL17"/>
      <c r="OHM17"/>
      <c r="OHN17"/>
      <c r="OHO17"/>
      <c r="OHP17"/>
      <c r="OHQ17"/>
      <c r="OHR17"/>
      <c r="OHS17"/>
      <c r="OHT17"/>
      <c r="OHU17"/>
      <c r="OHV17"/>
      <c r="OHW17"/>
      <c r="OHX17"/>
      <c r="OHY17"/>
      <c r="OHZ17"/>
      <c r="OIA17"/>
      <c r="OIB17"/>
      <c r="OIC17"/>
      <c r="OID17"/>
      <c r="OIE17"/>
      <c r="OIF17"/>
      <c r="OIG17"/>
      <c r="OIH17"/>
      <c r="OII17"/>
      <c r="OIJ17"/>
      <c r="OIK17"/>
      <c r="OIL17"/>
      <c r="OIM17"/>
      <c r="OIN17"/>
      <c r="OIO17"/>
      <c r="OIP17"/>
      <c r="OIQ17"/>
      <c r="OIR17"/>
      <c r="OIS17"/>
      <c r="OIT17"/>
      <c r="OIU17"/>
      <c r="OIV17"/>
      <c r="OIW17"/>
      <c r="OIX17"/>
      <c r="OIY17"/>
      <c r="OIZ17"/>
      <c r="OJA17"/>
      <c r="OJB17"/>
      <c r="OJC17"/>
      <c r="OJD17"/>
      <c r="OJE17"/>
      <c r="OJF17"/>
      <c r="OJG17"/>
      <c r="OJH17"/>
      <c r="OJI17"/>
      <c r="OJJ17"/>
      <c r="OJK17"/>
      <c r="OJL17"/>
      <c r="OJM17"/>
      <c r="OJN17"/>
      <c r="OJO17"/>
      <c r="OJP17"/>
      <c r="OJQ17"/>
      <c r="OJR17"/>
      <c r="OJS17"/>
      <c r="OJT17"/>
      <c r="OJU17"/>
      <c r="OJV17"/>
      <c r="OJW17"/>
      <c r="OJX17"/>
      <c r="OJY17"/>
      <c r="OJZ17"/>
      <c r="OKA17"/>
      <c r="OKB17"/>
      <c r="OKC17"/>
      <c r="OKD17"/>
      <c r="OKE17"/>
      <c r="OKF17"/>
      <c r="OKG17"/>
      <c r="OKH17"/>
      <c r="OKI17"/>
      <c r="OKJ17"/>
      <c r="OKK17"/>
      <c r="OKL17"/>
      <c r="OKM17"/>
      <c r="OKN17"/>
      <c r="OKO17"/>
      <c r="OKP17"/>
      <c r="OKQ17"/>
      <c r="OKR17"/>
      <c r="OKS17"/>
      <c r="OKT17"/>
      <c r="OKU17"/>
      <c r="OKV17"/>
      <c r="OKW17"/>
      <c r="OKX17"/>
      <c r="OKY17"/>
      <c r="OKZ17"/>
      <c r="OLA17"/>
      <c r="OLB17"/>
      <c r="OLC17"/>
      <c r="OLD17"/>
      <c r="OLE17"/>
      <c r="OLF17"/>
      <c r="OLG17"/>
      <c r="OLH17"/>
      <c r="OLI17"/>
      <c r="OLJ17"/>
      <c r="OLK17"/>
      <c r="OLL17"/>
      <c r="OLM17"/>
      <c r="OLN17"/>
      <c r="OLO17"/>
      <c r="OLP17"/>
      <c r="OLQ17"/>
      <c r="OLR17"/>
      <c r="OLS17"/>
      <c r="OLT17"/>
      <c r="OLU17"/>
      <c r="OLV17"/>
      <c r="OLW17"/>
      <c r="OLX17"/>
      <c r="OLY17"/>
      <c r="OLZ17"/>
      <c r="OMA17"/>
      <c r="OMB17"/>
      <c r="OMC17"/>
      <c r="OMD17"/>
      <c r="OME17"/>
      <c r="OMF17"/>
      <c r="OMG17"/>
      <c r="OMH17"/>
      <c r="OMI17"/>
      <c r="OMJ17"/>
      <c r="OMK17"/>
      <c r="OML17"/>
      <c r="OMM17"/>
      <c r="OMN17"/>
      <c r="OMO17"/>
      <c r="OMP17"/>
      <c r="OMQ17"/>
      <c r="OMR17"/>
      <c r="OMS17"/>
      <c r="OMT17"/>
      <c r="OMU17"/>
      <c r="OMV17"/>
      <c r="OMW17"/>
      <c r="OMX17"/>
      <c r="OMY17"/>
      <c r="OMZ17"/>
      <c r="ONA17"/>
      <c r="ONB17"/>
      <c r="ONC17"/>
      <c r="OND17"/>
      <c r="ONE17"/>
      <c r="ONF17"/>
      <c r="ONG17"/>
      <c r="ONH17"/>
      <c r="ONI17"/>
      <c r="ONJ17"/>
      <c r="ONK17"/>
      <c r="ONL17"/>
      <c r="ONM17"/>
      <c r="ONN17"/>
      <c r="ONO17"/>
      <c r="ONP17"/>
      <c r="ONQ17"/>
      <c r="ONR17"/>
      <c r="ONS17"/>
      <c r="ONT17"/>
      <c r="ONU17"/>
      <c r="ONV17"/>
      <c r="ONW17"/>
      <c r="ONX17"/>
      <c r="ONY17"/>
      <c r="ONZ17"/>
      <c r="OOA17"/>
      <c r="OOB17"/>
      <c r="OOC17"/>
      <c r="OOD17"/>
      <c r="OOE17"/>
      <c r="OOF17"/>
      <c r="OOG17"/>
      <c r="OOH17"/>
      <c r="OOI17"/>
      <c r="OOJ17"/>
      <c r="OOK17"/>
      <c r="OOL17"/>
      <c r="OOM17"/>
      <c r="OON17"/>
      <c r="OOO17"/>
      <c r="OOP17"/>
      <c r="OOQ17"/>
      <c r="OOR17"/>
      <c r="OOS17"/>
      <c r="OOT17"/>
      <c r="OOU17"/>
      <c r="OOV17"/>
      <c r="OOW17"/>
      <c r="OOX17"/>
      <c r="OOY17"/>
      <c r="OOZ17"/>
      <c r="OPA17"/>
      <c r="OPB17"/>
      <c r="OPC17"/>
      <c r="OPD17"/>
      <c r="OPE17"/>
      <c r="OPF17"/>
      <c r="OPG17"/>
      <c r="OPH17"/>
      <c r="OPI17"/>
      <c r="OPJ17"/>
      <c r="OPK17"/>
      <c r="OPL17"/>
      <c r="OPM17"/>
      <c r="OPN17"/>
      <c r="OPO17"/>
      <c r="OPP17"/>
      <c r="OPQ17"/>
      <c r="OPR17"/>
      <c r="OPS17"/>
      <c r="OPT17"/>
      <c r="OPU17"/>
      <c r="OPV17"/>
      <c r="OPW17"/>
      <c r="OPX17"/>
      <c r="OPY17"/>
      <c r="OPZ17"/>
      <c r="OQA17"/>
      <c r="OQB17"/>
      <c r="OQC17"/>
      <c r="OQD17"/>
      <c r="OQE17"/>
      <c r="OQF17"/>
      <c r="OQG17"/>
      <c r="OQH17"/>
      <c r="OQI17"/>
      <c r="OQJ17"/>
      <c r="OQK17"/>
      <c r="OQL17"/>
      <c r="OQM17"/>
      <c r="OQN17"/>
      <c r="OQO17"/>
      <c r="OQP17"/>
      <c r="OQQ17"/>
      <c r="OQR17"/>
      <c r="OQS17"/>
      <c r="OQT17"/>
      <c r="OQU17"/>
      <c r="OQV17"/>
      <c r="OQW17"/>
      <c r="OQX17"/>
      <c r="OQY17"/>
      <c r="OQZ17"/>
      <c r="ORA17"/>
      <c r="ORB17"/>
      <c r="ORC17"/>
      <c r="ORD17"/>
      <c r="ORE17"/>
      <c r="ORF17"/>
      <c r="ORG17"/>
      <c r="ORH17"/>
      <c r="ORI17"/>
      <c r="ORJ17"/>
      <c r="ORK17"/>
      <c r="ORL17"/>
      <c r="ORM17"/>
      <c r="ORN17"/>
      <c r="ORO17"/>
      <c r="ORP17"/>
      <c r="ORQ17"/>
      <c r="ORR17"/>
      <c r="ORS17"/>
      <c r="ORT17"/>
      <c r="ORU17"/>
      <c r="ORV17"/>
      <c r="ORW17"/>
      <c r="ORX17"/>
      <c r="ORY17"/>
      <c r="ORZ17"/>
      <c r="OSA17"/>
      <c r="OSB17"/>
      <c r="OSC17"/>
      <c r="OSD17"/>
      <c r="OSE17"/>
      <c r="OSF17"/>
      <c r="OSG17"/>
      <c r="OSH17"/>
      <c r="OSI17"/>
      <c r="OSJ17"/>
      <c r="OSK17"/>
      <c r="OSL17"/>
      <c r="OSM17"/>
      <c r="OSN17"/>
      <c r="OSO17"/>
      <c r="OSP17"/>
      <c r="OSQ17"/>
      <c r="OSR17"/>
      <c r="OSS17"/>
      <c r="OST17"/>
      <c r="OSU17"/>
      <c r="OSV17"/>
      <c r="OSW17"/>
      <c r="OSX17"/>
      <c r="OSY17"/>
      <c r="OSZ17"/>
      <c r="OTA17"/>
      <c r="OTB17"/>
      <c r="OTC17"/>
      <c r="OTD17"/>
      <c r="OTE17"/>
      <c r="OTF17"/>
      <c r="OTG17"/>
      <c r="OTH17"/>
      <c r="OTI17"/>
      <c r="OTJ17"/>
      <c r="OTK17"/>
      <c r="OTL17"/>
      <c r="OTM17"/>
      <c r="OTN17"/>
      <c r="OTO17"/>
      <c r="OTP17"/>
      <c r="OTQ17"/>
      <c r="OTR17"/>
      <c r="OTS17"/>
      <c r="OTT17"/>
      <c r="OTU17"/>
      <c r="OTV17"/>
      <c r="OTW17"/>
      <c r="OTX17"/>
      <c r="OTY17"/>
      <c r="OTZ17"/>
      <c r="OUA17"/>
      <c r="OUB17"/>
      <c r="OUC17"/>
      <c r="OUD17"/>
      <c r="OUE17"/>
      <c r="OUF17"/>
      <c r="OUG17"/>
      <c r="OUH17"/>
      <c r="OUI17"/>
      <c r="OUJ17"/>
      <c r="OUK17"/>
      <c r="OUL17"/>
      <c r="OUM17"/>
      <c r="OUN17"/>
      <c r="OUO17"/>
      <c r="OUP17"/>
      <c r="OUQ17"/>
      <c r="OUR17"/>
      <c r="OUS17"/>
      <c r="OUT17"/>
      <c r="OUU17"/>
      <c r="OUV17"/>
      <c r="OUW17"/>
      <c r="OUX17"/>
      <c r="OUY17"/>
      <c r="OUZ17"/>
      <c r="OVA17"/>
      <c r="OVB17"/>
      <c r="OVC17"/>
      <c r="OVD17"/>
      <c r="OVE17"/>
      <c r="OVF17"/>
      <c r="OVG17"/>
      <c r="OVH17"/>
      <c r="OVI17"/>
      <c r="OVJ17"/>
      <c r="OVK17"/>
      <c r="OVL17"/>
      <c r="OVM17"/>
      <c r="OVN17"/>
      <c r="OVO17"/>
      <c r="OVP17"/>
      <c r="OVQ17"/>
      <c r="OVR17"/>
      <c r="OVS17"/>
      <c r="OVT17"/>
      <c r="OVU17"/>
      <c r="OVV17"/>
      <c r="OVW17"/>
      <c r="OVX17"/>
      <c r="OVY17"/>
      <c r="OVZ17"/>
      <c r="OWA17"/>
      <c r="OWB17"/>
      <c r="OWC17"/>
      <c r="OWD17"/>
      <c r="OWE17"/>
      <c r="OWF17"/>
      <c r="OWG17"/>
      <c r="OWH17"/>
      <c r="OWI17"/>
      <c r="OWJ17"/>
      <c r="OWK17"/>
      <c r="OWL17"/>
      <c r="OWM17"/>
      <c r="OWN17"/>
      <c r="OWO17"/>
      <c r="OWP17"/>
      <c r="OWQ17"/>
      <c r="OWR17"/>
      <c r="OWS17"/>
      <c r="OWT17"/>
      <c r="OWU17"/>
      <c r="OWV17"/>
      <c r="OWW17"/>
      <c r="OWX17"/>
      <c r="OWY17"/>
      <c r="OWZ17"/>
      <c r="OXA17"/>
      <c r="OXB17"/>
      <c r="OXC17"/>
      <c r="OXD17"/>
      <c r="OXE17"/>
      <c r="OXF17"/>
      <c r="OXG17"/>
      <c r="OXH17"/>
      <c r="OXI17"/>
      <c r="OXJ17"/>
      <c r="OXK17"/>
      <c r="OXL17"/>
      <c r="OXM17"/>
      <c r="OXN17"/>
      <c r="OXO17"/>
      <c r="OXP17"/>
      <c r="OXQ17"/>
      <c r="OXR17"/>
      <c r="OXS17"/>
      <c r="OXT17"/>
      <c r="OXU17"/>
      <c r="OXV17"/>
      <c r="OXW17"/>
      <c r="OXX17"/>
      <c r="OXY17"/>
      <c r="OXZ17"/>
      <c r="OYA17"/>
      <c r="OYB17"/>
      <c r="OYC17"/>
      <c r="OYD17"/>
      <c r="OYE17"/>
      <c r="OYF17"/>
      <c r="OYG17"/>
      <c r="OYH17"/>
      <c r="OYI17"/>
      <c r="OYJ17"/>
      <c r="OYK17"/>
      <c r="OYL17"/>
      <c r="OYM17"/>
      <c r="OYN17"/>
      <c r="OYO17"/>
      <c r="OYP17"/>
      <c r="OYQ17"/>
      <c r="OYR17"/>
      <c r="OYS17"/>
      <c r="OYT17"/>
      <c r="OYU17"/>
      <c r="OYV17"/>
      <c r="OYW17"/>
      <c r="OYX17"/>
      <c r="OYY17"/>
      <c r="OYZ17"/>
      <c r="OZA17"/>
      <c r="OZB17"/>
      <c r="OZC17"/>
      <c r="OZD17"/>
      <c r="OZE17"/>
      <c r="OZF17"/>
      <c r="OZG17"/>
      <c r="OZH17"/>
      <c r="OZI17"/>
      <c r="OZJ17"/>
      <c r="OZK17"/>
      <c r="OZL17"/>
      <c r="OZM17"/>
      <c r="OZN17"/>
      <c r="OZO17"/>
      <c r="OZP17"/>
      <c r="OZQ17"/>
      <c r="OZR17"/>
      <c r="OZS17"/>
      <c r="OZT17"/>
      <c r="OZU17"/>
      <c r="OZV17"/>
      <c r="OZW17"/>
      <c r="OZX17"/>
      <c r="OZY17"/>
      <c r="OZZ17"/>
      <c r="PAA17"/>
      <c r="PAB17"/>
      <c r="PAC17"/>
      <c r="PAD17"/>
      <c r="PAE17"/>
      <c r="PAF17"/>
      <c r="PAG17"/>
      <c r="PAH17"/>
      <c r="PAI17"/>
      <c r="PAJ17"/>
      <c r="PAK17"/>
      <c r="PAL17"/>
      <c r="PAM17"/>
      <c r="PAN17"/>
      <c r="PAO17"/>
      <c r="PAP17"/>
      <c r="PAQ17"/>
      <c r="PAR17"/>
      <c r="PAS17"/>
      <c r="PAT17"/>
      <c r="PAU17"/>
      <c r="PAV17"/>
      <c r="PAW17"/>
      <c r="PAX17"/>
      <c r="PAY17"/>
      <c r="PAZ17"/>
      <c r="PBA17"/>
      <c r="PBB17"/>
      <c r="PBC17"/>
      <c r="PBD17"/>
      <c r="PBE17"/>
      <c r="PBF17"/>
      <c r="PBG17"/>
      <c r="PBH17"/>
      <c r="PBI17"/>
      <c r="PBJ17"/>
      <c r="PBK17"/>
      <c r="PBL17"/>
      <c r="PBM17"/>
      <c r="PBN17"/>
      <c r="PBO17"/>
      <c r="PBP17"/>
      <c r="PBQ17"/>
      <c r="PBR17"/>
      <c r="PBS17"/>
      <c r="PBT17"/>
      <c r="PBU17"/>
      <c r="PBV17"/>
      <c r="PBW17"/>
      <c r="PBX17"/>
      <c r="PBY17"/>
      <c r="PBZ17"/>
      <c r="PCA17"/>
      <c r="PCB17"/>
      <c r="PCC17"/>
      <c r="PCD17"/>
      <c r="PCE17"/>
      <c r="PCF17"/>
      <c r="PCG17"/>
      <c r="PCH17"/>
      <c r="PCI17"/>
      <c r="PCJ17"/>
      <c r="PCK17"/>
      <c r="PCL17"/>
      <c r="PCM17"/>
      <c r="PCN17"/>
      <c r="PCO17"/>
      <c r="PCP17"/>
      <c r="PCQ17"/>
      <c r="PCR17"/>
      <c r="PCS17"/>
      <c r="PCT17"/>
      <c r="PCU17"/>
      <c r="PCV17"/>
      <c r="PCW17"/>
      <c r="PCX17"/>
      <c r="PCY17"/>
      <c r="PCZ17"/>
      <c r="PDA17"/>
      <c r="PDB17"/>
      <c r="PDC17"/>
      <c r="PDD17"/>
      <c r="PDE17"/>
      <c r="PDF17"/>
      <c r="PDG17"/>
      <c r="PDH17"/>
      <c r="PDI17"/>
      <c r="PDJ17"/>
      <c r="PDK17"/>
      <c r="PDL17"/>
      <c r="PDM17"/>
      <c r="PDN17"/>
      <c r="PDO17"/>
      <c r="PDP17"/>
      <c r="PDQ17"/>
      <c r="PDR17"/>
      <c r="PDS17"/>
      <c r="PDT17"/>
      <c r="PDU17"/>
      <c r="PDV17"/>
      <c r="PDW17"/>
      <c r="PDX17"/>
      <c r="PDY17"/>
      <c r="PDZ17"/>
      <c r="PEA17"/>
      <c r="PEB17"/>
      <c r="PEC17"/>
      <c r="PED17"/>
      <c r="PEE17"/>
      <c r="PEF17"/>
      <c r="PEG17"/>
      <c r="PEH17"/>
      <c r="PEI17"/>
      <c r="PEJ17"/>
      <c r="PEK17"/>
      <c r="PEL17"/>
      <c r="PEM17"/>
      <c r="PEN17"/>
      <c r="PEO17"/>
      <c r="PEP17"/>
      <c r="PEQ17"/>
      <c r="PER17"/>
      <c r="PES17"/>
      <c r="PET17"/>
      <c r="PEU17"/>
      <c r="PEV17"/>
      <c r="PEW17"/>
      <c r="PEX17"/>
      <c r="PEY17"/>
      <c r="PEZ17"/>
      <c r="PFA17"/>
      <c r="PFB17"/>
      <c r="PFC17"/>
      <c r="PFD17"/>
      <c r="PFE17"/>
      <c r="PFF17"/>
      <c r="PFG17"/>
      <c r="PFH17"/>
      <c r="PFI17"/>
      <c r="PFJ17"/>
      <c r="PFK17"/>
      <c r="PFL17"/>
      <c r="PFM17"/>
      <c r="PFN17"/>
      <c r="PFO17"/>
      <c r="PFP17"/>
      <c r="PFQ17"/>
      <c r="PFR17"/>
      <c r="PFS17"/>
      <c r="PFT17"/>
      <c r="PFU17"/>
      <c r="PFV17"/>
      <c r="PFW17"/>
      <c r="PFX17"/>
      <c r="PFY17"/>
      <c r="PFZ17"/>
      <c r="PGA17"/>
      <c r="PGB17"/>
      <c r="PGC17"/>
      <c r="PGD17"/>
      <c r="PGE17"/>
      <c r="PGF17"/>
      <c r="PGG17"/>
      <c r="PGH17"/>
      <c r="PGI17"/>
      <c r="PGJ17"/>
      <c r="PGK17"/>
      <c r="PGL17"/>
      <c r="PGM17"/>
      <c r="PGN17"/>
      <c r="PGO17"/>
      <c r="PGP17"/>
      <c r="PGQ17"/>
      <c r="PGR17"/>
      <c r="PGS17"/>
      <c r="PGT17"/>
      <c r="PGU17"/>
      <c r="PGV17"/>
      <c r="PGW17"/>
      <c r="PGX17"/>
      <c r="PGY17"/>
      <c r="PGZ17"/>
      <c r="PHA17"/>
      <c r="PHB17"/>
      <c r="PHC17"/>
      <c r="PHD17"/>
      <c r="PHE17"/>
      <c r="PHF17"/>
      <c r="PHG17"/>
      <c r="PHH17"/>
      <c r="PHI17"/>
      <c r="PHJ17"/>
      <c r="PHK17"/>
      <c r="PHL17"/>
      <c r="PHM17"/>
      <c r="PHN17"/>
      <c r="PHO17"/>
      <c r="PHP17"/>
      <c r="PHQ17"/>
      <c r="PHR17"/>
      <c r="PHS17"/>
      <c r="PHT17"/>
      <c r="PHU17"/>
      <c r="PHV17"/>
      <c r="PHW17"/>
      <c r="PHX17"/>
      <c r="PHY17"/>
      <c r="PHZ17"/>
      <c r="PIA17"/>
      <c r="PIB17"/>
      <c r="PIC17"/>
      <c r="PID17"/>
      <c r="PIE17"/>
      <c r="PIF17"/>
      <c r="PIG17"/>
      <c r="PIH17"/>
      <c r="PII17"/>
      <c r="PIJ17"/>
      <c r="PIK17"/>
      <c r="PIL17"/>
      <c r="PIM17"/>
      <c r="PIN17"/>
      <c r="PIO17"/>
      <c r="PIP17"/>
      <c r="PIQ17"/>
      <c r="PIR17"/>
      <c r="PIS17"/>
      <c r="PIT17"/>
      <c r="PIU17"/>
      <c r="PIV17"/>
      <c r="PIW17"/>
      <c r="PIX17"/>
      <c r="PIY17"/>
      <c r="PIZ17"/>
      <c r="PJA17"/>
      <c r="PJB17"/>
      <c r="PJC17"/>
      <c r="PJD17"/>
      <c r="PJE17"/>
      <c r="PJF17"/>
      <c r="PJG17"/>
      <c r="PJH17"/>
      <c r="PJI17"/>
      <c r="PJJ17"/>
      <c r="PJK17"/>
      <c r="PJL17"/>
      <c r="PJM17"/>
      <c r="PJN17"/>
      <c r="PJO17"/>
      <c r="PJP17"/>
      <c r="PJQ17"/>
      <c r="PJR17"/>
      <c r="PJS17"/>
      <c r="PJT17"/>
      <c r="PJU17"/>
      <c r="PJV17"/>
      <c r="PJW17"/>
      <c r="PJX17"/>
      <c r="PJY17"/>
      <c r="PJZ17"/>
      <c r="PKA17"/>
      <c r="PKB17"/>
      <c r="PKC17"/>
      <c r="PKD17"/>
      <c r="PKE17"/>
      <c r="PKF17"/>
      <c r="PKG17"/>
      <c r="PKH17"/>
      <c r="PKI17"/>
      <c r="PKJ17"/>
      <c r="PKK17"/>
      <c r="PKL17"/>
      <c r="PKM17"/>
      <c r="PKN17"/>
      <c r="PKO17"/>
      <c r="PKP17"/>
      <c r="PKQ17"/>
      <c r="PKR17"/>
      <c r="PKS17"/>
      <c r="PKT17"/>
      <c r="PKU17"/>
      <c r="PKV17"/>
      <c r="PKW17"/>
      <c r="PKX17"/>
      <c r="PKY17"/>
      <c r="PKZ17"/>
      <c r="PLA17"/>
      <c r="PLB17"/>
      <c r="PLC17"/>
      <c r="PLD17"/>
      <c r="PLE17"/>
      <c r="PLF17"/>
      <c r="PLG17"/>
      <c r="PLH17"/>
      <c r="PLI17"/>
      <c r="PLJ17"/>
      <c r="PLK17"/>
      <c r="PLL17"/>
      <c r="PLM17"/>
      <c r="PLN17"/>
      <c r="PLO17"/>
      <c r="PLP17"/>
      <c r="PLQ17"/>
      <c r="PLR17"/>
      <c r="PLS17"/>
      <c r="PLT17"/>
      <c r="PLU17"/>
      <c r="PLV17"/>
      <c r="PLW17"/>
      <c r="PLX17"/>
      <c r="PLY17"/>
      <c r="PLZ17"/>
      <c r="PMA17"/>
      <c r="PMB17"/>
      <c r="PMC17"/>
      <c r="PMD17"/>
      <c r="PME17"/>
      <c r="PMF17"/>
      <c r="PMG17"/>
      <c r="PMH17"/>
      <c r="PMI17"/>
      <c r="PMJ17"/>
      <c r="PMK17"/>
      <c r="PML17"/>
      <c r="PMM17"/>
      <c r="PMN17"/>
      <c r="PMO17"/>
      <c r="PMP17"/>
      <c r="PMQ17"/>
      <c r="PMR17"/>
      <c r="PMS17"/>
      <c r="PMT17"/>
      <c r="PMU17"/>
      <c r="PMV17"/>
      <c r="PMW17"/>
      <c r="PMX17"/>
      <c r="PMY17"/>
      <c r="PMZ17"/>
      <c r="PNA17"/>
      <c r="PNB17"/>
      <c r="PNC17"/>
      <c r="PND17"/>
      <c r="PNE17"/>
      <c r="PNF17"/>
      <c r="PNG17"/>
      <c r="PNH17"/>
      <c r="PNI17"/>
      <c r="PNJ17"/>
      <c r="PNK17"/>
      <c r="PNL17"/>
      <c r="PNM17"/>
      <c r="PNN17"/>
      <c r="PNO17"/>
      <c r="PNP17"/>
      <c r="PNQ17"/>
      <c r="PNR17"/>
      <c r="PNS17"/>
      <c r="PNT17"/>
      <c r="PNU17"/>
      <c r="PNV17"/>
      <c r="PNW17"/>
      <c r="PNX17"/>
      <c r="PNY17"/>
      <c r="PNZ17"/>
      <c r="POA17"/>
      <c r="POB17"/>
      <c r="POC17"/>
      <c r="POD17"/>
      <c r="POE17"/>
      <c r="POF17"/>
      <c r="POG17"/>
      <c r="POH17"/>
      <c r="POI17"/>
      <c r="POJ17"/>
      <c r="POK17"/>
      <c r="POL17"/>
      <c r="POM17"/>
      <c r="PON17"/>
      <c r="POO17"/>
      <c r="POP17"/>
      <c r="POQ17"/>
      <c r="POR17"/>
      <c r="POS17"/>
      <c r="POT17"/>
      <c r="POU17"/>
      <c r="POV17"/>
      <c r="POW17"/>
      <c r="POX17"/>
      <c r="POY17"/>
      <c r="POZ17"/>
      <c r="PPA17"/>
      <c r="PPB17"/>
      <c r="PPC17"/>
      <c r="PPD17"/>
      <c r="PPE17"/>
      <c r="PPF17"/>
      <c r="PPG17"/>
      <c r="PPH17"/>
      <c r="PPI17"/>
      <c r="PPJ17"/>
      <c r="PPK17"/>
      <c r="PPL17"/>
      <c r="PPM17"/>
      <c r="PPN17"/>
      <c r="PPO17"/>
      <c r="PPP17"/>
      <c r="PPQ17"/>
      <c r="PPR17"/>
      <c r="PPS17"/>
      <c r="PPT17"/>
      <c r="PPU17"/>
      <c r="PPV17"/>
      <c r="PPW17"/>
      <c r="PPX17"/>
      <c r="PPY17"/>
      <c r="PPZ17"/>
      <c r="PQA17"/>
      <c r="PQB17"/>
      <c r="PQC17"/>
      <c r="PQD17"/>
      <c r="PQE17"/>
      <c r="PQF17"/>
      <c r="PQG17"/>
      <c r="PQH17"/>
      <c r="PQI17"/>
      <c r="PQJ17"/>
      <c r="PQK17"/>
      <c r="PQL17"/>
      <c r="PQM17"/>
      <c r="PQN17"/>
      <c r="PQO17"/>
      <c r="PQP17"/>
      <c r="PQQ17"/>
      <c r="PQR17"/>
      <c r="PQS17"/>
      <c r="PQT17"/>
      <c r="PQU17"/>
      <c r="PQV17"/>
      <c r="PQW17"/>
      <c r="PQX17"/>
      <c r="PQY17"/>
      <c r="PQZ17"/>
      <c r="PRA17"/>
      <c r="PRB17"/>
      <c r="PRC17"/>
      <c r="PRD17"/>
      <c r="PRE17"/>
      <c r="PRF17"/>
      <c r="PRG17"/>
      <c r="PRH17"/>
      <c r="PRI17"/>
      <c r="PRJ17"/>
      <c r="PRK17"/>
      <c r="PRL17"/>
      <c r="PRM17"/>
      <c r="PRN17"/>
      <c r="PRO17"/>
      <c r="PRP17"/>
      <c r="PRQ17"/>
      <c r="PRR17"/>
      <c r="PRS17"/>
      <c r="PRT17"/>
      <c r="PRU17"/>
      <c r="PRV17"/>
      <c r="PRW17"/>
      <c r="PRX17"/>
      <c r="PRY17"/>
      <c r="PRZ17"/>
      <c r="PSA17"/>
      <c r="PSB17"/>
      <c r="PSC17"/>
      <c r="PSD17"/>
      <c r="PSE17"/>
      <c r="PSF17"/>
      <c r="PSG17"/>
      <c r="PSH17"/>
      <c r="PSI17"/>
      <c r="PSJ17"/>
      <c r="PSK17"/>
      <c r="PSL17"/>
      <c r="PSM17"/>
      <c r="PSN17"/>
      <c r="PSO17"/>
      <c r="PSP17"/>
      <c r="PSQ17"/>
      <c r="PSR17"/>
      <c r="PSS17"/>
      <c r="PST17"/>
      <c r="PSU17"/>
      <c r="PSV17"/>
      <c r="PSW17"/>
      <c r="PSX17"/>
      <c r="PSY17"/>
      <c r="PSZ17"/>
      <c r="PTA17"/>
      <c r="PTB17"/>
      <c r="PTC17"/>
      <c r="PTD17"/>
      <c r="PTE17"/>
      <c r="PTF17"/>
      <c r="PTG17"/>
      <c r="PTH17"/>
      <c r="PTI17"/>
      <c r="PTJ17"/>
      <c r="PTK17"/>
      <c r="PTL17"/>
      <c r="PTM17"/>
      <c r="PTN17"/>
      <c r="PTO17"/>
      <c r="PTP17"/>
      <c r="PTQ17"/>
      <c r="PTR17"/>
      <c r="PTS17"/>
      <c r="PTT17"/>
      <c r="PTU17"/>
      <c r="PTV17"/>
      <c r="PTW17"/>
      <c r="PTX17"/>
      <c r="PTY17"/>
      <c r="PTZ17"/>
      <c r="PUA17"/>
      <c r="PUB17"/>
      <c r="PUC17"/>
      <c r="PUD17"/>
      <c r="PUE17"/>
      <c r="PUF17"/>
      <c r="PUG17"/>
      <c r="PUH17"/>
      <c r="PUI17"/>
      <c r="PUJ17"/>
      <c r="PUK17"/>
      <c r="PUL17"/>
      <c r="PUM17"/>
      <c r="PUN17"/>
      <c r="PUO17"/>
      <c r="PUP17"/>
      <c r="PUQ17"/>
      <c r="PUR17"/>
      <c r="PUS17"/>
      <c r="PUT17"/>
      <c r="PUU17"/>
      <c r="PUV17"/>
      <c r="PUW17"/>
      <c r="PUX17"/>
      <c r="PUY17"/>
      <c r="PUZ17"/>
      <c r="PVA17"/>
      <c r="PVB17"/>
      <c r="PVC17"/>
      <c r="PVD17"/>
      <c r="PVE17"/>
      <c r="PVF17"/>
      <c r="PVG17"/>
      <c r="PVH17"/>
      <c r="PVI17"/>
      <c r="PVJ17"/>
      <c r="PVK17"/>
      <c r="PVL17"/>
      <c r="PVM17"/>
      <c r="PVN17"/>
      <c r="PVO17"/>
      <c r="PVP17"/>
      <c r="PVQ17"/>
      <c r="PVR17"/>
      <c r="PVS17"/>
      <c r="PVT17"/>
      <c r="PVU17"/>
      <c r="PVV17"/>
      <c r="PVW17"/>
      <c r="PVX17"/>
      <c r="PVY17"/>
      <c r="PVZ17"/>
      <c r="PWA17"/>
      <c r="PWB17"/>
      <c r="PWC17"/>
      <c r="PWD17"/>
      <c r="PWE17"/>
      <c r="PWF17"/>
      <c r="PWG17"/>
      <c r="PWH17"/>
      <c r="PWI17"/>
      <c r="PWJ17"/>
      <c r="PWK17"/>
      <c r="PWL17"/>
      <c r="PWM17"/>
      <c r="PWN17"/>
      <c r="PWO17"/>
      <c r="PWP17"/>
      <c r="PWQ17"/>
      <c r="PWR17"/>
      <c r="PWS17"/>
      <c r="PWT17"/>
      <c r="PWU17"/>
      <c r="PWV17"/>
      <c r="PWW17"/>
      <c r="PWX17"/>
      <c r="PWY17"/>
      <c r="PWZ17"/>
      <c r="PXA17"/>
      <c r="PXB17"/>
      <c r="PXC17"/>
      <c r="PXD17"/>
      <c r="PXE17"/>
      <c r="PXF17"/>
      <c r="PXG17"/>
      <c r="PXH17"/>
      <c r="PXI17"/>
      <c r="PXJ17"/>
      <c r="PXK17"/>
      <c r="PXL17"/>
      <c r="PXM17"/>
      <c r="PXN17"/>
      <c r="PXO17"/>
      <c r="PXP17"/>
      <c r="PXQ17"/>
      <c r="PXR17"/>
      <c r="PXS17"/>
      <c r="PXT17"/>
      <c r="PXU17"/>
      <c r="PXV17"/>
      <c r="PXW17"/>
      <c r="PXX17"/>
      <c r="PXY17"/>
      <c r="PXZ17"/>
      <c r="PYA17"/>
      <c r="PYB17"/>
      <c r="PYC17"/>
      <c r="PYD17"/>
      <c r="PYE17"/>
      <c r="PYF17"/>
      <c r="PYG17"/>
      <c r="PYH17"/>
      <c r="PYI17"/>
      <c r="PYJ17"/>
      <c r="PYK17"/>
      <c r="PYL17"/>
      <c r="PYM17"/>
      <c r="PYN17"/>
      <c r="PYO17"/>
      <c r="PYP17"/>
      <c r="PYQ17"/>
      <c r="PYR17"/>
      <c r="PYS17"/>
      <c r="PYT17"/>
      <c r="PYU17"/>
      <c r="PYV17"/>
      <c r="PYW17"/>
      <c r="PYX17"/>
      <c r="PYY17"/>
      <c r="PYZ17"/>
      <c r="PZA17"/>
      <c r="PZB17"/>
      <c r="PZC17"/>
      <c r="PZD17"/>
      <c r="PZE17"/>
      <c r="PZF17"/>
      <c r="PZG17"/>
      <c r="PZH17"/>
      <c r="PZI17"/>
      <c r="PZJ17"/>
      <c r="PZK17"/>
      <c r="PZL17"/>
      <c r="PZM17"/>
      <c r="PZN17"/>
      <c r="PZO17"/>
      <c r="PZP17"/>
      <c r="PZQ17"/>
      <c r="PZR17"/>
      <c r="PZS17"/>
      <c r="PZT17"/>
      <c r="PZU17"/>
      <c r="PZV17"/>
      <c r="PZW17"/>
      <c r="PZX17"/>
      <c r="PZY17"/>
      <c r="PZZ17"/>
      <c r="QAA17"/>
      <c r="QAB17"/>
      <c r="QAC17"/>
      <c r="QAD17"/>
      <c r="QAE17"/>
      <c r="QAF17"/>
      <c r="QAG17"/>
      <c r="QAH17"/>
      <c r="QAI17"/>
      <c r="QAJ17"/>
      <c r="QAK17"/>
      <c r="QAL17"/>
      <c r="QAM17"/>
      <c r="QAN17"/>
      <c r="QAO17"/>
      <c r="QAP17"/>
      <c r="QAQ17"/>
      <c r="QAR17"/>
      <c r="QAS17"/>
      <c r="QAT17"/>
      <c r="QAU17"/>
      <c r="QAV17"/>
      <c r="QAW17"/>
      <c r="QAX17"/>
      <c r="QAY17"/>
      <c r="QAZ17"/>
      <c r="QBA17"/>
      <c r="QBB17"/>
      <c r="QBC17"/>
      <c r="QBD17"/>
      <c r="QBE17"/>
      <c r="QBF17"/>
      <c r="QBG17"/>
      <c r="QBH17"/>
      <c r="QBI17"/>
      <c r="QBJ17"/>
      <c r="QBK17"/>
      <c r="QBL17"/>
      <c r="QBM17"/>
      <c r="QBN17"/>
      <c r="QBO17"/>
      <c r="QBP17"/>
      <c r="QBQ17"/>
      <c r="QBR17"/>
      <c r="QBS17"/>
      <c r="QBT17"/>
      <c r="QBU17"/>
      <c r="QBV17"/>
      <c r="QBW17"/>
      <c r="QBX17"/>
      <c r="QBY17"/>
      <c r="QBZ17"/>
      <c r="QCA17"/>
      <c r="QCB17"/>
      <c r="QCC17"/>
      <c r="QCD17"/>
      <c r="QCE17"/>
      <c r="QCF17"/>
      <c r="QCG17"/>
      <c r="QCH17"/>
      <c r="QCI17"/>
      <c r="QCJ17"/>
      <c r="QCK17"/>
      <c r="QCL17"/>
      <c r="QCM17"/>
      <c r="QCN17"/>
      <c r="QCO17"/>
      <c r="QCP17"/>
      <c r="QCQ17"/>
      <c r="QCR17"/>
      <c r="QCS17"/>
      <c r="QCT17"/>
      <c r="QCU17"/>
      <c r="QCV17"/>
      <c r="QCW17"/>
      <c r="QCX17"/>
      <c r="QCY17"/>
      <c r="QCZ17"/>
      <c r="QDA17"/>
      <c r="QDB17"/>
      <c r="QDC17"/>
      <c r="QDD17"/>
      <c r="QDE17"/>
      <c r="QDF17"/>
      <c r="QDG17"/>
      <c r="QDH17"/>
      <c r="QDI17"/>
      <c r="QDJ17"/>
      <c r="QDK17"/>
      <c r="QDL17"/>
      <c r="QDM17"/>
      <c r="QDN17"/>
      <c r="QDO17"/>
      <c r="QDP17"/>
      <c r="QDQ17"/>
      <c r="QDR17"/>
      <c r="QDS17"/>
      <c r="QDT17"/>
      <c r="QDU17"/>
      <c r="QDV17"/>
      <c r="QDW17"/>
      <c r="QDX17"/>
      <c r="QDY17"/>
      <c r="QDZ17"/>
      <c r="QEA17"/>
      <c r="QEB17"/>
      <c r="QEC17"/>
      <c r="QED17"/>
      <c r="QEE17"/>
      <c r="QEF17"/>
      <c r="QEG17"/>
      <c r="QEH17"/>
      <c r="QEI17"/>
      <c r="QEJ17"/>
      <c r="QEK17"/>
      <c r="QEL17"/>
      <c r="QEM17"/>
      <c r="QEN17"/>
      <c r="QEO17"/>
      <c r="QEP17"/>
      <c r="QEQ17"/>
      <c r="QER17"/>
      <c r="QES17"/>
      <c r="QET17"/>
      <c r="QEU17"/>
      <c r="QEV17"/>
      <c r="QEW17"/>
      <c r="QEX17"/>
      <c r="QEY17"/>
      <c r="QEZ17"/>
      <c r="QFA17"/>
      <c r="QFB17"/>
      <c r="QFC17"/>
      <c r="QFD17"/>
      <c r="QFE17"/>
      <c r="QFF17"/>
      <c r="QFG17"/>
      <c r="QFH17"/>
      <c r="QFI17"/>
      <c r="QFJ17"/>
      <c r="QFK17"/>
      <c r="QFL17"/>
      <c r="QFM17"/>
      <c r="QFN17"/>
      <c r="QFO17"/>
      <c r="QFP17"/>
      <c r="QFQ17"/>
      <c r="QFR17"/>
      <c r="QFS17"/>
      <c r="QFT17"/>
      <c r="QFU17"/>
      <c r="QFV17"/>
      <c r="QFW17"/>
      <c r="QFX17"/>
      <c r="QFY17"/>
      <c r="QFZ17"/>
      <c r="QGA17"/>
      <c r="QGB17"/>
      <c r="QGC17"/>
      <c r="QGD17"/>
      <c r="QGE17"/>
      <c r="QGF17"/>
      <c r="QGG17"/>
      <c r="QGH17"/>
      <c r="QGI17"/>
      <c r="QGJ17"/>
      <c r="QGK17"/>
      <c r="QGL17"/>
      <c r="QGM17"/>
      <c r="QGN17"/>
      <c r="QGO17"/>
      <c r="QGP17"/>
      <c r="QGQ17"/>
      <c r="QGR17"/>
      <c r="QGS17"/>
      <c r="QGT17"/>
      <c r="QGU17"/>
      <c r="QGV17"/>
      <c r="QGW17"/>
      <c r="QGX17"/>
      <c r="QGY17"/>
      <c r="QGZ17"/>
      <c r="QHA17"/>
      <c r="QHB17"/>
      <c r="QHC17"/>
      <c r="QHD17"/>
      <c r="QHE17"/>
      <c r="QHF17"/>
      <c r="QHG17"/>
      <c r="QHH17"/>
      <c r="QHI17"/>
      <c r="QHJ17"/>
      <c r="QHK17"/>
      <c r="QHL17"/>
      <c r="QHM17"/>
      <c r="QHN17"/>
      <c r="QHO17"/>
      <c r="QHP17"/>
      <c r="QHQ17"/>
      <c r="QHR17"/>
      <c r="QHS17"/>
      <c r="QHT17"/>
      <c r="QHU17"/>
      <c r="QHV17"/>
      <c r="QHW17"/>
      <c r="QHX17"/>
      <c r="QHY17"/>
      <c r="QHZ17"/>
      <c r="QIA17"/>
      <c r="QIB17"/>
      <c r="QIC17"/>
      <c r="QID17"/>
      <c r="QIE17"/>
      <c r="QIF17"/>
      <c r="QIG17"/>
      <c r="QIH17"/>
      <c r="QII17"/>
      <c r="QIJ17"/>
      <c r="QIK17"/>
      <c r="QIL17"/>
      <c r="QIM17"/>
      <c r="QIN17"/>
      <c r="QIO17"/>
      <c r="QIP17"/>
      <c r="QIQ17"/>
      <c r="QIR17"/>
      <c r="QIS17"/>
      <c r="QIT17"/>
      <c r="QIU17"/>
      <c r="QIV17"/>
      <c r="QIW17"/>
      <c r="QIX17"/>
      <c r="QIY17"/>
      <c r="QIZ17"/>
      <c r="QJA17"/>
      <c r="QJB17"/>
      <c r="QJC17"/>
      <c r="QJD17"/>
      <c r="QJE17"/>
      <c r="QJF17"/>
      <c r="QJG17"/>
      <c r="QJH17"/>
      <c r="QJI17"/>
      <c r="QJJ17"/>
      <c r="QJK17"/>
      <c r="QJL17"/>
      <c r="QJM17"/>
      <c r="QJN17"/>
      <c r="QJO17"/>
      <c r="QJP17"/>
      <c r="QJQ17"/>
      <c r="QJR17"/>
      <c r="QJS17"/>
      <c r="QJT17"/>
      <c r="QJU17"/>
      <c r="QJV17"/>
      <c r="QJW17"/>
      <c r="QJX17"/>
      <c r="QJY17"/>
      <c r="QJZ17"/>
      <c r="QKA17"/>
      <c r="QKB17"/>
      <c r="QKC17"/>
      <c r="QKD17"/>
      <c r="QKE17"/>
      <c r="QKF17"/>
      <c r="QKG17"/>
      <c r="QKH17"/>
      <c r="QKI17"/>
      <c r="QKJ17"/>
      <c r="QKK17"/>
      <c r="QKL17"/>
      <c r="QKM17"/>
      <c r="QKN17"/>
      <c r="QKO17"/>
      <c r="QKP17"/>
      <c r="QKQ17"/>
      <c r="QKR17"/>
      <c r="QKS17"/>
      <c r="QKT17"/>
      <c r="QKU17"/>
      <c r="QKV17"/>
      <c r="QKW17"/>
      <c r="QKX17"/>
      <c r="QKY17"/>
      <c r="QKZ17"/>
      <c r="QLA17"/>
      <c r="QLB17"/>
      <c r="QLC17"/>
      <c r="QLD17"/>
      <c r="QLE17"/>
      <c r="QLF17"/>
      <c r="QLG17"/>
      <c r="QLH17"/>
      <c r="QLI17"/>
      <c r="QLJ17"/>
      <c r="QLK17"/>
      <c r="QLL17"/>
      <c r="QLM17"/>
      <c r="QLN17"/>
      <c r="QLO17"/>
      <c r="QLP17"/>
      <c r="QLQ17"/>
      <c r="QLR17"/>
      <c r="QLS17"/>
      <c r="QLT17"/>
      <c r="QLU17"/>
      <c r="QLV17"/>
      <c r="QLW17"/>
      <c r="QLX17"/>
      <c r="QLY17"/>
      <c r="QLZ17"/>
      <c r="QMA17"/>
      <c r="QMB17"/>
      <c r="QMC17"/>
      <c r="QMD17"/>
      <c r="QME17"/>
      <c r="QMF17"/>
      <c r="QMG17"/>
      <c r="QMH17"/>
      <c r="QMI17"/>
      <c r="QMJ17"/>
      <c r="QMK17"/>
      <c r="QML17"/>
      <c r="QMM17"/>
      <c r="QMN17"/>
      <c r="QMO17"/>
      <c r="QMP17"/>
      <c r="QMQ17"/>
      <c r="QMR17"/>
      <c r="QMS17"/>
      <c r="QMT17"/>
      <c r="QMU17"/>
      <c r="QMV17"/>
      <c r="QMW17"/>
      <c r="QMX17"/>
      <c r="QMY17"/>
      <c r="QMZ17"/>
      <c r="QNA17"/>
      <c r="QNB17"/>
      <c r="QNC17"/>
      <c r="QND17"/>
      <c r="QNE17"/>
      <c r="QNF17"/>
      <c r="QNG17"/>
      <c r="QNH17"/>
      <c r="QNI17"/>
      <c r="QNJ17"/>
      <c r="QNK17"/>
      <c r="QNL17"/>
      <c r="QNM17"/>
      <c r="QNN17"/>
      <c r="QNO17"/>
      <c r="QNP17"/>
      <c r="QNQ17"/>
      <c r="QNR17"/>
      <c r="QNS17"/>
      <c r="QNT17"/>
      <c r="QNU17"/>
      <c r="QNV17"/>
      <c r="QNW17"/>
      <c r="QNX17"/>
      <c r="QNY17"/>
      <c r="QNZ17"/>
      <c r="QOA17"/>
      <c r="QOB17"/>
      <c r="QOC17"/>
      <c r="QOD17"/>
      <c r="QOE17"/>
      <c r="QOF17"/>
      <c r="QOG17"/>
      <c r="QOH17"/>
      <c r="QOI17"/>
      <c r="QOJ17"/>
      <c r="QOK17"/>
      <c r="QOL17"/>
      <c r="QOM17"/>
      <c r="QON17"/>
      <c r="QOO17"/>
      <c r="QOP17"/>
      <c r="QOQ17"/>
      <c r="QOR17"/>
      <c r="QOS17"/>
      <c r="QOT17"/>
      <c r="QOU17"/>
      <c r="QOV17"/>
      <c r="QOW17"/>
      <c r="QOX17"/>
      <c r="QOY17"/>
      <c r="QOZ17"/>
      <c r="QPA17"/>
      <c r="QPB17"/>
      <c r="QPC17"/>
      <c r="QPD17"/>
      <c r="QPE17"/>
      <c r="QPF17"/>
      <c r="QPG17"/>
      <c r="QPH17"/>
      <c r="QPI17"/>
      <c r="QPJ17"/>
      <c r="QPK17"/>
      <c r="QPL17"/>
      <c r="QPM17"/>
      <c r="QPN17"/>
      <c r="QPO17"/>
      <c r="QPP17"/>
      <c r="QPQ17"/>
      <c r="QPR17"/>
      <c r="QPS17"/>
      <c r="QPT17"/>
      <c r="QPU17"/>
      <c r="QPV17"/>
      <c r="QPW17"/>
      <c r="QPX17"/>
      <c r="QPY17"/>
      <c r="QPZ17"/>
      <c r="QQA17"/>
      <c r="QQB17"/>
      <c r="QQC17"/>
      <c r="QQD17"/>
      <c r="QQE17"/>
      <c r="QQF17"/>
      <c r="QQG17"/>
      <c r="QQH17"/>
      <c r="QQI17"/>
      <c r="QQJ17"/>
      <c r="QQK17"/>
      <c r="QQL17"/>
      <c r="QQM17"/>
      <c r="QQN17"/>
      <c r="QQO17"/>
      <c r="QQP17"/>
      <c r="QQQ17"/>
      <c r="QQR17"/>
      <c r="QQS17"/>
      <c r="QQT17"/>
      <c r="QQU17"/>
      <c r="QQV17"/>
      <c r="QQW17"/>
      <c r="QQX17"/>
      <c r="QQY17"/>
      <c r="QQZ17"/>
      <c r="QRA17"/>
      <c r="QRB17"/>
      <c r="QRC17"/>
      <c r="QRD17"/>
      <c r="QRE17"/>
      <c r="QRF17"/>
      <c r="QRG17"/>
      <c r="QRH17"/>
      <c r="QRI17"/>
      <c r="QRJ17"/>
      <c r="QRK17"/>
      <c r="QRL17"/>
      <c r="QRM17"/>
      <c r="QRN17"/>
      <c r="QRO17"/>
      <c r="QRP17"/>
      <c r="QRQ17"/>
      <c r="QRR17"/>
      <c r="QRS17"/>
      <c r="QRT17"/>
      <c r="QRU17"/>
      <c r="QRV17"/>
      <c r="QRW17"/>
      <c r="QRX17"/>
      <c r="QRY17"/>
      <c r="QRZ17"/>
      <c r="QSA17"/>
      <c r="QSB17"/>
      <c r="QSC17"/>
      <c r="QSD17"/>
      <c r="QSE17"/>
      <c r="QSF17"/>
      <c r="QSG17"/>
      <c r="QSH17"/>
      <c r="QSI17"/>
      <c r="QSJ17"/>
      <c r="QSK17"/>
      <c r="QSL17"/>
      <c r="QSM17"/>
      <c r="QSN17"/>
      <c r="QSO17"/>
      <c r="QSP17"/>
      <c r="QSQ17"/>
      <c r="QSR17"/>
      <c r="QSS17"/>
      <c r="QST17"/>
      <c r="QSU17"/>
      <c r="QSV17"/>
      <c r="QSW17"/>
      <c r="QSX17"/>
      <c r="QSY17"/>
      <c r="QSZ17"/>
      <c r="QTA17"/>
      <c r="QTB17"/>
      <c r="QTC17"/>
      <c r="QTD17"/>
      <c r="QTE17"/>
      <c r="QTF17"/>
      <c r="QTG17"/>
      <c r="QTH17"/>
      <c r="QTI17"/>
      <c r="QTJ17"/>
      <c r="QTK17"/>
      <c r="QTL17"/>
      <c r="QTM17"/>
      <c r="QTN17"/>
      <c r="QTO17"/>
      <c r="QTP17"/>
      <c r="QTQ17"/>
      <c r="QTR17"/>
      <c r="QTS17"/>
      <c r="QTT17"/>
      <c r="QTU17"/>
      <c r="QTV17"/>
      <c r="QTW17"/>
      <c r="QTX17"/>
      <c r="QTY17"/>
      <c r="QTZ17"/>
      <c r="QUA17"/>
      <c r="QUB17"/>
      <c r="QUC17"/>
      <c r="QUD17"/>
      <c r="QUE17"/>
      <c r="QUF17"/>
      <c r="QUG17"/>
      <c r="QUH17"/>
      <c r="QUI17"/>
      <c r="QUJ17"/>
      <c r="QUK17"/>
      <c r="QUL17"/>
      <c r="QUM17"/>
      <c r="QUN17"/>
      <c r="QUO17"/>
      <c r="QUP17"/>
      <c r="QUQ17"/>
      <c r="QUR17"/>
      <c r="QUS17"/>
      <c r="QUT17"/>
      <c r="QUU17"/>
      <c r="QUV17"/>
      <c r="QUW17"/>
      <c r="QUX17"/>
      <c r="QUY17"/>
      <c r="QUZ17"/>
      <c r="QVA17"/>
      <c r="QVB17"/>
      <c r="QVC17"/>
      <c r="QVD17"/>
      <c r="QVE17"/>
      <c r="QVF17"/>
      <c r="QVG17"/>
      <c r="QVH17"/>
      <c r="QVI17"/>
      <c r="QVJ17"/>
      <c r="QVK17"/>
      <c r="QVL17"/>
      <c r="QVM17"/>
      <c r="QVN17"/>
      <c r="QVO17"/>
      <c r="QVP17"/>
      <c r="QVQ17"/>
      <c r="QVR17"/>
      <c r="QVS17"/>
      <c r="QVT17"/>
      <c r="QVU17"/>
      <c r="QVV17"/>
      <c r="QVW17"/>
      <c r="QVX17"/>
      <c r="QVY17"/>
      <c r="QVZ17"/>
      <c r="QWA17"/>
      <c r="QWB17"/>
      <c r="QWC17"/>
      <c r="QWD17"/>
      <c r="QWE17"/>
      <c r="QWF17"/>
      <c r="QWG17"/>
      <c r="QWH17"/>
      <c r="QWI17"/>
      <c r="QWJ17"/>
      <c r="QWK17"/>
      <c r="QWL17"/>
      <c r="QWM17"/>
      <c r="QWN17"/>
      <c r="QWO17"/>
      <c r="QWP17"/>
      <c r="QWQ17"/>
      <c r="QWR17"/>
      <c r="QWS17"/>
      <c r="QWT17"/>
      <c r="QWU17"/>
      <c r="QWV17"/>
      <c r="QWW17"/>
      <c r="QWX17"/>
      <c r="QWY17"/>
      <c r="QWZ17"/>
      <c r="QXA17"/>
      <c r="QXB17"/>
      <c r="QXC17"/>
      <c r="QXD17"/>
      <c r="QXE17"/>
      <c r="QXF17"/>
      <c r="QXG17"/>
      <c r="QXH17"/>
      <c r="QXI17"/>
      <c r="QXJ17"/>
      <c r="QXK17"/>
      <c r="QXL17"/>
      <c r="QXM17"/>
      <c r="QXN17"/>
      <c r="QXO17"/>
      <c r="QXP17"/>
      <c r="QXQ17"/>
      <c r="QXR17"/>
      <c r="QXS17"/>
      <c r="QXT17"/>
      <c r="QXU17"/>
      <c r="QXV17"/>
      <c r="QXW17"/>
      <c r="QXX17"/>
      <c r="QXY17"/>
      <c r="QXZ17"/>
      <c r="QYA17"/>
      <c r="QYB17"/>
      <c r="QYC17"/>
      <c r="QYD17"/>
      <c r="QYE17"/>
      <c r="QYF17"/>
      <c r="QYG17"/>
      <c r="QYH17"/>
      <c r="QYI17"/>
      <c r="QYJ17"/>
      <c r="QYK17"/>
      <c r="QYL17"/>
      <c r="QYM17"/>
      <c r="QYN17"/>
      <c r="QYO17"/>
      <c r="QYP17"/>
      <c r="QYQ17"/>
      <c r="QYR17"/>
      <c r="QYS17"/>
      <c r="QYT17"/>
      <c r="QYU17"/>
      <c r="QYV17"/>
      <c r="QYW17"/>
      <c r="QYX17"/>
      <c r="QYY17"/>
      <c r="QYZ17"/>
      <c r="QZA17"/>
      <c r="QZB17"/>
      <c r="QZC17"/>
      <c r="QZD17"/>
      <c r="QZE17"/>
      <c r="QZF17"/>
      <c r="QZG17"/>
      <c r="QZH17"/>
      <c r="QZI17"/>
      <c r="QZJ17"/>
      <c r="QZK17"/>
      <c r="QZL17"/>
      <c r="QZM17"/>
      <c r="QZN17"/>
      <c r="QZO17"/>
      <c r="QZP17"/>
      <c r="QZQ17"/>
      <c r="QZR17"/>
      <c r="QZS17"/>
      <c r="QZT17"/>
      <c r="QZU17"/>
      <c r="QZV17"/>
      <c r="QZW17"/>
      <c r="QZX17"/>
      <c r="QZY17"/>
      <c r="QZZ17"/>
      <c r="RAA17"/>
      <c r="RAB17"/>
      <c r="RAC17"/>
      <c r="RAD17"/>
      <c r="RAE17"/>
      <c r="RAF17"/>
      <c r="RAG17"/>
      <c r="RAH17"/>
      <c r="RAI17"/>
      <c r="RAJ17"/>
      <c r="RAK17"/>
      <c r="RAL17"/>
      <c r="RAM17"/>
      <c r="RAN17"/>
      <c r="RAO17"/>
      <c r="RAP17"/>
      <c r="RAQ17"/>
      <c r="RAR17"/>
      <c r="RAS17"/>
      <c r="RAT17"/>
      <c r="RAU17"/>
      <c r="RAV17"/>
      <c r="RAW17"/>
      <c r="RAX17"/>
      <c r="RAY17"/>
      <c r="RAZ17"/>
      <c r="RBA17"/>
      <c r="RBB17"/>
      <c r="RBC17"/>
      <c r="RBD17"/>
      <c r="RBE17"/>
      <c r="RBF17"/>
      <c r="RBG17"/>
      <c r="RBH17"/>
      <c r="RBI17"/>
      <c r="RBJ17"/>
      <c r="RBK17"/>
      <c r="RBL17"/>
      <c r="RBM17"/>
      <c r="RBN17"/>
      <c r="RBO17"/>
      <c r="RBP17"/>
      <c r="RBQ17"/>
      <c r="RBR17"/>
      <c r="RBS17"/>
      <c r="RBT17"/>
      <c r="RBU17"/>
      <c r="RBV17"/>
      <c r="RBW17"/>
      <c r="RBX17"/>
      <c r="RBY17"/>
      <c r="RBZ17"/>
      <c r="RCA17"/>
      <c r="RCB17"/>
      <c r="RCC17"/>
      <c r="RCD17"/>
      <c r="RCE17"/>
      <c r="RCF17"/>
      <c r="RCG17"/>
      <c r="RCH17"/>
      <c r="RCI17"/>
      <c r="RCJ17"/>
      <c r="RCK17"/>
      <c r="RCL17"/>
      <c r="RCM17"/>
      <c r="RCN17"/>
      <c r="RCO17"/>
      <c r="RCP17"/>
      <c r="RCQ17"/>
      <c r="RCR17"/>
      <c r="RCS17"/>
      <c r="RCT17"/>
      <c r="RCU17"/>
      <c r="RCV17"/>
      <c r="RCW17"/>
      <c r="RCX17"/>
      <c r="RCY17"/>
      <c r="RCZ17"/>
      <c r="RDA17"/>
      <c r="RDB17"/>
      <c r="RDC17"/>
      <c r="RDD17"/>
      <c r="RDE17"/>
      <c r="RDF17"/>
      <c r="RDG17"/>
      <c r="RDH17"/>
      <c r="RDI17"/>
      <c r="RDJ17"/>
      <c r="RDK17"/>
      <c r="RDL17"/>
      <c r="RDM17"/>
      <c r="RDN17"/>
      <c r="RDO17"/>
      <c r="RDP17"/>
      <c r="RDQ17"/>
      <c r="RDR17"/>
      <c r="RDS17"/>
      <c r="RDT17"/>
      <c r="RDU17"/>
      <c r="RDV17"/>
      <c r="RDW17"/>
      <c r="RDX17"/>
      <c r="RDY17"/>
      <c r="RDZ17"/>
      <c r="REA17"/>
      <c r="REB17"/>
      <c r="REC17"/>
      <c r="RED17"/>
      <c r="REE17"/>
      <c r="REF17"/>
      <c r="REG17"/>
      <c r="REH17"/>
      <c r="REI17"/>
      <c r="REJ17"/>
      <c r="REK17"/>
      <c r="REL17"/>
      <c r="REM17"/>
      <c r="REN17"/>
      <c r="REO17"/>
      <c r="REP17"/>
      <c r="REQ17"/>
      <c r="RER17"/>
      <c r="RES17"/>
      <c r="RET17"/>
      <c r="REU17"/>
      <c r="REV17"/>
      <c r="REW17"/>
      <c r="REX17"/>
      <c r="REY17"/>
      <c r="REZ17"/>
      <c r="RFA17"/>
      <c r="RFB17"/>
      <c r="RFC17"/>
      <c r="RFD17"/>
      <c r="RFE17"/>
      <c r="RFF17"/>
      <c r="RFG17"/>
      <c r="RFH17"/>
      <c r="RFI17"/>
      <c r="RFJ17"/>
      <c r="RFK17"/>
      <c r="RFL17"/>
      <c r="RFM17"/>
      <c r="RFN17"/>
      <c r="RFO17"/>
      <c r="RFP17"/>
      <c r="RFQ17"/>
      <c r="RFR17"/>
      <c r="RFS17"/>
      <c r="RFT17"/>
      <c r="RFU17"/>
      <c r="RFV17"/>
      <c r="RFW17"/>
      <c r="RFX17"/>
      <c r="RFY17"/>
      <c r="RFZ17"/>
      <c r="RGA17"/>
      <c r="RGB17"/>
      <c r="RGC17"/>
      <c r="RGD17"/>
      <c r="RGE17"/>
      <c r="RGF17"/>
      <c r="RGG17"/>
      <c r="RGH17"/>
      <c r="RGI17"/>
      <c r="RGJ17"/>
      <c r="RGK17"/>
      <c r="RGL17"/>
      <c r="RGM17"/>
      <c r="RGN17"/>
      <c r="RGO17"/>
      <c r="RGP17"/>
      <c r="RGQ17"/>
      <c r="RGR17"/>
      <c r="RGS17"/>
      <c r="RGT17"/>
      <c r="RGU17"/>
      <c r="RGV17"/>
      <c r="RGW17"/>
      <c r="RGX17"/>
      <c r="RGY17"/>
      <c r="RGZ17"/>
      <c r="RHA17"/>
      <c r="RHB17"/>
      <c r="RHC17"/>
      <c r="RHD17"/>
      <c r="RHE17"/>
      <c r="RHF17"/>
      <c r="RHG17"/>
      <c r="RHH17"/>
      <c r="RHI17"/>
      <c r="RHJ17"/>
      <c r="RHK17"/>
      <c r="RHL17"/>
      <c r="RHM17"/>
      <c r="RHN17"/>
      <c r="RHO17"/>
      <c r="RHP17"/>
      <c r="RHQ17"/>
      <c r="RHR17"/>
      <c r="RHS17"/>
      <c r="RHT17"/>
      <c r="RHU17"/>
      <c r="RHV17"/>
      <c r="RHW17"/>
      <c r="RHX17"/>
      <c r="RHY17"/>
      <c r="RHZ17"/>
      <c r="RIA17"/>
      <c r="RIB17"/>
      <c r="RIC17"/>
      <c r="RID17"/>
      <c r="RIE17"/>
      <c r="RIF17"/>
      <c r="RIG17"/>
      <c r="RIH17"/>
      <c r="RII17"/>
      <c r="RIJ17"/>
      <c r="RIK17"/>
      <c r="RIL17"/>
      <c r="RIM17"/>
      <c r="RIN17"/>
      <c r="RIO17"/>
      <c r="RIP17"/>
      <c r="RIQ17"/>
      <c r="RIR17"/>
      <c r="RIS17"/>
      <c r="RIT17"/>
      <c r="RIU17"/>
      <c r="RIV17"/>
      <c r="RIW17"/>
      <c r="RIX17"/>
      <c r="RIY17"/>
      <c r="RIZ17"/>
      <c r="RJA17"/>
      <c r="RJB17"/>
      <c r="RJC17"/>
      <c r="RJD17"/>
      <c r="RJE17"/>
      <c r="RJF17"/>
      <c r="RJG17"/>
      <c r="RJH17"/>
      <c r="RJI17"/>
      <c r="RJJ17"/>
      <c r="RJK17"/>
      <c r="RJL17"/>
      <c r="RJM17"/>
      <c r="RJN17"/>
      <c r="RJO17"/>
      <c r="RJP17"/>
      <c r="RJQ17"/>
      <c r="RJR17"/>
      <c r="RJS17"/>
      <c r="RJT17"/>
      <c r="RJU17"/>
      <c r="RJV17"/>
      <c r="RJW17"/>
      <c r="RJX17"/>
      <c r="RJY17"/>
      <c r="RJZ17"/>
      <c r="RKA17"/>
      <c r="RKB17"/>
      <c r="RKC17"/>
      <c r="RKD17"/>
      <c r="RKE17"/>
      <c r="RKF17"/>
      <c r="RKG17"/>
      <c r="RKH17"/>
      <c r="RKI17"/>
      <c r="RKJ17"/>
      <c r="RKK17"/>
      <c r="RKL17"/>
      <c r="RKM17"/>
      <c r="RKN17"/>
      <c r="RKO17"/>
      <c r="RKP17"/>
      <c r="RKQ17"/>
      <c r="RKR17"/>
      <c r="RKS17"/>
      <c r="RKT17"/>
      <c r="RKU17"/>
      <c r="RKV17"/>
      <c r="RKW17"/>
      <c r="RKX17"/>
      <c r="RKY17"/>
      <c r="RKZ17"/>
      <c r="RLA17"/>
      <c r="RLB17"/>
      <c r="RLC17"/>
      <c r="RLD17"/>
      <c r="RLE17"/>
      <c r="RLF17"/>
      <c r="RLG17"/>
      <c r="RLH17"/>
      <c r="RLI17"/>
      <c r="RLJ17"/>
      <c r="RLK17"/>
      <c r="RLL17"/>
      <c r="RLM17"/>
      <c r="RLN17"/>
      <c r="RLO17"/>
      <c r="RLP17"/>
      <c r="RLQ17"/>
      <c r="RLR17"/>
      <c r="RLS17"/>
      <c r="RLT17"/>
      <c r="RLU17"/>
      <c r="RLV17"/>
      <c r="RLW17"/>
      <c r="RLX17"/>
      <c r="RLY17"/>
      <c r="RLZ17"/>
      <c r="RMA17"/>
      <c r="RMB17"/>
      <c r="RMC17"/>
      <c r="RMD17"/>
      <c r="RME17"/>
      <c r="RMF17"/>
      <c r="RMG17"/>
      <c r="RMH17"/>
      <c r="RMI17"/>
      <c r="RMJ17"/>
      <c r="RMK17"/>
      <c r="RML17"/>
      <c r="RMM17"/>
      <c r="RMN17"/>
      <c r="RMO17"/>
      <c r="RMP17"/>
      <c r="RMQ17"/>
      <c r="RMR17"/>
      <c r="RMS17"/>
      <c r="RMT17"/>
      <c r="RMU17"/>
      <c r="RMV17"/>
      <c r="RMW17"/>
      <c r="RMX17"/>
      <c r="RMY17"/>
      <c r="RMZ17"/>
      <c r="RNA17"/>
      <c r="RNB17"/>
      <c r="RNC17"/>
      <c r="RND17"/>
      <c r="RNE17"/>
      <c r="RNF17"/>
      <c r="RNG17"/>
      <c r="RNH17"/>
      <c r="RNI17"/>
      <c r="RNJ17"/>
      <c r="RNK17"/>
      <c r="RNL17"/>
      <c r="RNM17"/>
      <c r="RNN17"/>
      <c r="RNO17"/>
      <c r="RNP17"/>
      <c r="RNQ17"/>
      <c r="RNR17"/>
      <c r="RNS17"/>
      <c r="RNT17"/>
      <c r="RNU17"/>
      <c r="RNV17"/>
      <c r="RNW17"/>
      <c r="RNX17"/>
      <c r="RNY17"/>
      <c r="RNZ17"/>
      <c r="ROA17"/>
      <c r="ROB17"/>
      <c r="ROC17"/>
      <c r="ROD17"/>
      <c r="ROE17"/>
      <c r="ROF17"/>
      <c r="ROG17"/>
      <c r="ROH17"/>
      <c r="ROI17"/>
      <c r="ROJ17"/>
      <c r="ROK17"/>
      <c r="ROL17"/>
      <c r="ROM17"/>
      <c r="RON17"/>
      <c r="ROO17"/>
      <c r="ROP17"/>
      <c r="ROQ17"/>
      <c r="ROR17"/>
      <c r="ROS17"/>
      <c r="ROT17"/>
      <c r="ROU17"/>
      <c r="ROV17"/>
      <c r="ROW17"/>
      <c r="ROX17"/>
      <c r="ROY17"/>
      <c r="ROZ17"/>
      <c r="RPA17"/>
      <c r="RPB17"/>
      <c r="RPC17"/>
      <c r="RPD17"/>
      <c r="RPE17"/>
      <c r="RPF17"/>
      <c r="RPG17"/>
      <c r="RPH17"/>
      <c r="RPI17"/>
      <c r="RPJ17"/>
      <c r="RPK17"/>
      <c r="RPL17"/>
      <c r="RPM17"/>
      <c r="RPN17"/>
      <c r="RPO17"/>
      <c r="RPP17"/>
      <c r="RPQ17"/>
      <c r="RPR17"/>
      <c r="RPS17"/>
      <c r="RPT17"/>
      <c r="RPU17"/>
      <c r="RPV17"/>
      <c r="RPW17"/>
      <c r="RPX17"/>
      <c r="RPY17"/>
      <c r="RPZ17"/>
      <c r="RQA17"/>
      <c r="RQB17"/>
      <c r="RQC17"/>
      <c r="RQD17"/>
      <c r="RQE17"/>
      <c r="RQF17"/>
      <c r="RQG17"/>
      <c r="RQH17"/>
      <c r="RQI17"/>
      <c r="RQJ17"/>
      <c r="RQK17"/>
      <c r="RQL17"/>
      <c r="RQM17"/>
      <c r="RQN17"/>
      <c r="RQO17"/>
      <c r="RQP17"/>
      <c r="RQQ17"/>
      <c r="RQR17"/>
      <c r="RQS17"/>
      <c r="RQT17"/>
      <c r="RQU17"/>
      <c r="RQV17"/>
      <c r="RQW17"/>
      <c r="RQX17"/>
      <c r="RQY17"/>
      <c r="RQZ17"/>
      <c r="RRA17"/>
      <c r="RRB17"/>
      <c r="RRC17"/>
      <c r="RRD17"/>
      <c r="RRE17"/>
      <c r="RRF17"/>
      <c r="RRG17"/>
      <c r="RRH17"/>
      <c r="RRI17"/>
      <c r="RRJ17"/>
      <c r="RRK17"/>
      <c r="RRL17"/>
      <c r="RRM17"/>
      <c r="RRN17"/>
      <c r="RRO17"/>
      <c r="RRP17"/>
      <c r="RRQ17"/>
      <c r="RRR17"/>
      <c r="RRS17"/>
      <c r="RRT17"/>
      <c r="RRU17"/>
      <c r="RRV17"/>
      <c r="RRW17"/>
      <c r="RRX17"/>
      <c r="RRY17"/>
      <c r="RRZ17"/>
      <c r="RSA17"/>
      <c r="RSB17"/>
      <c r="RSC17"/>
      <c r="RSD17"/>
      <c r="RSE17"/>
      <c r="RSF17"/>
      <c r="RSG17"/>
      <c r="RSH17"/>
      <c r="RSI17"/>
      <c r="RSJ17"/>
      <c r="RSK17"/>
      <c r="RSL17"/>
      <c r="RSM17"/>
      <c r="RSN17"/>
      <c r="RSO17"/>
      <c r="RSP17"/>
      <c r="RSQ17"/>
      <c r="RSR17"/>
      <c r="RSS17"/>
      <c r="RST17"/>
      <c r="RSU17"/>
      <c r="RSV17"/>
      <c r="RSW17"/>
      <c r="RSX17"/>
      <c r="RSY17"/>
      <c r="RSZ17"/>
      <c r="RTA17"/>
      <c r="RTB17"/>
      <c r="RTC17"/>
      <c r="RTD17"/>
      <c r="RTE17"/>
      <c r="RTF17"/>
      <c r="RTG17"/>
      <c r="RTH17"/>
      <c r="RTI17"/>
      <c r="RTJ17"/>
      <c r="RTK17"/>
      <c r="RTL17"/>
      <c r="RTM17"/>
      <c r="RTN17"/>
      <c r="RTO17"/>
      <c r="RTP17"/>
      <c r="RTQ17"/>
      <c r="RTR17"/>
      <c r="RTS17"/>
      <c r="RTT17"/>
      <c r="RTU17"/>
      <c r="RTV17"/>
      <c r="RTW17"/>
      <c r="RTX17"/>
      <c r="RTY17"/>
      <c r="RTZ17"/>
      <c r="RUA17"/>
      <c r="RUB17"/>
      <c r="RUC17"/>
      <c r="RUD17"/>
      <c r="RUE17"/>
      <c r="RUF17"/>
      <c r="RUG17"/>
      <c r="RUH17"/>
      <c r="RUI17"/>
      <c r="RUJ17"/>
      <c r="RUK17"/>
      <c r="RUL17"/>
      <c r="RUM17"/>
      <c r="RUN17"/>
      <c r="RUO17"/>
      <c r="RUP17"/>
      <c r="RUQ17"/>
      <c r="RUR17"/>
      <c r="RUS17"/>
      <c r="RUT17"/>
      <c r="RUU17"/>
      <c r="RUV17"/>
      <c r="RUW17"/>
      <c r="RUX17"/>
      <c r="RUY17"/>
      <c r="RUZ17"/>
      <c r="RVA17"/>
      <c r="RVB17"/>
      <c r="RVC17"/>
      <c r="RVD17"/>
      <c r="RVE17"/>
      <c r="RVF17"/>
      <c r="RVG17"/>
      <c r="RVH17"/>
      <c r="RVI17"/>
      <c r="RVJ17"/>
      <c r="RVK17"/>
      <c r="RVL17"/>
      <c r="RVM17"/>
      <c r="RVN17"/>
      <c r="RVO17"/>
      <c r="RVP17"/>
      <c r="RVQ17"/>
      <c r="RVR17"/>
      <c r="RVS17"/>
      <c r="RVT17"/>
      <c r="RVU17"/>
      <c r="RVV17"/>
      <c r="RVW17"/>
      <c r="RVX17"/>
      <c r="RVY17"/>
      <c r="RVZ17"/>
      <c r="RWA17"/>
      <c r="RWB17"/>
      <c r="RWC17"/>
      <c r="RWD17"/>
      <c r="RWE17"/>
      <c r="RWF17"/>
      <c r="RWG17"/>
      <c r="RWH17"/>
      <c r="RWI17"/>
      <c r="RWJ17"/>
      <c r="RWK17"/>
      <c r="RWL17"/>
      <c r="RWM17"/>
      <c r="RWN17"/>
      <c r="RWO17"/>
      <c r="RWP17"/>
      <c r="RWQ17"/>
      <c r="RWR17"/>
      <c r="RWS17"/>
      <c r="RWT17"/>
      <c r="RWU17"/>
      <c r="RWV17"/>
      <c r="RWW17"/>
      <c r="RWX17"/>
      <c r="RWY17"/>
      <c r="RWZ17"/>
      <c r="RXA17"/>
      <c r="RXB17"/>
      <c r="RXC17"/>
      <c r="RXD17"/>
      <c r="RXE17"/>
      <c r="RXF17"/>
      <c r="RXG17"/>
      <c r="RXH17"/>
      <c r="RXI17"/>
      <c r="RXJ17"/>
      <c r="RXK17"/>
      <c r="RXL17"/>
      <c r="RXM17"/>
      <c r="RXN17"/>
      <c r="RXO17"/>
      <c r="RXP17"/>
      <c r="RXQ17"/>
      <c r="RXR17"/>
      <c r="RXS17"/>
      <c r="RXT17"/>
      <c r="RXU17"/>
      <c r="RXV17"/>
      <c r="RXW17"/>
      <c r="RXX17"/>
      <c r="RXY17"/>
      <c r="RXZ17"/>
      <c r="RYA17"/>
      <c r="RYB17"/>
      <c r="RYC17"/>
      <c r="RYD17"/>
      <c r="RYE17"/>
      <c r="RYF17"/>
      <c r="RYG17"/>
      <c r="RYH17"/>
      <c r="RYI17"/>
      <c r="RYJ17"/>
      <c r="RYK17"/>
      <c r="RYL17"/>
      <c r="RYM17"/>
      <c r="RYN17"/>
      <c r="RYO17"/>
      <c r="RYP17"/>
      <c r="RYQ17"/>
      <c r="RYR17"/>
      <c r="RYS17"/>
      <c r="RYT17"/>
      <c r="RYU17"/>
      <c r="RYV17"/>
      <c r="RYW17"/>
      <c r="RYX17"/>
      <c r="RYY17"/>
      <c r="RYZ17"/>
      <c r="RZA17"/>
      <c r="RZB17"/>
      <c r="RZC17"/>
      <c r="RZD17"/>
      <c r="RZE17"/>
      <c r="RZF17"/>
      <c r="RZG17"/>
      <c r="RZH17"/>
      <c r="RZI17"/>
      <c r="RZJ17"/>
      <c r="RZK17"/>
      <c r="RZL17"/>
      <c r="RZM17"/>
      <c r="RZN17"/>
      <c r="RZO17"/>
      <c r="RZP17"/>
      <c r="RZQ17"/>
      <c r="RZR17"/>
      <c r="RZS17"/>
      <c r="RZT17"/>
      <c r="RZU17"/>
      <c r="RZV17"/>
      <c r="RZW17"/>
      <c r="RZX17"/>
      <c r="RZY17"/>
      <c r="RZZ17"/>
      <c r="SAA17"/>
      <c r="SAB17"/>
      <c r="SAC17"/>
      <c r="SAD17"/>
      <c r="SAE17"/>
      <c r="SAF17"/>
      <c r="SAG17"/>
      <c r="SAH17"/>
      <c r="SAI17"/>
      <c r="SAJ17"/>
      <c r="SAK17"/>
      <c r="SAL17"/>
      <c r="SAM17"/>
      <c r="SAN17"/>
      <c r="SAO17"/>
      <c r="SAP17"/>
      <c r="SAQ17"/>
      <c r="SAR17"/>
      <c r="SAS17"/>
      <c r="SAT17"/>
      <c r="SAU17"/>
      <c r="SAV17"/>
      <c r="SAW17"/>
      <c r="SAX17"/>
      <c r="SAY17"/>
      <c r="SAZ17"/>
      <c r="SBA17"/>
      <c r="SBB17"/>
      <c r="SBC17"/>
      <c r="SBD17"/>
      <c r="SBE17"/>
      <c r="SBF17"/>
      <c r="SBG17"/>
      <c r="SBH17"/>
      <c r="SBI17"/>
      <c r="SBJ17"/>
      <c r="SBK17"/>
      <c r="SBL17"/>
      <c r="SBM17"/>
      <c r="SBN17"/>
      <c r="SBO17"/>
      <c r="SBP17"/>
      <c r="SBQ17"/>
      <c r="SBR17"/>
      <c r="SBS17"/>
      <c r="SBT17"/>
      <c r="SBU17"/>
      <c r="SBV17"/>
      <c r="SBW17"/>
      <c r="SBX17"/>
      <c r="SBY17"/>
      <c r="SBZ17"/>
      <c r="SCA17"/>
      <c r="SCB17"/>
      <c r="SCC17"/>
      <c r="SCD17"/>
      <c r="SCE17"/>
      <c r="SCF17"/>
      <c r="SCG17"/>
      <c r="SCH17"/>
      <c r="SCI17"/>
      <c r="SCJ17"/>
      <c r="SCK17"/>
      <c r="SCL17"/>
      <c r="SCM17"/>
      <c r="SCN17"/>
      <c r="SCO17"/>
      <c r="SCP17"/>
      <c r="SCQ17"/>
      <c r="SCR17"/>
      <c r="SCS17"/>
      <c r="SCT17"/>
      <c r="SCU17"/>
      <c r="SCV17"/>
      <c r="SCW17"/>
      <c r="SCX17"/>
      <c r="SCY17"/>
      <c r="SCZ17"/>
      <c r="SDA17"/>
      <c r="SDB17"/>
      <c r="SDC17"/>
      <c r="SDD17"/>
      <c r="SDE17"/>
      <c r="SDF17"/>
      <c r="SDG17"/>
      <c r="SDH17"/>
      <c r="SDI17"/>
      <c r="SDJ17"/>
      <c r="SDK17"/>
      <c r="SDL17"/>
      <c r="SDM17"/>
      <c r="SDN17"/>
      <c r="SDO17"/>
      <c r="SDP17"/>
      <c r="SDQ17"/>
      <c r="SDR17"/>
      <c r="SDS17"/>
      <c r="SDT17"/>
      <c r="SDU17"/>
      <c r="SDV17"/>
      <c r="SDW17"/>
      <c r="SDX17"/>
      <c r="SDY17"/>
      <c r="SDZ17"/>
      <c r="SEA17"/>
      <c r="SEB17"/>
      <c r="SEC17"/>
      <c r="SED17"/>
      <c r="SEE17"/>
      <c r="SEF17"/>
      <c r="SEG17"/>
      <c r="SEH17"/>
      <c r="SEI17"/>
      <c r="SEJ17"/>
      <c r="SEK17"/>
      <c r="SEL17"/>
      <c r="SEM17"/>
      <c r="SEN17"/>
      <c r="SEO17"/>
      <c r="SEP17"/>
      <c r="SEQ17"/>
      <c r="SER17"/>
      <c r="SES17"/>
      <c r="SET17"/>
      <c r="SEU17"/>
      <c r="SEV17"/>
      <c r="SEW17"/>
      <c r="SEX17"/>
      <c r="SEY17"/>
      <c r="SEZ17"/>
      <c r="SFA17"/>
      <c r="SFB17"/>
      <c r="SFC17"/>
      <c r="SFD17"/>
      <c r="SFE17"/>
      <c r="SFF17"/>
      <c r="SFG17"/>
      <c r="SFH17"/>
      <c r="SFI17"/>
      <c r="SFJ17"/>
      <c r="SFK17"/>
      <c r="SFL17"/>
      <c r="SFM17"/>
      <c r="SFN17"/>
      <c r="SFO17"/>
      <c r="SFP17"/>
      <c r="SFQ17"/>
      <c r="SFR17"/>
      <c r="SFS17"/>
      <c r="SFT17"/>
      <c r="SFU17"/>
      <c r="SFV17"/>
      <c r="SFW17"/>
      <c r="SFX17"/>
      <c r="SFY17"/>
      <c r="SFZ17"/>
      <c r="SGA17"/>
      <c r="SGB17"/>
      <c r="SGC17"/>
      <c r="SGD17"/>
      <c r="SGE17"/>
      <c r="SGF17"/>
      <c r="SGG17"/>
      <c r="SGH17"/>
      <c r="SGI17"/>
      <c r="SGJ17"/>
      <c r="SGK17"/>
      <c r="SGL17"/>
      <c r="SGM17"/>
      <c r="SGN17"/>
      <c r="SGO17"/>
      <c r="SGP17"/>
      <c r="SGQ17"/>
      <c r="SGR17"/>
      <c r="SGS17"/>
      <c r="SGT17"/>
      <c r="SGU17"/>
      <c r="SGV17"/>
      <c r="SGW17"/>
      <c r="SGX17"/>
      <c r="SGY17"/>
      <c r="SGZ17"/>
      <c r="SHA17"/>
      <c r="SHB17"/>
      <c r="SHC17"/>
      <c r="SHD17"/>
      <c r="SHE17"/>
      <c r="SHF17"/>
      <c r="SHG17"/>
      <c r="SHH17"/>
      <c r="SHI17"/>
      <c r="SHJ17"/>
      <c r="SHK17"/>
      <c r="SHL17"/>
      <c r="SHM17"/>
      <c r="SHN17"/>
      <c r="SHO17"/>
      <c r="SHP17"/>
      <c r="SHQ17"/>
      <c r="SHR17"/>
      <c r="SHS17"/>
      <c r="SHT17"/>
      <c r="SHU17"/>
      <c r="SHV17"/>
      <c r="SHW17"/>
      <c r="SHX17"/>
      <c r="SHY17"/>
      <c r="SHZ17"/>
      <c r="SIA17"/>
      <c r="SIB17"/>
      <c r="SIC17"/>
      <c r="SID17"/>
      <c r="SIE17"/>
      <c r="SIF17"/>
      <c r="SIG17"/>
      <c r="SIH17"/>
      <c r="SII17"/>
      <c r="SIJ17"/>
      <c r="SIK17"/>
      <c r="SIL17"/>
      <c r="SIM17"/>
      <c r="SIN17"/>
      <c r="SIO17"/>
      <c r="SIP17"/>
      <c r="SIQ17"/>
      <c r="SIR17"/>
      <c r="SIS17"/>
      <c r="SIT17"/>
      <c r="SIU17"/>
      <c r="SIV17"/>
      <c r="SIW17"/>
      <c r="SIX17"/>
      <c r="SIY17"/>
      <c r="SIZ17"/>
      <c r="SJA17"/>
      <c r="SJB17"/>
      <c r="SJC17"/>
      <c r="SJD17"/>
      <c r="SJE17"/>
      <c r="SJF17"/>
      <c r="SJG17"/>
      <c r="SJH17"/>
      <c r="SJI17"/>
      <c r="SJJ17"/>
      <c r="SJK17"/>
      <c r="SJL17"/>
      <c r="SJM17"/>
      <c r="SJN17"/>
      <c r="SJO17"/>
      <c r="SJP17"/>
      <c r="SJQ17"/>
      <c r="SJR17"/>
      <c r="SJS17"/>
      <c r="SJT17"/>
      <c r="SJU17"/>
      <c r="SJV17"/>
      <c r="SJW17"/>
      <c r="SJX17"/>
      <c r="SJY17"/>
      <c r="SJZ17"/>
      <c r="SKA17"/>
      <c r="SKB17"/>
      <c r="SKC17"/>
      <c r="SKD17"/>
      <c r="SKE17"/>
      <c r="SKF17"/>
      <c r="SKG17"/>
      <c r="SKH17"/>
      <c r="SKI17"/>
      <c r="SKJ17"/>
      <c r="SKK17"/>
      <c r="SKL17"/>
      <c r="SKM17"/>
      <c r="SKN17"/>
      <c r="SKO17"/>
      <c r="SKP17"/>
      <c r="SKQ17"/>
      <c r="SKR17"/>
      <c r="SKS17"/>
      <c r="SKT17"/>
      <c r="SKU17"/>
      <c r="SKV17"/>
      <c r="SKW17"/>
      <c r="SKX17"/>
      <c r="SKY17"/>
      <c r="SKZ17"/>
      <c r="SLA17"/>
      <c r="SLB17"/>
      <c r="SLC17"/>
      <c r="SLD17"/>
      <c r="SLE17"/>
      <c r="SLF17"/>
      <c r="SLG17"/>
      <c r="SLH17"/>
      <c r="SLI17"/>
      <c r="SLJ17"/>
      <c r="SLK17"/>
      <c r="SLL17"/>
      <c r="SLM17"/>
      <c r="SLN17"/>
      <c r="SLO17"/>
      <c r="SLP17"/>
      <c r="SLQ17"/>
      <c r="SLR17"/>
      <c r="SLS17"/>
      <c r="SLT17"/>
      <c r="SLU17"/>
      <c r="SLV17"/>
      <c r="SLW17"/>
      <c r="SLX17"/>
      <c r="SLY17"/>
      <c r="SLZ17"/>
      <c r="SMA17"/>
      <c r="SMB17"/>
      <c r="SMC17"/>
      <c r="SMD17"/>
      <c r="SME17"/>
      <c r="SMF17"/>
      <c r="SMG17"/>
      <c r="SMH17"/>
      <c r="SMI17"/>
      <c r="SMJ17"/>
      <c r="SMK17"/>
      <c r="SML17"/>
      <c r="SMM17"/>
      <c r="SMN17"/>
      <c r="SMO17"/>
      <c r="SMP17"/>
      <c r="SMQ17"/>
      <c r="SMR17"/>
      <c r="SMS17"/>
      <c r="SMT17"/>
      <c r="SMU17"/>
      <c r="SMV17"/>
      <c r="SMW17"/>
      <c r="SMX17"/>
      <c r="SMY17"/>
      <c r="SMZ17"/>
      <c r="SNA17"/>
      <c r="SNB17"/>
      <c r="SNC17"/>
      <c r="SND17"/>
      <c r="SNE17"/>
      <c r="SNF17"/>
      <c r="SNG17"/>
      <c r="SNH17"/>
      <c r="SNI17"/>
      <c r="SNJ17"/>
      <c r="SNK17"/>
      <c r="SNL17"/>
      <c r="SNM17"/>
      <c r="SNN17"/>
      <c r="SNO17"/>
      <c r="SNP17"/>
      <c r="SNQ17"/>
      <c r="SNR17"/>
      <c r="SNS17"/>
      <c r="SNT17"/>
      <c r="SNU17"/>
      <c r="SNV17"/>
      <c r="SNW17"/>
      <c r="SNX17"/>
      <c r="SNY17"/>
      <c r="SNZ17"/>
      <c r="SOA17"/>
      <c r="SOB17"/>
      <c r="SOC17"/>
      <c r="SOD17"/>
      <c r="SOE17"/>
      <c r="SOF17"/>
      <c r="SOG17"/>
      <c r="SOH17"/>
      <c r="SOI17"/>
      <c r="SOJ17"/>
      <c r="SOK17"/>
      <c r="SOL17"/>
      <c r="SOM17"/>
      <c r="SON17"/>
      <c r="SOO17"/>
      <c r="SOP17"/>
      <c r="SOQ17"/>
      <c r="SOR17"/>
      <c r="SOS17"/>
      <c r="SOT17"/>
      <c r="SOU17"/>
      <c r="SOV17"/>
      <c r="SOW17"/>
      <c r="SOX17"/>
      <c r="SOY17"/>
      <c r="SOZ17"/>
      <c r="SPA17"/>
      <c r="SPB17"/>
      <c r="SPC17"/>
      <c r="SPD17"/>
      <c r="SPE17"/>
      <c r="SPF17"/>
      <c r="SPG17"/>
      <c r="SPH17"/>
      <c r="SPI17"/>
      <c r="SPJ17"/>
      <c r="SPK17"/>
      <c r="SPL17"/>
      <c r="SPM17"/>
      <c r="SPN17"/>
      <c r="SPO17"/>
      <c r="SPP17"/>
      <c r="SPQ17"/>
      <c r="SPR17"/>
      <c r="SPS17"/>
      <c r="SPT17"/>
      <c r="SPU17"/>
      <c r="SPV17"/>
      <c r="SPW17"/>
      <c r="SPX17"/>
      <c r="SPY17"/>
      <c r="SPZ17"/>
      <c r="SQA17"/>
      <c r="SQB17"/>
      <c r="SQC17"/>
      <c r="SQD17"/>
      <c r="SQE17"/>
      <c r="SQF17"/>
      <c r="SQG17"/>
      <c r="SQH17"/>
      <c r="SQI17"/>
      <c r="SQJ17"/>
      <c r="SQK17"/>
      <c r="SQL17"/>
      <c r="SQM17"/>
      <c r="SQN17"/>
      <c r="SQO17"/>
      <c r="SQP17"/>
      <c r="SQQ17"/>
      <c r="SQR17"/>
      <c r="SQS17"/>
      <c r="SQT17"/>
      <c r="SQU17"/>
      <c r="SQV17"/>
      <c r="SQW17"/>
      <c r="SQX17"/>
      <c r="SQY17"/>
      <c r="SQZ17"/>
      <c r="SRA17"/>
      <c r="SRB17"/>
      <c r="SRC17"/>
      <c r="SRD17"/>
      <c r="SRE17"/>
      <c r="SRF17"/>
      <c r="SRG17"/>
      <c r="SRH17"/>
      <c r="SRI17"/>
      <c r="SRJ17"/>
      <c r="SRK17"/>
      <c r="SRL17"/>
      <c r="SRM17"/>
      <c r="SRN17"/>
      <c r="SRO17"/>
      <c r="SRP17"/>
      <c r="SRQ17"/>
      <c r="SRR17"/>
      <c r="SRS17"/>
      <c r="SRT17"/>
      <c r="SRU17"/>
      <c r="SRV17"/>
      <c r="SRW17"/>
      <c r="SRX17"/>
      <c r="SRY17"/>
      <c r="SRZ17"/>
      <c r="SSA17"/>
      <c r="SSB17"/>
      <c r="SSC17"/>
      <c r="SSD17"/>
      <c r="SSE17"/>
      <c r="SSF17"/>
      <c r="SSG17"/>
      <c r="SSH17"/>
      <c r="SSI17"/>
      <c r="SSJ17"/>
      <c r="SSK17"/>
      <c r="SSL17"/>
      <c r="SSM17"/>
      <c r="SSN17"/>
      <c r="SSO17"/>
      <c r="SSP17"/>
      <c r="SSQ17"/>
      <c r="SSR17"/>
      <c r="SSS17"/>
      <c r="SST17"/>
      <c r="SSU17"/>
      <c r="SSV17"/>
      <c r="SSW17"/>
      <c r="SSX17"/>
      <c r="SSY17"/>
      <c r="SSZ17"/>
      <c r="STA17"/>
      <c r="STB17"/>
      <c r="STC17"/>
      <c r="STD17"/>
      <c r="STE17"/>
      <c r="STF17"/>
      <c r="STG17"/>
      <c r="STH17"/>
      <c r="STI17"/>
      <c r="STJ17"/>
      <c r="STK17"/>
      <c r="STL17"/>
      <c r="STM17"/>
      <c r="STN17"/>
      <c r="STO17"/>
      <c r="STP17"/>
      <c r="STQ17"/>
      <c r="STR17"/>
      <c r="STS17"/>
      <c r="STT17"/>
      <c r="STU17"/>
      <c r="STV17"/>
      <c r="STW17"/>
      <c r="STX17"/>
      <c r="STY17"/>
      <c r="STZ17"/>
      <c r="SUA17"/>
      <c r="SUB17"/>
      <c r="SUC17"/>
      <c r="SUD17"/>
      <c r="SUE17"/>
      <c r="SUF17"/>
      <c r="SUG17"/>
      <c r="SUH17"/>
      <c r="SUI17"/>
      <c r="SUJ17"/>
      <c r="SUK17"/>
      <c r="SUL17"/>
      <c r="SUM17"/>
      <c r="SUN17"/>
      <c r="SUO17"/>
      <c r="SUP17"/>
      <c r="SUQ17"/>
      <c r="SUR17"/>
      <c r="SUS17"/>
      <c r="SUT17"/>
      <c r="SUU17"/>
      <c r="SUV17"/>
      <c r="SUW17"/>
      <c r="SUX17"/>
      <c r="SUY17"/>
      <c r="SUZ17"/>
      <c r="SVA17"/>
      <c r="SVB17"/>
      <c r="SVC17"/>
      <c r="SVD17"/>
      <c r="SVE17"/>
      <c r="SVF17"/>
      <c r="SVG17"/>
      <c r="SVH17"/>
      <c r="SVI17"/>
      <c r="SVJ17"/>
      <c r="SVK17"/>
      <c r="SVL17"/>
      <c r="SVM17"/>
      <c r="SVN17"/>
      <c r="SVO17"/>
      <c r="SVP17"/>
      <c r="SVQ17"/>
      <c r="SVR17"/>
      <c r="SVS17"/>
      <c r="SVT17"/>
      <c r="SVU17"/>
      <c r="SVV17"/>
      <c r="SVW17"/>
      <c r="SVX17"/>
      <c r="SVY17"/>
      <c r="SVZ17"/>
      <c r="SWA17"/>
      <c r="SWB17"/>
      <c r="SWC17"/>
      <c r="SWD17"/>
      <c r="SWE17"/>
      <c r="SWF17"/>
      <c r="SWG17"/>
      <c r="SWH17"/>
      <c r="SWI17"/>
      <c r="SWJ17"/>
      <c r="SWK17"/>
      <c r="SWL17"/>
      <c r="SWM17"/>
      <c r="SWN17"/>
      <c r="SWO17"/>
      <c r="SWP17"/>
      <c r="SWQ17"/>
      <c r="SWR17"/>
      <c r="SWS17"/>
      <c r="SWT17"/>
      <c r="SWU17"/>
      <c r="SWV17"/>
      <c r="SWW17"/>
      <c r="SWX17"/>
      <c r="SWY17"/>
      <c r="SWZ17"/>
      <c r="SXA17"/>
      <c r="SXB17"/>
      <c r="SXC17"/>
      <c r="SXD17"/>
      <c r="SXE17"/>
      <c r="SXF17"/>
      <c r="SXG17"/>
      <c r="SXH17"/>
      <c r="SXI17"/>
      <c r="SXJ17"/>
      <c r="SXK17"/>
      <c r="SXL17"/>
      <c r="SXM17"/>
      <c r="SXN17"/>
      <c r="SXO17"/>
      <c r="SXP17"/>
      <c r="SXQ17"/>
      <c r="SXR17"/>
      <c r="SXS17"/>
      <c r="SXT17"/>
      <c r="SXU17"/>
      <c r="SXV17"/>
      <c r="SXW17"/>
      <c r="SXX17"/>
      <c r="SXY17"/>
      <c r="SXZ17"/>
      <c r="SYA17"/>
      <c r="SYB17"/>
      <c r="SYC17"/>
      <c r="SYD17"/>
      <c r="SYE17"/>
      <c r="SYF17"/>
      <c r="SYG17"/>
      <c r="SYH17"/>
      <c r="SYI17"/>
      <c r="SYJ17"/>
      <c r="SYK17"/>
      <c r="SYL17"/>
      <c r="SYM17"/>
      <c r="SYN17"/>
      <c r="SYO17"/>
      <c r="SYP17"/>
      <c r="SYQ17"/>
      <c r="SYR17"/>
      <c r="SYS17"/>
      <c r="SYT17"/>
      <c r="SYU17"/>
      <c r="SYV17"/>
      <c r="SYW17"/>
      <c r="SYX17"/>
      <c r="SYY17"/>
      <c r="SYZ17"/>
      <c r="SZA17"/>
      <c r="SZB17"/>
      <c r="SZC17"/>
      <c r="SZD17"/>
      <c r="SZE17"/>
      <c r="SZF17"/>
      <c r="SZG17"/>
      <c r="SZH17"/>
      <c r="SZI17"/>
      <c r="SZJ17"/>
      <c r="SZK17"/>
      <c r="SZL17"/>
      <c r="SZM17"/>
      <c r="SZN17"/>
      <c r="SZO17"/>
      <c r="SZP17"/>
      <c r="SZQ17"/>
      <c r="SZR17"/>
      <c r="SZS17"/>
      <c r="SZT17"/>
      <c r="SZU17"/>
      <c r="SZV17"/>
      <c r="SZW17"/>
      <c r="SZX17"/>
      <c r="SZY17"/>
      <c r="SZZ17"/>
      <c r="TAA17"/>
      <c r="TAB17"/>
      <c r="TAC17"/>
      <c r="TAD17"/>
      <c r="TAE17"/>
      <c r="TAF17"/>
      <c r="TAG17"/>
      <c r="TAH17"/>
      <c r="TAI17"/>
      <c r="TAJ17"/>
      <c r="TAK17"/>
      <c r="TAL17"/>
      <c r="TAM17"/>
      <c r="TAN17"/>
      <c r="TAO17"/>
      <c r="TAP17"/>
      <c r="TAQ17"/>
      <c r="TAR17"/>
      <c r="TAS17"/>
      <c r="TAT17"/>
      <c r="TAU17"/>
      <c r="TAV17"/>
      <c r="TAW17"/>
      <c r="TAX17"/>
      <c r="TAY17"/>
      <c r="TAZ17"/>
      <c r="TBA17"/>
      <c r="TBB17"/>
      <c r="TBC17"/>
      <c r="TBD17"/>
      <c r="TBE17"/>
      <c r="TBF17"/>
      <c r="TBG17"/>
      <c r="TBH17"/>
      <c r="TBI17"/>
      <c r="TBJ17"/>
      <c r="TBK17"/>
      <c r="TBL17"/>
      <c r="TBM17"/>
      <c r="TBN17"/>
      <c r="TBO17"/>
      <c r="TBP17"/>
      <c r="TBQ17"/>
      <c r="TBR17"/>
      <c r="TBS17"/>
      <c r="TBT17"/>
      <c r="TBU17"/>
      <c r="TBV17"/>
      <c r="TBW17"/>
      <c r="TBX17"/>
      <c r="TBY17"/>
      <c r="TBZ17"/>
      <c r="TCA17"/>
      <c r="TCB17"/>
      <c r="TCC17"/>
      <c r="TCD17"/>
      <c r="TCE17"/>
      <c r="TCF17"/>
      <c r="TCG17"/>
      <c r="TCH17"/>
      <c r="TCI17"/>
      <c r="TCJ17"/>
      <c r="TCK17"/>
      <c r="TCL17"/>
      <c r="TCM17"/>
      <c r="TCN17"/>
      <c r="TCO17"/>
      <c r="TCP17"/>
      <c r="TCQ17"/>
      <c r="TCR17"/>
      <c r="TCS17"/>
      <c r="TCT17"/>
      <c r="TCU17"/>
      <c r="TCV17"/>
      <c r="TCW17"/>
      <c r="TCX17"/>
      <c r="TCY17"/>
      <c r="TCZ17"/>
      <c r="TDA17"/>
      <c r="TDB17"/>
      <c r="TDC17"/>
      <c r="TDD17"/>
      <c r="TDE17"/>
      <c r="TDF17"/>
      <c r="TDG17"/>
      <c r="TDH17"/>
      <c r="TDI17"/>
      <c r="TDJ17"/>
      <c r="TDK17"/>
      <c r="TDL17"/>
      <c r="TDM17"/>
      <c r="TDN17"/>
      <c r="TDO17"/>
      <c r="TDP17"/>
      <c r="TDQ17"/>
      <c r="TDR17"/>
      <c r="TDS17"/>
      <c r="TDT17"/>
      <c r="TDU17"/>
      <c r="TDV17"/>
      <c r="TDW17"/>
      <c r="TDX17"/>
      <c r="TDY17"/>
      <c r="TDZ17"/>
      <c r="TEA17"/>
      <c r="TEB17"/>
      <c r="TEC17"/>
      <c r="TED17"/>
      <c r="TEE17"/>
      <c r="TEF17"/>
      <c r="TEG17"/>
      <c r="TEH17"/>
      <c r="TEI17"/>
      <c r="TEJ17"/>
      <c r="TEK17"/>
      <c r="TEL17"/>
      <c r="TEM17"/>
      <c r="TEN17"/>
      <c r="TEO17"/>
      <c r="TEP17"/>
      <c r="TEQ17"/>
      <c r="TER17"/>
      <c r="TES17"/>
      <c r="TET17"/>
      <c r="TEU17"/>
      <c r="TEV17"/>
      <c r="TEW17"/>
      <c r="TEX17"/>
      <c r="TEY17"/>
      <c r="TEZ17"/>
      <c r="TFA17"/>
      <c r="TFB17"/>
      <c r="TFC17"/>
      <c r="TFD17"/>
      <c r="TFE17"/>
      <c r="TFF17"/>
      <c r="TFG17"/>
      <c r="TFH17"/>
      <c r="TFI17"/>
      <c r="TFJ17"/>
      <c r="TFK17"/>
      <c r="TFL17"/>
      <c r="TFM17"/>
      <c r="TFN17"/>
      <c r="TFO17"/>
      <c r="TFP17"/>
      <c r="TFQ17"/>
      <c r="TFR17"/>
      <c r="TFS17"/>
      <c r="TFT17"/>
      <c r="TFU17"/>
      <c r="TFV17"/>
      <c r="TFW17"/>
      <c r="TFX17"/>
      <c r="TFY17"/>
      <c r="TFZ17"/>
      <c r="TGA17"/>
      <c r="TGB17"/>
      <c r="TGC17"/>
      <c r="TGD17"/>
      <c r="TGE17"/>
      <c r="TGF17"/>
      <c r="TGG17"/>
      <c r="TGH17"/>
      <c r="TGI17"/>
      <c r="TGJ17"/>
      <c r="TGK17"/>
      <c r="TGL17"/>
      <c r="TGM17"/>
      <c r="TGN17"/>
      <c r="TGO17"/>
      <c r="TGP17"/>
      <c r="TGQ17"/>
      <c r="TGR17"/>
      <c r="TGS17"/>
      <c r="TGT17"/>
      <c r="TGU17"/>
      <c r="TGV17"/>
      <c r="TGW17"/>
      <c r="TGX17"/>
      <c r="TGY17"/>
      <c r="TGZ17"/>
      <c r="THA17"/>
      <c r="THB17"/>
      <c r="THC17"/>
      <c r="THD17"/>
      <c r="THE17"/>
      <c r="THF17"/>
      <c r="THG17"/>
      <c r="THH17"/>
      <c r="THI17"/>
      <c r="THJ17"/>
      <c r="THK17"/>
      <c r="THL17"/>
      <c r="THM17"/>
      <c r="THN17"/>
      <c r="THO17"/>
      <c r="THP17"/>
      <c r="THQ17"/>
      <c r="THR17"/>
      <c r="THS17"/>
      <c r="THT17"/>
      <c r="THU17"/>
      <c r="THV17"/>
      <c r="THW17"/>
      <c r="THX17"/>
      <c r="THY17"/>
      <c r="THZ17"/>
      <c r="TIA17"/>
      <c r="TIB17"/>
      <c r="TIC17"/>
      <c r="TID17"/>
      <c r="TIE17"/>
      <c r="TIF17"/>
      <c r="TIG17"/>
      <c r="TIH17"/>
      <c r="TII17"/>
      <c r="TIJ17"/>
      <c r="TIK17"/>
      <c r="TIL17"/>
      <c r="TIM17"/>
      <c r="TIN17"/>
      <c r="TIO17"/>
      <c r="TIP17"/>
      <c r="TIQ17"/>
      <c r="TIR17"/>
      <c r="TIS17"/>
      <c r="TIT17"/>
      <c r="TIU17"/>
      <c r="TIV17"/>
      <c r="TIW17"/>
      <c r="TIX17"/>
      <c r="TIY17"/>
      <c r="TIZ17"/>
      <c r="TJA17"/>
      <c r="TJB17"/>
      <c r="TJC17"/>
      <c r="TJD17"/>
      <c r="TJE17"/>
      <c r="TJF17"/>
      <c r="TJG17"/>
      <c r="TJH17"/>
      <c r="TJI17"/>
      <c r="TJJ17"/>
      <c r="TJK17"/>
      <c r="TJL17"/>
      <c r="TJM17"/>
      <c r="TJN17"/>
      <c r="TJO17"/>
      <c r="TJP17"/>
      <c r="TJQ17"/>
      <c r="TJR17"/>
      <c r="TJS17"/>
      <c r="TJT17"/>
      <c r="TJU17"/>
      <c r="TJV17"/>
      <c r="TJW17"/>
      <c r="TJX17"/>
      <c r="TJY17"/>
      <c r="TJZ17"/>
      <c r="TKA17"/>
      <c r="TKB17"/>
      <c r="TKC17"/>
      <c r="TKD17"/>
      <c r="TKE17"/>
      <c r="TKF17"/>
      <c r="TKG17"/>
      <c r="TKH17"/>
      <c r="TKI17"/>
      <c r="TKJ17"/>
      <c r="TKK17"/>
      <c r="TKL17"/>
      <c r="TKM17"/>
      <c r="TKN17"/>
      <c r="TKO17"/>
      <c r="TKP17"/>
      <c r="TKQ17"/>
      <c r="TKR17"/>
      <c r="TKS17"/>
      <c r="TKT17"/>
      <c r="TKU17"/>
      <c r="TKV17"/>
      <c r="TKW17"/>
      <c r="TKX17"/>
      <c r="TKY17"/>
      <c r="TKZ17"/>
      <c r="TLA17"/>
      <c r="TLB17"/>
      <c r="TLC17"/>
      <c r="TLD17"/>
      <c r="TLE17"/>
      <c r="TLF17"/>
      <c r="TLG17"/>
      <c r="TLH17"/>
      <c r="TLI17"/>
      <c r="TLJ17"/>
      <c r="TLK17"/>
      <c r="TLL17"/>
      <c r="TLM17"/>
      <c r="TLN17"/>
      <c r="TLO17"/>
      <c r="TLP17"/>
      <c r="TLQ17"/>
      <c r="TLR17"/>
      <c r="TLS17"/>
      <c r="TLT17"/>
      <c r="TLU17"/>
      <c r="TLV17"/>
      <c r="TLW17"/>
      <c r="TLX17"/>
      <c r="TLY17"/>
      <c r="TLZ17"/>
      <c r="TMA17"/>
      <c r="TMB17"/>
      <c r="TMC17"/>
      <c r="TMD17"/>
      <c r="TME17"/>
      <c r="TMF17"/>
      <c r="TMG17"/>
      <c r="TMH17"/>
      <c r="TMI17"/>
      <c r="TMJ17"/>
      <c r="TMK17"/>
      <c r="TML17"/>
      <c r="TMM17"/>
      <c r="TMN17"/>
      <c r="TMO17"/>
      <c r="TMP17"/>
      <c r="TMQ17"/>
      <c r="TMR17"/>
      <c r="TMS17"/>
      <c r="TMT17"/>
      <c r="TMU17"/>
      <c r="TMV17"/>
      <c r="TMW17"/>
      <c r="TMX17"/>
      <c r="TMY17"/>
      <c r="TMZ17"/>
      <c r="TNA17"/>
      <c r="TNB17"/>
      <c r="TNC17"/>
      <c r="TND17"/>
      <c r="TNE17"/>
      <c r="TNF17"/>
      <c r="TNG17"/>
      <c r="TNH17"/>
      <c r="TNI17"/>
      <c r="TNJ17"/>
      <c r="TNK17"/>
      <c r="TNL17"/>
      <c r="TNM17"/>
      <c r="TNN17"/>
      <c r="TNO17"/>
      <c r="TNP17"/>
      <c r="TNQ17"/>
      <c r="TNR17"/>
      <c r="TNS17"/>
      <c r="TNT17"/>
      <c r="TNU17"/>
      <c r="TNV17"/>
      <c r="TNW17"/>
      <c r="TNX17"/>
      <c r="TNY17"/>
      <c r="TNZ17"/>
      <c r="TOA17"/>
      <c r="TOB17"/>
      <c r="TOC17"/>
      <c r="TOD17"/>
      <c r="TOE17"/>
      <c r="TOF17"/>
      <c r="TOG17"/>
      <c r="TOH17"/>
      <c r="TOI17"/>
      <c r="TOJ17"/>
      <c r="TOK17"/>
      <c r="TOL17"/>
      <c r="TOM17"/>
      <c r="TON17"/>
      <c r="TOO17"/>
      <c r="TOP17"/>
      <c r="TOQ17"/>
      <c r="TOR17"/>
      <c r="TOS17"/>
      <c r="TOT17"/>
      <c r="TOU17"/>
      <c r="TOV17"/>
      <c r="TOW17"/>
      <c r="TOX17"/>
      <c r="TOY17"/>
      <c r="TOZ17"/>
      <c r="TPA17"/>
      <c r="TPB17"/>
      <c r="TPC17"/>
      <c r="TPD17"/>
      <c r="TPE17"/>
      <c r="TPF17"/>
      <c r="TPG17"/>
      <c r="TPH17"/>
      <c r="TPI17"/>
      <c r="TPJ17"/>
      <c r="TPK17"/>
      <c r="TPL17"/>
      <c r="TPM17"/>
      <c r="TPN17"/>
      <c r="TPO17"/>
      <c r="TPP17"/>
      <c r="TPQ17"/>
      <c r="TPR17"/>
      <c r="TPS17"/>
      <c r="TPT17"/>
      <c r="TPU17"/>
      <c r="TPV17"/>
      <c r="TPW17"/>
      <c r="TPX17"/>
      <c r="TPY17"/>
      <c r="TPZ17"/>
      <c r="TQA17"/>
      <c r="TQB17"/>
      <c r="TQC17"/>
      <c r="TQD17"/>
      <c r="TQE17"/>
      <c r="TQF17"/>
      <c r="TQG17"/>
      <c r="TQH17"/>
      <c r="TQI17"/>
      <c r="TQJ17"/>
      <c r="TQK17"/>
      <c r="TQL17"/>
      <c r="TQM17"/>
      <c r="TQN17"/>
      <c r="TQO17"/>
      <c r="TQP17"/>
      <c r="TQQ17"/>
      <c r="TQR17"/>
      <c r="TQS17"/>
      <c r="TQT17"/>
      <c r="TQU17"/>
      <c r="TQV17"/>
      <c r="TQW17"/>
      <c r="TQX17"/>
      <c r="TQY17"/>
      <c r="TQZ17"/>
      <c r="TRA17"/>
      <c r="TRB17"/>
      <c r="TRC17"/>
      <c r="TRD17"/>
      <c r="TRE17"/>
      <c r="TRF17"/>
      <c r="TRG17"/>
      <c r="TRH17"/>
      <c r="TRI17"/>
      <c r="TRJ17"/>
      <c r="TRK17"/>
      <c r="TRL17"/>
      <c r="TRM17"/>
      <c r="TRN17"/>
      <c r="TRO17"/>
      <c r="TRP17"/>
      <c r="TRQ17"/>
      <c r="TRR17"/>
      <c r="TRS17"/>
      <c r="TRT17"/>
      <c r="TRU17"/>
      <c r="TRV17"/>
      <c r="TRW17"/>
      <c r="TRX17"/>
      <c r="TRY17"/>
      <c r="TRZ17"/>
      <c r="TSA17"/>
      <c r="TSB17"/>
      <c r="TSC17"/>
      <c r="TSD17"/>
      <c r="TSE17"/>
      <c r="TSF17"/>
      <c r="TSG17"/>
      <c r="TSH17"/>
      <c r="TSI17"/>
      <c r="TSJ17"/>
      <c r="TSK17"/>
      <c r="TSL17"/>
      <c r="TSM17"/>
      <c r="TSN17"/>
      <c r="TSO17"/>
      <c r="TSP17"/>
      <c r="TSQ17"/>
      <c r="TSR17"/>
      <c r="TSS17"/>
      <c r="TST17"/>
      <c r="TSU17"/>
      <c r="TSV17"/>
      <c r="TSW17"/>
      <c r="TSX17"/>
      <c r="TSY17"/>
      <c r="TSZ17"/>
      <c r="TTA17"/>
      <c r="TTB17"/>
      <c r="TTC17"/>
      <c r="TTD17"/>
      <c r="TTE17"/>
      <c r="TTF17"/>
      <c r="TTG17"/>
      <c r="TTH17"/>
      <c r="TTI17"/>
      <c r="TTJ17"/>
      <c r="TTK17"/>
      <c r="TTL17"/>
      <c r="TTM17"/>
      <c r="TTN17"/>
      <c r="TTO17"/>
      <c r="TTP17"/>
      <c r="TTQ17"/>
      <c r="TTR17"/>
      <c r="TTS17"/>
      <c r="TTT17"/>
      <c r="TTU17"/>
      <c r="TTV17"/>
      <c r="TTW17"/>
      <c r="TTX17"/>
      <c r="TTY17"/>
      <c r="TTZ17"/>
      <c r="TUA17"/>
      <c r="TUB17"/>
      <c r="TUC17"/>
      <c r="TUD17"/>
      <c r="TUE17"/>
      <c r="TUF17"/>
      <c r="TUG17"/>
      <c r="TUH17"/>
      <c r="TUI17"/>
      <c r="TUJ17"/>
      <c r="TUK17"/>
      <c r="TUL17"/>
      <c r="TUM17"/>
      <c r="TUN17"/>
      <c r="TUO17"/>
      <c r="TUP17"/>
      <c r="TUQ17"/>
      <c r="TUR17"/>
      <c r="TUS17"/>
      <c r="TUT17"/>
      <c r="TUU17"/>
      <c r="TUV17"/>
      <c r="TUW17"/>
      <c r="TUX17"/>
      <c r="TUY17"/>
      <c r="TUZ17"/>
      <c r="TVA17"/>
      <c r="TVB17"/>
      <c r="TVC17"/>
      <c r="TVD17"/>
      <c r="TVE17"/>
      <c r="TVF17"/>
      <c r="TVG17"/>
      <c r="TVH17"/>
      <c r="TVI17"/>
      <c r="TVJ17"/>
      <c r="TVK17"/>
      <c r="TVL17"/>
      <c r="TVM17"/>
      <c r="TVN17"/>
      <c r="TVO17"/>
      <c r="TVP17"/>
      <c r="TVQ17"/>
      <c r="TVR17"/>
      <c r="TVS17"/>
      <c r="TVT17"/>
      <c r="TVU17"/>
      <c r="TVV17"/>
      <c r="TVW17"/>
      <c r="TVX17"/>
      <c r="TVY17"/>
      <c r="TVZ17"/>
      <c r="TWA17"/>
      <c r="TWB17"/>
      <c r="TWC17"/>
      <c r="TWD17"/>
      <c r="TWE17"/>
      <c r="TWF17"/>
      <c r="TWG17"/>
      <c r="TWH17"/>
      <c r="TWI17"/>
      <c r="TWJ17"/>
      <c r="TWK17"/>
      <c r="TWL17"/>
      <c r="TWM17"/>
      <c r="TWN17"/>
      <c r="TWO17"/>
      <c r="TWP17"/>
      <c r="TWQ17"/>
      <c r="TWR17"/>
      <c r="TWS17"/>
      <c r="TWT17"/>
      <c r="TWU17"/>
      <c r="TWV17"/>
      <c r="TWW17"/>
      <c r="TWX17"/>
      <c r="TWY17"/>
      <c r="TWZ17"/>
      <c r="TXA17"/>
      <c r="TXB17"/>
      <c r="TXC17"/>
      <c r="TXD17"/>
      <c r="TXE17"/>
      <c r="TXF17"/>
      <c r="TXG17"/>
      <c r="TXH17"/>
      <c r="TXI17"/>
      <c r="TXJ17"/>
      <c r="TXK17"/>
      <c r="TXL17"/>
      <c r="TXM17"/>
      <c r="TXN17"/>
      <c r="TXO17"/>
      <c r="TXP17"/>
      <c r="TXQ17"/>
      <c r="TXR17"/>
      <c r="TXS17"/>
      <c r="TXT17"/>
      <c r="TXU17"/>
      <c r="TXV17"/>
      <c r="TXW17"/>
      <c r="TXX17"/>
      <c r="TXY17"/>
      <c r="TXZ17"/>
      <c r="TYA17"/>
      <c r="TYB17"/>
      <c r="TYC17"/>
      <c r="TYD17"/>
      <c r="TYE17"/>
      <c r="TYF17"/>
      <c r="TYG17"/>
      <c r="TYH17"/>
      <c r="TYI17"/>
      <c r="TYJ17"/>
      <c r="TYK17"/>
      <c r="TYL17"/>
      <c r="TYM17"/>
      <c r="TYN17"/>
      <c r="TYO17"/>
      <c r="TYP17"/>
      <c r="TYQ17"/>
      <c r="TYR17"/>
      <c r="TYS17"/>
      <c r="TYT17"/>
      <c r="TYU17"/>
      <c r="TYV17"/>
      <c r="TYW17"/>
      <c r="TYX17"/>
      <c r="TYY17"/>
      <c r="TYZ17"/>
      <c r="TZA17"/>
      <c r="TZB17"/>
      <c r="TZC17"/>
      <c r="TZD17"/>
      <c r="TZE17"/>
      <c r="TZF17"/>
      <c r="TZG17"/>
      <c r="TZH17"/>
      <c r="TZI17"/>
      <c r="TZJ17"/>
      <c r="TZK17"/>
      <c r="TZL17"/>
      <c r="TZM17"/>
      <c r="TZN17"/>
      <c r="TZO17"/>
      <c r="TZP17"/>
      <c r="TZQ17"/>
      <c r="TZR17"/>
      <c r="TZS17"/>
      <c r="TZT17"/>
      <c r="TZU17"/>
      <c r="TZV17"/>
      <c r="TZW17"/>
      <c r="TZX17"/>
      <c r="TZY17"/>
      <c r="TZZ17"/>
      <c r="UAA17"/>
      <c r="UAB17"/>
      <c r="UAC17"/>
      <c r="UAD17"/>
      <c r="UAE17"/>
      <c r="UAF17"/>
      <c r="UAG17"/>
      <c r="UAH17"/>
      <c r="UAI17"/>
      <c r="UAJ17"/>
      <c r="UAK17"/>
      <c r="UAL17"/>
      <c r="UAM17"/>
      <c r="UAN17"/>
      <c r="UAO17"/>
      <c r="UAP17"/>
      <c r="UAQ17"/>
      <c r="UAR17"/>
      <c r="UAS17"/>
      <c r="UAT17"/>
      <c r="UAU17"/>
      <c r="UAV17"/>
      <c r="UAW17"/>
      <c r="UAX17"/>
      <c r="UAY17"/>
      <c r="UAZ17"/>
      <c r="UBA17"/>
      <c r="UBB17"/>
      <c r="UBC17"/>
      <c r="UBD17"/>
      <c r="UBE17"/>
      <c r="UBF17"/>
      <c r="UBG17"/>
      <c r="UBH17"/>
      <c r="UBI17"/>
      <c r="UBJ17"/>
      <c r="UBK17"/>
      <c r="UBL17"/>
      <c r="UBM17"/>
      <c r="UBN17"/>
      <c r="UBO17"/>
      <c r="UBP17"/>
      <c r="UBQ17"/>
      <c r="UBR17"/>
      <c r="UBS17"/>
      <c r="UBT17"/>
      <c r="UBU17"/>
      <c r="UBV17"/>
      <c r="UBW17"/>
      <c r="UBX17"/>
      <c r="UBY17"/>
      <c r="UBZ17"/>
      <c r="UCA17"/>
      <c r="UCB17"/>
      <c r="UCC17"/>
      <c r="UCD17"/>
      <c r="UCE17"/>
      <c r="UCF17"/>
      <c r="UCG17"/>
      <c r="UCH17"/>
      <c r="UCI17"/>
      <c r="UCJ17"/>
      <c r="UCK17"/>
      <c r="UCL17"/>
      <c r="UCM17"/>
      <c r="UCN17"/>
      <c r="UCO17"/>
      <c r="UCP17"/>
      <c r="UCQ17"/>
      <c r="UCR17"/>
      <c r="UCS17"/>
      <c r="UCT17"/>
      <c r="UCU17"/>
      <c r="UCV17"/>
      <c r="UCW17"/>
      <c r="UCX17"/>
      <c r="UCY17"/>
      <c r="UCZ17"/>
      <c r="UDA17"/>
      <c r="UDB17"/>
      <c r="UDC17"/>
      <c r="UDD17"/>
      <c r="UDE17"/>
      <c r="UDF17"/>
      <c r="UDG17"/>
      <c r="UDH17"/>
      <c r="UDI17"/>
      <c r="UDJ17"/>
      <c r="UDK17"/>
      <c r="UDL17"/>
      <c r="UDM17"/>
      <c r="UDN17"/>
      <c r="UDO17"/>
      <c r="UDP17"/>
      <c r="UDQ17"/>
      <c r="UDR17"/>
      <c r="UDS17"/>
      <c r="UDT17"/>
      <c r="UDU17"/>
      <c r="UDV17"/>
      <c r="UDW17"/>
      <c r="UDX17"/>
      <c r="UDY17"/>
      <c r="UDZ17"/>
      <c r="UEA17"/>
      <c r="UEB17"/>
      <c r="UEC17"/>
      <c r="UED17"/>
      <c r="UEE17"/>
      <c r="UEF17"/>
      <c r="UEG17"/>
      <c r="UEH17"/>
      <c r="UEI17"/>
      <c r="UEJ17"/>
      <c r="UEK17"/>
      <c r="UEL17"/>
      <c r="UEM17"/>
      <c r="UEN17"/>
      <c r="UEO17"/>
      <c r="UEP17"/>
      <c r="UEQ17"/>
      <c r="UER17"/>
      <c r="UES17"/>
      <c r="UET17"/>
      <c r="UEU17"/>
      <c r="UEV17"/>
      <c r="UEW17"/>
      <c r="UEX17"/>
      <c r="UEY17"/>
      <c r="UEZ17"/>
      <c r="UFA17"/>
      <c r="UFB17"/>
      <c r="UFC17"/>
      <c r="UFD17"/>
      <c r="UFE17"/>
      <c r="UFF17"/>
      <c r="UFG17"/>
      <c r="UFH17"/>
      <c r="UFI17"/>
      <c r="UFJ17"/>
      <c r="UFK17"/>
      <c r="UFL17"/>
      <c r="UFM17"/>
      <c r="UFN17"/>
      <c r="UFO17"/>
      <c r="UFP17"/>
      <c r="UFQ17"/>
      <c r="UFR17"/>
      <c r="UFS17"/>
      <c r="UFT17"/>
      <c r="UFU17"/>
      <c r="UFV17"/>
      <c r="UFW17"/>
      <c r="UFX17"/>
      <c r="UFY17"/>
      <c r="UFZ17"/>
      <c r="UGA17"/>
      <c r="UGB17"/>
      <c r="UGC17"/>
      <c r="UGD17"/>
      <c r="UGE17"/>
      <c r="UGF17"/>
      <c r="UGG17"/>
      <c r="UGH17"/>
      <c r="UGI17"/>
      <c r="UGJ17"/>
      <c r="UGK17"/>
      <c r="UGL17"/>
      <c r="UGM17"/>
      <c r="UGN17"/>
      <c r="UGO17"/>
      <c r="UGP17"/>
      <c r="UGQ17"/>
      <c r="UGR17"/>
      <c r="UGS17"/>
      <c r="UGT17"/>
      <c r="UGU17"/>
      <c r="UGV17"/>
      <c r="UGW17"/>
      <c r="UGX17"/>
      <c r="UGY17"/>
      <c r="UGZ17"/>
      <c r="UHA17"/>
      <c r="UHB17"/>
      <c r="UHC17"/>
      <c r="UHD17"/>
      <c r="UHE17"/>
      <c r="UHF17"/>
      <c r="UHG17"/>
      <c r="UHH17"/>
      <c r="UHI17"/>
      <c r="UHJ17"/>
      <c r="UHK17"/>
      <c r="UHL17"/>
      <c r="UHM17"/>
      <c r="UHN17"/>
      <c r="UHO17"/>
      <c r="UHP17"/>
      <c r="UHQ17"/>
      <c r="UHR17"/>
      <c r="UHS17"/>
      <c r="UHT17"/>
      <c r="UHU17"/>
      <c r="UHV17"/>
      <c r="UHW17"/>
      <c r="UHX17"/>
      <c r="UHY17"/>
      <c r="UHZ17"/>
      <c r="UIA17"/>
      <c r="UIB17"/>
      <c r="UIC17"/>
      <c r="UID17"/>
      <c r="UIE17"/>
      <c r="UIF17"/>
      <c r="UIG17"/>
      <c r="UIH17"/>
      <c r="UII17"/>
      <c r="UIJ17"/>
      <c r="UIK17"/>
      <c r="UIL17"/>
      <c r="UIM17"/>
      <c r="UIN17"/>
      <c r="UIO17"/>
      <c r="UIP17"/>
      <c r="UIQ17"/>
      <c r="UIR17"/>
      <c r="UIS17"/>
      <c r="UIT17"/>
      <c r="UIU17"/>
      <c r="UIV17"/>
      <c r="UIW17"/>
      <c r="UIX17"/>
      <c r="UIY17"/>
      <c r="UIZ17"/>
      <c r="UJA17"/>
      <c r="UJB17"/>
      <c r="UJC17"/>
      <c r="UJD17"/>
      <c r="UJE17"/>
      <c r="UJF17"/>
      <c r="UJG17"/>
      <c r="UJH17"/>
      <c r="UJI17"/>
      <c r="UJJ17"/>
      <c r="UJK17"/>
      <c r="UJL17"/>
      <c r="UJM17"/>
      <c r="UJN17"/>
      <c r="UJO17"/>
      <c r="UJP17"/>
      <c r="UJQ17"/>
      <c r="UJR17"/>
      <c r="UJS17"/>
      <c r="UJT17"/>
      <c r="UJU17"/>
      <c r="UJV17"/>
      <c r="UJW17"/>
      <c r="UJX17"/>
      <c r="UJY17"/>
      <c r="UJZ17"/>
      <c r="UKA17"/>
      <c r="UKB17"/>
      <c r="UKC17"/>
      <c r="UKD17"/>
      <c r="UKE17"/>
      <c r="UKF17"/>
      <c r="UKG17"/>
      <c r="UKH17"/>
      <c r="UKI17"/>
      <c r="UKJ17"/>
      <c r="UKK17"/>
      <c r="UKL17"/>
      <c r="UKM17"/>
      <c r="UKN17"/>
      <c r="UKO17"/>
      <c r="UKP17"/>
      <c r="UKQ17"/>
      <c r="UKR17"/>
      <c r="UKS17"/>
      <c r="UKT17"/>
      <c r="UKU17"/>
      <c r="UKV17"/>
      <c r="UKW17"/>
      <c r="UKX17"/>
      <c r="UKY17"/>
      <c r="UKZ17"/>
      <c r="ULA17"/>
      <c r="ULB17"/>
      <c r="ULC17"/>
      <c r="ULD17"/>
      <c r="ULE17"/>
      <c r="ULF17"/>
      <c r="ULG17"/>
      <c r="ULH17"/>
      <c r="ULI17"/>
      <c r="ULJ17"/>
      <c r="ULK17"/>
      <c r="ULL17"/>
      <c r="ULM17"/>
      <c r="ULN17"/>
      <c r="ULO17"/>
      <c r="ULP17"/>
      <c r="ULQ17"/>
      <c r="ULR17"/>
      <c r="ULS17"/>
      <c r="ULT17"/>
      <c r="ULU17"/>
      <c r="ULV17"/>
      <c r="ULW17"/>
      <c r="ULX17"/>
      <c r="ULY17"/>
      <c r="ULZ17"/>
      <c r="UMA17"/>
      <c r="UMB17"/>
      <c r="UMC17"/>
      <c r="UMD17"/>
      <c r="UME17"/>
      <c r="UMF17"/>
      <c r="UMG17"/>
      <c r="UMH17"/>
      <c r="UMI17"/>
      <c r="UMJ17"/>
      <c r="UMK17"/>
      <c r="UML17"/>
      <c r="UMM17"/>
      <c r="UMN17"/>
      <c r="UMO17"/>
      <c r="UMP17"/>
      <c r="UMQ17"/>
      <c r="UMR17"/>
      <c r="UMS17"/>
      <c r="UMT17"/>
      <c r="UMU17"/>
      <c r="UMV17"/>
      <c r="UMW17"/>
      <c r="UMX17"/>
      <c r="UMY17"/>
      <c r="UMZ17"/>
      <c r="UNA17"/>
      <c r="UNB17"/>
      <c r="UNC17"/>
      <c r="UND17"/>
      <c r="UNE17"/>
      <c r="UNF17"/>
      <c r="UNG17"/>
      <c r="UNH17"/>
      <c r="UNI17"/>
      <c r="UNJ17"/>
      <c r="UNK17"/>
      <c r="UNL17"/>
      <c r="UNM17"/>
      <c r="UNN17"/>
      <c r="UNO17"/>
      <c r="UNP17"/>
      <c r="UNQ17"/>
      <c r="UNR17"/>
      <c r="UNS17"/>
      <c r="UNT17"/>
      <c r="UNU17"/>
      <c r="UNV17"/>
      <c r="UNW17"/>
      <c r="UNX17"/>
      <c r="UNY17"/>
      <c r="UNZ17"/>
      <c r="UOA17"/>
      <c r="UOB17"/>
      <c r="UOC17"/>
      <c r="UOD17"/>
      <c r="UOE17"/>
      <c r="UOF17"/>
      <c r="UOG17"/>
      <c r="UOH17"/>
      <c r="UOI17"/>
      <c r="UOJ17"/>
      <c r="UOK17"/>
      <c r="UOL17"/>
      <c r="UOM17"/>
      <c r="UON17"/>
      <c r="UOO17"/>
      <c r="UOP17"/>
      <c r="UOQ17"/>
      <c r="UOR17"/>
      <c r="UOS17"/>
      <c r="UOT17"/>
      <c r="UOU17"/>
      <c r="UOV17"/>
      <c r="UOW17"/>
      <c r="UOX17"/>
      <c r="UOY17"/>
      <c r="UOZ17"/>
      <c r="UPA17"/>
      <c r="UPB17"/>
      <c r="UPC17"/>
      <c r="UPD17"/>
      <c r="UPE17"/>
      <c r="UPF17"/>
      <c r="UPG17"/>
      <c r="UPH17"/>
      <c r="UPI17"/>
      <c r="UPJ17"/>
      <c r="UPK17"/>
      <c r="UPL17"/>
      <c r="UPM17"/>
      <c r="UPN17"/>
      <c r="UPO17"/>
      <c r="UPP17"/>
      <c r="UPQ17"/>
      <c r="UPR17"/>
      <c r="UPS17"/>
      <c r="UPT17"/>
      <c r="UPU17"/>
      <c r="UPV17"/>
      <c r="UPW17"/>
      <c r="UPX17"/>
      <c r="UPY17"/>
      <c r="UPZ17"/>
      <c r="UQA17"/>
      <c r="UQB17"/>
      <c r="UQC17"/>
      <c r="UQD17"/>
      <c r="UQE17"/>
      <c r="UQF17"/>
      <c r="UQG17"/>
      <c r="UQH17"/>
      <c r="UQI17"/>
      <c r="UQJ17"/>
      <c r="UQK17"/>
      <c r="UQL17"/>
      <c r="UQM17"/>
      <c r="UQN17"/>
      <c r="UQO17"/>
      <c r="UQP17"/>
      <c r="UQQ17"/>
      <c r="UQR17"/>
      <c r="UQS17"/>
      <c r="UQT17"/>
      <c r="UQU17"/>
      <c r="UQV17"/>
      <c r="UQW17"/>
      <c r="UQX17"/>
      <c r="UQY17"/>
      <c r="UQZ17"/>
      <c r="URA17"/>
      <c r="URB17"/>
      <c r="URC17"/>
      <c r="URD17"/>
      <c r="URE17"/>
      <c r="URF17"/>
      <c r="URG17"/>
      <c r="URH17"/>
      <c r="URI17"/>
      <c r="URJ17"/>
      <c r="URK17"/>
      <c r="URL17"/>
      <c r="URM17"/>
      <c r="URN17"/>
      <c r="URO17"/>
      <c r="URP17"/>
      <c r="URQ17"/>
      <c r="URR17"/>
      <c r="URS17"/>
      <c r="URT17"/>
      <c r="URU17"/>
      <c r="URV17"/>
      <c r="URW17"/>
      <c r="URX17"/>
      <c r="URY17"/>
      <c r="URZ17"/>
      <c r="USA17"/>
      <c r="USB17"/>
      <c r="USC17"/>
      <c r="USD17"/>
      <c r="USE17"/>
      <c r="USF17"/>
      <c r="USG17"/>
      <c r="USH17"/>
      <c r="USI17"/>
      <c r="USJ17"/>
      <c r="USK17"/>
      <c r="USL17"/>
      <c r="USM17"/>
      <c r="USN17"/>
      <c r="USO17"/>
      <c r="USP17"/>
      <c r="USQ17"/>
      <c r="USR17"/>
      <c r="USS17"/>
      <c r="UST17"/>
      <c r="USU17"/>
      <c r="USV17"/>
      <c r="USW17"/>
      <c r="USX17"/>
      <c r="USY17"/>
      <c r="USZ17"/>
      <c r="UTA17"/>
      <c r="UTB17"/>
      <c r="UTC17"/>
      <c r="UTD17"/>
      <c r="UTE17"/>
      <c r="UTF17"/>
      <c r="UTG17"/>
      <c r="UTH17"/>
      <c r="UTI17"/>
      <c r="UTJ17"/>
      <c r="UTK17"/>
      <c r="UTL17"/>
      <c r="UTM17"/>
      <c r="UTN17"/>
      <c r="UTO17"/>
      <c r="UTP17"/>
      <c r="UTQ17"/>
      <c r="UTR17"/>
      <c r="UTS17"/>
      <c r="UTT17"/>
      <c r="UTU17"/>
      <c r="UTV17"/>
      <c r="UTW17"/>
      <c r="UTX17"/>
      <c r="UTY17"/>
      <c r="UTZ17"/>
      <c r="UUA17"/>
      <c r="UUB17"/>
      <c r="UUC17"/>
      <c r="UUD17"/>
      <c r="UUE17"/>
      <c r="UUF17"/>
      <c r="UUG17"/>
      <c r="UUH17"/>
      <c r="UUI17"/>
      <c r="UUJ17"/>
      <c r="UUK17"/>
      <c r="UUL17"/>
      <c r="UUM17"/>
      <c r="UUN17"/>
      <c r="UUO17"/>
      <c r="UUP17"/>
      <c r="UUQ17"/>
      <c r="UUR17"/>
      <c r="UUS17"/>
      <c r="UUT17"/>
      <c r="UUU17"/>
      <c r="UUV17"/>
      <c r="UUW17"/>
      <c r="UUX17"/>
      <c r="UUY17"/>
      <c r="UUZ17"/>
      <c r="UVA17"/>
      <c r="UVB17"/>
      <c r="UVC17"/>
      <c r="UVD17"/>
      <c r="UVE17"/>
      <c r="UVF17"/>
      <c r="UVG17"/>
      <c r="UVH17"/>
      <c r="UVI17"/>
      <c r="UVJ17"/>
      <c r="UVK17"/>
      <c r="UVL17"/>
      <c r="UVM17"/>
      <c r="UVN17"/>
      <c r="UVO17"/>
      <c r="UVP17"/>
      <c r="UVQ17"/>
      <c r="UVR17"/>
      <c r="UVS17"/>
      <c r="UVT17"/>
      <c r="UVU17"/>
      <c r="UVV17"/>
      <c r="UVW17"/>
      <c r="UVX17"/>
      <c r="UVY17"/>
      <c r="UVZ17"/>
      <c r="UWA17"/>
      <c r="UWB17"/>
      <c r="UWC17"/>
      <c r="UWD17"/>
      <c r="UWE17"/>
      <c r="UWF17"/>
      <c r="UWG17"/>
      <c r="UWH17"/>
      <c r="UWI17"/>
      <c r="UWJ17"/>
      <c r="UWK17"/>
      <c r="UWL17"/>
      <c r="UWM17"/>
      <c r="UWN17"/>
      <c r="UWO17"/>
      <c r="UWP17"/>
      <c r="UWQ17"/>
      <c r="UWR17"/>
      <c r="UWS17"/>
      <c r="UWT17"/>
      <c r="UWU17"/>
      <c r="UWV17"/>
      <c r="UWW17"/>
      <c r="UWX17"/>
      <c r="UWY17"/>
      <c r="UWZ17"/>
      <c r="UXA17"/>
      <c r="UXB17"/>
      <c r="UXC17"/>
      <c r="UXD17"/>
      <c r="UXE17"/>
      <c r="UXF17"/>
      <c r="UXG17"/>
      <c r="UXH17"/>
      <c r="UXI17"/>
      <c r="UXJ17"/>
      <c r="UXK17"/>
      <c r="UXL17"/>
      <c r="UXM17"/>
      <c r="UXN17"/>
      <c r="UXO17"/>
      <c r="UXP17"/>
      <c r="UXQ17"/>
      <c r="UXR17"/>
      <c r="UXS17"/>
      <c r="UXT17"/>
      <c r="UXU17"/>
      <c r="UXV17"/>
      <c r="UXW17"/>
      <c r="UXX17"/>
      <c r="UXY17"/>
      <c r="UXZ17"/>
      <c r="UYA17"/>
      <c r="UYB17"/>
      <c r="UYC17"/>
      <c r="UYD17"/>
      <c r="UYE17"/>
      <c r="UYF17"/>
      <c r="UYG17"/>
      <c r="UYH17"/>
      <c r="UYI17"/>
      <c r="UYJ17"/>
      <c r="UYK17"/>
      <c r="UYL17"/>
      <c r="UYM17"/>
      <c r="UYN17"/>
      <c r="UYO17"/>
      <c r="UYP17"/>
      <c r="UYQ17"/>
      <c r="UYR17"/>
      <c r="UYS17"/>
      <c r="UYT17"/>
      <c r="UYU17"/>
      <c r="UYV17"/>
      <c r="UYW17"/>
      <c r="UYX17"/>
      <c r="UYY17"/>
      <c r="UYZ17"/>
      <c r="UZA17"/>
      <c r="UZB17"/>
      <c r="UZC17"/>
      <c r="UZD17"/>
      <c r="UZE17"/>
      <c r="UZF17"/>
      <c r="UZG17"/>
      <c r="UZH17"/>
      <c r="UZI17"/>
      <c r="UZJ17"/>
      <c r="UZK17"/>
      <c r="UZL17"/>
      <c r="UZM17"/>
      <c r="UZN17"/>
      <c r="UZO17"/>
      <c r="UZP17"/>
      <c r="UZQ17"/>
      <c r="UZR17"/>
      <c r="UZS17"/>
      <c r="UZT17"/>
      <c r="UZU17"/>
      <c r="UZV17"/>
      <c r="UZW17"/>
      <c r="UZX17"/>
      <c r="UZY17"/>
      <c r="UZZ17"/>
      <c r="VAA17"/>
      <c r="VAB17"/>
      <c r="VAC17"/>
      <c r="VAD17"/>
      <c r="VAE17"/>
      <c r="VAF17"/>
      <c r="VAG17"/>
      <c r="VAH17"/>
      <c r="VAI17"/>
      <c r="VAJ17"/>
      <c r="VAK17"/>
      <c r="VAL17"/>
      <c r="VAM17"/>
      <c r="VAN17"/>
      <c r="VAO17"/>
      <c r="VAP17"/>
      <c r="VAQ17"/>
      <c r="VAR17"/>
      <c r="VAS17"/>
      <c r="VAT17"/>
      <c r="VAU17"/>
      <c r="VAV17"/>
      <c r="VAW17"/>
      <c r="VAX17"/>
      <c r="VAY17"/>
      <c r="VAZ17"/>
      <c r="VBA17"/>
      <c r="VBB17"/>
      <c r="VBC17"/>
      <c r="VBD17"/>
      <c r="VBE17"/>
      <c r="VBF17"/>
      <c r="VBG17"/>
      <c r="VBH17"/>
      <c r="VBI17"/>
      <c r="VBJ17"/>
      <c r="VBK17"/>
      <c r="VBL17"/>
      <c r="VBM17"/>
      <c r="VBN17"/>
      <c r="VBO17"/>
      <c r="VBP17"/>
      <c r="VBQ17"/>
      <c r="VBR17"/>
      <c r="VBS17"/>
      <c r="VBT17"/>
      <c r="VBU17"/>
      <c r="VBV17"/>
      <c r="VBW17"/>
      <c r="VBX17"/>
      <c r="VBY17"/>
      <c r="VBZ17"/>
      <c r="VCA17"/>
      <c r="VCB17"/>
      <c r="VCC17"/>
      <c r="VCD17"/>
      <c r="VCE17"/>
      <c r="VCF17"/>
      <c r="VCG17"/>
      <c r="VCH17"/>
      <c r="VCI17"/>
      <c r="VCJ17"/>
      <c r="VCK17"/>
      <c r="VCL17"/>
      <c r="VCM17"/>
      <c r="VCN17"/>
      <c r="VCO17"/>
      <c r="VCP17"/>
      <c r="VCQ17"/>
      <c r="VCR17"/>
      <c r="VCS17"/>
      <c r="VCT17"/>
      <c r="VCU17"/>
      <c r="VCV17"/>
      <c r="VCW17"/>
      <c r="VCX17"/>
      <c r="VCY17"/>
      <c r="VCZ17"/>
      <c r="VDA17"/>
      <c r="VDB17"/>
      <c r="VDC17"/>
      <c r="VDD17"/>
      <c r="VDE17"/>
      <c r="VDF17"/>
      <c r="VDG17"/>
      <c r="VDH17"/>
      <c r="VDI17"/>
      <c r="VDJ17"/>
      <c r="VDK17"/>
      <c r="VDL17"/>
      <c r="VDM17"/>
      <c r="VDN17"/>
      <c r="VDO17"/>
      <c r="VDP17"/>
      <c r="VDQ17"/>
      <c r="VDR17"/>
      <c r="VDS17"/>
      <c r="VDT17"/>
      <c r="VDU17"/>
      <c r="VDV17"/>
      <c r="VDW17"/>
      <c r="VDX17"/>
      <c r="VDY17"/>
      <c r="VDZ17"/>
      <c r="VEA17"/>
      <c r="VEB17"/>
      <c r="VEC17"/>
      <c r="VED17"/>
      <c r="VEE17"/>
      <c r="VEF17"/>
      <c r="VEG17"/>
      <c r="VEH17"/>
      <c r="VEI17"/>
      <c r="VEJ17"/>
      <c r="VEK17"/>
      <c r="VEL17"/>
      <c r="VEM17"/>
      <c r="VEN17"/>
      <c r="VEO17"/>
      <c r="VEP17"/>
      <c r="VEQ17"/>
      <c r="VER17"/>
      <c r="VES17"/>
      <c r="VET17"/>
      <c r="VEU17"/>
      <c r="VEV17"/>
      <c r="VEW17"/>
      <c r="VEX17"/>
      <c r="VEY17"/>
      <c r="VEZ17"/>
      <c r="VFA17"/>
      <c r="VFB17"/>
      <c r="VFC17"/>
      <c r="VFD17"/>
      <c r="VFE17"/>
      <c r="VFF17"/>
      <c r="VFG17"/>
      <c r="VFH17"/>
      <c r="VFI17"/>
      <c r="VFJ17"/>
      <c r="VFK17"/>
      <c r="VFL17"/>
      <c r="VFM17"/>
      <c r="VFN17"/>
      <c r="VFO17"/>
      <c r="VFP17"/>
      <c r="VFQ17"/>
      <c r="VFR17"/>
      <c r="VFS17"/>
      <c r="VFT17"/>
      <c r="VFU17"/>
      <c r="VFV17"/>
      <c r="VFW17"/>
      <c r="VFX17"/>
      <c r="VFY17"/>
      <c r="VFZ17"/>
      <c r="VGA17"/>
      <c r="VGB17"/>
      <c r="VGC17"/>
      <c r="VGD17"/>
      <c r="VGE17"/>
      <c r="VGF17"/>
      <c r="VGG17"/>
      <c r="VGH17"/>
      <c r="VGI17"/>
      <c r="VGJ17"/>
      <c r="VGK17"/>
      <c r="VGL17"/>
      <c r="VGM17"/>
      <c r="VGN17"/>
      <c r="VGO17"/>
      <c r="VGP17"/>
      <c r="VGQ17"/>
      <c r="VGR17"/>
      <c r="VGS17"/>
      <c r="VGT17"/>
      <c r="VGU17"/>
      <c r="VGV17"/>
      <c r="VGW17"/>
      <c r="VGX17"/>
      <c r="VGY17"/>
      <c r="VGZ17"/>
      <c r="VHA17"/>
      <c r="VHB17"/>
      <c r="VHC17"/>
      <c r="VHD17"/>
      <c r="VHE17"/>
      <c r="VHF17"/>
      <c r="VHG17"/>
      <c r="VHH17"/>
      <c r="VHI17"/>
      <c r="VHJ17"/>
      <c r="VHK17"/>
      <c r="VHL17"/>
      <c r="VHM17"/>
      <c r="VHN17"/>
      <c r="VHO17"/>
      <c r="VHP17"/>
      <c r="VHQ17"/>
      <c r="VHR17"/>
      <c r="VHS17"/>
      <c r="VHT17"/>
      <c r="VHU17"/>
      <c r="VHV17"/>
      <c r="VHW17"/>
      <c r="VHX17"/>
      <c r="VHY17"/>
      <c r="VHZ17"/>
      <c r="VIA17"/>
      <c r="VIB17"/>
      <c r="VIC17"/>
      <c r="VID17"/>
      <c r="VIE17"/>
      <c r="VIF17"/>
      <c r="VIG17"/>
      <c r="VIH17"/>
      <c r="VII17"/>
      <c r="VIJ17"/>
      <c r="VIK17"/>
      <c r="VIL17"/>
      <c r="VIM17"/>
      <c r="VIN17"/>
      <c r="VIO17"/>
      <c r="VIP17"/>
      <c r="VIQ17"/>
      <c r="VIR17"/>
      <c r="VIS17"/>
      <c r="VIT17"/>
      <c r="VIU17"/>
      <c r="VIV17"/>
      <c r="VIW17"/>
      <c r="VIX17"/>
      <c r="VIY17"/>
      <c r="VIZ17"/>
      <c r="VJA17"/>
      <c r="VJB17"/>
      <c r="VJC17"/>
      <c r="VJD17"/>
      <c r="VJE17"/>
      <c r="VJF17"/>
      <c r="VJG17"/>
      <c r="VJH17"/>
      <c r="VJI17"/>
      <c r="VJJ17"/>
      <c r="VJK17"/>
      <c r="VJL17"/>
      <c r="VJM17"/>
      <c r="VJN17"/>
      <c r="VJO17"/>
      <c r="VJP17"/>
      <c r="VJQ17"/>
      <c r="VJR17"/>
      <c r="VJS17"/>
      <c r="VJT17"/>
      <c r="VJU17"/>
      <c r="VJV17"/>
      <c r="VJW17"/>
      <c r="VJX17"/>
      <c r="VJY17"/>
      <c r="VJZ17"/>
      <c r="VKA17"/>
      <c r="VKB17"/>
      <c r="VKC17"/>
      <c r="VKD17"/>
      <c r="VKE17"/>
      <c r="VKF17"/>
      <c r="VKG17"/>
      <c r="VKH17"/>
      <c r="VKI17"/>
      <c r="VKJ17"/>
      <c r="VKK17"/>
      <c r="VKL17"/>
      <c r="VKM17"/>
      <c r="VKN17"/>
      <c r="VKO17"/>
      <c r="VKP17"/>
      <c r="VKQ17"/>
      <c r="VKR17"/>
      <c r="VKS17"/>
      <c r="VKT17"/>
      <c r="VKU17"/>
      <c r="VKV17"/>
      <c r="VKW17"/>
      <c r="VKX17"/>
      <c r="VKY17"/>
      <c r="VKZ17"/>
      <c r="VLA17"/>
      <c r="VLB17"/>
      <c r="VLC17"/>
      <c r="VLD17"/>
      <c r="VLE17"/>
      <c r="VLF17"/>
      <c r="VLG17"/>
      <c r="VLH17"/>
      <c r="VLI17"/>
      <c r="VLJ17"/>
      <c r="VLK17"/>
      <c r="VLL17"/>
      <c r="VLM17"/>
      <c r="VLN17"/>
      <c r="VLO17"/>
      <c r="VLP17"/>
      <c r="VLQ17"/>
      <c r="VLR17"/>
      <c r="VLS17"/>
      <c r="VLT17"/>
      <c r="VLU17"/>
      <c r="VLV17"/>
      <c r="VLW17"/>
      <c r="VLX17"/>
      <c r="VLY17"/>
      <c r="VLZ17"/>
      <c r="VMA17"/>
      <c r="VMB17"/>
      <c r="VMC17"/>
      <c r="VMD17"/>
      <c r="VME17"/>
      <c r="VMF17"/>
      <c r="VMG17"/>
      <c r="VMH17"/>
      <c r="VMI17"/>
      <c r="VMJ17"/>
      <c r="VMK17"/>
      <c r="VML17"/>
      <c r="VMM17"/>
      <c r="VMN17"/>
      <c r="VMO17"/>
      <c r="VMP17"/>
      <c r="VMQ17"/>
      <c r="VMR17"/>
      <c r="VMS17"/>
      <c r="VMT17"/>
      <c r="VMU17"/>
      <c r="VMV17"/>
      <c r="VMW17"/>
      <c r="VMX17"/>
      <c r="VMY17"/>
      <c r="VMZ17"/>
      <c r="VNA17"/>
      <c r="VNB17"/>
      <c r="VNC17"/>
      <c r="VND17"/>
      <c r="VNE17"/>
      <c r="VNF17"/>
      <c r="VNG17"/>
      <c r="VNH17"/>
      <c r="VNI17"/>
      <c r="VNJ17"/>
      <c r="VNK17"/>
      <c r="VNL17"/>
      <c r="VNM17"/>
      <c r="VNN17"/>
      <c r="VNO17"/>
      <c r="VNP17"/>
      <c r="VNQ17"/>
      <c r="VNR17"/>
      <c r="VNS17"/>
      <c r="VNT17"/>
      <c r="VNU17"/>
      <c r="VNV17"/>
      <c r="VNW17"/>
      <c r="VNX17"/>
      <c r="VNY17"/>
      <c r="VNZ17"/>
      <c r="VOA17"/>
      <c r="VOB17"/>
      <c r="VOC17"/>
      <c r="VOD17"/>
      <c r="VOE17"/>
      <c r="VOF17"/>
      <c r="VOG17"/>
      <c r="VOH17"/>
      <c r="VOI17"/>
      <c r="VOJ17"/>
      <c r="VOK17"/>
      <c r="VOL17"/>
      <c r="VOM17"/>
      <c r="VON17"/>
      <c r="VOO17"/>
      <c r="VOP17"/>
      <c r="VOQ17"/>
      <c r="VOR17"/>
      <c r="VOS17"/>
      <c r="VOT17"/>
      <c r="VOU17"/>
      <c r="VOV17"/>
      <c r="VOW17"/>
      <c r="VOX17"/>
      <c r="VOY17"/>
      <c r="VOZ17"/>
      <c r="VPA17"/>
      <c r="VPB17"/>
      <c r="VPC17"/>
      <c r="VPD17"/>
      <c r="VPE17"/>
      <c r="VPF17"/>
      <c r="VPG17"/>
      <c r="VPH17"/>
      <c r="VPI17"/>
      <c r="VPJ17"/>
      <c r="VPK17"/>
      <c r="VPL17"/>
      <c r="VPM17"/>
      <c r="VPN17"/>
      <c r="VPO17"/>
      <c r="VPP17"/>
      <c r="VPQ17"/>
      <c r="VPR17"/>
      <c r="VPS17"/>
      <c r="VPT17"/>
      <c r="VPU17"/>
      <c r="VPV17"/>
      <c r="VPW17"/>
      <c r="VPX17"/>
      <c r="VPY17"/>
      <c r="VPZ17"/>
      <c r="VQA17"/>
      <c r="VQB17"/>
      <c r="VQC17"/>
      <c r="VQD17"/>
      <c r="VQE17"/>
      <c r="VQF17"/>
      <c r="VQG17"/>
      <c r="VQH17"/>
      <c r="VQI17"/>
      <c r="VQJ17"/>
      <c r="VQK17"/>
      <c r="VQL17"/>
      <c r="VQM17"/>
      <c r="VQN17"/>
      <c r="VQO17"/>
      <c r="VQP17"/>
      <c r="VQQ17"/>
      <c r="VQR17"/>
      <c r="VQS17"/>
      <c r="VQT17"/>
      <c r="VQU17"/>
      <c r="VQV17"/>
      <c r="VQW17"/>
      <c r="VQX17"/>
      <c r="VQY17"/>
      <c r="VQZ17"/>
      <c r="VRA17"/>
      <c r="VRB17"/>
      <c r="VRC17"/>
      <c r="VRD17"/>
      <c r="VRE17"/>
      <c r="VRF17"/>
      <c r="VRG17"/>
      <c r="VRH17"/>
      <c r="VRI17"/>
      <c r="VRJ17"/>
      <c r="VRK17"/>
      <c r="VRL17"/>
      <c r="VRM17"/>
      <c r="VRN17"/>
      <c r="VRO17"/>
      <c r="VRP17"/>
      <c r="VRQ17"/>
      <c r="VRR17"/>
      <c r="VRS17"/>
      <c r="VRT17"/>
      <c r="VRU17"/>
      <c r="VRV17"/>
      <c r="VRW17"/>
      <c r="VRX17"/>
      <c r="VRY17"/>
      <c r="VRZ17"/>
      <c r="VSA17"/>
      <c r="VSB17"/>
      <c r="VSC17"/>
      <c r="VSD17"/>
      <c r="VSE17"/>
      <c r="VSF17"/>
      <c r="VSG17"/>
      <c r="VSH17"/>
      <c r="VSI17"/>
      <c r="VSJ17"/>
      <c r="VSK17"/>
      <c r="VSL17"/>
      <c r="VSM17"/>
      <c r="VSN17"/>
      <c r="VSO17"/>
      <c r="VSP17"/>
      <c r="VSQ17"/>
      <c r="VSR17"/>
      <c r="VSS17"/>
      <c r="VST17"/>
      <c r="VSU17"/>
      <c r="VSV17"/>
      <c r="VSW17"/>
      <c r="VSX17"/>
      <c r="VSY17"/>
      <c r="VSZ17"/>
      <c r="VTA17"/>
      <c r="VTB17"/>
      <c r="VTC17"/>
      <c r="VTD17"/>
      <c r="VTE17"/>
      <c r="VTF17"/>
      <c r="VTG17"/>
      <c r="VTH17"/>
      <c r="VTI17"/>
      <c r="VTJ17"/>
      <c r="VTK17"/>
      <c r="VTL17"/>
      <c r="VTM17"/>
      <c r="VTN17"/>
      <c r="VTO17"/>
      <c r="VTP17"/>
      <c r="VTQ17"/>
      <c r="VTR17"/>
      <c r="VTS17"/>
      <c r="VTT17"/>
      <c r="VTU17"/>
      <c r="VTV17"/>
      <c r="VTW17"/>
      <c r="VTX17"/>
      <c r="VTY17"/>
      <c r="VTZ17"/>
      <c r="VUA17"/>
      <c r="VUB17"/>
      <c r="VUC17"/>
      <c r="VUD17"/>
      <c r="VUE17"/>
      <c r="VUF17"/>
      <c r="VUG17"/>
      <c r="VUH17"/>
      <c r="VUI17"/>
      <c r="VUJ17"/>
      <c r="VUK17"/>
      <c r="VUL17"/>
      <c r="VUM17"/>
      <c r="VUN17"/>
      <c r="VUO17"/>
      <c r="VUP17"/>
      <c r="VUQ17"/>
      <c r="VUR17"/>
      <c r="VUS17"/>
      <c r="VUT17"/>
      <c r="VUU17"/>
      <c r="VUV17"/>
      <c r="VUW17"/>
      <c r="VUX17"/>
      <c r="VUY17"/>
      <c r="VUZ17"/>
      <c r="VVA17"/>
      <c r="VVB17"/>
      <c r="VVC17"/>
      <c r="VVD17"/>
      <c r="VVE17"/>
      <c r="VVF17"/>
      <c r="VVG17"/>
      <c r="VVH17"/>
      <c r="VVI17"/>
      <c r="VVJ17"/>
      <c r="VVK17"/>
      <c r="VVL17"/>
      <c r="VVM17"/>
      <c r="VVN17"/>
      <c r="VVO17"/>
      <c r="VVP17"/>
      <c r="VVQ17"/>
      <c r="VVR17"/>
      <c r="VVS17"/>
      <c r="VVT17"/>
      <c r="VVU17"/>
      <c r="VVV17"/>
      <c r="VVW17"/>
      <c r="VVX17"/>
      <c r="VVY17"/>
      <c r="VVZ17"/>
      <c r="VWA17"/>
      <c r="VWB17"/>
      <c r="VWC17"/>
      <c r="VWD17"/>
      <c r="VWE17"/>
      <c r="VWF17"/>
      <c r="VWG17"/>
      <c r="VWH17"/>
      <c r="VWI17"/>
      <c r="VWJ17"/>
      <c r="VWK17"/>
      <c r="VWL17"/>
      <c r="VWM17"/>
      <c r="VWN17"/>
      <c r="VWO17"/>
      <c r="VWP17"/>
      <c r="VWQ17"/>
      <c r="VWR17"/>
      <c r="VWS17"/>
      <c r="VWT17"/>
      <c r="VWU17"/>
      <c r="VWV17"/>
      <c r="VWW17"/>
      <c r="VWX17"/>
      <c r="VWY17"/>
      <c r="VWZ17"/>
      <c r="VXA17"/>
      <c r="VXB17"/>
      <c r="VXC17"/>
      <c r="VXD17"/>
      <c r="VXE17"/>
      <c r="VXF17"/>
      <c r="VXG17"/>
      <c r="VXH17"/>
      <c r="VXI17"/>
      <c r="VXJ17"/>
      <c r="VXK17"/>
      <c r="VXL17"/>
      <c r="VXM17"/>
      <c r="VXN17"/>
      <c r="VXO17"/>
      <c r="VXP17"/>
      <c r="VXQ17"/>
      <c r="VXR17"/>
      <c r="VXS17"/>
      <c r="VXT17"/>
      <c r="VXU17"/>
      <c r="VXV17"/>
      <c r="VXW17"/>
      <c r="VXX17"/>
      <c r="VXY17"/>
      <c r="VXZ17"/>
      <c r="VYA17"/>
      <c r="VYB17"/>
      <c r="VYC17"/>
      <c r="VYD17"/>
      <c r="VYE17"/>
      <c r="VYF17"/>
      <c r="VYG17"/>
      <c r="VYH17"/>
      <c r="VYI17"/>
      <c r="VYJ17"/>
      <c r="VYK17"/>
      <c r="VYL17"/>
      <c r="VYM17"/>
      <c r="VYN17"/>
      <c r="VYO17"/>
      <c r="VYP17"/>
      <c r="VYQ17"/>
      <c r="VYR17"/>
      <c r="VYS17"/>
      <c r="VYT17"/>
      <c r="VYU17"/>
      <c r="VYV17"/>
      <c r="VYW17"/>
      <c r="VYX17"/>
      <c r="VYY17"/>
      <c r="VYZ17"/>
      <c r="VZA17"/>
      <c r="VZB17"/>
      <c r="VZC17"/>
      <c r="VZD17"/>
      <c r="VZE17"/>
      <c r="VZF17"/>
      <c r="VZG17"/>
      <c r="VZH17"/>
      <c r="VZI17"/>
      <c r="VZJ17"/>
      <c r="VZK17"/>
      <c r="VZL17"/>
      <c r="VZM17"/>
      <c r="VZN17"/>
      <c r="VZO17"/>
      <c r="VZP17"/>
      <c r="VZQ17"/>
      <c r="VZR17"/>
      <c r="VZS17"/>
      <c r="VZT17"/>
      <c r="VZU17"/>
      <c r="VZV17"/>
      <c r="VZW17"/>
      <c r="VZX17"/>
      <c r="VZY17"/>
      <c r="VZZ17"/>
      <c r="WAA17"/>
      <c r="WAB17"/>
      <c r="WAC17"/>
      <c r="WAD17"/>
      <c r="WAE17"/>
      <c r="WAF17"/>
      <c r="WAG17"/>
      <c r="WAH17"/>
      <c r="WAI17"/>
      <c r="WAJ17"/>
      <c r="WAK17"/>
      <c r="WAL17"/>
      <c r="WAM17"/>
      <c r="WAN17"/>
      <c r="WAO17"/>
      <c r="WAP17"/>
      <c r="WAQ17"/>
      <c r="WAR17"/>
      <c r="WAS17"/>
      <c r="WAT17"/>
      <c r="WAU17"/>
      <c r="WAV17"/>
      <c r="WAW17"/>
      <c r="WAX17"/>
      <c r="WAY17"/>
      <c r="WAZ17"/>
      <c r="WBA17"/>
      <c r="WBB17"/>
      <c r="WBC17"/>
      <c r="WBD17"/>
      <c r="WBE17"/>
      <c r="WBF17"/>
      <c r="WBG17"/>
      <c r="WBH17"/>
      <c r="WBI17"/>
      <c r="WBJ17"/>
      <c r="WBK17"/>
      <c r="WBL17"/>
      <c r="WBM17"/>
      <c r="WBN17"/>
      <c r="WBO17"/>
      <c r="WBP17"/>
      <c r="WBQ17"/>
      <c r="WBR17"/>
      <c r="WBS17"/>
      <c r="WBT17"/>
      <c r="WBU17"/>
      <c r="WBV17"/>
      <c r="WBW17"/>
      <c r="WBX17"/>
      <c r="WBY17"/>
      <c r="WBZ17"/>
      <c r="WCA17"/>
      <c r="WCB17"/>
      <c r="WCC17"/>
      <c r="WCD17"/>
      <c r="WCE17"/>
      <c r="WCF17"/>
      <c r="WCG17"/>
      <c r="WCH17"/>
      <c r="WCI17"/>
      <c r="WCJ17"/>
      <c r="WCK17"/>
      <c r="WCL17"/>
      <c r="WCM17"/>
      <c r="WCN17"/>
      <c r="WCO17"/>
      <c r="WCP17"/>
      <c r="WCQ17"/>
      <c r="WCR17"/>
      <c r="WCS17"/>
      <c r="WCT17"/>
      <c r="WCU17"/>
      <c r="WCV17"/>
      <c r="WCW17"/>
      <c r="WCX17"/>
      <c r="WCY17"/>
      <c r="WCZ17"/>
      <c r="WDA17"/>
      <c r="WDB17"/>
      <c r="WDC17"/>
      <c r="WDD17"/>
      <c r="WDE17"/>
      <c r="WDF17"/>
      <c r="WDG17"/>
      <c r="WDH17"/>
      <c r="WDI17"/>
      <c r="WDJ17"/>
      <c r="WDK17"/>
      <c r="WDL17"/>
      <c r="WDM17"/>
      <c r="WDN17"/>
      <c r="WDO17"/>
      <c r="WDP17"/>
      <c r="WDQ17"/>
      <c r="WDR17"/>
      <c r="WDS17"/>
      <c r="WDT17"/>
      <c r="WDU17"/>
      <c r="WDV17"/>
      <c r="WDW17"/>
      <c r="WDX17"/>
      <c r="WDY17"/>
      <c r="WDZ17"/>
      <c r="WEA17"/>
      <c r="WEB17"/>
      <c r="WEC17"/>
      <c r="WED17"/>
      <c r="WEE17"/>
      <c r="WEF17"/>
      <c r="WEG17"/>
      <c r="WEH17"/>
      <c r="WEI17"/>
      <c r="WEJ17"/>
      <c r="WEK17"/>
      <c r="WEL17"/>
      <c r="WEM17"/>
      <c r="WEN17"/>
      <c r="WEO17"/>
      <c r="WEP17"/>
      <c r="WEQ17"/>
      <c r="WER17"/>
      <c r="WES17"/>
      <c r="WET17"/>
      <c r="WEU17"/>
      <c r="WEV17"/>
      <c r="WEW17"/>
      <c r="WEX17"/>
      <c r="WEY17"/>
      <c r="WEZ17"/>
      <c r="WFA17"/>
      <c r="WFB17"/>
      <c r="WFC17"/>
      <c r="WFD17"/>
      <c r="WFE17"/>
      <c r="WFF17"/>
      <c r="WFG17"/>
      <c r="WFH17"/>
      <c r="WFI17"/>
      <c r="WFJ17"/>
      <c r="WFK17"/>
      <c r="WFL17"/>
      <c r="WFM17"/>
      <c r="WFN17"/>
      <c r="WFO17"/>
      <c r="WFP17"/>
      <c r="WFQ17"/>
      <c r="WFR17"/>
      <c r="WFS17"/>
      <c r="WFT17"/>
      <c r="WFU17"/>
      <c r="WFV17"/>
      <c r="WFW17"/>
      <c r="WFX17"/>
      <c r="WFY17"/>
      <c r="WFZ17"/>
      <c r="WGA17"/>
      <c r="WGB17"/>
      <c r="WGC17"/>
      <c r="WGD17"/>
      <c r="WGE17"/>
      <c r="WGF17"/>
      <c r="WGG17"/>
      <c r="WGH17"/>
      <c r="WGI17"/>
      <c r="WGJ17"/>
      <c r="WGK17"/>
      <c r="WGL17"/>
      <c r="WGM17"/>
      <c r="WGN17"/>
      <c r="WGO17"/>
      <c r="WGP17"/>
      <c r="WGQ17"/>
      <c r="WGR17"/>
      <c r="WGS17"/>
      <c r="WGT17"/>
      <c r="WGU17"/>
      <c r="WGV17"/>
      <c r="WGW17"/>
      <c r="WGX17"/>
      <c r="WGY17"/>
      <c r="WGZ17"/>
      <c r="WHA17"/>
      <c r="WHB17"/>
      <c r="WHC17"/>
      <c r="WHD17"/>
      <c r="WHE17"/>
      <c r="WHF17"/>
      <c r="WHG17"/>
      <c r="WHH17"/>
      <c r="WHI17"/>
      <c r="WHJ17"/>
      <c r="WHK17"/>
      <c r="WHL17"/>
      <c r="WHM17"/>
      <c r="WHN17"/>
      <c r="WHO17"/>
      <c r="WHP17"/>
      <c r="WHQ17"/>
      <c r="WHR17"/>
      <c r="WHS17"/>
      <c r="WHT17"/>
      <c r="WHU17"/>
      <c r="WHV17"/>
      <c r="WHW17"/>
      <c r="WHX17"/>
      <c r="WHY17"/>
      <c r="WHZ17"/>
      <c r="WIA17"/>
      <c r="WIB17"/>
      <c r="WIC17"/>
      <c r="WID17"/>
      <c r="WIE17"/>
      <c r="WIF17"/>
      <c r="WIG17"/>
      <c r="WIH17"/>
      <c r="WII17"/>
      <c r="WIJ17"/>
      <c r="WIK17"/>
      <c r="WIL17"/>
      <c r="WIM17"/>
      <c r="WIN17"/>
      <c r="WIO17"/>
      <c r="WIP17"/>
      <c r="WIQ17"/>
      <c r="WIR17"/>
      <c r="WIS17"/>
      <c r="WIT17"/>
      <c r="WIU17"/>
      <c r="WIV17"/>
      <c r="WIW17"/>
      <c r="WIX17"/>
      <c r="WIY17"/>
      <c r="WIZ17"/>
      <c r="WJA17"/>
      <c r="WJB17"/>
      <c r="WJC17"/>
      <c r="WJD17"/>
      <c r="WJE17"/>
      <c r="WJF17"/>
      <c r="WJG17"/>
      <c r="WJH17"/>
      <c r="WJI17"/>
      <c r="WJJ17"/>
      <c r="WJK17"/>
      <c r="WJL17"/>
      <c r="WJM17"/>
      <c r="WJN17"/>
      <c r="WJO17"/>
      <c r="WJP17"/>
      <c r="WJQ17"/>
      <c r="WJR17"/>
      <c r="WJS17"/>
      <c r="WJT17"/>
      <c r="WJU17"/>
      <c r="WJV17"/>
      <c r="WJW17"/>
      <c r="WJX17"/>
      <c r="WJY17"/>
      <c r="WJZ17"/>
      <c r="WKA17"/>
      <c r="WKB17"/>
      <c r="WKC17"/>
      <c r="WKD17"/>
      <c r="WKE17"/>
      <c r="WKF17"/>
      <c r="WKG17"/>
      <c r="WKH17"/>
      <c r="WKI17"/>
      <c r="WKJ17"/>
      <c r="WKK17"/>
      <c r="WKL17"/>
      <c r="WKM17"/>
      <c r="WKN17"/>
      <c r="WKO17"/>
      <c r="WKP17"/>
      <c r="WKQ17"/>
      <c r="WKR17"/>
      <c r="WKS17"/>
      <c r="WKT17"/>
      <c r="WKU17"/>
      <c r="WKV17"/>
      <c r="WKW17"/>
      <c r="WKX17"/>
      <c r="WKY17"/>
      <c r="WKZ17"/>
      <c r="WLA17"/>
      <c r="WLB17"/>
      <c r="WLC17"/>
      <c r="WLD17"/>
      <c r="WLE17"/>
      <c r="WLF17"/>
      <c r="WLG17"/>
      <c r="WLH17"/>
      <c r="WLI17"/>
      <c r="WLJ17"/>
      <c r="WLK17"/>
      <c r="WLL17"/>
      <c r="WLM17"/>
      <c r="WLN17"/>
      <c r="WLO17"/>
      <c r="WLP17"/>
      <c r="WLQ17"/>
      <c r="WLR17"/>
      <c r="WLS17"/>
      <c r="WLT17"/>
      <c r="WLU17"/>
      <c r="WLV17"/>
      <c r="WLW17"/>
      <c r="WLX17"/>
      <c r="WLY17"/>
      <c r="WLZ17"/>
      <c r="WMA17"/>
      <c r="WMB17"/>
      <c r="WMC17"/>
      <c r="WMD17"/>
      <c r="WME17"/>
      <c r="WMF17"/>
      <c r="WMG17"/>
      <c r="WMH17"/>
      <c r="WMI17"/>
      <c r="WMJ17"/>
      <c r="WMK17"/>
      <c r="WML17"/>
      <c r="WMM17"/>
      <c r="WMN17"/>
      <c r="WMO17"/>
      <c r="WMP17"/>
      <c r="WMQ17"/>
      <c r="WMR17"/>
      <c r="WMS17"/>
      <c r="WMT17"/>
      <c r="WMU17"/>
      <c r="WMV17"/>
      <c r="WMW17"/>
      <c r="WMX17"/>
      <c r="WMY17"/>
      <c r="WMZ17"/>
      <c r="WNA17"/>
      <c r="WNB17"/>
      <c r="WNC17"/>
      <c r="WND17"/>
      <c r="WNE17"/>
      <c r="WNF17"/>
      <c r="WNG17"/>
      <c r="WNH17"/>
      <c r="WNI17"/>
      <c r="WNJ17"/>
      <c r="WNK17"/>
      <c r="WNL17"/>
      <c r="WNM17"/>
      <c r="WNN17"/>
      <c r="WNO17"/>
      <c r="WNP17"/>
      <c r="WNQ17"/>
      <c r="WNR17"/>
      <c r="WNS17"/>
      <c r="WNT17"/>
      <c r="WNU17"/>
      <c r="WNV17"/>
      <c r="WNW17"/>
      <c r="WNX17"/>
      <c r="WNY17"/>
      <c r="WNZ17"/>
      <c r="WOA17"/>
      <c r="WOB17"/>
      <c r="WOC17"/>
      <c r="WOD17"/>
      <c r="WOE17"/>
      <c r="WOF17"/>
      <c r="WOG17"/>
      <c r="WOH17"/>
      <c r="WOI17"/>
      <c r="WOJ17"/>
      <c r="WOK17"/>
      <c r="WOL17"/>
      <c r="WOM17"/>
      <c r="WON17"/>
      <c r="WOO17"/>
      <c r="WOP17"/>
      <c r="WOQ17"/>
      <c r="WOR17"/>
      <c r="WOS17"/>
      <c r="WOT17"/>
      <c r="WOU17"/>
      <c r="WOV17"/>
      <c r="WOW17"/>
      <c r="WOX17"/>
      <c r="WOY17"/>
      <c r="WOZ17"/>
      <c r="WPA17"/>
      <c r="WPB17"/>
      <c r="WPC17"/>
      <c r="WPD17"/>
      <c r="WPE17"/>
      <c r="WPF17"/>
      <c r="WPG17"/>
      <c r="WPH17"/>
      <c r="WPI17"/>
      <c r="WPJ17"/>
      <c r="WPK17"/>
      <c r="WPL17"/>
      <c r="WPM17"/>
      <c r="WPN17"/>
      <c r="WPO17"/>
      <c r="WPP17"/>
      <c r="WPQ17"/>
      <c r="WPR17"/>
      <c r="WPS17"/>
      <c r="WPT17"/>
      <c r="WPU17"/>
      <c r="WPV17"/>
      <c r="WPW17"/>
      <c r="WPX17"/>
      <c r="WPY17"/>
      <c r="WPZ17"/>
      <c r="WQA17"/>
      <c r="WQB17"/>
      <c r="WQC17"/>
      <c r="WQD17"/>
      <c r="WQE17"/>
      <c r="WQF17"/>
      <c r="WQG17"/>
      <c r="WQH17"/>
      <c r="WQI17"/>
      <c r="WQJ17"/>
      <c r="WQK17"/>
      <c r="WQL17"/>
      <c r="WQM17"/>
      <c r="WQN17"/>
      <c r="WQO17"/>
      <c r="WQP17"/>
      <c r="WQQ17"/>
      <c r="WQR17"/>
      <c r="WQS17"/>
      <c r="WQT17"/>
      <c r="WQU17"/>
      <c r="WQV17"/>
      <c r="WQW17"/>
      <c r="WQX17"/>
      <c r="WQY17"/>
      <c r="WQZ17"/>
      <c r="WRA17"/>
      <c r="WRB17"/>
      <c r="WRC17"/>
      <c r="WRD17"/>
      <c r="WRE17"/>
      <c r="WRF17"/>
      <c r="WRG17"/>
      <c r="WRH17"/>
      <c r="WRI17"/>
      <c r="WRJ17"/>
      <c r="WRK17"/>
      <c r="WRL17"/>
      <c r="WRM17"/>
      <c r="WRN17"/>
      <c r="WRO17"/>
      <c r="WRP17"/>
      <c r="WRQ17"/>
      <c r="WRR17"/>
      <c r="WRS17"/>
      <c r="WRT17"/>
      <c r="WRU17"/>
      <c r="WRV17"/>
      <c r="WRW17"/>
      <c r="WRX17"/>
      <c r="WRY17"/>
      <c r="WRZ17"/>
      <c r="WSA17"/>
      <c r="WSB17"/>
      <c r="WSC17"/>
      <c r="WSD17"/>
      <c r="WSE17"/>
      <c r="WSF17"/>
      <c r="WSG17"/>
      <c r="WSH17"/>
      <c r="WSI17"/>
      <c r="WSJ17"/>
      <c r="WSK17"/>
      <c r="WSL17"/>
      <c r="WSM17"/>
      <c r="WSN17"/>
      <c r="WSO17"/>
      <c r="WSP17"/>
      <c r="WSQ17"/>
      <c r="WSR17"/>
      <c r="WSS17"/>
      <c r="WST17"/>
      <c r="WSU17"/>
      <c r="WSV17"/>
      <c r="WSW17"/>
      <c r="WSX17"/>
      <c r="WSY17"/>
      <c r="WSZ17"/>
      <c r="WTA17"/>
      <c r="WTB17"/>
      <c r="WTC17"/>
      <c r="WTD17"/>
      <c r="WTE17"/>
      <c r="WTF17"/>
      <c r="WTG17"/>
      <c r="WTH17"/>
      <c r="WTI17"/>
      <c r="WTJ17"/>
      <c r="WTK17"/>
      <c r="WTL17"/>
      <c r="WTM17"/>
      <c r="WTN17"/>
      <c r="WTO17"/>
      <c r="WTP17"/>
      <c r="WTQ17"/>
      <c r="WTR17"/>
      <c r="WTS17"/>
      <c r="WTT17"/>
      <c r="WTU17"/>
      <c r="WTV17"/>
      <c r="WTW17"/>
      <c r="WTX17"/>
      <c r="WTY17"/>
      <c r="WTZ17"/>
      <c r="WUA17"/>
      <c r="WUB17"/>
      <c r="WUC17"/>
      <c r="WUD17"/>
      <c r="WUE17"/>
      <c r="WUF17"/>
      <c r="WUG17"/>
      <c r="WUH17"/>
      <c r="WUI17"/>
      <c r="WUJ17"/>
      <c r="WUK17"/>
      <c r="WUL17"/>
      <c r="WUM17"/>
      <c r="WUN17"/>
      <c r="WUO17"/>
      <c r="WUP17"/>
      <c r="WUQ17"/>
      <c r="WUR17"/>
      <c r="WUS17"/>
      <c r="WUT17"/>
      <c r="WUU17"/>
      <c r="WUV17"/>
      <c r="WUW17"/>
      <c r="WUX17"/>
      <c r="WUY17"/>
      <c r="WUZ17"/>
      <c r="WVA17"/>
      <c r="WVB17"/>
      <c r="WVC17"/>
      <c r="WVD17"/>
      <c r="WVE17"/>
      <c r="WVF17"/>
      <c r="WVG17"/>
      <c r="WVH17"/>
      <c r="WVI17"/>
      <c r="WVJ17"/>
      <c r="WVK17"/>
      <c r="WVL17"/>
      <c r="WVM17"/>
      <c r="WVN17"/>
      <c r="WVO17"/>
      <c r="WVP17"/>
      <c r="WVQ17"/>
      <c r="WVR17"/>
      <c r="WVS17"/>
      <c r="WVT17"/>
      <c r="WVU17"/>
      <c r="WVV17"/>
      <c r="WVW17"/>
      <c r="WVX17"/>
      <c r="WVY17"/>
      <c r="WVZ17"/>
      <c r="WWA17"/>
      <c r="WWB17"/>
      <c r="WWC17"/>
      <c r="WWD17"/>
      <c r="WWE17"/>
      <c r="WWF17"/>
      <c r="WWG17"/>
      <c r="WWH17"/>
      <c r="WWI17"/>
      <c r="WWJ17"/>
      <c r="WWK17"/>
      <c r="WWL17"/>
      <c r="WWM17"/>
      <c r="WWN17"/>
      <c r="WWO17"/>
      <c r="WWP17"/>
      <c r="WWQ17"/>
      <c r="WWR17"/>
      <c r="WWS17"/>
      <c r="WWT17"/>
      <c r="WWU17"/>
      <c r="WWV17"/>
      <c r="WWW17"/>
      <c r="WWX17"/>
      <c r="WWY17"/>
      <c r="WWZ17"/>
      <c r="WXA17"/>
      <c r="WXB17"/>
      <c r="WXC17"/>
      <c r="WXD17"/>
      <c r="WXE17"/>
      <c r="WXF17"/>
      <c r="WXG17"/>
      <c r="WXH17"/>
      <c r="WXI17"/>
      <c r="WXJ17"/>
      <c r="WXK17"/>
      <c r="WXL17"/>
      <c r="WXM17"/>
      <c r="WXN17"/>
      <c r="WXO17"/>
      <c r="WXP17"/>
      <c r="WXQ17"/>
      <c r="WXR17"/>
      <c r="WXS17"/>
      <c r="WXT17"/>
      <c r="WXU17"/>
      <c r="WXV17"/>
      <c r="WXW17"/>
      <c r="WXX17"/>
      <c r="WXY17"/>
      <c r="WXZ17"/>
      <c r="WYA17"/>
      <c r="WYB17"/>
      <c r="WYC17"/>
      <c r="WYD17"/>
      <c r="WYE17"/>
      <c r="WYF17"/>
      <c r="WYG17"/>
      <c r="WYH17"/>
      <c r="WYI17"/>
      <c r="WYJ17"/>
      <c r="WYK17"/>
      <c r="WYL17"/>
      <c r="WYM17"/>
      <c r="WYN17"/>
      <c r="WYO17"/>
      <c r="WYP17"/>
      <c r="WYQ17"/>
      <c r="WYR17"/>
      <c r="WYS17"/>
      <c r="WYT17"/>
      <c r="WYU17"/>
      <c r="WYV17"/>
      <c r="WYW17"/>
      <c r="WYX17"/>
      <c r="WYY17"/>
      <c r="WYZ17"/>
      <c r="WZA17"/>
      <c r="WZB17"/>
      <c r="WZC17"/>
      <c r="WZD17"/>
      <c r="WZE17"/>
      <c r="WZF17"/>
      <c r="WZG17"/>
      <c r="WZH17"/>
      <c r="WZI17"/>
      <c r="WZJ17"/>
      <c r="WZK17"/>
      <c r="WZL17"/>
      <c r="WZM17"/>
      <c r="WZN17"/>
      <c r="WZO17"/>
      <c r="WZP17"/>
      <c r="WZQ17"/>
      <c r="WZR17"/>
      <c r="WZS17"/>
      <c r="WZT17"/>
      <c r="WZU17"/>
      <c r="WZV17"/>
      <c r="WZW17"/>
      <c r="WZX17"/>
      <c r="WZY17"/>
      <c r="WZZ17"/>
      <c r="XAA17"/>
      <c r="XAB17"/>
      <c r="XAC17"/>
      <c r="XAD17"/>
      <c r="XAE17"/>
      <c r="XAF17"/>
      <c r="XAG17"/>
      <c r="XAH17"/>
      <c r="XAI17"/>
      <c r="XAJ17"/>
      <c r="XAK17"/>
      <c r="XAL17"/>
      <c r="XAM17"/>
      <c r="XAN17"/>
      <c r="XAO17"/>
      <c r="XAP17"/>
      <c r="XAQ17"/>
      <c r="XAR17"/>
      <c r="XAS17"/>
      <c r="XAT17"/>
      <c r="XAU17"/>
      <c r="XAV17"/>
      <c r="XAW17"/>
    </row>
    <row r="18" spans="1:16273" ht="20.100000000000001" customHeight="1">
      <c r="A18" s="73" t="str">
        <f>Test!N1</f>
        <v>VGT #5</v>
      </c>
      <c r="B18" s="74" t="e">
        <f>IF("ComboBox1"="","",VLOOKUP(($B$6),Test!$F$2:$U$1301,9,FALSE))</f>
        <v>#N/A</v>
      </c>
      <c r="C18" s="137" t="e">
        <f>VLOOKUP(B18,Test!AF6:AG7500,2,FALSE)</f>
        <v>#N/A</v>
      </c>
      <c r="D18" s="81"/>
      <c r="E18" s="106"/>
      <c r="J18" s="41"/>
      <c r="K18" s="41"/>
      <c r="M18" s="42"/>
      <c r="N18" s="42"/>
      <c r="O18" s="43"/>
      <c r="P18" s="43"/>
      <c r="Q18" s="43"/>
      <c r="R18" s="43"/>
      <c r="S18" s="43"/>
      <c r="AA18" s="43" t="s">
        <v>643</v>
      </c>
      <c r="AB18" s="36" t="s">
        <v>6868</v>
      </c>
    </row>
    <row r="19" spans="1:16273" ht="20.100000000000001" customHeight="1">
      <c r="A19" s="75"/>
      <c r="B19" s="76"/>
      <c r="C19" s="77"/>
      <c r="E19" s="106"/>
      <c r="J19" s="41"/>
      <c r="K19" s="42"/>
      <c r="M19" s="42"/>
      <c r="N19" s="42"/>
      <c r="O19" s="43"/>
      <c r="P19" s="43"/>
      <c r="Q19" s="43"/>
      <c r="R19" s="43"/>
      <c r="S19" s="43"/>
      <c r="AA19" s="43" t="s">
        <v>643</v>
      </c>
      <c r="AB19" s="43" t="s">
        <v>6869</v>
      </c>
    </row>
    <row r="20" spans="1:16273" ht="20.100000000000001" customHeight="1">
      <c r="A20" s="8" t="s">
        <v>6514</v>
      </c>
      <c r="B20" s="56"/>
      <c r="C20" s="207" t="s">
        <v>6502</v>
      </c>
      <c r="D20" s="208"/>
      <c r="E20" s="108"/>
      <c r="H20" s="43"/>
      <c r="I20" s="43"/>
      <c r="J20" s="42"/>
      <c r="K20" s="42"/>
      <c r="M20" s="42"/>
      <c r="N20" s="42"/>
      <c r="O20" s="43"/>
      <c r="P20" s="43"/>
      <c r="Q20" s="43"/>
      <c r="R20" s="43"/>
      <c r="S20" s="43"/>
      <c r="AA20" s="43" t="s">
        <v>643</v>
      </c>
      <c r="AB20" s="43" t="s">
        <v>6870</v>
      </c>
    </row>
    <row r="21" spans="1:16273" ht="20.100000000000001" customHeight="1">
      <c r="A21" s="8" t="s">
        <v>6479</v>
      </c>
      <c r="B21" s="54"/>
      <c r="C21" s="209" t="s">
        <v>6523</v>
      </c>
      <c r="D21" s="210"/>
      <c r="E21" s="108"/>
      <c r="J21" s="41"/>
      <c r="K21" s="41"/>
      <c r="M21" s="42"/>
      <c r="N21" s="42"/>
      <c r="O21" s="43"/>
      <c r="P21" s="43"/>
      <c r="Q21" s="43"/>
      <c r="R21" s="43"/>
      <c r="S21" s="43"/>
      <c r="AA21" s="43" t="s">
        <v>643</v>
      </c>
      <c r="AB21" s="43" t="s">
        <v>6871</v>
      </c>
    </row>
    <row r="22" spans="1:16273" customFormat="1" ht="20.100000000000001" customHeight="1">
      <c r="A22" s="8" t="s">
        <v>6480</v>
      </c>
      <c r="B22" s="44" t="e">
        <f>IF("ComboBox1"="","",VLOOKUP(($B$6),Test!$F$2:$U$1301,4,FALSE))</f>
        <v>#N/A</v>
      </c>
      <c r="C22" s="2"/>
      <c r="D22" s="6"/>
      <c r="E22" s="103"/>
      <c r="F22" s="40"/>
      <c r="G22" s="40"/>
      <c r="H22" s="40"/>
      <c r="I22" s="40"/>
      <c r="J22" s="41"/>
      <c r="K22" s="41"/>
      <c r="L22" s="42"/>
      <c r="M22" s="42"/>
      <c r="N22" s="42"/>
      <c r="O22" s="43"/>
      <c r="P22" s="43"/>
      <c r="Q22" s="43"/>
      <c r="R22" s="43"/>
      <c r="S22" s="43"/>
      <c r="T22" s="43"/>
      <c r="U22" s="43"/>
      <c r="V22" s="5"/>
      <c r="W22" s="5"/>
      <c r="X22" s="5"/>
      <c r="Y22" s="5"/>
      <c r="Z22" s="5"/>
      <c r="AA22" s="43" t="s">
        <v>6841</v>
      </c>
      <c r="AB22" s="43" t="s">
        <v>6872</v>
      </c>
      <c r="AC22" s="43"/>
      <c r="AD22" s="43"/>
      <c r="AE22" s="5"/>
      <c r="AF22" s="61"/>
      <c r="AG22" s="61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  <c r="AAA22" s="5"/>
      <c r="AAB22" s="5"/>
      <c r="AAC22" s="5"/>
      <c r="AAD22" s="5"/>
      <c r="AAE22" s="5"/>
      <c r="AAF22" s="5"/>
      <c r="AAG22" s="5"/>
      <c r="AAH22" s="5"/>
      <c r="AAI22" s="5"/>
      <c r="AAJ22" s="5"/>
      <c r="AAK22" s="5"/>
      <c r="AAL22" s="5"/>
      <c r="AAM22" s="5"/>
      <c r="AAN22" s="5"/>
      <c r="AAO22" s="5"/>
      <c r="AAP22" s="5"/>
      <c r="AAQ22" s="5"/>
      <c r="AAR22" s="5"/>
      <c r="AAS22" s="5"/>
      <c r="AAT22" s="5"/>
      <c r="AAU22" s="5"/>
      <c r="AAV22" s="5"/>
      <c r="AAW22" s="5"/>
      <c r="AAX22" s="5"/>
      <c r="AAY22" s="5"/>
      <c r="AAZ22" s="5"/>
      <c r="ABA22" s="5"/>
      <c r="ABB22" s="5"/>
      <c r="ABC22" s="5"/>
      <c r="ABD22" s="5"/>
      <c r="ABE22" s="5"/>
      <c r="ABF22" s="5"/>
      <c r="ABG22" s="5"/>
      <c r="ABH22" s="5"/>
      <c r="ABI22" s="5"/>
      <c r="ABJ22" s="5"/>
      <c r="ABK22" s="5"/>
      <c r="ABL22" s="5"/>
      <c r="ABM22" s="5"/>
      <c r="ABN22" s="5"/>
      <c r="ABO22" s="5"/>
      <c r="ABP22" s="5"/>
      <c r="ABQ22" s="5"/>
      <c r="ABR22" s="5"/>
      <c r="ABS22" s="5"/>
      <c r="ABT22" s="5"/>
      <c r="ABU22" s="5"/>
      <c r="ABV22" s="5"/>
      <c r="ABW22" s="5"/>
      <c r="ABX22" s="5"/>
      <c r="ABY22" s="5"/>
      <c r="ABZ22" s="5"/>
      <c r="ACA22" s="5"/>
      <c r="ACB22" s="5"/>
      <c r="ACC22" s="5"/>
      <c r="ACD22" s="5"/>
      <c r="ACE22" s="5"/>
      <c r="ACF22" s="5"/>
      <c r="ACG22" s="5"/>
      <c r="ACH22" s="5"/>
      <c r="ACI22" s="5"/>
      <c r="ACJ22" s="5"/>
      <c r="ACK22" s="5"/>
      <c r="ACL22" s="5"/>
      <c r="ACM22" s="5"/>
      <c r="ACN22" s="5"/>
      <c r="ACO22" s="5"/>
      <c r="ACP22" s="5"/>
      <c r="ACQ22" s="5"/>
      <c r="ACR22" s="5"/>
      <c r="ACS22" s="5"/>
      <c r="ACT22" s="5"/>
      <c r="ACU22" s="5"/>
      <c r="ACV22" s="5"/>
      <c r="ACW22" s="5"/>
      <c r="ACX22" s="5"/>
      <c r="ACY22" s="5"/>
      <c r="ACZ22" s="5"/>
      <c r="ADA22" s="5"/>
      <c r="ADB22" s="5"/>
      <c r="ADC22" s="5"/>
      <c r="ADD22" s="5"/>
      <c r="ADE22" s="5"/>
      <c r="ADF22" s="5"/>
      <c r="ADG22" s="5"/>
      <c r="ADH22" s="5"/>
      <c r="ADI22" s="5"/>
      <c r="ADJ22" s="5"/>
      <c r="ADK22" s="5"/>
      <c r="ADL22" s="5"/>
      <c r="ADM22" s="5"/>
      <c r="ADN22" s="5"/>
      <c r="ADO22" s="5"/>
      <c r="ADP22" s="5"/>
      <c r="ADQ22" s="5"/>
      <c r="ADR22" s="5"/>
      <c r="ADS22" s="5"/>
      <c r="ADT22" s="5"/>
      <c r="ADU22" s="5"/>
      <c r="ADV22" s="5"/>
      <c r="ADW22" s="5"/>
      <c r="ADX22" s="5"/>
      <c r="ADY22" s="5"/>
      <c r="ADZ22" s="5"/>
      <c r="AEA22" s="5"/>
      <c r="AEB22" s="5"/>
      <c r="AEC22" s="5"/>
      <c r="AED22" s="5"/>
      <c r="AEE22" s="5"/>
      <c r="AEF22" s="5"/>
      <c r="AEG22" s="5"/>
      <c r="AEH22" s="5"/>
      <c r="AEI22" s="5"/>
      <c r="AEJ22" s="5"/>
      <c r="AEK22" s="5"/>
      <c r="AEL22" s="5"/>
      <c r="AEM22" s="5"/>
      <c r="AEN22" s="5"/>
      <c r="AEO22" s="5"/>
      <c r="AEP22" s="5"/>
      <c r="AEQ22" s="5"/>
      <c r="AER22" s="5"/>
      <c r="AES22" s="5"/>
      <c r="AET22" s="5"/>
      <c r="AEU22" s="5"/>
      <c r="AEV22" s="5"/>
      <c r="AEW22" s="5"/>
      <c r="AEX22" s="5"/>
      <c r="AEY22" s="5"/>
      <c r="AEZ22" s="5"/>
      <c r="AFA22" s="5"/>
      <c r="AFB22" s="5"/>
      <c r="AFC22" s="5"/>
      <c r="AFD22" s="5"/>
      <c r="AFE22" s="5"/>
      <c r="AFF22" s="5"/>
      <c r="AFG22" s="5"/>
      <c r="AFH22" s="5"/>
      <c r="AFI22" s="5"/>
      <c r="AFJ22" s="5"/>
      <c r="AFK22" s="5"/>
      <c r="AFL22" s="5"/>
      <c r="AFM22" s="5"/>
      <c r="AFN22" s="5"/>
      <c r="AFO22" s="5"/>
      <c r="AFP22" s="5"/>
      <c r="AFQ22" s="5"/>
      <c r="AFR22" s="5"/>
      <c r="AFS22" s="5"/>
      <c r="AFT22" s="5"/>
      <c r="AFU22" s="5"/>
      <c r="AFV22" s="5"/>
      <c r="AFW22" s="5"/>
      <c r="AFX22" s="5"/>
      <c r="AFY22" s="5"/>
      <c r="AFZ22" s="5"/>
      <c r="AGA22" s="5"/>
      <c r="AGB22" s="5"/>
      <c r="AGC22" s="5"/>
      <c r="AGD22" s="5"/>
      <c r="AGE22" s="5"/>
      <c r="AGF22" s="5"/>
      <c r="AGG22" s="5"/>
      <c r="AGH22" s="5"/>
      <c r="AGI22" s="5"/>
      <c r="AGJ22" s="5"/>
      <c r="AGK22" s="5"/>
      <c r="AGL22" s="5"/>
      <c r="AGM22" s="5"/>
      <c r="AGN22" s="5"/>
      <c r="AGO22" s="5"/>
      <c r="AGP22" s="5"/>
      <c r="AGQ22" s="5"/>
      <c r="AGR22" s="5"/>
      <c r="AGS22" s="5"/>
      <c r="AGT22" s="5"/>
      <c r="AGU22" s="5"/>
      <c r="AGV22" s="5"/>
      <c r="AGW22" s="5"/>
      <c r="AGX22" s="5"/>
      <c r="AGY22" s="5"/>
      <c r="AGZ22" s="5"/>
      <c r="AHA22" s="5"/>
      <c r="AHB22" s="5"/>
      <c r="AHC22" s="5"/>
      <c r="AHD22" s="5"/>
      <c r="AHE22" s="5"/>
      <c r="AHF22" s="5"/>
      <c r="AHG22" s="5"/>
      <c r="AHH22" s="5"/>
      <c r="AHI22" s="5"/>
      <c r="AHJ22" s="5"/>
      <c r="AHK22" s="5"/>
      <c r="AHL22" s="5"/>
      <c r="AHM22" s="5"/>
      <c r="AHN22" s="5"/>
      <c r="AHO22" s="5"/>
      <c r="AHP22" s="5"/>
      <c r="AHQ22" s="5"/>
      <c r="AHR22" s="5"/>
      <c r="AHS22" s="5"/>
      <c r="AHT22" s="5"/>
      <c r="AHU22" s="5"/>
      <c r="AHV22" s="5"/>
      <c r="AHW22" s="5"/>
      <c r="AHX22" s="5"/>
      <c r="AHY22" s="5"/>
      <c r="AHZ22" s="5"/>
      <c r="AIA22" s="5"/>
      <c r="AIB22" s="5"/>
      <c r="AIC22" s="5"/>
      <c r="AID22" s="5"/>
      <c r="AIE22" s="5"/>
      <c r="AIF22" s="5"/>
      <c r="AIG22" s="5"/>
      <c r="AIH22" s="5"/>
      <c r="AII22" s="5"/>
      <c r="AIJ22" s="5"/>
      <c r="AIK22" s="5"/>
      <c r="AIL22" s="5"/>
      <c r="AIM22" s="5"/>
      <c r="AIN22" s="5"/>
      <c r="AIO22" s="5"/>
      <c r="AIP22" s="5"/>
      <c r="AIQ22" s="5"/>
      <c r="AIR22" s="5"/>
      <c r="AIS22" s="5"/>
      <c r="AIT22" s="5"/>
      <c r="AIU22" s="5"/>
      <c r="AIV22" s="5"/>
      <c r="AIW22" s="5"/>
      <c r="AIX22" s="5"/>
      <c r="AIY22" s="5"/>
      <c r="AIZ22" s="5"/>
      <c r="AJA22" s="5"/>
      <c r="AJB22" s="5"/>
      <c r="AJC22" s="5"/>
      <c r="AJD22" s="5"/>
      <c r="AJE22" s="5"/>
      <c r="AJF22" s="5"/>
      <c r="AJG22" s="5"/>
      <c r="AJH22" s="5"/>
      <c r="AJI22" s="5"/>
      <c r="AJJ22" s="5"/>
      <c r="AJK22" s="5"/>
      <c r="AJL22" s="5"/>
      <c r="AJM22" s="5"/>
      <c r="AJN22" s="5"/>
      <c r="AJO22" s="5"/>
      <c r="AJP22" s="5"/>
      <c r="AJQ22" s="5"/>
      <c r="AJR22" s="5"/>
      <c r="AJS22" s="5"/>
      <c r="AJT22" s="5"/>
      <c r="AJU22" s="5"/>
      <c r="AJV22" s="5"/>
      <c r="AJW22" s="5"/>
      <c r="AJX22" s="5"/>
      <c r="AJY22" s="5"/>
      <c r="AJZ22" s="5"/>
      <c r="AKA22" s="5"/>
      <c r="AKB22" s="5"/>
      <c r="AKC22" s="5"/>
      <c r="AKD22" s="5"/>
      <c r="AKE22" s="5"/>
      <c r="AKF22" s="5"/>
      <c r="AKG22" s="5"/>
      <c r="AKH22" s="5"/>
      <c r="AKI22" s="5"/>
      <c r="AKJ22" s="5"/>
      <c r="AKK22" s="5"/>
      <c r="AKL22" s="5"/>
      <c r="AKM22" s="5"/>
      <c r="AKN22" s="5"/>
      <c r="AKO22" s="5"/>
      <c r="AKP22" s="5"/>
      <c r="AKQ22" s="5"/>
      <c r="AKR22" s="5"/>
      <c r="AKS22" s="5"/>
      <c r="AKT22" s="5"/>
      <c r="AKU22" s="5"/>
      <c r="AKV22" s="5"/>
      <c r="AKW22" s="5"/>
      <c r="AKX22" s="5"/>
      <c r="AKY22" s="5"/>
      <c r="AKZ22" s="5"/>
      <c r="ALA22" s="5"/>
      <c r="ALB22" s="5"/>
      <c r="ALC22" s="5"/>
      <c r="ALD22" s="5"/>
      <c r="ALE22" s="5"/>
      <c r="ALF22" s="5"/>
      <c r="ALG22" s="5"/>
      <c r="ALH22" s="5"/>
      <c r="ALI22" s="5"/>
      <c r="ALJ22" s="5"/>
      <c r="ALK22" s="5"/>
      <c r="ALL22" s="5"/>
      <c r="ALM22" s="5"/>
      <c r="ALN22" s="5"/>
      <c r="ALO22" s="5"/>
      <c r="ALP22" s="5"/>
      <c r="ALQ22" s="5"/>
      <c r="ALR22" s="5"/>
      <c r="ALS22" s="5"/>
      <c r="ALT22" s="5"/>
      <c r="ALU22" s="5"/>
      <c r="ALV22" s="5"/>
      <c r="ALW22" s="5"/>
      <c r="ALX22" s="5"/>
      <c r="ALY22" s="5"/>
      <c r="ALZ22" s="5"/>
      <c r="AMA22" s="5"/>
      <c r="AMB22" s="5"/>
      <c r="AMC22" s="5"/>
      <c r="AMD22" s="5"/>
      <c r="AME22" s="5"/>
      <c r="AMF22" s="5"/>
      <c r="AMG22" s="5"/>
      <c r="AMH22" s="5"/>
      <c r="AMI22" s="5"/>
      <c r="AMJ22" s="5"/>
      <c r="AMK22" s="5"/>
      <c r="AML22" s="5"/>
      <c r="AMM22" s="5"/>
      <c r="AMN22" s="5"/>
      <c r="AMO22" s="5"/>
      <c r="AMP22" s="5"/>
      <c r="AMQ22" s="5"/>
      <c r="AMR22" s="5"/>
      <c r="AMS22" s="5"/>
      <c r="AMT22" s="5"/>
      <c r="AMU22" s="5"/>
      <c r="AMV22" s="5"/>
      <c r="AMW22" s="5"/>
      <c r="AMX22" s="5"/>
      <c r="AMY22" s="5"/>
      <c r="AMZ22" s="5"/>
      <c r="ANA22" s="5"/>
      <c r="ANB22" s="5"/>
      <c r="ANC22" s="5"/>
      <c r="AND22" s="5"/>
      <c r="ANE22" s="5"/>
      <c r="ANF22" s="5"/>
      <c r="ANG22" s="5"/>
      <c r="ANH22" s="5"/>
      <c r="ANI22" s="5"/>
      <c r="ANJ22" s="5"/>
      <c r="ANK22" s="5"/>
      <c r="ANL22" s="5"/>
      <c r="ANM22" s="5"/>
      <c r="ANN22" s="5"/>
      <c r="ANO22" s="5"/>
      <c r="ANP22" s="5"/>
      <c r="ANQ22" s="5"/>
      <c r="ANR22" s="5"/>
      <c r="ANS22" s="5"/>
      <c r="ANT22" s="5"/>
      <c r="ANU22" s="5"/>
      <c r="ANV22" s="5"/>
      <c r="ANW22" s="5"/>
      <c r="ANX22" s="5"/>
      <c r="ANY22" s="5"/>
      <c r="ANZ22" s="5"/>
      <c r="AOA22" s="5"/>
      <c r="AOB22" s="5"/>
      <c r="AOC22" s="5"/>
      <c r="AOD22" s="5"/>
      <c r="AOE22" s="5"/>
      <c r="AOF22" s="5"/>
      <c r="AOG22" s="5"/>
      <c r="AOH22" s="5"/>
      <c r="AOI22" s="5"/>
      <c r="AOJ22" s="5"/>
      <c r="AOK22" s="5"/>
      <c r="AOL22" s="5"/>
      <c r="AOM22" s="5"/>
      <c r="AON22" s="5"/>
      <c r="AOO22" s="5"/>
      <c r="AOP22" s="5"/>
      <c r="AOQ22" s="5"/>
      <c r="AOR22" s="5"/>
      <c r="AOS22" s="5"/>
      <c r="AOT22" s="5"/>
      <c r="AOU22" s="5"/>
      <c r="AOV22" s="5"/>
      <c r="AOW22" s="5"/>
      <c r="AOX22" s="5"/>
      <c r="AOY22" s="5"/>
      <c r="AOZ22" s="5"/>
      <c r="APA22" s="5"/>
      <c r="APB22" s="5"/>
      <c r="APC22" s="5"/>
      <c r="APD22" s="5"/>
      <c r="APE22" s="5"/>
      <c r="APF22" s="5"/>
      <c r="APG22" s="5"/>
      <c r="APH22" s="5"/>
      <c r="API22" s="5"/>
      <c r="APJ22" s="5"/>
      <c r="APK22" s="5"/>
      <c r="APL22" s="5"/>
      <c r="APM22" s="5"/>
      <c r="APN22" s="5"/>
      <c r="APO22" s="5"/>
      <c r="APP22" s="5"/>
      <c r="APQ22" s="5"/>
      <c r="APR22" s="5"/>
      <c r="APS22" s="5"/>
      <c r="APT22" s="5"/>
      <c r="APU22" s="5"/>
      <c r="APV22" s="5"/>
      <c r="APW22" s="5"/>
      <c r="APX22" s="5"/>
      <c r="APY22" s="5"/>
      <c r="APZ22" s="5"/>
      <c r="AQA22" s="5"/>
      <c r="AQB22" s="5"/>
      <c r="AQC22" s="5"/>
      <c r="AQD22" s="5"/>
      <c r="AQE22" s="5"/>
      <c r="AQF22" s="5"/>
      <c r="AQG22" s="5"/>
      <c r="AQH22" s="5"/>
      <c r="AQI22" s="5"/>
      <c r="AQJ22" s="5"/>
      <c r="AQK22" s="5"/>
      <c r="AQL22" s="5"/>
      <c r="AQM22" s="5"/>
      <c r="AQN22" s="5"/>
      <c r="AQO22" s="5"/>
      <c r="AQP22" s="5"/>
      <c r="AQQ22" s="5"/>
      <c r="AQR22" s="5"/>
      <c r="AQS22" s="5"/>
      <c r="AQT22" s="5"/>
      <c r="AQU22" s="5"/>
      <c r="AQV22" s="5"/>
      <c r="AQW22" s="5"/>
      <c r="AQX22" s="5"/>
      <c r="AQY22" s="5"/>
      <c r="AQZ22" s="5"/>
      <c r="ARA22" s="5"/>
      <c r="ARB22" s="5"/>
      <c r="ARC22" s="5"/>
      <c r="ARD22" s="5"/>
      <c r="ARE22" s="5"/>
      <c r="ARF22" s="5"/>
      <c r="ARG22" s="5"/>
      <c r="ARH22" s="5"/>
      <c r="ARI22" s="5"/>
      <c r="ARJ22" s="5"/>
      <c r="ARK22" s="5"/>
      <c r="ARL22" s="5"/>
      <c r="ARM22" s="5"/>
      <c r="ARN22" s="5"/>
      <c r="ARO22" s="5"/>
      <c r="ARP22" s="5"/>
      <c r="ARQ22" s="5"/>
      <c r="ARR22" s="5"/>
      <c r="ARS22" s="5"/>
      <c r="ART22" s="5"/>
      <c r="ARU22" s="5"/>
      <c r="ARV22" s="5"/>
      <c r="ARW22" s="5"/>
      <c r="ARX22" s="5"/>
      <c r="ARY22" s="5"/>
      <c r="ARZ22" s="5"/>
      <c r="ASA22" s="5"/>
      <c r="ASB22" s="5"/>
      <c r="ASC22" s="5"/>
      <c r="ASD22" s="5"/>
      <c r="ASE22" s="5"/>
      <c r="ASF22" s="5"/>
      <c r="ASG22" s="5"/>
      <c r="ASH22" s="5"/>
      <c r="ASI22" s="5"/>
      <c r="ASJ22" s="5"/>
      <c r="ASK22" s="5"/>
      <c r="ASL22" s="5"/>
      <c r="ASM22" s="5"/>
      <c r="ASN22" s="5"/>
      <c r="ASO22" s="5"/>
      <c r="ASP22" s="5"/>
      <c r="ASQ22" s="5"/>
      <c r="ASR22" s="5"/>
      <c r="ASS22" s="5"/>
      <c r="AST22" s="5"/>
      <c r="ASU22" s="5"/>
      <c r="ASV22" s="5"/>
      <c r="ASW22" s="5"/>
      <c r="ASX22" s="5"/>
      <c r="ASY22" s="5"/>
      <c r="ASZ22" s="5"/>
      <c r="ATA22" s="5"/>
      <c r="ATB22" s="5"/>
      <c r="ATC22" s="5"/>
      <c r="ATD22" s="5"/>
      <c r="ATE22" s="5"/>
      <c r="ATF22" s="5"/>
      <c r="ATG22" s="5"/>
      <c r="ATH22" s="5"/>
      <c r="ATI22" s="5"/>
      <c r="ATJ22" s="5"/>
      <c r="ATK22" s="5"/>
      <c r="ATL22" s="5"/>
      <c r="ATM22" s="5"/>
      <c r="ATN22" s="5"/>
      <c r="ATO22" s="5"/>
      <c r="ATP22" s="5"/>
      <c r="ATQ22" s="5"/>
      <c r="ATR22" s="5"/>
      <c r="ATS22" s="5"/>
      <c r="ATT22" s="5"/>
      <c r="ATU22" s="5"/>
      <c r="ATV22" s="5"/>
      <c r="ATW22" s="5"/>
      <c r="ATX22" s="5"/>
      <c r="ATY22" s="5"/>
      <c r="ATZ22" s="5"/>
      <c r="AUA22" s="5"/>
      <c r="AUB22" s="5"/>
      <c r="AUC22" s="5"/>
      <c r="AUD22" s="5"/>
      <c r="AUE22" s="5"/>
      <c r="AUF22" s="5"/>
      <c r="AUG22" s="5"/>
      <c r="AUH22" s="5"/>
      <c r="AUI22" s="5"/>
      <c r="AUJ22" s="5"/>
      <c r="AUK22" s="5"/>
      <c r="AUL22" s="5"/>
      <c r="AUM22" s="5"/>
      <c r="AUN22" s="5"/>
      <c r="AUO22" s="5"/>
      <c r="AUP22" s="5"/>
      <c r="AUQ22" s="5"/>
      <c r="AUR22" s="5"/>
      <c r="AUS22" s="5"/>
      <c r="AUT22" s="5"/>
      <c r="AUU22" s="5"/>
      <c r="AUV22" s="5"/>
      <c r="AUW22" s="5"/>
      <c r="AUX22" s="5"/>
      <c r="AUY22" s="5"/>
      <c r="AUZ22" s="5"/>
      <c r="AVA22" s="5"/>
      <c r="AVB22" s="5"/>
      <c r="AVC22" s="5"/>
      <c r="AVD22" s="5"/>
      <c r="AVE22" s="5"/>
      <c r="AVF22" s="5"/>
      <c r="AVG22" s="5"/>
      <c r="AVH22" s="5"/>
      <c r="AVI22" s="5"/>
      <c r="AVJ22" s="5"/>
      <c r="AVK22" s="5"/>
      <c r="AVL22" s="5"/>
      <c r="AVM22" s="5"/>
      <c r="AVN22" s="5"/>
      <c r="AVO22" s="5"/>
      <c r="AVP22" s="5"/>
      <c r="AVQ22" s="5"/>
      <c r="AVR22" s="5"/>
      <c r="AVS22" s="5"/>
      <c r="AVT22" s="5"/>
      <c r="AVU22" s="5"/>
      <c r="AVV22" s="5"/>
      <c r="AVW22" s="5"/>
      <c r="AVX22" s="5"/>
      <c r="AVY22" s="5"/>
      <c r="AVZ22" s="5"/>
      <c r="AWA22" s="5"/>
      <c r="AWB22" s="5"/>
      <c r="AWC22" s="5"/>
      <c r="AWD22" s="5"/>
      <c r="AWE22" s="5"/>
      <c r="AWF22" s="5"/>
      <c r="AWG22" s="5"/>
      <c r="AWH22" s="5"/>
      <c r="AWI22" s="5"/>
      <c r="AWJ22" s="5"/>
      <c r="AWK22" s="5"/>
      <c r="AWL22" s="5"/>
      <c r="AWM22" s="5"/>
      <c r="AWN22" s="5"/>
      <c r="AWO22" s="5"/>
      <c r="AWP22" s="5"/>
      <c r="AWQ22" s="5"/>
      <c r="AWR22" s="5"/>
      <c r="AWS22" s="5"/>
      <c r="AWT22" s="5"/>
      <c r="AWU22" s="5"/>
      <c r="AWV22" s="5"/>
      <c r="AWW22" s="5"/>
      <c r="AWX22" s="5"/>
      <c r="AWY22" s="5"/>
      <c r="AWZ22" s="5"/>
      <c r="AXA22" s="5"/>
      <c r="AXB22" s="5"/>
      <c r="AXC22" s="5"/>
      <c r="AXD22" s="5"/>
      <c r="AXE22" s="5"/>
      <c r="AXF22" s="5"/>
      <c r="AXG22" s="5"/>
      <c r="AXH22" s="5"/>
      <c r="AXI22" s="5"/>
      <c r="AXJ22" s="5"/>
      <c r="AXK22" s="5"/>
      <c r="AXL22" s="5"/>
      <c r="AXM22" s="5"/>
      <c r="AXN22" s="5"/>
      <c r="AXO22" s="5"/>
      <c r="AXP22" s="5"/>
      <c r="AXQ22" s="5"/>
      <c r="AXR22" s="5"/>
      <c r="AXS22" s="5"/>
      <c r="AXT22" s="5"/>
      <c r="AXU22" s="5"/>
      <c r="AXV22" s="5"/>
      <c r="AXW22" s="5"/>
      <c r="AXX22" s="5"/>
      <c r="AXY22" s="5"/>
      <c r="AXZ22" s="5"/>
      <c r="AYA22" s="5"/>
      <c r="AYB22" s="5"/>
      <c r="AYC22" s="5"/>
      <c r="AYD22" s="5"/>
      <c r="AYE22" s="5"/>
      <c r="AYF22" s="5"/>
      <c r="AYG22" s="5"/>
      <c r="AYH22" s="5"/>
      <c r="AYI22" s="5"/>
      <c r="AYJ22" s="5"/>
      <c r="AYK22" s="5"/>
      <c r="AYL22" s="5"/>
      <c r="AYM22" s="5"/>
      <c r="AYN22" s="5"/>
      <c r="AYO22" s="5"/>
      <c r="AYP22" s="5"/>
      <c r="AYQ22" s="5"/>
      <c r="AYR22" s="5"/>
      <c r="AYS22" s="5"/>
      <c r="AYT22" s="5"/>
      <c r="AYU22" s="5"/>
      <c r="AYV22" s="5"/>
      <c r="AYW22" s="5"/>
      <c r="AYX22" s="5"/>
      <c r="AYY22" s="5"/>
      <c r="AYZ22" s="5"/>
      <c r="AZA22" s="5"/>
      <c r="AZB22" s="5"/>
      <c r="AZC22" s="5"/>
      <c r="AZD22" s="5"/>
      <c r="AZE22" s="5"/>
      <c r="AZF22" s="5"/>
      <c r="AZG22" s="5"/>
      <c r="AZH22" s="5"/>
      <c r="AZI22" s="5"/>
      <c r="AZJ22" s="5"/>
      <c r="AZK22" s="5"/>
      <c r="AZL22" s="5"/>
      <c r="AZM22" s="5"/>
      <c r="AZN22" s="5"/>
      <c r="AZO22" s="5"/>
      <c r="AZP22" s="5"/>
      <c r="AZQ22" s="5"/>
      <c r="AZR22" s="5"/>
      <c r="AZS22" s="5"/>
      <c r="AZT22" s="5"/>
      <c r="AZU22" s="5"/>
      <c r="AZV22" s="5"/>
      <c r="AZW22" s="5"/>
      <c r="AZX22" s="5"/>
      <c r="AZY22" s="5"/>
      <c r="AZZ22" s="5"/>
      <c r="BAA22" s="5"/>
      <c r="BAB22" s="5"/>
      <c r="BAC22" s="5"/>
      <c r="BAD22" s="5"/>
      <c r="BAE22" s="5"/>
      <c r="BAF22" s="5"/>
      <c r="BAG22" s="5"/>
      <c r="BAH22" s="5"/>
      <c r="BAI22" s="5"/>
      <c r="BAJ22" s="5"/>
      <c r="BAK22" s="5"/>
      <c r="BAL22" s="5"/>
      <c r="BAM22" s="5"/>
      <c r="BAN22" s="5"/>
      <c r="BAO22" s="5"/>
      <c r="BAP22" s="5"/>
      <c r="BAQ22" s="5"/>
      <c r="BAR22" s="5"/>
      <c r="BAS22" s="5"/>
      <c r="BAT22" s="5"/>
      <c r="BAU22" s="5"/>
      <c r="BAV22" s="5"/>
      <c r="BAW22" s="5"/>
      <c r="BAX22" s="5"/>
      <c r="BAY22" s="5"/>
      <c r="BAZ22" s="5"/>
      <c r="BBA22" s="5"/>
      <c r="BBB22" s="5"/>
      <c r="BBC22" s="5"/>
      <c r="BBD22" s="5"/>
      <c r="BBE22" s="5"/>
      <c r="BBF22" s="5"/>
      <c r="BBG22" s="5"/>
      <c r="BBH22" s="5"/>
      <c r="BBI22" s="5"/>
      <c r="BBJ22" s="5"/>
      <c r="BBK22" s="5"/>
      <c r="BBL22" s="5"/>
      <c r="BBM22" s="5"/>
      <c r="BBN22" s="5"/>
      <c r="BBO22" s="5"/>
      <c r="BBP22" s="5"/>
      <c r="BBQ22" s="5"/>
      <c r="BBR22" s="5"/>
      <c r="BBS22" s="5"/>
      <c r="BBT22" s="5"/>
      <c r="BBU22" s="5"/>
      <c r="BBV22" s="5"/>
      <c r="BBW22" s="5"/>
      <c r="BBX22" s="5"/>
      <c r="BBY22" s="5"/>
      <c r="BBZ22" s="5"/>
      <c r="BCA22" s="5"/>
      <c r="BCB22" s="5"/>
      <c r="BCC22" s="5"/>
      <c r="BCD22" s="5"/>
      <c r="BCE22" s="5"/>
      <c r="BCF22" s="5"/>
      <c r="BCG22" s="5"/>
      <c r="BCH22" s="5"/>
      <c r="BCI22" s="5"/>
      <c r="BCJ22" s="5"/>
      <c r="BCK22" s="5"/>
      <c r="BCL22" s="5"/>
      <c r="BCM22" s="5"/>
      <c r="BCN22" s="5"/>
      <c r="BCO22" s="5"/>
      <c r="BCP22" s="5"/>
      <c r="BCQ22" s="5"/>
      <c r="BCR22" s="5"/>
      <c r="BCS22" s="5"/>
      <c r="BCT22" s="5"/>
      <c r="BCU22" s="5"/>
      <c r="BCV22" s="5"/>
      <c r="BCW22" s="5"/>
      <c r="BCX22" s="5"/>
      <c r="BCY22" s="5"/>
      <c r="BCZ22" s="5"/>
      <c r="BDA22" s="5"/>
      <c r="BDB22" s="5"/>
      <c r="BDC22" s="5"/>
      <c r="BDD22" s="5"/>
      <c r="BDE22" s="5"/>
      <c r="BDF22" s="5"/>
      <c r="BDG22" s="5"/>
      <c r="BDH22" s="5"/>
      <c r="BDI22" s="5"/>
      <c r="BDJ22" s="5"/>
      <c r="BDK22" s="5"/>
      <c r="BDL22" s="5"/>
      <c r="BDM22" s="5"/>
      <c r="BDN22" s="5"/>
      <c r="BDO22" s="5"/>
      <c r="BDP22" s="5"/>
      <c r="BDQ22" s="5"/>
      <c r="BDR22" s="5"/>
      <c r="BDS22" s="5"/>
      <c r="BDT22" s="5"/>
      <c r="BDU22" s="5"/>
      <c r="BDV22" s="5"/>
      <c r="BDW22" s="5"/>
      <c r="BDX22" s="5"/>
      <c r="BDY22" s="5"/>
      <c r="BDZ22" s="5"/>
      <c r="BEA22" s="5"/>
      <c r="BEB22" s="5"/>
      <c r="BEC22" s="5"/>
      <c r="BED22" s="5"/>
      <c r="BEE22" s="5"/>
      <c r="BEF22" s="5"/>
      <c r="BEG22" s="5"/>
      <c r="BEH22" s="5"/>
      <c r="BEI22" s="5"/>
      <c r="BEJ22" s="5"/>
      <c r="BEK22" s="5"/>
      <c r="BEL22" s="5"/>
      <c r="BEM22" s="5"/>
      <c r="BEN22" s="5"/>
      <c r="BEO22" s="5"/>
      <c r="BEP22" s="5"/>
      <c r="BEQ22" s="5"/>
      <c r="BER22" s="5"/>
      <c r="BES22" s="5"/>
      <c r="BET22" s="5"/>
      <c r="BEU22" s="5"/>
      <c r="BEV22" s="5"/>
      <c r="BEW22" s="5"/>
      <c r="BEX22" s="5"/>
      <c r="BEY22" s="5"/>
      <c r="BEZ22" s="5"/>
      <c r="BFA22" s="5"/>
      <c r="BFB22" s="5"/>
      <c r="BFC22" s="5"/>
      <c r="BFD22" s="5"/>
      <c r="BFE22" s="5"/>
      <c r="BFF22" s="5"/>
      <c r="BFG22" s="5"/>
      <c r="BFH22" s="5"/>
      <c r="BFI22" s="5"/>
      <c r="BFJ22" s="5"/>
      <c r="BFK22" s="5"/>
      <c r="BFL22" s="5"/>
      <c r="BFM22" s="5"/>
      <c r="BFN22" s="5"/>
      <c r="BFO22" s="5"/>
      <c r="BFP22" s="5"/>
      <c r="BFQ22" s="5"/>
      <c r="BFR22" s="5"/>
      <c r="BFS22" s="5"/>
      <c r="BFT22" s="5"/>
      <c r="BFU22" s="5"/>
      <c r="BFV22" s="5"/>
      <c r="BFW22" s="5"/>
      <c r="BFX22" s="5"/>
      <c r="BFY22" s="5"/>
      <c r="BFZ22" s="5"/>
      <c r="BGA22" s="5"/>
      <c r="BGB22" s="5"/>
      <c r="BGC22" s="5"/>
      <c r="BGD22" s="5"/>
      <c r="BGE22" s="5"/>
      <c r="BGF22" s="5"/>
      <c r="BGG22" s="5"/>
      <c r="BGH22" s="5"/>
      <c r="BGI22" s="5"/>
      <c r="BGJ22" s="5"/>
      <c r="BGK22" s="5"/>
      <c r="BGL22" s="5"/>
      <c r="BGM22" s="5"/>
      <c r="BGN22" s="5"/>
      <c r="BGO22" s="5"/>
      <c r="BGP22" s="5"/>
      <c r="BGQ22" s="5"/>
      <c r="BGR22" s="5"/>
      <c r="BGS22" s="5"/>
      <c r="BGT22" s="5"/>
      <c r="BGU22" s="5"/>
      <c r="BGV22" s="5"/>
      <c r="BGW22" s="5"/>
      <c r="BGX22" s="5"/>
      <c r="BGY22" s="5"/>
      <c r="BGZ22" s="5"/>
      <c r="BHA22" s="5"/>
      <c r="BHB22" s="5"/>
      <c r="BHC22" s="5"/>
      <c r="BHD22" s="5"/>
      <c r="BHE22" s="5"/>
      <c r="BHF22" s="5"/>
      <c r="BHG22" s="5"/>
      <c r="BHH22" s="5"/>
      <c r="BHI22" s="5"/>
      <c r="BHJ22" s="5"/>
      <c r="BHK22" s="5"/>
      <c r="BHL22" s="5"/>
      <c r="BHM22" s="5"/>
      <c r="BHN22" s="5"/>
      <c r="BHO22" s="5"/>
      <c r="BHP22" s="5"/>
      <c r="BHQ22" s="5"/>
      <c r="BHR22" s="5"/>
      <c r="BHS22" s="5"/>
      <c r="BHT22" s="5"/>
      <c r="BHU22" s="5"/>
      <c r="BHV22" s="5"/>
      <c r="BHW22" s="5"/>
      <c r="BHX22" s="5"/>
      <c r="BHY22" s="5"/>
      <c r="BHZ22" s="5"/>
      <c r="BIA22" s="5"/>
      <c r="BIB22" s="5"/>
      <c r="BIC22" s="5"/>
      <c r="BID22" s="5"/>
      <c r="BIE22" s="5"/>
      <c r="BIF22" s="5"/>
      <c r="BIG22" s="5"/>
      <c r="BIH22" s="5"/>
      <c r="BII22" s="5"/>
      <c r="BIJ22" s="5"/>
      <c r="BIK22" s="5"/>
      <c r="BIL22" s="5"/>
      <c r="BIM22" s="5"/>
      <c r="BIN22" s="5"/>
      <c r="BIO22" s="5"/>
      <c r="BIP22" s="5"/>
      <c r="BIQ22" s="5"/>
      <c r="BIR22" s="5"/>
      <c r="BIS22" s="5"/>
      <c r="BIT22" s="5"/>
      <c r="BIU22" s="5"/>
      <c r="BIV22" s="5"/>
      <c r="BIW22" s="5"/>
      <c r="BIX22" s="5"/>
      <c r="BIY22" s="5"/>
      <c r="BIZ22" s="5"/>
      <c r="BJA22" s="5"/>
      <c r="BJB22" s="5"/>
      <c r="BJC22" s="5"/>
      <c r="BJD22" s="5"/>
      <c r="BJE22" s="5"/>
      <c r="BJF22" s="5"/>
      <c r="BJG22" s="5"/>
      <c r="BJH22" s="5"/>
      <c r="BJI22" s="5"/>
      <c r="BJJ22" s="5"/>
      <c r="BJK22" s="5"/>
      <c r="BJL22" s="5"/>
      <c r="BJM22" s="5"/>
      <c r="BJN22" s="5"/>
      <c r="BJO22" s="5"/>
      <c r="BJP22" s="5"/>
      <c r="BJQ22" s="5"/>
      <c r="BJR22" s="5"/>
      <c r="BJS22" s="5"/>
      <c r="BJT22" s="5"/>
      <c r="BJU22" s="5"/>
      <c r="BJV22" s="5"/>
      <c r="BJW22" s="5"/>
      <c r="BJX22" s="5"/>
      <c r="BJY22" s="5"/>
      <c r="BJZ22" s="5"/>
      <c r="BKA22" s="5"/>
      <c r="BKB22" s="5"/>
      <c r="BKC22" s="5"/>
      <c r="BKD22" s="5"/>
      <c r="BKE22" s="5"/>
      <c r="BKF22" s="5"/>
      <c r="BKG22" s="5"/>
      <c r="BKH22" s="5"/>
      <c r="BKI22" s="5"/>
      <c r="BKJ22" s="5"/>
      <c r="BKK22" s="5"/>
      <c r="BKL22" s="5"/>
      <c r="BKM22" s="5"/>
      <c r="BKN22" s="5"/>
      <c r="BKO22" s="5"/>
      <c r="BKP22" s="5"/>
      <c r="BKQ22" s="5"/>
      <c r="BKR22" s="5"/>
      <c r="BKS22" s="5"/>
      <c r="BKT22" s="5"/>
      <c r="BKU22" s="5"/>
      <c r="BKV22" s="5"/>
      <c r="BKW22" s="5"/>
      <c r="BKX22" s="5"/>
      <c r="BKY22" s="5"/>
      <c r="BKZ22" s="5"/>
      <c r="BLA22" s="5"/>
      <c r="BLB22" s="5"/>
      <c r="BLC22" s="5"/>
      <c r="BLD22" s="5"/>
      <c r="BLE22" s="5"/>
      <c r="BLF22" s="5"/>
      <c r="BLG22" s="5"/>
      <c r="BLH22" s="5"/>
      <c r="BLI22" s="5"/>
      <c r="BLJ22" s="5"/>
      <c r="BLK22" s="5"/>
      <c r="BLL22" s="5"/>
      <c r="BLM22" s="5"/>
      <c r="BLN22" s="5"/>
      <c r="BLO22" s="5"/>
      <c r="BLP22" s="5"/>
      <c r="BLQ22" s="5"/>
      <c r="BLR22" s="5"/>
      <c r="BLS22" s="5"/>
      <c r="BLT22" s="5"/>
      <c r="BLU22" s="5"/>
      <c r="BLV22" s="5"/>
      <c r="BLW22" s="5"/>
      <c r="BLX22" s="5"/>
      <c r="BLY22" s="5"/>
      <c r="BLZ22" s="5"/>
      <c r="BMA22" s="5"/>
      <c r="BMB22" s="5"/>
      <c r="BMC22" s="5"/>
      <c r="BMD22" s="5"/>
      <c r="BME22" s="5"/>
      <c r="BMF22" s="5"/>
      <c r="BMG22" s="5"/>
      <c r="BMH22" s="5"/>
      <c r="BMI22" s="5"/>
      <c r="BMJ22" s="5"/>
      <c r="BMK22" s="5"/>
      <c r="BML22" s="5"/>
      <c r="BMM22" s="5"/>
      <c r="BMN22" s="5"/>
      <c r="BMO22" s="5"/>
      <c r="BMP22" s="5"/>
      <c r="BMQ22" s="5"/>
      <c r="BMR22" s="5"/>
      <c r="BMS22" s="5"/>
      <c r="BMT22" s="5"/>
      <c r="BMU22" s="5"/>
      <c r="BMV22" s="5"/>
      <c r="BMW22" s="5"/>
      <c r="BMX22" s="5"/>
      <c r="BMY22" s="5"/>
      <c r="BMZ22" s="5"/>
      <c r="BNA22" s="5"/>
      <c r="BNB22" s="5"/>
      <c r="BNC22" s="5"/>
      <c r="BND22" s="5"/>
      <c r="BNE22" s="5"/>
      <c r="BNF22" s="5"/>
      <c r="BNG22" s="5"/>
      <c r="BNH22" s="5"/>
      <c r="BNI22" s="5"/>
      <c r="BNJ22" s="5"/>
      <c r="BNK22" s="5"/>
      <c r="BNL22" s="5"/>
      <c r="BNM22" s="5"/>
      <c r="BNN22" s="5"/>
      <c r="BNO22" s="5"/>
      <c r="BNP22" s="5"/>
      <c r="BNQ22" s="5"/>
      <c r="BNR22" s="5"/>
      <c r="BNS22" s="5"/>
      <c r="BNT22" s="5"/>
      <c r="BNU22" s="5"/>
      <c r="BNV22" s="5"/>
      <c r="BNW22" s="5"/>
      <c r="BNX22" s="5"/>
      <c r="BNY22" s="5"/>
      <c r="BNZ22" s="5"/>
      <c r="BOA22" s="5"/>
      <c r="BOB22" s="5"/>
      <c r="BOC22" s="5"/>
      <c r="BOD22" s="5"/>
      <c r="BOE22" s="5"/>
      <c r="BOF22" s="5"/>
      <c r="BOG22" s="5"/>
      <c r="BOH22" s="5"/>
      <c r="BOI22" s="5"/>
      <c r="BOJ22" s="5"/>
      <c r="BOK22" s="5"/>
      <c r="BOL22" s="5"/>
      <c r="BOM22" s="5"/>
      <c r="BON22" s="5"/>
      <c r="BOO22" s="5"/>
      <c r="BOP22" s="5"/>
      <c r="BOQ22" s="5"/>
      <c r="BOR22" s="5"/>
      <c r="BOS22" s="5"/>
      <c r="BOT22" s="5"/>
      <c r="BOU22" s="5"/>
      <c r="BOV22" s="5"/>
      <c r="BOW22" s="5"/>
      <c r="BOX22" s="5"/>
      <c r="BOY22" s="5"/>
      <c r="BOZ22" s="5"/>
      <c r="BPA22" s="5"/>
      <c r="BPB22" s="5"/>
      <c r="BPC22" s="5"/>
      <c r="BPD22" s="5"/>
      <c r="BPE22" s="5"/>
      <c r="BPF22" s="5"/>
      <c r="BPG22" s="5"/>
      <c r="BPH22" s="5"/>
      <c r="BPI22" s="5"/>
      <c r="BPJ22" s="5"/>
      <c r="BPK22" s="5"/>
      <c r="BPL22" s="5"/>
      <c r="BPM22" s="5"/>
      <c r="BPN22" s="5"/>
      <c r="BPO22" s="5"/>
      <c r="BPP22" s="5"/>
      <c r="BPQ22" s="5"/>
      <c r="BPR22" s="5"/>
      <c r="BPS22" s="5"/>
      <c r="BPT22" s="5"/>
      <c r="BPU22" s="5"/>
      <c r="BPV22" s="5"/>
      <c r="BPW22" s="5"/>
      <c r="BPX22" s="5"/>
      <c r="BPY22" s="5"/>
      <c r="BPZ22" s="5"/>
      <c r="BQA22" s="5"/>
      <c r="BQB22" s="5"/>
      <c r="BQC22" s="5"/>
      <c r="BQD22" s="5"/>
      <c r="BQE22" s="5"/>
      <c r="BQF22" s="5"/>
      <c r="BQG22" s="5"/>
      <c r="BQH22" s="5"/>
      <c r="BQI22" s="5"/>
      <c r="BQJ22" s="5"/>
      <c r="BQK22" s="5"/>
      <c r="BQL22" s="5"/>
      <c r="BQM22" s="5"/>
      <c r="BQN22" s="5"/>
      <c r="BQO22" s="5"/>
      <c r="BQP22" s="5"/>
      <c r="BQQ22" s="5"/>
      <c r="BQR22" s="5"/>
      <c r="BQS22" s="5"/>
      <c r="BQT22" s="5"/>
      <c r="BQU22" s="5"/>
      <c r="BQV22" s="5"/>
      <c r="BQW22" s="5"/>
      <c r="BQX22" s="5"/>
      <c r="BQY22" s="5"/>
      <c r="BQZ22" s="5"/>
      <c r="BRA22" s="5"/>
      <c r="BRB22" s="5"/>
      <c r="BRC22" s="5"/>
      <c r="BRD22" s="5"/>
      <c r="BRE22" s="5"/>
      <c r="BRF22" s="5"/>
      <c r="BRG22" s="5"/>
      <c r="BRH22" s="5"/>
      <c r="BRI22" s="5"/>
      <c r="BRJ22" s="5"/>
      <c r="BRK22" s="5"/>
      <c r="BRL22" s="5"/>
      <c r="BRM22" s="5"/>
      <c r="BRN22" s="5"/>
      <c r="BRO22" s="5"/>
      <c r="BRP22" s="5"/>
      <c r="BRQ22" s="5"/>
      <c r="BRR22" s="5"/>
      <c r="BRS22" s="5"/>
      <c r="BRT22" s="5"/>
      <c r="BRU22" s="5"/>
      <c r="BRV22" s="5"/>
      <c r="BRW22" s="5"/>
      <c r="BRX22" s="5"/>
      <c r="BRY22" s="5"/>
      <c r="BRZ22" s="5"/>
      <c r="BSA22" s="5"/>
      <c r="BSB22" s="5"/>
      <c r="BSC22" s="5"/>
      <c r="BSD22" s="5"/>
      <c r="BSE22" s="5"/>
      <c r="BSF22" s="5"/>
      <c r="BSG22" s="5"/>
      <c r="BSH22" s="5"/>
      <c r="BSI22" s="5"/>
      <c r="BSJ22" s="5"/>
      <c r="BSK22" s="5"/>
      <c r="BSL22" s="5"/>
      <c r="BSM22" s="5"/>
      <c r="BSN22" s="5"/>
      <c r="BSO22" s="5"/>
      <c r="BSP22" s="5"/>
      <c r="BSQ22" s="5"/>
      <c r="BSR22" s="5"/>
      <c r="BSS22" s="5"/>
      <c r="BST22" s="5"/>
      <c r="BSU22" s="5"/>
      <c r="BSV22" s="5"/>
      <c r="BSW22" s="5"/>
      <c r="BSX22" s="5"/>
      <c r="BSY22" s="5"/>
      <c r="BSZ22" s="5"/>
      <c r="BTA22" s="5"/>
      <c r="BTB22" s="5"/>
      <c r="BTC22" s="5"/>
      <c r="BTD22" s="5"/>
      <c r="BTE22" s="5"/>
      <c r="BTF22" s="5"/>
      <c r="BTG22" s="5"/>
      <c r="BTH22" s="5"/>
      <c r="BTI22" s="5"/>
      <c r="BTJ22" s="5"/>
      <c r="BTK22" s="5"/>
      <c r="BTL22" s="5"/>
      <c r="BTM22" s="5"/>
      <c r="BTN22" s="5"/>
      <c r="BTO22" s="5"/>
      <c r="BTP22" s="5"/>
      <c r="BTQ22" s="5"/>
      <c r="BTR22" s="5"/>
      <c r="BTS22" s="5"/>
      <c r="BTT22" s="5"/>
      <c r="BTU22" s="5"/>
      <c r="BTV22" s="5"/>
      <c r="BTW22" s="5"/>
      <c r="BTX22" s="5"/>
      <c r="BTY22" s="5"/>
      <c r="BTZ22" s="5"/>
      <c r="BUA22" s="5"/>
      <c r="BUB22" s="5"/>
      <c r="BUC22" s="5"/>
      <c r="BUD22" s="5"/>
      <c r="BUE22" s="5"/>
      <c r="BUF22" s="5"/>
      <c r="BUG22" s="5"/>
      <c r="BUH22" s="5"/>
      <c r="BUI22" s="5"/>
      <c r="BUJ22" s="5"/>
      <c r="BUK22" s="5"/>
      <c r="BUL22" s="5"/>
      <c r="BUM22" s="5"/>
      <c r="BUN22" s="5"/>
      <c r="BUO22" s="5"/>
      <c r="BUP22" s="5"/>
      <c r="BUQ22" s="5"/>
      <c r="BUR22" s="5"/>
      <c r="BUS22" s="5"/>
      <c r="BUT22" s="5"/>
      <c r="BUU22" s="5"/>
      <c r="BUV22" s="5"/>
      <c r="BUW22" s="5"/>
      <c r="BUX22" s="5"/>
      <c r="BUY22" s="5"/>
      <c r="BUZ22" s="5"/>
      <c r="BVA22" s="5"/>
      <c r="BVB22" s="5"/>
      <c r="BVC22" s="5"/>
      <c r="BVD22" s="5"/>
      <c r="BVE22" s="5"/>
      <c r="BVF22" s="5"/>
      <c r="BVG22" s="5"/>
      <c r="BVH22" s="5"/>
      <c r="BVI22" s="5"/>
      <c r="BVJ22" s="5"/>
      <c r="BVK22" s="5"/>
      <c r="BVL22" s="5"/>
      <c r="BVM22" s="5"/>
      <c r="BVN22" s="5"/>
      <c r="BVO22" s="5"/>
      <c r="BVP22" s="5"/>
      <c r="BVQ22" s="5"/>
      <c r="BVR22" s="5"/>
      <c r="BVS22" s="5"/>
      <c r="BVT22" s="5"/>
      <c r="BVU22" s="5"/>
      <c r="BVV22" s="5"/>
      <c r="BVW22" s="5"/>
      <c r="BVX22" s="5"/>
      <c r="BVY22" s="5"/>
      <c r="BVZ22" s="5"/>
      <c r="BWA22" s="5"/>
      <c r="BWB22" s="5"/>
      <c r="BWC22" s="5"/>
      <c r="BWD22" s="5"/>
      <c r="BWE22" s="5"/>
      <c r="BWF22" s="5"/>
      <c r="BWG22" s="5"/>
      <c r="BWH22" s="5"/>
      <c r="BWI22" s="5"/>
      <c r="BWJ22" s="5"/>
      <c r="BWK22" s="5"/>
      <c r="BWL22" s="5"/>
      <c r="BWM22" s="5"/>
      <c r="BWN22" s="5"/>
      <c r="BWO22" s="5"/>
      <c r="BWP22" s="5"/>
      <c r="BWQ22" s="5"/>
      <c r="BWR22" s="5"/>
      <c r="BWS22" s="5"/>
      <c r="BWT22" s="5"/>
      <c r="BWU22" s="5"/>
      <c r="BWV22" s="5"/>
      <c r="BWW22" s="5"/>
      <c r="BWX22" s="5"/>
      <c r="BWY22" s="5"/>
      <c r="BWZ22" s="5"/>
      <c r="BXA22" s="5"/>
      <c r="BXB22" s="5"/>
      <c r="BXC22" s="5"/>
      <c r="BXD22" s="5"/>
      <c r="BXE22" s="5"/>
      <c r="BXF22" s="5"/>
      <c r="BXG22" s="5"/>
      <c r="BXH22" s="5"/>
      <c r="BXI22" s="5"/>
      <c r="BXJ22" s="5"/>
      <c r="BXK22" s="5"/>
      <c r="BXL22" s="5"/>
      <c r="BXM22" s="5"/>
      <c r="BXN22" s="5"/>
      <c r="BXO22" s="5"/>
      <c r="BXP22" s="5"/>
      <c r="BXQ22" s="5"/>
      <c r="BXR22" s="5"/>
      <c r="BXS22" s="5"/>
      <c r="BXT22" s="5"/>
      <c r="BXU22" s="5"/>
      <c r="BXV22" s="5"/>
      <c r="BXW22" s="5"/>
      <c r="BXX22" s="5"/>
      <c r="BXY22" s="5"/>
      <c r="BXZ22" s="5"/>
      <c r="BYA22" s="5"/>
      <c r="BYB22" s="5"/>
      <c r="BYC22" s="5"/>
      <c r="BYD22" s="5"/>
      <c r="BYE22" s="5"/>
      <c r="BYF22" s="5"/>
      <c r="BYG22" s="5"/>
      <c r="BYH22" s="5"/>
      <c r="BYI22" s="5"/>
      <c r="BYJ22" s="5"/>
      <c r="BYK22" s="5"/>
      <c r="BYL22" s="5"/>
      <c r="BYM22" s="5"/>
      <c r="BYN22" s="5"/>
      <c r="BYO22" s="5"/>
      <c r="BYP22" s="5"/>
      <c r="BYQ22" s="5"/>
      <c r="BYR22" s="5"/>
      <c r="BYS22" s="5"/>
      <c r="BYT22" s="5"/>
      <c r="BYU22" s="5"/>
      <c r="BYV22" s="5"/>
      <c r="BYW22" s="5"/>
      <c r="BYX22" s="5"/>
      <c r="BYY22" s="5"/>
      <c r="BYZ22" s="5"/>
      <c r="BZA22" s="5"/>
      <c r="BZB22" s="5"/>
      <c r="BZC22" s="5"/>
      <c r="BZD22" s="5"/>
      <c r="BZE22" s="5"/>
      <c r="BZF22" s="5"/>
      <c r="BZG22" s="5"/>
      <c r="BZH22" s="5"/>
      <c r="BZI22" s="5"/>
      <c r="BZJ22" s="5"/>
      <c r="BZK22" s="5"/>
      <c r="BZL22" s="5"/>
      <c r="BZM22" s="5"/>
      <c r="BZN22" s="5"/>
      <c r="BZO22" s="5"/>
      <c r="BZP22" s="5"/>
      <c r="BZQ22" s="5"/>
      <c r="BZR22" s="5"/>
      <c r="BZS22" s="5"/>
      <c r="BZT22" s="5"/>
      <c r="BZU22" s="5"/>
      <c r="BZV22" s="5"/>
      <c r="BZW22" s="5"/>
      <c r="BZX22" s="5"/>
      <c r="BZY22" s="5"/>
      <c r="BZZ22" s="5"/>
      <c r="CAA22" s="5"/>
      <c r="CAB22" s="5"/>
      <c r="CAC22" s="5"/>
      <c r="CAD22" s="5"/>
      <c r="CAE22" s="5"/>
      <c r="CAF22" s="5"/>
      <c r="CAG22" s="5"/>
      <c r="CAH22" s="5"/>
      <c r="CAI22" s="5"/>
      <c r="CAJ22" s="5"/>
      <c r="CAK22" s="5"/>
      <c r="CAL22" s="5"/>
      <c r="CAM22" s="5"/>
      <c r="CAN22" s="5"/>
      <c r="CAO22" s="5"/>
      <c r="CAP22" s="5"/>
      <c r="CAQ22" s="5"/>
      <c r="CAR22" s="5"/>
      <c r="CAS22" s="5"/>
      <c r="CAT22" s="5"/>
      <c r="CAU22" s="5"/>
      <c r="CAV22" s="5"/>
      <c r="CAW22" s="5"/>
      <c r="CAX22" s="5"/>
      <c r="CAY22" s="5"/>
      <c r="CAZ22" s="5"/>
      <c r="CBA22" s="5"/>
      <c r="CBB22" s="5"/>
      <c r="CBC22" s="5"/>
      <c r="CBD22" s="5"/>
      <c r="CBE22" s="5"/>
      <c r="CBF22" s="5"/>
      <c r="CBG22" s="5"/>
      <c r="CBH22" s="5"/>
      <c r="CBI22" s="5"/>
      <c r="CBJ22" s="5"/>
      <c r="CBK22" s="5"/>
      <c r="CBL22" s="5"/>
      <c r="CBM22" s="5"/>
      <c r="CBN22" s="5"/>
      <c r="CBO22" s="5"/>
      <c r="CBP22" s="5"/>
      <c r="CBQ22" s="5"/>
      <c r="CBR22" s="5"/>
      <c r="CBS22" s="5"/>
      <c r="CBT22" s="5"/>
      <c r="CBU22" s="5"/>
      <c r="CBV22" s="5"/>
      <c r="CBW22" s="5"/>
      <c r="CBX22" s="5"/>
      <c r="CBY22" s="5"/>
      <c r="CBZ22" s="5"/>
      <c r="CCA22" s="5"/>
      <c r="CCB22" s="5"/>
      <c r="CCC22" s="5"/>
      <c r="CCD22" s="5"/>
      <c r="CCE22" s="5"/>
      <c r="CCF22" s="5"/>
      <c r="CCG22" s="5"/>
      <c r="CCH22" s="5"/>
      <c r="CCI22" s="5"/>
      <c r="CCJ22" s="5"/>
      <c r="CCK22" s="5"/>
      <c r="CCL22" s="5"/>
      <c r="CCM22" s="5"/>
      <c r="CCN22" s="5"/>
      <c r="CCO22" s="5"/>
      <c r="CCP22" s="5"/>
      <c r="CCQ22" s="5"/>
      <c r="CCR22" s="5"/>
      <c r="CCS22" s="5"/>
      <c r="CCT22" s="5"/>
      <c r="CCU22" s="5"/>
      <c r="CCV22" s="5"/>
      <c r="CCW22" s="5"/>
      <c r="CCX22" s="5"/>
      <c r="CCY22" s="5"/>
      <c r="CCZ22" s="5"/>
      <c r="CDA22" s="5"/>
      <c r="CDB22" s="5"/>
      <c r="CDC22" s="5"/>
      <c r="CDD22" s="5"/>
      <c r="CDE22" s="5"/>
      <c r="CDF22" s="5"/>
      <c r="CDG22" s="5"/>
      <c r="CDH22" s="5"/>
      <c r="CDI22" s="5"/>
      <c r="CDJ22" s="5"/>
      <c r="CDK22" s="5"/>
      <c r="CDL22" s="5"/>
      <c r="CDM22" s="5"/>
      <c r="CDN22" s="5"/>
      <c r="CDO22" s="5"/>
      <c r="CDP22" s="5"/>
      <c r="CDQ22" s="5"/>
      <c r="CDR22" s="5"/>
      <c r="CDS22" s="5"/>
      <c r="CDT22" s="5"/>
      <c r="CDU22" s="5"/>
      <c r="CDV22" s="5"/>
      <c r="CDW22" s="5"/>
      <c r="CDX22" s="5"/>
      <c r="CDY22" s="5"/>
      <c r="CDZ22" s="5"/>
      <c r="CEA22" s="5"/>
      <c r="CEB22" s="5"/>
      <c r="CEC22" s="5"/>
      <c r="CED22" s="5"/>
      <c r="CEE22" s="5"/>
      <c r="CEF22" s="5"/>
      <c r="CEG22" s="5"/>
      <c r="CEH22" s="5"/>
      <c r="CEI22" s="5"/>
      <c r="CEJ22" s="5"/>
      <c r="CEK22" s="5"/>
      <c r="CEL22" s="5"/>
      <c r="CEM22" s="5"/>
      <c r="CEN22" s="5"/>
      <c r="CEO22" s="5"/>
      <c r="CEP22" s="5"/>
      <c r="CEQ22" s="5"/>
      <c r="CER22" s="5"/>
      <c r="CES22" s="5"/>
      <c r="CET22" s="5"/>
      <c r="CEU22" s="5"/>
      <c r="CEV22" s="5"/>
      <c r="CEW22" s="5"/>
      <c r="CEX22" s="5"/>
      <c r="CEY22" s="5"/>
      <c r="CEZ22" s="5"/>
      <c r="CFA22" s="5"/>
      <c r="CFB22" s="5"/>
      <c r="CFC22" s="5"/>
      <c r="CFD22" s="5"/>
      <c r="CFE22" s="5"/>
      <c r="CFF22" s="5"/>
      <c r="CFG22" s="5"/>
      <c r="CFH22" s="5"/>
      <c r="CFI22" s="5"/>
      <c r="CFJ22" s="5"/>
      <c r="CFK22" s="5"/>
      <c r="CFL22" s="5"/>
      <c r="CFM22" s="5"/>
      <c r="CFN22" s="5"/>
      <c r="CFO22" s="5"/>
      <c r="CFP22" s="5"/>
      <c r="CFQ22" s="5"/>
      <c r="CFR22" s="5"/>
      <c r="CFS22" s="5"/>
      <c r="CFT22" s="5"/>
      <c r="CFU22" s="5"/>
      <c r="CFV22" s="5"/>
      <c r="CFW22" s="5"/>
      <c r="CFX22" s="5"/>
      <c r="CFY22" s="5"/>
      <c r="CFZ22" s="5"/>
      <c r="CGA22" s="5"/>
      <c r="CGB22" s="5"/>
      <c r="CGC22" s="5"/>
      <c r="CGD22" s="5"/>
      <c r="CGE22" s="5"/>
      <c r="CGF22" s="5"/>
      <c r="CGG22" s="5"/>
      <c r="CGH22" s="5"/>
      <c r="CGI22" s="5"/>
      <c r="CGJ22" s="5"/>
      <c r="CGK22" s="5"/>
      <c r="CGL22" s="5"/>
      <c r="CGM22" s="5"/>
      <c r="CGN22" s="5"/>
      <c r="CGO22" s="5"/>
      <c r="CGP22" s="5"/>
      <c r="CGQ22" s="5"/>
      <c r="CGR22" s="5"/>
      <c r="CGS22" s="5"/>
      <c r="CGT22" s="5"/>
      <c r="CGU22" s="5"/>
      <c r="CGV22" s="5"/>
      <c r="CGW22" s="5"/>
      <c r="CGX22" s="5"/>
      <c r="CGY22" s="5"/>
      <c r="CGZ22" s="5"/>
      <c r="CHA22" s="5"/>
      <c r="CHB22" s="5"/>
      <c r="CHC22" s="5"/>
      <c r="CHD22" s="5"/>
      <c r="CHE22" s="5"/>
      <c r="CHF22" s="5"/>
      <c r="CHG22" s="5"/>
      <c r="CHH22" s="5"/>
      <c r="CHI22" s="5"/>
      <c r="CHJ22" s="5"/>
      <c r="CHK22" s="5"/>
      <c r="CHL22" s="5"/>
      <c r="CHM22" s="5"/>
      <c r="CHN22" s="5"/>
      <c r="CHO22" s="5"/>
      <c r="CHP22" s="5"/>
      <c r="CHQ22" s="5"/>
      <c r="CHR22" s="5"/>
      <c r="CHS22" s="5"/>
      <c r="CHT22" s="5"/>
      <c r="CHU22" s="5"/>
      <c r="CHV22" s="5"/>
      <c r="CHW22" s="5"/>
      <c r="CHX22" s="5"/>
      <c r="CHY22" s="5"/>
      <c r="CHZ22" s="5"/>
      <c r="CIA22" s="5"/>
      <c r="CIB22" s="5"/>
      <c r="CIC22" s="5"/>
      <c r="CID22" s="5"/>
      <c r="CIE22" s="5"/>
      <c r="CIF22" s="5"/>
      <c r="CIG22" s="5"/>
      <c r="CIH22" s="5"/>
      <c r="CII22" s="5"/>
      <c r="CIJ22" s="5"/>
      <c r="CIK22" s="5"/>
      <c r="CIL22" s="5"/>
      <c r="CIM22" s="5"/>
      <c r="CIN22" s="5"/>
      <c r="CIO22" s="5"/>
      <c r="CIP22" s="5"/>
      <c r="CIQ22" s="5"/>
      <c r="CIR22" s="5"/>
      <c r="CIS22" s="5"/>
      <c r="CIT22" s="5"/>
      <c r="CIU22" s="5"/>
      <c r="CIV22" s="5"/>
      <c r="CIW22" s="5"/>
      <c r="CIX22" s="5"/>
      <c r="CIY22" s="5"/>
      <c r="CIZ22" s="5"/>
      <c r="CJA22" s="5"/>
      <c r="CJB22" s="5"/>
      <c r="CJC22" s="5"/>
      <c r="CJD22" s="5"/>
      <c r="CJE22" s="5"/>
      <c r="CJF22" s="5"/>
      <c r="CJG22" s="5"/>
      <c r="CJH22" s="5"/>
      <c r="CJI22" s="5"/>
      <c r="CJJ22" s="5"/>
      <c r="CJK22" s="5"/>
      <c r="CJL22" s="5"/>
      <c r="CJM22" s="5"/>
      <c r="CJN22" s="5"/>
      <c r="CJO22" s="5"/>
      <c r="CJP22" s="5"/>
      <c r="CJQ22" s="5"/>
      <c r="CJR22" s="5"/>
      <c r="CJS22" s="5"/>
      <c r="CJT22" s="5"/>
      <c r="CJU22" s="5"/>
      <c r="CJV22" s="5"/>
      <c r="CJW22" s="5"/>
      <c r="CJX22" s="5"/>
      <c r="CJY22" s="5"/>
      <c r="CJZ22" s="5"/>
      <c r="CKA22" s="5"/>
      <c r="CKB22" s="5"/>
      <c r="CKC22" s="5"/>
      <c r="CKD22" s="5"/>
      <c r="CKE22" s="5"/>
      <c r="CKF22" s="5"/>
      <c r="CKG22" s="5"/>
      <c r="CKH22" s="5"/>
      <c r="CKI22" s="5"/>
      <c r="CKJ22" s="5"/>
      <c r="CKK22" s="5"/>
      <c r="CKL22" s="5"/>
      <c r="CKM22" s="5"/>
      <c r="CKN22" s="5"/>
      <c r="CKO22" s="5"/>
      <c r="CKP22" s="5"/>
      <c r="CKQ22" s="5"/>
      <c r="CKR22" s="5"/>
      <c r="CKS22" s="5"/>
      <c r="CKT22" s="5"/>
      <c r="CKU22" s="5"/>
      <c r="CKV22" s="5"/>
      <c r="CKW22" s="5"/>
      <c r="CKX22" s="5"/>
      <c r="CKY22" s="5"/>
      <c r="CKZ22" s="5"/>
      <c r="CLA22" s="5"/>
      <c r="CLB22" s="5"/>
      <c r="CLC22" s="5"/>
      <c r="CLD22" s="5"/>
      <c r="CLE22" s="5"/>
      <c r="CLF22" s="5"/>
      <c r="CLG22" s="5"/>
      <c r="CLH22" s="5"/>
      <c r="CLI22" s="5"/>
      <c r="CLJ22" s="5"/>
      <c r="CLK22" s="5"/>
      <c r="CLL22" s="5"/>
      <c r="CLM22" s="5"/>
      <c r="CLN22" s="5"/>
      <c r="CLO22" s="5"/>
      <c r="CLP22" s="5"/>
      <c r="CLQ22" s="5"/>
      <c r="CLR22" s="5"/>
      <c r="CLS22" s="5"/>
      <c r="CLT22" s="5"/>
      <c r="CLU22" s="5"/>
      <c r="CLV22" s="5"/>
      <c r="CLW22" s="5"/>
      <c r="CLX22" s="5"/>
      <c r="CLY22" s="5"/>
      <c r="CLZ22" s="5"/>
      <c r="CMA22" s="5"/>
      <c r="CMB22" s="5"/>
      <c r="CMC22" s="5"/>
      <c r="CMD22" s="5"/>
      <c r="CME22" s="5"/>
      <c r="CMF22" s="5"/>
      <c r="CMG22" s="5"/>
      <c r="CMH22" s="5"/>
      <c r="CMI22" s="5"/>
      <c r="CMJ22" s="5"/>
      <c r="CMK22" s="5"/>
      <c r="CML22" s="5"/>
      <c r="CMM22" s="5"/>
      <c r="CMN22" s="5"/>
      <c r="CMO22" s="5"/>
      <c r="CMP22" s="5"/>
      <c r="CMQ22" s="5"/>
      <c r="CMR22" s="5"/>
      <c r="CMS22" s="5"/>
      <c r="CMT22" s="5"/>
      <c r="CMU22" s="5"/>
      <c r="CMV22" s="5"/>
      <c r="CMW22" s="5"/>
      <c r="CMX22" s="5"/>
      <c r="CMY22" s="5"/>
      <c r="CMZ22" s="5"/>
      <c r="CNA22" s="5"/>
      <c r="CNB22" s="5"/>
      <c r="CNC22" s="5"/>
      <c r="CND22" s="5"/>
      <c r="CNE22" s="5"/>
      <c r="CNF22" s="5"/>
      <c r="CNG22" s="5"/>
      <c r="CNH22" s="5"/>
      <c r="CNI22" s="5"/>
      <c r="CNJ22" s="5"/>
      <c r="CNK22" s="5"/>
      <c r="CNL22" s="5"/>
      <c r="CNM22" s="5"/>
      <c r="CNN22" s="5"/>
      <c r="CNO22" s="5"/>
      <c r="CNP22" s="5"/>
      <c r="CNQ22" s="5"/>
      <c r="CNR22" s="5"/>
      <c r="CNS22" s="5"/>
      <c r="CNT22" s="5"/>
      <c r="CNU22" s="5"/>
      <c r="CNV22" s="5"/>
      <c r="CNW22" s="5"/>
      <c r="CNX22" s="5"/>
      <c r="CNY22" s="5"/>
      <c r="CNZ22" s="5"/>
      <c r="COA22" s="5"/>
      <c r="COB22" s="5"/>
      <c r="COC22" s="5"/>
      <c r="COD22" s="5"/>
      <c r="COE22" s="5"/>
      <c r="COF22" s="5"/>
      <c r="COG22" s="5"/>
      <c r="COH22" s="5"/>
      <c r="COI22" s="5"/>
      <c r="COJ22" s="5"/>
      <c r="COK22" s="5"/>
      <c r="COL22" s="5"/>
      <c r="COM22" s="5"/>
      <c r="CON22" s="5"/>
      <c r="COO22" s="5"/>
      <c r="COP22" s="5"/>
      <c r="COQ22" s="5"/>
      <c r="COR22" s="5"/>
      <c r="COS22" s="5"/>
      <c r="COT22" s="5"/>
      <c r="COU22" s="5"/>
      <c r="COV22" s="5"/>
      <c r="COW22" s="5"/>
      <c r="COX22" s="5"/>
      <c r="COY22" s="5"/>
      <c r="COZ22" s="5"/>
      <c r="CPA22" s="5"/>
      <c r="CPB22" s="5"/>
      <c r="CPC22" s="5"/>
      <c r="CPD22" s="5"/>
      <c r="CPE22" s="5"/>
      <c r="CPF22" s="5"/>
      <c r="CPG22" s="5"/>
      <c r="CPH22" s="5"/>
      <c r="CPI22" s="5"/>
      <c r="CPJ22" s="5"/>
      <c r="CPK22" s="5"/>
      <c r="CPL22" s="5"/>
      <c r="CPM22" s="5"/>
      <c r="CPN22" s="5"/>
      <c r="CPO22" s="5"/>
      <c r="CPP22" s="5"/>
      <c r="CPQ22" s="5"/>
      <c r="CPR22" s="5"/>
      <c r="CPS22" s="5"/>
      <c r="CPT22" s="5"/>
      <c r="CPU22" s="5"/>
      <c r="CPV22" s="5"/>
      <c r="CPW22" s="5"/>
      <c r="CPX22" s="5"/>
      <c r="CPY22" s="5"/>
      <c r="CPZ22" s="5"/>
      <c r="CQA22" s="5"/>
      <c r="CQB22" s="5"/>
      <c r="CQC22" s="5"/>
      <c r="CQD22" s="5"/>
      <c r="CQE22" s="5"/>
      <c r="CQF22" s="5"/>
      <c r="CQG22" s="5"/>
      <c r="CQH22" s="5"/>
      <c r="CQI22" s="5"/>
      <c r="CQJ22" s="5"/>
      <c r="CQK22" s="5"/>
      <c r="CQL22" s="5"/>
      <c r="CQM22" s="5"/>
      <c r="CQN22" s="5"/>
      <c r="CQO22" s="5"/>
      <c r="CQP22" s="5"/>
      <c r="CQQ22" s="5"/>
      <c r="CQR22" s="5"/>
      <c r="CQS22" s="5"/>
      <c r="CQT22" s="5"/>
      <c r="CQU22" s="5"/>
      <c r="CQV22" s="5"/>
      <c r="CQW22" s="5"/>
      <c r="CQX22" s="5"/>
      <c r="CQY22" s="5"/>
      <c r="CQZ22" s="5"/>
      <c r="CRA22" s="5"/>
      <c r="CRB22" s="5"/>
      <c r="CRC22" s="5"/>
      <c r="CRD22" s="5"/>
      <c r="CRE22" s="5"/>
      <c r="CRF22" s="5"/>
      <c r="CRG22" s="5"/>
      <c r="CRH22" s="5"/>
      <c r="CRI22" s="5"/>
      <c r="CRJ22" s="5"/>
      <c r="CRK22" s="5"/>
      <c r="CRL22" s="5"/>
      <c r="CRM22" s="5"/>
      <c r="CRN22" s="5"/>
      <c r="CRO22" s="5"/>
      <c r="CRP22" s="5"/>
      <c r="CRQ22" s="5"/>
      <c r="CRR22" s="5"/>
      <c r="CRS22" s="5"/>
      <c r="CRT22" s="5"/>
      <c r="CRU22" s="5"/>
      <c r="CRV22" s="5"/>
      <c r="CRW22" s="5"/>
      <c r="CRX22" s="5"/>
      <c r="CRY22" s="5"/>
      <c r="CRZ22" s="5"/>
      <c r="CSA22" s="5"/>
      <c r="CSB22" s="5"/>
      <c r="CSC22" s="5"/>
      <c r="CSD22" s="5"/>
      <c r="CSE22" s="5"/>
      <c r="CSF22" s="5"/>
      <c r="CSG22" s="5"/>
      <c r="CSH22" s="5"/>
      <c r="CSI22" s="5"/>
      <c r="CSJ22" s="5"/>
      <c r="CSK22" s="5"/>
      <c r="CSL22" s="5"/>
      <c r="CSM22" s="5"/>
      <c r="CSN22" s="5"/>
      <c r="CSO22" s="5"/>
      <c r="CSP22" s="5"/>
      <c r="CSQ22" s="5"/>
      <c r="CSR22" s="5"/>
      <c r="CSS22" s="5"/>
      <c r="CST22" s="5"/>
      <c r="CSU22" s="5"/>
      <c r="CSV22" s="5"/>
      <c r="CSW22" s="5"/>
      <c r="CSX22" s="5"/>
      <c r="CSY22" s="5"/>
      <c r="CSZ22" s="5"/>
      <c r="CTA22" s="5"/>
      <c r="CTB22" s="5"/>
      <c r="CTC22" s="5"/>
      <c r="CTD22" s="5"/>
      <c r="CTE22" s="5"/>
      <c r="CTF22" s="5"/>
      <c r="CTG22" s="5"/>
      <c r="CTH22" s="5"/>
      <c r="CTI22" s="5"/>
      <c r="CTJ22" s="5"/>
      <c r="CTK22" s="5"/>
      <c r="CTL22" s="5"/>
      <c r="CTM22" s="5"/>
      <c r="CTN22" s="5"/>
      <c r="CTO22" s="5"/>
      <c r="CTP22" s="5"/>
      <c r="CTQ22" s="5"/>
      <c r="CTR22" s="5"/>
      <c r="CTS22" s="5"/>
      <c r="CTT22" s="5"/>
      <c r="CTU22" s="5"/>
      <c r="CTV22" s="5"/>
      <c r="CTW22" s="5"/>
      <c r="CTX22" s="5"/>
      <c r="CTY22" s="5"/>
      <c r="CTZ22" s="5"/>
      <c r="CUA22" s="5"/>
      <c r="CUB22" s="5"/>
      <c r="CUC22" s="5"/>
      <c r="CUD22" s="5"/>
      <c r="CUE22" s="5"/>
      <c r="CUF22" s="5"/>
      <c r="CUG22" s="5"/>
      <c r="CUH22" s="5"/>
      <c r="CUI22" s="5"/>
      <c r="CUJ22" s="5"/>
      <c r="CUK22" s="5"/>
      <c r="CUL22" s="5"/>
      <c r="CUM22" s="5"/>
      <c r="CUN22" s="5"/>
      <c r="CUO22" s="5"/>
      <c r="CUP22" s="5"/>
      <c r="CUQ22" s="5"/>
      <c r="CUR22" s="5"/>
      <c r="CUS22" s="5"/>
      <c r="CUT22" s="5"/>
      <c r="CUU22" s="5"/>
      <c r="CUV22" s="5"/>
      <c r="CUW22" s="5"/>
      <c r="CUX22" s="5"/>
      <c r="CUY22" s="5"/>
      <c r="CUZ22" s="5"/>
      <c r="CVA22" s="5"/>
      <c r="CVB22" s="5"/>
      <c r="CVC22" s="5"/>
      <c r="CVD22" s="5"/>
      <c r="CVE22" s="5"/>
      <c r="CVF22" s="5"/>
      <c r="CVG22" s="5"/>
      <c r="CVH22" s="5"/>
      <c r="CVI22" s="5"/>
      <c r="CVJ22" s="5"/>
      <c r="CVK22" s="5"/>
      <c r="CVL22" s="5"/>
      <c r="CVM22" s="5"/>
      <c r="CVN22" s="5"/>
      <c r="CVO22" s="5"/>
      <c r="CVP22" s="5"/>
      <c r="CVQ22" s="5"/>
      <c r="CVR22" s="5"/>
      <c r="CVS22" s="5"/>
      <c r="CVT22" s="5"/>
      <c r="CVU22" s="5"/>
      <c r="CVV22" s="5"/>
      <c r="CVW22" s="5"/>
      <c r="CVX22" s="5"/>
      <c r="CVY22" s="5"/>
      <c r="CVZ22" s="5"/>
      <c r="CWA22" s="5"/>
      <c r="CWB22" s="5"/>
      <c r="CWC22" s="5"/>
      <c r="CWD22" s="5"/>
      <c r="CWE22" s="5"/>
      <c r="CWF22" s="5"/>
      <c r="CWG22" s="5"/>
      <c r="CWH22" s="5"/>
      <c r="CWI22" s="5"/>
      <c r="CWJ22" s="5"/>
      <c r="CWK22" s="5"/>
      <c r="CWL22" s="5"/>
      <c r="CWM22" s="5"/>
      <c r="CWN22" s="5"/>
      <c r="CWO22" s="5"/>
      <c r="CWP22" s="5"/>
      <c r="CWQ22" s="5"/>
      <c r="CWR22" s="5"/>
      <c r="CWS22" s="5"/>
      <c r="CWT22" s="5"/>
      <c r="CWU22" s="5"/>
      <c r="CWV22" s="5"/>
      <c r="CWW22" s="5"/>
      <c r="CWX22" s="5"/>
      <c r="CWY22" s="5"/>
      <c r="CWZ22" s="5"/>
      <c r="CXA22" s="5"/>
      <c r="CXB22" s="5"/>
      <c r="CXC22" s="5"/>
      <c r="CXD22" s="5"/>
      <c r="CXE22" s="5"/>
      <c r="CXF22" s="5"/>
      <c r="CXG22" s="5"/>
      <c r="CXH22" s="5"/>
      <c r="CXI22" s="5"/>
      <c r="CXJ22" s="5"/>
      <c r="CXK22" s="5"/>
      <c r="CXL22" s="5"/>
      <c r="CXM22" s="5"/>
      <c r="CXN22" s="5"/>
      <c r="CXO22" s="5"/>
      <c r="CXP22" s="5"/>
      <c r="CXQ22" s="5"/>
      <c r="CXR22" s="5"/>
      <c r="CXS22" s="5"/>
      <c r="CXT22" s="5"/>
      <c r="CXU22" s="5"/>
      <c r="CXV22" s="5"/>
      <c r="CXW22" s="5"/>
      <c r="CXX22" s="5"/>
      <c r="CXY22" s="5"/>
      <c r="CXZ22" s="5"/>
      <c r="CYA22" s="5"/>
      <c r="CYB22" s="5"/>
      <c r="CYC22" s="5"/>
      <c r="CYD22" s="5"/>
      <c r="CYE22" s="5"/>
      <c r="CYF22" s="5"/>
      <c r="CYG22" s="5"/>
      <c r="CYH22" s="5"/>
      <c r="CYI22" s="5"/>
      <c r="CYJ22" s="5"/>
      <c r="CYK22" s="5"/>
      <c r="CYL22" s="5"/>
      <c r="CYM22" s="5"/>
      <c r="CYN22" s="5"/>
      <c r="CYO22" s="5"/>
      <c r="CYP22" s="5"/>
      <c r="CYQ22" s="5"/>
      <c r="CYR22" s="5"/>
      <c r="CYS22" s="5"/>
      <c r="CYT22" s="5"/>
      <c r="CYU22" s="5"/>
      <c r="CYV22" s="5"/>
      <c r="CYW22" s="5"/>
      <c r="CYX22" s="5"/>
      <c r="CYY22" s="5"/>
      <c r="CYZ22" s="5"/>
      <c r="CZA22" s="5"/>
      <c r="CZB22" s="5"/>
      <c r="CZC22" s="5"/>
      <c r="CZD22" s="5"/>
      <c r="CZE22" s="5"/>
      <c r="CZF22" s="5"/>
      <c r="CZG22" s="5"/>
      <c r="CZH22" s="5"/>
      <c r="CZI22" s="5"/>
      <c r="CZJ22" s="5"/>
      <c r="CZK22" s="5"/>
      <c r="CZL22" s="5"/>
      <c r="CZM22" s="5"/>
      <c r="CZN22" s="5"/>
      <c r="CZO22" s="5"/>
      <c r="CZP22" s="5"/>
      <c r="CZQ22" s="5"/>
      <c r="CZR22" s="5"/>
      <c r="CZS22" s="5"/>
      <c r="CZT22" s="5"/>
      <c r="CZU22" s="5"/>
      <c r="CZV22" s="5"/>
      <c r="CZW22" s="5"/>
      <c r="CZX22" s="5"/>
      <c r="CZY22" s="5"/>
      <c r="CZZ22" s="5"/>
      <c r="DAA22" s="5"/>
      <c r="DAB22" s="5"/>
      <c r="DAC22" s="5"/>
      <c r="DAD22" s="5"/>
      <c r="DAE22" s="5"/>
      <c r="DAF22" s="5"/>
      <c r="DAG22" s="5"/>
      <c r="DAH22" s="5"/>
      <c r="DAI22" s="5"/>
      <c r="DAJ22" s="5"/>
      <c r="DAK22" s="5"/>
      <c r="DAL22" s="5"/>
      <c r="DAM22" s="5"/>
      <c r="DAN22" s="5"/>
      <c r="DAO22" s="5"/>
      <c r="DAP22" s="5"/>
      <c r="DAQ22" s="5"/>
      <c r="DAR22" s="5"/>
      <c r="DAS22" s="5"/>
      <c r="DAT22" s="5"/>
      <c r="DAU22" s="5"/>
      <c r="DAV22" s="5"/>
      <c r="DAW22" s="5"/>
      <c r="DAX22" s="5"/>
      <c r="DAY22" s="5"/>
      <c r="DAZ22" s="5"/>
      <c r="DBA22" s="5"/>
      <c r="DBB22" s="5"/>
      <c r="DBC22" s="5"/>
      <c r="DBD22" s="5"/>
      <c r="DBE22" s="5"/>
      <c r="DBF22" s="5"/>
      <c r="DBG22" s="5"/>
      <c r="DBH22" s="5"/>
      <c r="DBI22" s="5"/>
      <c r="DBJ22" s="5"/>
      <c r="DBK22" s="5"/>
      <c r="DBL22" s="5"/>
      <c r="DBM22" s="5"/>
      <c r="DBN22" s="5"/>
      <c r="DBO22" s="5"/>
      <c r="DBP22" s="5"/>
      <c r="DBQ22" s="5"/>
      <c r="DBR22" s="5"/>
      <c r="DBS22" s="5"/>
      <c r="DBT22" s="5"/>
      <c r="DBU22" s="5"/>
      <c r="DBV22" s="5"/>
      <c r="DBW22" s="5"/>
      <c r="DBX22" s="5"/>
      <c r="DBY22" s="5"/>
      <c r="DBZ22" s="5"/>
      <c r="DCA22" s="5"/>
      <c r="DCB22" s="5"/>
      <c r="DCC22" s="5"/>
      <c r="DCD22" s="5"/>
      <c r="DCE22" s="5"/>
      <c r="DCF22" s="5"/>
      <c r="DCG22" s="5"/>
      <c r="DCH22" s="5"/>
      <c r="DCI22" s="5"/>
      <c r="DCJ22" s="5"/>
      <c r="DCK22" s="5"/>
      <c r="DCL22" s="5"/>
      <c r="DCM22" s="5"/>
      <c r="DCN22" s="5"/>
      <c r="DCO22" s="5"/>
      <c r="DCP22" s="5"/>
      <c r="DCQ22" s="5"/>
      <c r="DCR22" s="5"/>
      <c r="DCS22" s="5"/>
      <c r="DCT22" s="5"/>
      <c r="DCU22" s="5"/>
      <c r="DCV22" s="5"/>
      <c r="DCW22" s="5"/>
      <c r="DCX22" s="5"/>
      <c r="DCY22" s="5"/>
      <c r="DCZ22" s="5"/>
      <c r="DDA22" s="5"/>
      <c r="DDB22" s="5"/>
      <c r="DDC22" s="5"/>
      <c r="DDD22" s="5"/>
      <c r="DDE22" s="5"/>
      <c r="DDF22" s="5"/>
      <c r="DDG22" s="5"/>
      <c r="DDH22" s="5"/>
      <c r="DDI22" s="5"/>
      <c r="DDJ22" s="5"/>
      <c r="DDK22" s="5"/>
      <c r="DDL22" s="5"/>
      <c r="DDM22" s="5"/>
      <c r="DDN22" s="5"/>
      <c r="DDO22" s="5"/>
      <c r="DDP22" s="5"/>
      <c r="DDQ22" s="5"/>
      <c r="DDR22" s="5"/>
      <c r="DDS22" s="5"/>
      <c r="DDT22" s="5"/>
      <c r="DDU22" s="5"/>
      <c r="DDV22" s="5"/>
      <c r="DDW22" s="5"/>
      <c r="DDX22" s="5"/>
      <c r="DDY22" s="5"/>
      <c r="DDZ22" s="5"/>
      <c r="DEA22" s="5"/>
      <c r="DEB22" s="5"/>
      <c r="DEC22" s="5"/>
      <c r="DED22" s="5"/>
      <c r="DEE22" s="5"/>
      <c r="DEF22" s="5"/>
      <c r="DEG22" s="5"/>
      <c r="DEH22" s="5"/>
      <c r="DEI22" s="5"/>
      <c r="DEJ22" s="5"/>
      <c r="DEK22" s="5"/>
      <c r="DEL22" s="5"/>
      <c r="DEM22" s="5"/>
      <c r="DEN22" s="5"/>
      <c r="DEO22" s="5"/>
      <c r="DEP22" s="5"/>
      <c r="DEQ22" s="5"/>
      <c r="DER22" s="5"/>
      <c r="DES22" s="5"/>
      <c r="DET22" s="5"/>
      <c r="DEU22" s="5"/>
      <c r="DEV22" s="5"/>
      <c r="DEW22" s="5"/>
      <c r="DEX22" s="5"/>
      <c r="DEY22" s="5"/>
      <c r="DEZ22" s="5"/>
      <c r="DFA22" s="5"/>
      <c r="DFB22" s="5"/>
      <c r="DFC22" s="5"/>
      <c r="DFD22" s="5"/>
      <c r="DFE22" s="5"/>
      <c r="DFF22" s="5"/>
      <c r="DFG22" s="5"/>
      <c r="DFH22" s="5"/>
      <c r="DFI22" s="5"/>
      <c r="DFJ22" s="5"/>
      <c r="DFK22" s="5"/>
      <c r="DFL22" s="5"/>
      <c r="DFM22" s="5"/>
      <c r="DFN22" s="5"/>
      <c r="DFO22" s="5"/>
      <c r="DFP22" s="5"/>
      <c r="DFQ22" s="5"/>
      <c r="DFR22" s="5"/>
      <c r="DFS22" s="5"/>
      <c r="DFT22" s="5"/>
      <c r="DFU22" s="5"/>
      <c r="DFV22" s="5"/>
      <c r="DFW22" s="5"/>
      <c r="DFX22" s="5"/>
      <c r="DFY22" s="5"/>
      <c r="DFZ22" s="5"/>
      <c r="DGA22" s="5"/>
      <c r="DGB22" s="5"/>
      <c r="DGC22" s="5"/>
      <c r="DGD22" s="5"/>
      <c r="DGE22" s="5"/>
      <c r="DGF22" s="5"/>
      <c r="DGG22" s="5"/>
      <c r="DGH22" s="5"/>
      <c r="DGI22" s="5"/>
      <c r="DGJ22" s="5"/>
      <c r="DGK22" s="5"/>
      <c r="DGL22" s="5"/>
      <c r="DGM22" s="5"/>
      <c r="DGN22" s="5"/>
      <c r="DGO22" s="5"/>
      <c r="DGP22" s="5"/>
      <c r="DGQ22" s="5"/>
      <c r="DGR22" s="5"/>
      <c r="DGS22" s="5"/>
      <c r="DGT22" s="5"/>
      <c r="DGU22" s="5"/>
      <c r="DGV22" s="5"/>
      <c r="DGW22" s="5"/>
      <c r="DGX22" s="5"/>
      <c r="DGY22" s="5"/>
      <c r="DGZ22" s="5"/>
      <c r="DHA22" s="5"/>
      <c r="DHB22" s="5"/>
      <c r="DHC22" s="5"/>
      <c r="DHD22" s="5"/>
      <c r="DHE22" s="5"/>
      <c r="DHF22" s="5"/>
      <c r="DHG22" s="5"/>
      <c r="DHH22" s="5"/>
      <c r="DHI22" s="5"/>
      <c r="DHJ22" s="5"/>
      <c r="DHK22" s="5"/>
      <c r="DHL22" s="5"/>
      <c r="DHM22" s="5"/>
      <c r="DHN22" s="5"/>
      <c r="DHO22" s="5"/>
      <c r="DHP22" s="5"/>
      <c r="DHQ22" s="5"/>
      <c r="DHR22" s="5"/>
      <c r="DHS22" s="5"/>
      <c r="DHT22" s="5"/>
      <c r="DHU22" s="5"/>
      <c r="DHV22" s="5"/>
      <c r="DHW22" s="5"/>
      <c r="DHX22" s="5"/>
      <c r="DHY22" s="5"/>
      <c r="DHZ22" s="5"/>
      <c r="DIA22" s="5"/>
      <c r="DIB22" s="5"/>
      <c r="DIC22" s="5"/>
      <c r="DID22" s="5"/>
      <c r="DIE22" s="5"/>
      <c r="DIF22" s="5"/>
      <c r="DIG22" s="5"/>
      <c r="DIH22" s="5"/>
      <c r="DII22" s="5"/>
      <c r="DIJ22" s="5"/>
      <c r="DIK22" s="5"/>
      <c r="DIL22" s="5"/>
      <c r="DIM22" s="5"/>
      <c r="DIN22" s="5"/>
      <c r="DIO22" s="5"/>
      <c r="DIP22" s="5"/>
      <c r="DIQ22" s="5"/>
      <c r="DIR22" s="5"/>
      <c r="DIS22" s="5"/>
      <c r="DIT22" s="5"/>
      <c r="DIU22" s="5"/>
      <c r="DIV22" s="5"/>
      <c r="DIW22" s="5"/>
      <c r="DIX22" s="5"/>
      <c r="DIY22" s="5"/>
      <c r="DIZ22" s="5"/>
      <c r="DJA22" s="5"/>
      <c r="DJB22" s="5"/>
      <c r="DJC22" s="5"/>
      <c r="DJD22" s="5"/>
      <c r="DJE22" s="5"/>
      <c r="DJF22" s="5"/>
      <c r="DJG22" s="5"/>
      <c r="DJH22" s="5"/>
      <c r="DJI22" s="5"/>
      <c r="DJJ22" s="5"/>
      <c r="DJK22" s="5"/>
      <c r="DJL22" s="5"/>
      <c r="DJM22" s="5"/>
      <c r="DJN22" s="5"/>
      <c r="DJO22" s="5"/>
      <c r="DJP22" s="5"/>
      <c r="DJQ22" s="5"/>
      <c r="DJR22" s="5"/>
      <c r="DJS22" s="5"/>
      <c r="DJT22" s="5"/>
      <c r="DJU22" s="5"/>
      <c r="DJV22" s="5"/>
      <c r="DJW22" s="5"/>
      <c r="DJX22" s="5"/>
      <c r="DJY22" s="5"/>
      <c r="DJZ22" s="5"/>
      <c r="DKA22" s="5"/>
      <c r="DKB22" s="5"/>
      <c r="DKC22" s="5"/>
      <c r="DKD22" s="5"/>
      <c r="DKE22" s="5"/>
      <c r="DKF22" s="5"/>
      <c r="DKG22" s="5"/>
      <c r="DKH22" s="5"/>
      <c r="DKI22" s="5"/>
      <c r="DKJ22" s="5"/>
      <c r="DKK22" s="5"/>
      <c r="DKL22" s="5"/>
      <c r="DKM22" s="5"/>
      <c r="DKN22" s="5"/>
      <c r="DKO22" s="5"/>
      <c r="DKP22" s="5"/>
      <c r="DKQ22" s="5"/>
      <c r="DKR22" s="5"/>
      <c r="DKS22" s="5"/>
      <c r="DKT22" s="5"/>
      <c r="DKU22" s="5"/>
      <c r="DKV22" s="5"/>
      <c r="DKW22" s="5"/>
      <c r="DKX22" s="5"/>
      <c r="DKY22" s="5"/>
      <c r="DKZ22" s="5"/>
      <c r="DLA22" s="5"/>
      <c r="DLB22" s="5"/>
      <c r="DLC22" s="5"/>
      <c r="DLD22" s="5"/>
      <c r="DLE22" s="5"/>
      <c r="DLF22" s="5"/>
      <c r="DLG22" s="5"/>
      <c r="DLH22" s="5"/>
      <c r="DLI22" s="5"/>
      <c r="DLJ22" s="5"/>
      <c r="DLK22" s="5"/>
      <c r="DLL22" s="5"/>
      <c r="DLM22" s="5"/>
      <c r="DLN22" s="5"/>
      <c r="DLO22" s="5"/>
      <c r="DLP22" s="5"/>
      <c r="DLQ22" s="5"/>
      <c r="DLR22" s="5"/>
      <c r="DLS22" s="5"/>
      <c r="DLT22" s="5"/>
      <c r="DLU22" s="5"/>
      <c r="DLV22" s="5"/>
      <c r="DLW22" s="5"/>
      <c r="DLX22" s="5"/>
      <c r="DLY22" s="5"/>
      <c r="DLZ22" s="5"/>
      <c r="DMA22" s="5"/>
      <c r="DMB22" s="5"/>
      <c r="DMC22" s="5"/>
      <c r="DMD22" s="5"/>
      <c r="DME22" s="5"/>
      <c r="DMF22" s="5"/>
      <c r="DMG22" s="5"/>
      <c r="DMH22" s="5"/>
      <c r="DMI22" s="5"/>
      <c r="DMJ22" s="5"/>
      <c r="DMK22" s="5"/>
      <c r="DML22" s="5"/>
      <c r="DMM22" s="5"/>
      <c r="DMN22" s="5"/>
      <c r="DMO22" s="5"/>
      <c r="DMP22" s="5"/>
      <c r="DMQ22" s="5"/>
      <c r="DMR22" s="5"/>
      <c r="DMS22" s="5"/>
      <c r="DMT22" s="5"/>
      <c r="DMU22" s="5"/>
      <c r="DMV22" s="5"/>
      <c r="DMW22" s="5"/>
      <c r="DMX22" s="5"/>
      <c r="DMY22" s="5"/>
      <c r="DMZ22" s="5"/>
      <c r="DNA22" s="5"/>
      <c r="DNB22" s="5"/>
      <c r="DNC22" s="5"/>
      <c r="DND22" s="5"/>
      <c r="DNE22" s="5"/>
      <c r="DNF22" s="5"/>
      <c r="DNG22" s="5"/>
      <c r="DNH22" s="5"/>
      <c r="DNI22" s="5"/>
      <c r="DNJ22" s="5"/>
      <c r="DNK22" s="5"/>
      <c r="DNL22" s="5"/>
      <c r="DNM22" s="5"/>
      <c r="DNN22" s="5"/>
      <c r="DNO22" s="5"/>
      <c r="DNP22" s="5"/>
      <c r="DNQ22" s="5"/>
      <c r="DNR22" s="5"/>
      <c r="DNS22" s="5"/>
      <c r="DNT22" s="5"/>
      <c r="DNU22" s="5"/>
      <c r="DNV22" s="5"/>
      <c r="DNW22" s="5"/>
      <c r="DNX22" s="5"/>
      <c r="DNY22" s="5"/>
      <c r="DNZ22" s="5"/>
      <c r="DOA22" s="5"/>
      <c r="DOB22" s="5"/>
      <c r="DOC22" s="5"/>
      <c r="DOD22" s="5"/>
      <c r="DOE22" s="5"/>
      <c r="DOF22" s="5"/>
      <c r="DOG22" s="5"/>
      <c r="DOH22" s="5"/>
      <c r="DOI22" s="5"/>
      <c r="DOJ22" s="5"/>
      <c r="DOK22" s="5"/>
      <c r="DOL22" s="5"/>
      <c r="DOM22" s="5"/>
      <c r="DON22" s="5"/>
      <c r="DOO22" s="5"/>
      <c r="DOP22" s="5"/>
      <c r="DOQ22" s="5"/>
      <c r="DOR22" s="5"/>
      <c r="DOS22" s="5"/>
      <c r="DOT22" s="5"/>
      <c r="DOU22" s="5"/>
      <c r="DOV22" s="5"/>
      <c r="DOW22" s="5"/>
      <c r="DOX22" s="5"/>
      <c r="DOY22" s="5"/>
      <c r="DOZ22" s="5"/>
      <c r="DPA22" s="5"/>
      <c r="DPB22" s="5"/>
      <c r="DPC22" s="5"/>
      <c r="DPD22" s="5"/>
      <c r="DPE22" s="5"/>
      <c r="DPF22" s="5"/>
      <c r="DPG22" s="5"/>
      <c r="DPH22" s="5"/>
      <c r="DPI22" s="5"/>
      <c r="DPJ22" s="5"/>
      <c r="DPK22" s="5"/>
      <c r="DPL22" s="5"/>
      <c r="DPM22" s="5"/>
      <c r="DPN22" s="5"/>
      <c r="DPO22" s="5"/>
      <c r="DPP22" s="5"/>
      <c r="DPQ22" s="5"/>
      <c r="DPR22" s="5"/>
      <c r="DPS22" s="5"/>
      <c r="DPT22" s="5"/>
      <c r="DPU22" s="5"/>
      <c r="DPV22" s="5"/>
      <c r="DPW22" s="5"/>
      <c r="DPX22" s="5"/>
      <c r="DPY22" s="5"/>
      <c r="DPZ22" s="5"/>
      <c r="DQA22" s="5"/>
      <c r="DQB22" s="5"/>
      <c r="DQC22" s="5"/>
      <c r="DQD22" s="5"/>
      <c r="DQE22" s="5"/>
      <c r="DQF22" s="5"/>
      <c r="DQG22" s="5"/>
      <c r="DQH22" s="5"/>
      <c r="DQI22" s="5"/>
      <c r="DQJ22" s="5"/>
      <c r="DQK22" s="5"/>
      <c r="DQL22" s="5"/>
      <c r="DQM22" s="5"/>
      <c r="DQN22" s="5"/>
      <c r="DQO22" s="5"/>
      <c r="DQP22" s="5"/>
      <c r="DQQ22" s="5"/>
      <c r="DQR22" s="5"/>
      <c r="DQS22" s="5"/>
      <c r="DQT22" s="5"/>
      <c r="DQU22" s="5"/>
      <c r="DQV22" s="5"/>
      <c r="DQW22" s="5"/>
      <c r="DQX22" s="5"/>
      <c r="DQY22" s="5"/>
      <c r="DQZ22" s="5"/>
      <c r="DRA22" s="5"/>
      <c r="DRB22" s="5"/>
      <c r="DRC22" s="5"/>
      <c r="DRD22" s="5"/>
      <c r="DRE22" s="5"/>
      <c r="DRF22" s="5"/>
      <c r="DRG22" s="5"/>
      <c r="DRH22" s="5"/>
      <c r="DRI22" s="5"/>
      <c r="DRJ22" s="5"/>
      <c r="DRK22" s="5"/>
      <c r="DRL22" s="5"/>
      <c r="DRM22" s="5"/>
      <c r="DRN22" s="5"/>
      <c r="DRO22" s="5"/>
      <c r="DRP22" s="5"/>
      <c r="DRQ22" s="5"/>
      <c r="DRR22" s="5"/>
      <c r="DRS22" s="5"/>
      <c r="DRT22" s="5"/>
      <c r="DRU22" s="5"/>
      <c r="DRV22" s="5"/>
      <c r="DRW22" s="5"/>
      <c r="DRX22" s="5"/>
      <c r="DRY22" s="5"/>
      <c r="DRZ22" s="5"/>
      <c r="DSA22" s="5"/>
      <c r="DSB22" s="5"/>
      <c r="DSC22" s="5"/>
      <c r="DSD22" s="5"/>
      <c r="DSE22" s="5"/>
      <c r="DSF22" s="5"/>
      <c r="DSG22" s="5"/>
      <c r="DSH22" s="5"/>
      <c r="DSI22" s="5"/>
      <c r="DSJ22" s="5"/>
      <c r="DSK22" s="5"/>
      <c r="DSL22" s="5"/>
      <c r="DSM22" s="5"/>
      <c r="DSN22" s="5"/>
      <c r="DSO22" s="5"/>
      <c r="DSP22" s="5"/>
      <c r="DSQ22" s="5"/>
      <c r="DSR22" s="5"/>
      <c r="DSS22" s="5"/>
      <c r="DST22" s="5"/>
      <c r="DSU22" s="5"/>
      <c r="DSV22" s="5"/>
      <c r="DSW22" s="5"/>
      <c r="DSX22" s="5"/>
      <c r="DSY22" s="5"/>
      <c r="DSZ22" s="5"/>
      <c r="DTA22" s="5"/>
      <c r="DTB22" s="5"/>
      <c r="DTC22" s="5"/>
      <c r="DTD22" s="5"/>
      <c r="DTE22" s="5"/>
      <c r="DTF22" s="5"/>
      <c r="DTG22" s="5"/>
      <c r="DTH22" s="5"/>
      <c r="DTI22" s="5"/>
      <c r="DTJ22" s="5"/>
      <c r="DTK22" s="5"/>
      <c r="DTL22" s="5"/>
      <c r="DTM22" s="5"/>
      <c r="DTN22" s="5"/>
      <c r="DTO22" s="5"/>
      <c r="DTP22" s="5"/>
      <c r="DTQ22" s="5"/>
      <c r="DTR22" s="5"/>
      <c r="DTS22" s="5"/>
      <c r="DTT22" s="5"/>
      <c r="DTU22" s="5"/>
      <c r="DTV22" s="5"/>
      <c r="DTW22" s="5"/>
      <c r="DTX22" s="5"/>
      <c r="DTY22" s="5"/>
      <c r="DTZ22" s="5"/>
      <c r="DUA22" s="5"/>
      <c r="DUB22" s="5"/>
      <c r="DUC22" s="5"/>
      <c r="DUD22" s="5"/>
      <c r="DUE22" s="5"/>
      <c r="DUF22" s="5"/>
      <c r="DUG22" s="5"/>
      <c r="DUH22" s="5"/>
      <c r="DUI22" s="5"/>
      <c r="DUJ22" s="5"/>
      <c r="DUK22" s="5"/>
      <c r="DUL22" s="5"/>
      <c r="DUM22" s="5"/>
      <c r="DUN22" s="5"/>
      <c r="DUO22" s="5"/>
      <c r="DUP22" s="5"/>
      <c r="DUQ22" s="5"/>
      <c r="DUR22" s="5"/>
      <c r="DUS22" s="5"/>
      <c r="DUT22" s="5"/>
      <c r="DUU22" s="5"/>
      <c r="DUV22" s="5"/>
      <c r="DUW22" s="5"/>
      <c r="DUX22" s="5"/>
      <c r="DUY22" s="5"/>
      <c r="DUZ22" s="5"/>
      <c r="DVA22" s="5"/>
      <c r="DVB22" s="5"/>
      <c r="DVC22" s="5"/>
      <c r="DVD22" s="5"/>
      <c r="DVE22" s="5"/>
      <c r="DVF22" s="5"/>
      <c r="DVG22" s="5"/>
      <c r="DVH22" s="5"/>
      <c r="DVI22" s="5"/>
      <c r="DVJ22" s="5"/>
      <c r="DVK22" s="5"/>
      <c r="DVL22" s="5"/>
      <c r="DVM22" s="5"/>
      <c r="DVN22" s="5"/>
      <c r="DVO22" s="5"/>
      <c r="DVP22" s="5"/>
      <c r="DVQ22" s="5"/>
      <c r="DVR22" s="5"/>
      <c r="DVS22" s="5"/>
      <c r="DVT22" s="5"/>
      <c r="DVU22" s="5"/>
      <c r="DVV22" s="5"/>
      <c r="DVW22" s="5"/>
      <c r="DVX22" s="5"/>
      <c r="DVY22" s="5"/>
      <c r="DVZ22" s="5"/>
      <c r="DWA22" s="5"/>
      <c r="DWB22" s="5"/>
      <c r="DWC22" s="5"/>
      <c r="DWD22" s="5"/>
      <c r="DWE22" s="5"/>
      <c r="DWF22" s="5"/>
      <c r="DWG22" s="5"/>
      <c r="DWH22" s="5"/>
      <c r="DWI22" s="5"/>
      <c r="DWJ22" s="5"/>
      <c r="DWK22" s="5"/>
      <c r="DWL22" s="5"/>
      <c r="DWM22" s="5"/>
      <c r="DWN22" s="5"/>
      <c r="DWO22" s="5"/>
      <c r="DWP22" s="5"/>
      <c r="DWQ22" s="5"/>
      <c r="DWR22" s="5"/>
      <c r="DWS22" s="5"/>
      <c r="DWT22" s="5"/>
      <c r="DWU22" s="5"/>
      <c r="DWV22" s="5"/>
      <c r="DWW22" s="5"/>
      <c r="DWX22" s="5"/>
      <c r="DWY22" s="5"/>
      <c r="DWZ22" s="5"/>
      <c r="DXA22" s="5"/>
      <c r="DXB22" s="5"/>
      <c r="DXC22" s="5"/>
      <c r="DXD22" s="5"/>
      <c r="DXE22" s="5"/>
      <c r="DXF22" s="5"/>
      <c r="DXG22" s="5"/>
      <c r="DXH22" s="5"/>
      <c r="DXI22" s="5"/>
      <c r="DXJ22" s="5"/>
      <c r="DXK22" s="5"/>
      <c r="DXL22" s="5"/>
      <c r="DXM22" s="5"/>
      <c r="DXN22" s="5"/>
      <c r="DXO22" s="5"/>
      <c r="DXP22" s="5"/>
      <c r="DXQ22" s="5"/>
      <c r="DXR22" s="5"/>
      <c r="DXS22" s="5"/>
      <c r="DXT22" s="5"/>
      <c r="DXU22" s="5"/>
      <c r="DXV22" s="5"/>
      <c r="DXW22" s="5"/>
      <c r="DXX22" s="5"/>
      <c r="DXY22" s="5"/>
      <c r="DXZ22" s="5"/>
      <c r="DYA22" s="5"/>
      <c r="DYB22" s="5"/>
      <c r="DYC22" s="5"/>
      <c r="DYD22" s="5"/>
      <c r="DYE22" s="5"/>
      <c r="DYF22" s="5"/>
      <c r="DYG22" s="5"/>
      <c r="DYH22" s="5"/>
      <c r="DYI22" s="5"/>
      <c r="DYJ22" s="5"/>
      <c r="DYK22" s="5"/>
      <c r="DYL22" s="5"/>
      <c r="DYM22" s="5"/>
      <c r="DYN22" s="5"/>
      <c r="DYO22" s="5"/>
      <c r="DYP22" s="5"/>
      <c r="DYQ22" s="5"/>
      <c r="DYR22" s="5"/>
      <c r="DYS22" s="5"/>
      <c r="DYT22" s="5"/>
      <c r="DYU22" s="5"/>
      <c r="DYV22" s="5"/>
      <c r="DYW22" s="5"/>
      <c r="DYX22" s="5"/>
      <c r="DYY22" s="5"/>
      <c r="DYZ22" s="5"/>
      <c r="DZA22" s="5"/>
      <c r="DZB22" s="5"/>
      <c r="DZC22" s="5"/>
      <c r="DZD22" s="5"/>
      <c r="DZE22" s="5"/>
      <c r="DZF22" s="5"/>
      <c r="DZG22" s="5"/>
      <c r="DZH22" s="5"/>
      <c r="DZI22" s="5"/>
      <c r="DZJ22" s="5"/>
      <c r="DZK22" s="5"/>
      <c r="DZL22" s="5"/>
      <c r="DZM22" s="5"/>
      <c r="DZN22" s="5"/>
      <c r="DZO22" s="5"/>
      <c r="DZP22" s="5"/>
      <c r="DZQ22" s="5"/>
      <c r="DZR22" s="5"/>
      <c r="DZS22" s="5"/>
      <c r="DZT22" s="5"/>
      <c r="DZU22" s="5"/>
      <c r="DZV22" s="5"/>
      <c r="DZW22" s="5"/>
      <c r="DZX22" s="5"/>
      <c r="DZY22" s="5"/>
      <c r="DZZ22" s="5"/>
      <c r="EAA22" s="5"/>
      <c r="EAB22" s="5"/>
      <c r="EAC22" s="5"/>
      <c r="EAD22" s="5"/>
      <c r="EAE22" s="5"/>
      <c r="EAF22" s="5"/>
      <c r="EAG22" s="5"/>
      <c r="EAH22" s="5"/>
      <c r="EAI22" s="5"/>
      <c r="EAJ22" s="5"/>
      <c r="EAK22" s="5"/>
      <c r="EAL22" s="5"/>
      <c r="EAM22" s="5"/>
      <c r="EAN22" s="5"/>
      <c r="EAO22" s="5"/>
      <c r="EAP22" s="5"/>
      <c r="EAQ22" s="5"/>
      <c r="EAR22" s="5"/>
      <c r="EAS22" s="5"/>
      <c r="EAT22" s="5"/>
      <c r="EAU22" s="5"/>
      <c r="EAV22" s="5"/>
      <c r="EAW22" s="5"/>
      <c r="EAX22" s="5"/>
      <c r="EAY22" s="5"/>
      <c r="EAZ22" s="5"/>
      <c r="EBA22" s="5"/>
      <c r="EBB22" s="5"/>
      <c r="EBC22" s="5"/>
      <c r="EBD22" s="5"/>
      <c r="EBE22" s="5"/>
      <c r="EBF22" s="5"/>
      <c r="EBG22" s="5"/>
      <c r="EBH22" s="5"/>
      <c r="EBI22" s="5"/>
      <c r="EBJ22" s="5"/>
      <c r="EBK22" s="5"/>
      <c r="EBL22" s="5"/>
      <c r="EBM22" s="5"/>
      <c r="EBN22" s="5"/>
      <c r="EBO22" s="5"/>
      <c r="EBP22" s="5"/>
      <c r="EBQ22" s="5"/>
      <c r="EBR22" s="5"/>
      <c r="EBS22" s="5"/>
      <c r="EBT22" s="5"/>
      <c r="EBU22" s="5"/>
      <c r="EBV22" s="5"/>
      <c r="EBW22" s="5"/>
      <c r="EBX22" s="5"/>
      <c r="EBY22" s="5"/>
      <c r="EBZ22" s="5"/>
      <c r="ECA22" s="5"/>
      <c r="ECB22" s="5"/>
      <c r="ECC22" s="5"/>
      <c r="ECD22" s="5"/>
      <c r="ECE22" s="5"/>
      <c r="ECF22" s="5"/>
      <c r="ECG22" s="5"/>
      <c r="ECH22" s="5"/>
      <c r="ECI22" s="5"/>
      <c r="ECJ22" s="5"/>
      <c r="ECK22" s="5"/>
      <c r="ECL22" s="5"/>
      <c r="ECM22" s="5"/>
      <c r="ECN22" s="5"/>
      <c r="ECO22" s="5"/>
      <c r="ECP22" s="5"/>
      <c r="ECQ22" s="5"/>
      <c r="ECR22" s="5"/>
      <c r="ECS22" s="5"/>
      <c r="ECT22" s="5"/>
      <c r="ECU22" s="5"/>
      <c r="ECV22" s="5"/>
      <c r="ECW22" s="5"/>
      <c r="ECX22" s="5"/>
      <c r="ECY22" s="5"/>
      <c r="ECZ22" s="5"/>
      <c r="EDA22" s="5"/>
      <c r="EDB22" s="5"/>
      <c r="EDC22" s="5"/>
      <c r="EDD22" s="5"/>
      <c r="EDE22" s="5"/>
      <c r="EDF22" s="5"/>
      <c r="EDG22" s="5"/>
      <c r="EDH22" s="5"/>
      <c r="EDI22" s="5"/>
      <c r="EDJ22" s="5"/>
      <c r="EDK22" s="5"/>
      <c r="EDL22" s="5"/>
      <c r="EDM22" s="5"/>
      <c r="EDN22" s="5"/>
      <c r="EDO22" s="5"/>
      <c r="EDP22" s="5"/>
      <c r="EDQ22" s="5"/>
      <c r="EDR22" s="5"/>
      <c r="EDS22" s="5"/>
      <c r="EDT22" s="5"/>
      <c r="EDU22" s="5"/>
      <c r="EDV22" s="5"/>
      <c r="EDW22" s="5"/>
      <c r="EDX22" s="5"/>
      <c r="EDY22" s="5"/>
      <c r="EDZ22" s="5"/>
      <c r="EEA22" s="5"/>
      <c r="EEB22" s="5"/>
      <c r="EEC22" s="5"/>
      <c r="EED22" s="5"/>
      <c r="EEE22" s="5"/>
      <c r="EEF22" s="5"/>
      <c r="EEG22" s="5"/>
      <c r="EEH22" s="5"/>
      <c r="EEI22" s="5"/>
      <c r="EEJ22" s="5"/>
      <c r="EEK22" s="5"/>
      <c r="EEL22" s="5"/>
      <c r="EEM22" s="5"/>
      <c r="EEN22" s="5"/>
      <c r="EEO22" s="5"/>
      <c r="EEP22" s="5"/>
      <c r="EEQ22" s="5"/>
      <c r="EER22" s="5"/>
      <c r="EES22" s="5"/>
      <c r="EET22" s="5"/>
      <c r="EEU22" s="5"/>
      <c r="EEV22" s="5"/>
      <c r="EEW22" s="5"/>
      <c r="EEX22" s="5"/>
      <c r="EEY22" s="5"/>
      <c r="EEZ22" s="5"/>
      <c r="EFA22" s="5"/>
      <c r="EFB22" s="5"/>
      <c r="EFC22" s="5"/>
      <c r="EFD22" s="5"/>
      <c r="EFE22" s="5"/>
      <c r="EFF22" s="5"/>
      <c r="EFG22" s="5"/>
      <c r="EFH22" s="5"/>
      <c r="EFI22" s="5"/>
      <c r="EFJ22" s="5"/>
      <c r="EFK22" s="5"/>
      <c r="EFL22" s="5"/>
      <c r="EFM22" s="5"/>
      <c r="EFN22" s="5"/>
      <c r="EFO22" s="5"/>
      <c r="EFP22" s="5"/>
      <c r="EFQ22" s="5"/>
      <c r="EFR22" s="5"/>
      <c r="EFS22" s="5"/>
      <c r="EFT22" s="5"/>
      <c r="EFU22" s="5"/>
      <c r="EFV22" s="5"/>
      <c r="EFW22" s="5"/>
      <c r="EFX22" s="5"/>
      <c r="EFY22" s="5"/>
      <c r="EFZ22" s="5"/>
      <c r="EGA22" s="5"/>
      <c r="EGB22" s="5"/>
      <c r="EGC22" s="5"/>
      <c r="EGD22" s="5"/>
      <c r="EGE22" s="5"/>
      <c r="EGF22" s="5"/>
      <c r="EGG22" s="5"/>
      <c r="EGH22" s="5"/>
      <c r="EGI22" s="5"/>
      <c r="EGJ22" s="5"/>
      <c r="EGK22" s="5"/>
      <c r="EGL22" s="5"/>
      <c r="EGM22" s="5"/>
      <c r="EGN22" s="5"/>
      <c r="EGO22" s="5"/>
      <c r="EGP22" s="5"/>
      <c r="EGQ22" s="5"/>
      <c r="EGR22" s="5"/>
      <c r="EGS22" s="5"/>
      <c r="EGT22" s="5"/>
      <c r="EGU22" s="5"/>
      <c r="EGV22" s="5"/>
      <c r="EGW22" s="5"/>
      <c r="EGX22" s="5"/>
      <c r="EGY22" s="5"/>
      <c r="EGZ22" s="5"/>
      <c r="EHA22" s="5"/>
      <c r="EHB22" s="5"/>
      <c r="EHC22" s="5"/>
      <c r="EHD22" s="5"/>
      <c r="EHE22" s="5"/>
      <c r="EHF22" s="5"/>
      <c r="EHG22" s="5"/>
      <c r="EHH22" s="5"/>
      <c r="EHI22" s="5"/>
      <c r="EHJ22" s="5"/>
      <c r="EHK22" s="5"/>
      <c r="EHL22" s="5"/>
      <c r="EHM22" s="5"/>
      <c r="EHN22" s="5"/>
      <c r="EHO22" s="5"/>
      <c r="EHP22" s="5"/>
      <c r="EHQ22" s="5"/>
      <c r="EHR22" s="5"/>
      <c r="EHS22" s="5"/>
      <c r="EHT22" s="5"/>
      <c r="EHU22" s="5"/>
      <c r="EHV22" s="5"/>
      <c r="EHW22" s="5"/>
      <c r="EHX22" s="5"/>
      <c r="EHY22" s="5"/>
      <c r="EHZ22" s="5"/>
      <c r="EIA22" s="5"/>
      <c r="EIB22" s="5"/>
      <c r="EIC22" s="5"/>
      <c r="EID22" s="5"/>
      <c r="EIE22" s="5"/>
      <c r="EIF22" s="5"/>
      <c r="EIG22" s="5"/>
      <c r="EIH22" s="5"/>
      <c r="EII22" s="5"/>
      <c r="EIJ22" s="5"/>
      <c r="EIK22" s="5"/>
      <c r="EIL22" s="5"/>
      <c r="EIM22" s="5"/>
      <c r="EIN22" s="5"/>
      <c r="EIO22" s="5"/>
      <c r="EIP22" s="5"/>
      <c r="EIQ22" s="5"/>
      <c r="EIR22" s="5"/>
      <c r="EIS22" s="5"/>
      <c r="EIT22" s="5"/>
      <c r="EIU22" s="5"/>
      <c r="EIV22" s="5"/>
      <c r="EIW22" s="5"/>
      <c r="EIX22" s="5"/>
      <c r="EIY22" s="5"/>
      <c r="EIZ22" s="5"/>
      <c r="EJA22" s="5"/>
      <c r="EJB22" s="5"/>
      <c r="EJC22" s="5"/>
      <c r="EJD22" s="5"/>
      <c r="EJE22" s="5"/>
      <c r="EJF22" s="5"/>
      <c r="EJG22" s="5"/>
      <c r="EJH22" s="5"/>
      <c r="EJI22" s="5"/>
      <c r="EJJ22" s="5"/>
      <c r="EJK22" s="5"/>
      <c r="EJL22" s="5"/>
      <c r="EJM22" s="5"/>
      <c r="EJN22" s="5"/>
      <c r="EJO22" s="5"/>
      <c r="EJP22" s="5"/>
      <c r="EJQ22" s="5"/>
      <c r="EJR22" s="5"/>
      <c r="EJS22" s="5"/>
      <c r="EJT22" s="5"/>
      <c r="EJU22" s="5"/>
      <c r="EJV22" s="5"/>
      <c r="EJW22" s="5"/>
      <c r="EJX22" s="5"/>
      <c r="EJY22" s="5"/>
      <c r="EJZ22" s="5"/>
      <c r="EKA22" s="5"/>
      <c r="EKB22" s="5"/>
      <c r="EKC22" s="5"/>
      <c r="EKD22" s="5"/>
      <c r="EKE22" s="5"/>
      <c r="EKF22" s="5"/>
      <c r="EKG22" s="5"/>
      <c r="EKH22" s="5"/>
      <c r="EKI22" s="5"/>
      <c r="EKJ22" s="5"/>
      <c r="EKK22" s="5"/>
      <c r="EKL22" s="5"/>
      <c r="EKM22" s="5"/>
      <c r="EKN22" s="5"/>
      <c r="EKO22" s="5"/>
      <c r="EKP22" s="5"/>
      <c r="EKQ22" s="5"/>
      <c r="EKR22" s="5"/>
      <c r="EKS22" s="5"/>
      <c r="EKT22" s="5"/>
      <c r="EKU22" s="5"/>
      <c r="EKV22" s="5"/>
      <c r="EKW22" s="5"/>
      <c r="EKX22" s="5"/>
      <c r="EKY22" s="5"/>
      <c r="EKZ22" s="5"/>
      <c r="ELA22" s="5"/>
      <c r="ELB22" s="5"/>
      <c r="ELC22" s="5"/>
      <c r="ELD22" s="5"/>
      <c r="ELE22" s="5"/>
      <c r="ELF22" s="5"/>
      <c r="ELG22" s="5"/>
      <c r="ELH22" s="5"/>
      <c r="ELI22" s="5"/>
      <c r="ELJ22" s="5"/>
      <c r="ELK22" s="5"/>
      <c r="ELL22" s="5"/>
      <c r="ELM22" s="5"/>
      <c r="ELN22" s="5"/>
      <c r="ELO22" s="5"/>
      <c r="ELP22" s="5"/>
      <c r="ELQ22" s="5"/>
      <c r="ELR22" s="5"/>
      <c r="ELS22" s="5"/>
      <c r="ELT22" s="5"/>
      <c r="ELU22" s="5"/>
      <c r="ELV22" s="5"/>
      <c r="ELW22" s="5"/>
      <c r="ELX22" s="5"/>
      <c r="ELY22" s="5"/>
      <c r="ELZ22" s="5"/>
      <c r="EMA22" s="5"/>
      <c r="EMB22" s="5"/>
      <c r="EMC22" s="5"/>
      <c r="EMD22" s="5"/>
      <c r="EME22" s="5"/>
      <c r="EMF22" s="5"/>
      <c r="EMG22" s="5"/>
      <c r="EMH22" s="5"/>
      <c r="EMI22" s="5"/>
      <c r="EMJ22" s="5"/>
      <c r="EMK22" s="5"/>
      <c r="EML22" s="5"/>
      <c r="EMM22" s="5"/>
      <c r="EMN22" s="5"/>
      <c r="EMO22" s="5"/>
      <c r="EMP22" s="5"/>
      <c r="EMQ22" s="5"/>
      <c r="EMR22" s="5"/>
      <c r="EMS22" s="5"/>
      <c r="EMT22" s="5"/>
      <c r="EMU22" s="5"/>
      <c r="EMV22" s="5"/>
      <c r="EMW22" s="5"/>
      <c r="EMX22" s="5"/>
      <c r="EMY22" s="5"/>
      <c r="EMZ22" s="5"/>
      <c r="ENA22" s="5"/>
      <c r="ENB22" s="5"/>
      <c r="ENC22" s="5"/>
      <c r="END22" s="5"/>
      <c r="ENE22" s="5"/>
      <c r="ENF22" s="5"/>
      <c r="ENG22" s="5"/>
      <c r="ENH22" s="5"/>
      <c r="ENI22" s="5"/>
      <c r="ENJ22" s="5"/>
      <c r="ENK22" s="5"/>
      <c r="ENL22" s="5"/>
      <c r="ENM22" s="5"/>
      <c r="ENN22" s="5"/>
      <c r="ENO22" s="5"/>
      <c r="ENP22" s="5"/>
      <c r="ENQ22" s="5"/>
      <c r="ENR22" s="5"/>
      <c r="ENS22" s="5"/>
      <c r="ENT22" s="5"/>
      <c r="ENU22" s="5"/>
      <c r="ENV22" s="5"/>
      <c r="ENW22" s="5"/>
      <c r="ENX22" s="5"/>
      <c r="ENY22" s="5"/>
      <c r="ENZ22" s="5"/>
      <c r="EOA22" s="5"/>
      <c r="EOB22" s="5"/>
      <c r="EOC22" s="5"/>
      <c r="EOD22" s="5"/>
      <c r="EOE22" s="5"/>
      <c r="EOF22" s="5"/>
      <c r="EOG22" s="5"/>
      <c r="EOH22" s="5"/>
      <c r="EOI22" s="5"/>
      <c r="EOJ22" s="5"/>
      <c r="EOK22" s="5"/>
      <c r="EOL22" s="5"/>
      <c r="EOM22" s="5"/>
      <c r="EON22" s="5"/>
      <c r="EOO22" s="5"/>
      <c r="EOP22" s="5"/>
      <c r="EOQ22" s="5"/>
      <c r="EOR22" s="5"/>
      <c r="EOS22" s="5"/>
      <c r="EOT22" s="5"/>
      <c r="EOU22" s="5"/>
      <c r="EOV22" s="5"/>
      <c r="EOW22" s="5"/>
      <c r="EOX22" s="5"/>
      <c r="EOY22" s="5"/>
      <c r="EOZ22" s="5"/>
      <c r="EPA22" s="5"/>
      <c r="EPB22" s="5"/>
      <c r="EPC22" s="5"/>
      <c r="EPD22" s="5"/>
      <c r="EPE22" s="5"/>
      <c r="EPF22" s="5"/>
      <c r="EPG22" s="5"/>
      <c r="EPH22" s="5"/>
      <c r="EPI22" s="5"/>
      <c r="EPJ22" s="5"/>
      <c r="EPK22" s="5"/>
      <c r="EPL22" s="5"/>
      <c r="EPM22" s="5"/>
      <c r="EPN22" s="5"/>
      <c r="EPO22" s="5"/>
      <c r="EPP22" s="5"/>
      <c r="EPQ22" s="5"/>
      <c r="EPR22" s="5"/>
      <c r="EPS22" s="5"/>
      <c r="EPT22" s="5"/>
      <c r="EPU22" s="5"/>
      <c r="EPV22" s="5"/>
      <c r="EPW22" s="5"/>
      <c r="EPX22" s="5"/>
      <c r="EPY22" s="5"/>
      <c r="EPZ22" s="5"/>
      <c r="EQA22" s="5"/>
      <c r="EQB22" s="5"/>
      <c r="EQC22" s="5"/>
      <c r="EQD22" s="5"/>
      <c r="EQE22" s="5"/>
      <c r="EQF22" s="5"/>
      <c r="EQG22" s="5"/>
      <c r="EQH22" s="5"/>
      <c r="EQI22" s="5"/>
      <c r="EQJ22" s="5"/>
      <c r="EQK22" s="5"/>
      <c r="EQL22" s="5"/>
      <c r="EQM22" s="5"/>
      <c r="EQN22" s="5"/>
      <c r="EQO22" s="5"/>
      <c r="EQP22" s="5"/>
      <c r="EQQ22" s="5"/>
      <c r="EQR22" s="5"/>
      <c r="EQS22" s="5"/>
      <c r="EQT22" s="5"/>
      <c r="EQU22" s="5"/>
      <c r="EQV22" s="5"/>
      <c r="EQW22" s="5"/>
      <c r="EQX22" s="5"/>
      <c r="EQY22" s="5"/>
      <c r="EQZ22" s="5"/>
      <c r="ERA22" s="5"/>
      <c r="ERB22" s="5"/>
      <c r="ERC22" s="5"/>
      <c r="ERD22" s="5"/>
      <c r="ERE22" s="5"/>
      <c r="ERF22" s="5"/>
      <c r="ERG22" s="5"/>
      <c r="ERH22" s="5"/>
      <c r="ERI22" s="5"/>
      <c r="ERJ22" s="5"/>
      <c r="ERK22" s="5"/>
      <c r="ERL22" s="5"/>
      <c r="ERM22" s="5"/>
      <c r="ERN22" s="5"/>
      <c r="ERO22" s="5"/>
      <c r="ERP22" s="5"/>
      <c r="ERQ22" s="5"/>
      <c r="ERR22" s="5"/>
      <c r="ERS22" s="5"/>
      <c r="ERT22" s="5"/>
      <c r="ERU22" s="5"/>
      <c r="ERV22" s="5"/>
      <c r="ERW22" s="5"/>
      <c r="ERX22" s="5"/>
      <c r="ERY22" s="5"/>
      <c r="ERZ22" s="5"/>
      <c r="ESA22" s="5"/>
      <c r="ESB22" s="5"/>
      <c r="ESC22" s="5"/>
      <c r="ESD22" s="5"/>
      <c r="ESE22" s="5"/>
      <c r="ESF22" s="5"/>
      <c r="ESG22" s="5"/>
      <c r="ESH22" s="5"/>
      <c r="ESI22" s="5"/>
      <c r="ESJ22" s="5"/>
      <c r="ESK22" s="5"/>
      <c r="ESL22" s="5"/>
      <c r="ESM22" s="5"/>
      <c r="ESN22" s="5"/>
      <c r="ESO22" s="5"/>
      <c r="ESP22" s="5"/>
      <c r="ESQ22" s="5"/>
      <c r="ESR22" s="5"/>
      <c r="ESS22" s="5"/>
      <c r="EST22" s="5"/>
      <c r="ESU22" s="5"/>
      <c r="ESV22" s="5"/>
      <c r="ESW22" s="5"/>
      <c r="ESX22" s="5"/>
      <c r="ESY22" s="5"/>
      <c r="ESZ22" s="5"/>
      <c r="ETA22" s="5"/>
      <c r="ETB22" s="5"/>
      <c r="ETC22" s="5"/>
      <c r="ETD22" s="5"/>
      <c r="ETE22" s="5"/>
      <c r="ETF22" s="5"/>
      <c r="ETG22" s="5"/>
      <c r="ETH22" s="5"/>
      <c r="ETI22" s="5"/>
      <c r="ETJ22" s="5"/>
      <c r="ETK22" s="5"/>
      <c r="ETL22" s="5"/>
      <c r="ETM22" s="5"/>
      <c r="ETN22" s="5"/>
      <c r="ETO22" s="5"/>
      <c r="ETP22" s="5"/>
      <c r="ETQ22" s="5"/>
      <c r="ETR22" s="5"/>
      <c r="ETS22" s="5"/>
      <c r="ETT22" s="5"/>
      <c r="ETU22" s="5"/>
      <c r="ETV22" s="5"/>
      <c r="ETW22" s="5"/>
      <c r="ETX22" s="5"/>
      <c r="ETY22" s="5"/>
      <c r="ETZ22" s="5"/>
      <c r="EUA22" s="5"/>
      <c r="EUB22" s="5"/>
      <c r="EUC22" s="5"/>
      <c r="EUD22" s="5"/>
      <c r="EUE22" s="5"/>
      <c r="EUF22" s="5"/>
      <c r="EUG22" s="5"/>
      <c r="EUH22" s="5"/>
      <c r="EUI22" s="5"/>
      <c r="EUJ22" s="5"/>
      <c r="EUK22" s="5"/>
      <c r="EUL22" s="5"/>
      <c r="EUM22" s="5"/>
      <c r="EUN22" s="5"/>
      <c r="EUO22" s="5"/>
      <c r="EUP22" s="5"/>
      <c r="EUQ22" s="5"/>
      <c r="EUR22" s="5"/>
      <c r="EUS22" s="5"/>
      <c r="EUT22" s="5"/>
      <c r="EUU22" s="5"/>
      <c r="EUV22" s="5"/>
      <c r="EUW22" s="5"/>
      <c r="EUX22" s="5"/>
      <c r="EUY22" s="5"/>
      <c r="EUZ22" s="5"/>
      <c r="EVA22" s="5"/>
      <c r="EVB22" s="5"/>
      <c r="EVC22" s="5"/>
      <c r="EVD22" s="5"/>
      <c r="EVE22" s="5"/>
      <c r="EVF22" s="5"/>
      <c r="EVG22" s="5"/>
      <c r="EVH22" s="5"/>
      <c r="EVI22" s="5"/>
      <c r="EVJ22" s="5"/>
      <c r="EVK22" s="5"/>
      <c r="EVL22" s="5"/>
      <c r="EVM22" s="5"/>
      <c r="EVN22" s="5"/>
      <c r="EVO22" s="5"/>
      <c r="EVP22" s="5"/>
      <c r="EVQ22" s="5"/>
      <c r="EVR22" s="5"/>
      <c r="EVS22" s="5"/>
      <c r="EVT22" s="5"/>
      <c r="EVU22" s="5"/>
      <c r="EVV22" s="5"/>
      <c r="EVW22" s="5"/>
      <c r="EVX22" s="5"/>
      <c r="EVY22" s="5"/>
      <c r="EVZ22" s="5"/>
      <c r="EWA22" s="5"/>
      <c r="EWB22" s="5"/>
      <c r="EWC22" s="5"/>
      <c r="EWD22" s="5"/>
      <c r="EWE22" s="5"/>
      <c r="EWF22" s="5"/>
      <c r="EWG22" s="5"/>
      <c r="EWH22" s="5"/>
      <c r="EWI22" s="5"/>
      <c r="EWJ22" s="5"/>
      <c r="EWK22" s="5"/>
      <c r="EWL22" s="5"/>
      <c r="EWM22" s="5"/>
      <c r="EWN22" s="5"/>
      <c r="EWO22" s="5"/>
      <c r="EWP22" s="5"/>
      <c r="EWQ22" s="5"/>
      <c r="EWR22" s="5"/>
      <c r="EWS22" s="5"/>
      <c r="EWT22" s="5"/>
      <c r="EWU22" s="5"/>
      <c r="EWV22" s="5"/>
      <c r="EWW22" s="5"/>
      <c r="EWX22" s="5"/>
      <c r="EWY22" s="5"/>
      <c r="EWZ22" s="5"/>
      <c r="EXA22" s="5"/>
      <c r="EXB22" s="5"/>
      <c r="EXC22" s="5"/>
      <c r="EXD22" s="5"/>
      <c r="EXE22" s="5"/>
      <c r="EXF22" s="5"/>
      <c r="EXG22" s="5"/>
      <c r="EXH22" s="5"/>
      <c r="EXI22" s="5"/>
      <c r="EXJ22" s="5"/>
      <c r="EXK22" s="5"/>
      <c r="EXL22" s="5"/>
      <c r="EXM22" s="5"/>
      <c r="EXN22" s="5"/>
      <c r="EXO22" s="5"/>
      <c r="EXP22" s="5"/>
      <c r="EXQ22" s="5"/>
      <c r="EXR22" s="5"/>
      <c r="EXS22" s="5"/>
      <c r="EXT22" s="5"/>
      <c r="EXU22" s="5"/>
      <c r="EXV22" s="5"/>
      <c r="EXW22" s="5"/>
      <c r="EXX22" s="5"/>
      <c r="EXY22" s="5"/>
      <c r="EXZ22" s="5"/>
      <c r="EYA22" s="5"/>
      <c r="EYB22" s="5"/>
      <c r="EYC22" s="5"/>
      <c r="EYD22" s="5"/>
      <c r="EYE22" s="5"/>
      <c r="EYF22" s="5"/>
      <c r="EYG22" s="5"/>
      <c r="EYH22" s="5"/>
      <c r="EYI22" s="5"/>
      <c r="EYJ22" s="5"/>
      <c r="EYK22" s="5"/>
      <c r="EYL22" s="5"/>
      <c r="EYM22" s="5"/>
      <c r="EYN22" s="5"/>
      <c r="EYO22" s="5"/>
      <c r="EYP22" s="5"/>
      <c r="EYQ22" s="5"/>
      <c r="EYR22" s="5"/>
      <c r="EYS22" s="5"/>
      <c r="EYT22" s="5"/>
      <c r="EYU22" s="5"/>
      <c r="EYV22" s="5"/>
      <c r="EYW22" s="5"/>
      <c r="EYX22" s="5"/>
      <c r="EYY22" s="5"/>
      <c r="EYZ22" s="5"/>
      <c r="EZA22" s="5"/>
      <c r="EZB22" s="5"/>
      <c r="EZC22" s="5"/>
      <c r="EZD22" s="5"/>
      <c r="EZE22" s="5"/>
      <c r="EZF22" s="5"/>
      <c r="EZG22" s="5"/>
      <c r="EZH22" s="5"/>
      <c r="EZI22" s="5"/>
      <c r="EZJ22" s="5"/>
      <c r="EZK22" s="5"/>
      <c r="EZL22" s="5"/>
      <c r="EZM22" s="5"/>
      <c r="EZN22" s="5"/>
      <c r="EZO22" s="5"/>
      <c r="EZP22" s="5"/>
      <c r="EZQ22" s="5"/>
      <c r="EZR22" s="5"/>
      <c r="EZS22" s="5"/>
      <c r="EZT22" s="5"/>
      <c r="EZU22" s="5"/>
      <c r="EZV22" s="5"/>
      <c r="EZW22" s="5"/>
      <c r="EZX22" s="5"/>
      <c r="EZY22" s="5"/>
      <c r="EZZ22" s="5"/>
      <c r="FAA22" s="5"/>
      <c r="FAB22" s="5"/>
      <c r="FAC22" s="5"/>
      <c r="FAD22" s="5"/>
      <c r="FAE22" s="5"/>
      <c r="FAF22" s="5"/>
      <c r="FAG22" s="5"/>
      <c r="FAH22" s="5"/>
      <c r="FAI22" s="5"/>
      <c r="FAJ22" s="5"/>
      <c r="FAK22" s="5"/>
      <c r="FAL22" s="5"/>
      <c r="FAM22" s="5"/>
      <c r="FAN22" s="5"/>
      <c r="FAO22" s="5"/>
      <c r="FAP22" s="5"/>
      <c r="FAQ22" s="5"/>
      <c r="FAR22" s="5"/>
      <c r="FAS22" s="5"/>
      <c r="FAT22" s="5"/>
      <c r="FAU22" s="5"/>
      <c r="FAV22" s="5"/>
      <c r="FAW22" s="5"/>
      <c r="FAX22" s="5"/>
      <c r="FAY22" s="5"/>
      <c r="FAZ22" s="5"/>
      <c r="FBA22" s="5"/>
      <c r="FBB22" s="5"/>
      <c r="FBC22" s="5"/>
      <c r="FBD22" s="5"/>
      <c r="FBE22" s="5"/>
      <c r="FBF22" s="5"/>
      <c r="FBG22" s="5"/>
      <c r="FBH22" s="5"/>
      <c r="FBI22" s="5"/>
      <c r="FBJ22" s="5"/>
      <c r="FBK22" s="5"/>
      <c r="FBL22" s="5"/>
      <c r="FBM22" s="5"/>
      <c r="FBN22" s="5"/>
      <c r="FBO22" s="5"/>
      <c r="FBP22" s="5"/>
      <c r="FBQ22" s="5"/>
      <c r="FBR22" s="5"/>
      <c r="FBS22" s="5"/>
      <c r="FBT22" s="5"/>
      <c r="FBU22" s="5"/>
      <c r="FBV22" s="5"/>
      <c r="FBW22" s="5"/>
      <c r="FBX22" s="5"/>
      <c r="FBY22" s="5"/>
      <c r="FBZ22" s="5"/>
      <c r="FCA22" s="5"/>
      <c r="FCB22" s="5"/>
      <c r="FCC22" s="5"/>
      <c r="FCD22" s="5"/>
      <c r="FCE22" s="5"/>
      <c r="FCF22" s="5"/>
      <c r="FCG22" s="5"/>
      <c r="FCH22" s="5"/>
      <c r="FCI22" s="5"/>
      <c r="FCJ22" s="5"/>
      <c r="FCK22" s="5"/>
      <c r="FCL22" s="5"/>
      <c r="FCM22" s="5"/>
      <c r="FCN22" s="5"/>
      <c r="FCO22" s="5"/>
      <c r="FCP22" s="5"/>
      <c r="FCQ22" s="5"/>
      <c r="FCR22" s="5"/>
      <c r="FCS22" s="5"/>
      <c r="FCT22" s="5"/>
      <c r="FCU22" s="5"/>
      <c r="FCV22" s="5"/>
      <c r="FCW22" s="5"/>
      <c r="FCX22" s="5"/>
      <c r="FCY22" s="5"/>
      <c r="FCZ22" s="5"/>
      <c r="FDA22" s="5"/>
      <c r="FDB22" s="5"/>
      <c r="FDC22" s="5"/>
      <c r="FDD22" s="5"/>
      <c r="FDE22" s="5"/>
      <c r="FDF22" s="5"/>
      <c r="FDG22" s="5"/>
      <c r="FDH22" s="5"/>
      <c r="FDI22" s="5"/>
      <c r="FDJ22" s="5"/>
      <c r="FDK22" s="5"/>
      <c r="FDL22" s="5"/>
      <c r="FDM22" s="5"/>
      <c r="FDN22" s="5"/>
      <c r="FDO22" s="5"/>
      <c r="FDP22" s="5"/>
      <c r="FDQ22" s="5"/>
      <c r="FDR22" s="5"/>
      <c r="FDS22" s="5"/>
      <c r="FDT22" s="5"/>
      <c r="FDU22" s="5"/>
      <c r="FDV22" s="5"/>
      <c r="FDW22" s="5"/>
      <c r="FDX22" s="5"/>
      <c r="FDY22" s="5"/>
      <c r="FDZ22" s="5"/>
      <c r="FEA22" s="5"/>
      <c r="FEB22" s="5"/>
      <c r="FEC22" s="5"/>
      <c r="FED22" s="5"/>
      <c r="FEE22" s="5"/>
      <c r="FEF22" s="5"/>
      <c r="FEG22" s="5"/>
      <c r="FEH22" s="5"/>
      <c r="FEI22" s="5"/>
      <c r="FEJ22" s="5"/>
      <c r="FEK22" s="5"/>
      <c r="FEL22" s="5"/>
      <c r="FEM22" s="5"/>
      <c r="FEN22" s="5"/>
      <c r="FEO22" s="5"/>
      <c r="FEP22" s="5"/>
      <c r="FEQ22" s="5"/>
      <c r="FER22" s="5"/>
      <c r="FES22" s="5"/>
      <c r="FET22" s="5"/>
      <c r="FEU22" s="5"/>
      <c r="FEV22" s="5"/>
      <c r="FEW22" s="5"/>
      <c r="FEX22" s="5"/>
      <c r="FEY22" s="5"/>
      <c r="FEZ22" s="5"/>
      <c r="FFA22" s="5"/>
      <c r="FFB22" s="5"/>
      <c r="FFC22" s="5"/>
      <c r="FFD22" s="5"/>
      <c r="FFE22" s="5"/>
      <c r="FFF22" s="5"/>
      <c r="FFG22" s="5"/>
      <c r="FFH22" s="5"/>
      <c r="FFI22" s="5"/>
      <c r="FFJ22" s="5"/>
      <c r="FFK22" s="5"/>
      <c r="FFL22" s="5"/>
      <c r="FFM22" s="5"/>
      <c r="FFN22" s="5"/>
      <c r="FFO22" s="5"/>
      <c r="FFP22" s="5"/>
      <c r="FFQ22" s="5"/>
      <c r="FFR22" s="5"/>
      <c r="FFS22" s="5"/>
      <c r="FFT22" s="5"/>
      <c r="FFU22" s="5"/>
      <c r="FFV22" s="5"/>
      <c r="FFW22" s="5"/>
      <c r="FFX22" s="5"/>
      <c r="FFY22" s="5"/>
      <c r="FFZ22" s="5"/>
      <c r="FGA22" s="5"/>
      <c r="FGB22" s="5"/>
      <c r="FGC22" s="5"/>
      <c r="FGD22" s="5"/>
      <c r="FGE22" s="5"/>
      <c r="FGF22" s="5"/>
      <c r="FGG22" s="5"/>
      <c r="FGH22" s="5"/>
      <c r="FGI22" s="5"/>
      <c r="FGJ22" s="5"/>
      <c r="FGK22" s="5"/>
      <c r="FGL22" s="5"/>
      <c r="FGM22" s="5"/>
      <c r="FGN22" s="5"/>
      <c r="FGO22" s="5"/>
      <c r="FGP22" s="5"/>
      <c r="FGQ22" s="5"/>
      <c r="FGR22" s="5"/>
      <c r="FGS22" s="5"/>
      <c r="FGT22" s="5"/>
      <c r="FGU22" s="5"/>
      <c r="FGV22" s="5"/>
      <c r="FGW22" s="5"/>
      <c r="FGX22" s="5"/>
      <c r="FGY22" s="5"/>
      <c r="FGZ22" s="5"/>
      <c r="FHA22" s="5"/>
      <c r="FHB22" s="5"/>
      <c r="FHC22" s="5"/>
      <c r="FHD22" s="5"/>
      <c r="FHE22" s="5"/>
      <c r="FHF22" s="5"/>
      <c r="FHG22" s="5"/>
      <c r="FHH22" s="5"/>
      <c r="FHI22" s="5"/>
      <c r="FHJ22" s="5"/>
      <c r="FHK22" s="5"/>
      <c r="FHL22" s="5"/>
      <c r="FHM22" s="5"/>
      <c r="FHN22" s="5"/>
      <c r="FHO22" s="5"/>
      <c r="FHP22" s="5"/>
      <c r="FHQ22" s="5"/>
      <c r="FHR22" s="5"/>
      <c r="FHS22" s="5"/>
      <c r="FHT22" s="5"/>
      <c r="FHU22" s="5"/>
      <c r="FHV22" s="5"/>
      <c r="FHW22" s="5"/>
      <c r="FHX22" s="5"/>
      <c r="FHY22" s="5"/>
      <c r="FHZ22" s="5"/>
      <c r="FIA22" s="5"/>
      <c r="FIB22" s="5"/>
      <c r="FIC22" s="5"/>
      <c r="FID22" s="5"/>
      <c r="FIE22" s="5"/>
      <c r="FIF22" s="5"/>
      <c r="FIG22" s="5"/>
      <c r="FIH22" s="5"/>
      <c r="FII22" s="5"/>
      <c r="FIJ22" s="5"/>
      <c r="FIK22" s="5"/>
      <c r="FIL22" s="5"/>
      <c r="FIM22" s="5"/>
      <c r="FIN22" s="5"/>
      <c r="FIO22" s="5"/>
      <c r="FIP22" s="5"/>
      <c r="FIQ22" s="5"/>
      <c r="FIR22" s="5"/>
      <c r="FIS22" s="5"/>
      <c r="FIT22" s="5"/>
      <c r="FIU22" s="5"/>
      <c r="FIV22" s="5"/>
      <c r="FIW22" s="5"/>
      <c r="FIX22" s="5"/>
      <c r="FIY22" s="5"/>
      <c r="FIZ22" s="5"/>
      <c r="FJA22" s="5"/>
      <c r="FJB22" s="5"/>
      <c r="FJC22" s="5"/>
      <c r="FJD22" s="5"/>
      <c r="FJE22" s="5"/>
      <c r="FJF22" s="5"/>
      <c r="FJG22" s="5"/>
      <c r="FJH22" s="5"/>
      <c r="FJI22" s="5"/>
      <c r="FJJ22" s="5"/>
      <c r="FJK22" s="5"/>
      <c r="FJL22" s="5"/>
      <c r="FJM22" s="5"/>
      <c r="FJN22" s="5"/>
      <c r="FJO22" s="5"/>
      <c r="FJP22" s="5"/>
      <c r="FJQ22" s="5"/>
      <c r="FJR22" s="5"/>
      <c r="FJS22" s="5"/>
      <c r="FJT22" s="5"/>
      <c r="FJU22" s="5"/>
      <c r="FJV22" s="5"/>
      <c r="FJW22" s="5"/>
      <c r="FJX22" s="5"/>
      <c r="FJY22" s="5"/>
      <c r="FJZ22" s="5"/>
      <c r="FKA22" s="5"/>
      <c r="FKB22" s="5"/>
      <c r="FKC22" s="5"/>
      <c r="FKD22" s="5"/>
      <c r="FKE22" s="5"/>
      <c r="FKF22" s="5"/>
      <c r="FKG22" s="5"/>
      <c r="FKH22" s="5"/>
      <c r="FKI22" s="5"/>
      <c r="FKJ22" s="5"/>
      <c r="FKK22" s="5"/>
      <c r="FKL22" s="5"/>
      <c r="FKM22" s="5"/>
      <c r="FKN22" s="5"/>
      <c r="FKO22" s="5"/>
      <c r="FKP22" s="5"/>
      <c r="FKQ22" s="5"/>
      <c r="FKR22" s="5"/>
      <c r="FKS22" s="5"/>
      <c r="FKT22" s="5"/>
      <c r="FKU22" s="5"/>
      <c r="FKV22" s="5"/>
      <c r="FKW22" s="5"/>
      <c r="FKX22" s="5"/>
      <c r="FKY22" s="5"/>
      <c r="FKZ22" s="5"/>
      <c r="FLA22" s="5"/>
      <c r="FLB22" s="5"/>
      <c r="FLC22" s="5"/>
      <c r="FLD22" s="5"/>
      <c r="FLE22" s="5"/>
      <c r="FLF22" s="5"/>
      <c r="FLG22" s="5"/>
      <c r="FLH22" s="5"/>
      <c r="FLI22" s="5"/>
      <c r="FLJ22" s="5"/>
      <c r="FLK22" s="5"/>
      <c r="FLL22" s="5"/>
      <c r="FLM22" s="5"/>
      <c r="FLN22" s="5"/>
      <c r="FLO22" s="5"/>
      <c r="FLP22" s="5"/>
      <c r="FLQ22" s="5"/>
      <c r="FLR22" s="5"/>
      <c r="FLS22" s="5"/>
      <c r="FLT22" s="5"/>
      <c r="FLU22" s="5"/>
      <c r="FLV22" s="5"/>
      <c r="FLW22" s="5"/>
      <c r="FLX22" s="5"/>
      <c r="FLY22" s="5"/>
      <c r="FLZ22" s="5"/>
      <c r="FMA22" s="5"/>
      <c r="FMB22" s="5"/>
      <c r="FMC22" s="5"/>
      <c r="FMD22" s="5"/>
      <c r="FME22" s="5"/>
      <c r="FMF22" s="5"/>
      <c r="FMG22" s="5"/>
      <c r="FMH22" s="5"/>
      <c r="FMI22" s="5"/>
      <c r="FMJ22" s="5"/>
      <c r="FMK22" s="5"/>
      <c r="FML22" s="5"/>
      <c r="FMM22" s="5"/>
      <c r="FMN22" s="5"/>
      <c r="FMO22" s="5"/>
      <c r="FMP22" s="5"/>
      <c r="FMQ22" s="5"/>
      <c r="FMR22" s="5"/>
      <c r="FMS22" s="5"/>
      <c r="FMT22" s="5"/>
      <c r="FMU22" s="5"/>
      <c r="FMV22" s="5"/>
      <c r="FMW22" s="5"/>
      <c r="FMX22" s="5"/>
      <c r="FMY22" s="5"/>
      <c r="FMZ22" s="5"/>
      <c r="FNA22" s="5"/>
      <c r="FNB22" s="5"/>
      <c r="FNC22" s="5"/>
      <c r="FND22" s="5"/>
      <c r="FNE22" s="5"/>
      <c r="FNF22" s="5"/>
      <c r="FNG22" s="5"/>
      <c r="FNH22" s="5"/>
      <c r="FNI22" s="5"/>
      <c r="FNJ22" s="5"/>
      <c r="FNK22" s="5"/>
      <c r="FNL22" s="5"/>
      <c r="FNM22" s="5"/>
      <c r="FNN22" s="5"/>
      <c r="FNO22" s="5"/>
      <c r="FNP22" s="5"/>
      <c r="FNQ22" s="5"/>
      <c r="FNR22" s="5"/>
      <c r="FNS22" s="5"/>
      <c r="FNT22" s="5"/>
      <c r="FNU22" s="5"/>
      <c r="FNV22" s="5"/>
      <c r="FNW22" s="5"/>
      <c r="FNX22" s="5"/>
      <c r="FNY22" s="5"/>
      <c r="FNZ22" s="5"/>
      <c r="FOA22" s="5"/>
      <c r="FOB22" s="5"/>
      <c r="FOC22" s="5"/>
      <c r="FOD22" s="5"/>
      <c r="FOE22" s="5"/>
      <c r="FOF22" s="5"/>
      <c r="FOG22" s="5"/>
      <c r="FOH22" s="5"/>
      <c r="FOI22" s="5"/>
      <c r="FOJ22" s="5"/>
      <c r="FOK22" s="5"/>
      <c r="FOL22" s="5"/>
      <c r="FOM22" s="5"/>
      <c r="FON22" s="5"/>
      <c r="FOO22" s="5"/>
      <c r="FOP22" s="5"/>
      <c r="FOQ22" s="5"/>
      <c r="FOR22" s="5"/>
      <c r="FOS22" s="5"/>
      <c r="FOT22" s="5"/>
      <c r="FOU22" s="5"/>
      <c r="FOV22" s="5"/>
      <c r="FOW22" s="5"/>
      <c r="FOX22" s="5"/>
      <c r="FOY22" s="5"/>
      <c r="FOZ22" s="5"/>
      <c r="FPA22" s="5"/>
      <c r="FPB22" s="5"/>
      <c r="FPC22" s="5"/>
      <c r="FPD22" s="5"/>
      <c r="FPE22" s="5"/>
      <c r="FPF22" s="5"/>
      <c r="FPG22" s="5"/>
      <c r="FPH22" s="5"/>
      <c r="FPI22" s="5"/>
      <c r="FPJ22" s="5"/>
      <c r="FPK22" s="5"/>
      <c r="FPL22" s="5"/>
      <c r="FPM22" s="5"/>
      <c r="FPN22" s="5"/>
      <c r="FPO22" s="5"/>
      <c r="FPP22" s="5"/>
      <c r="FPQ22" s="5"/>
      <c r="FPR22" s="5"/>
      <c r="FPS22" s="5"/>
      <c r="FPT22" s="5"/>
      <c r="FPU22" s="5"/>
      <c r="FPV22" s="5"/>
      <c r="FPW22" s="5"/>
      <c r="FPX22" s="5"/>
      <c r="FPY22" s="5"/>
      <c r="FPZ22" s="5"/>
      <c r="FQA22" s="5"/>
      <c r="FQB22" s="5"/>
      <c r="FQC22" s="5"/>
      <c r="FQD22" s="5"/>
      <c r="FQE22" s="5"/>
      <c r="FQF22" s="5"/>
      <c r="FQG22" s="5"/>
      <c r="FQH22" s="5"/>
      <c r="FQI22" s="5"/>
      <c r="FQJ22" s="5"/>
      <c r="FQK22" s="5"/>
      <c r="FQL22" s="5"/>
      <c r="FQM22" s="5"/>
      <c r="FQN22" s="5"/>
      <c r="FQO22" s="5"/>
      <c r="FQP22" s="5"/>
      <c r="FQQ22" s="5"/>
      <c r="FQR22" s="5"/>
      <c r="FQS22" s="5"/>
      <c r="FQT22" s="5"/>
      <c r="FQU22" s="5"/>
      <c r="FQV22" s="5"/>
      <c r="FQW22" s="5"/>
      <c r="FQX22" s="5"/>
      <c r="FQY22" s="5"/>
      <c r="FQZ22" s="5"/>
      <c r="FRA22" s="5"/>
      <c r="FRB22" s="5"/>
      <c r="FRC22" s="5"/>
      <c r="FRD22" s="5"/>
      <c r="FRE22" s="5"/>
      <c r="FRF22" s="5"/>
      <c r="FRG22" s="5"/>
      <c r="FRH22" s="5"/>
      <c r="FRI22" s="5"/>
      <c r="FRJ22" s="5"/>
      <c r="FRK22" s="5"/>
      <c r="FRL22" s="5"/>
      <c r="FRM22" s="5"/>
      <c r="FRN22" s="5"/>
      <c r="FRO22" s="5"/>
      <c r="FRP22" s="5"/>
      <c r="FRQ22" s="5"/>
      <c r="FRR22" s="5"/>
      <c r="FRS22" s="5"/>
      <c r="FRT22" s="5"/>
      <c r="FRU22" s="5"/>
      <c r="FRV22" s="5"/>
      <c r="FRW22" s="5"/>
      <c r="FRX22" s="5"/>
      <c r="FRY22" s="5"/>
      <c r="FRZ22" s="5"/>
      <c r="FSA22" s="5"/>
      <c r="FSB22" s="5"/>
      <c r="FSC22" s="5"/>
      <c r="FSD22" s="5"/>
      <c r="FSE22" s="5"/>
      <c r="FSF22" s="5"/>
      <c r="FSG22" s="5"/>
      <c r="FSH22" s="5"/>
      <c r="FSI22" s="5"/>
      <c r="FSJ22" s="5"/>
      <c r="FSK22" s="5"/>
      <c r="FSL22" s="5"/>
      <c r="FSM22" s="5"/>
      <c r="FSN22" s="5"/>
      <c r="FSO22" s="5"/>
      <c r="FSP22" s="5"/>
      <c r="FSQ22" s="5"/>
      <c r="FSR22" s="5"/>
      <c r="FSS22" s="5"/>
      <c r="FST22" s="5"/>
      <c r="FSU22" s="5"/>
      <c r="FSV22" s="5"/>
      <c r="FSW22" s="5"/>
      <c r="FSX22" s="5"/>
      <c r="FSY22" s="5"/>
      <c r="FSZ22" s="5"/>
      <c r="FTA22" s="5"/>
      <c r="FTB22" s="5"/>
      <c r="FTC22" s="5"/>
      <c r="FTD22" s="5"/>
      <c r="FTE22" s="5"/>
      <c r="FTF22" s="5"/>
      <c r="FTG22" s="5"/>
      <c r="FTH22" s="5"/>
      <c r="FTI22" s="5"/>
      <c r="FTJ22" s="5"/>
      <c r="FTK22" s="5"/>
      <c r="FTL22" s="5"/>
      <c r="FTM22" s="5"/>
      <c r="FTN22" s="5"/>
      <c r="FTO22" s="5"/>
      <c r="FTP22" s="5"/>
      <c r="FTQ22" s="5"/>
      <c r="FTR22" s="5"/>
      <c r="FTS22" s="5"/>
      <c r="FTT22" s="5"/>
      <c r="FTU22" s="5"/>
      <c r="FTV22" s="5"/>
      <c r="FTW22" s="5"/>
      <c r="FTX22" s="5"/>
      <c r="FTY22" s="5"/>
      <c r="FTZ22" s="5"/>
      <c r="FUA22" s="5"/>
      <c r="FUB22" s="5"/>
      <c r="FUC22" s="5"/>
      <c r="FUD22" s="5"/>
      <c r="FUE22" s="5"/>
      <c r="FUF22" s="5"/>
      <c r="FUG22" s="5"/>
      <c r="FUH22" s="5"/>
      <c r="FUI22" s="5"/>
      <c r="FUJ22" s="5"/>
      <c r="FUK22" s="5"/>
      <c r="FUL22" s="5"/>
      <c r="FUM22" s="5"/>
      <c r="FUN22" s="5"/>
      <c r="FUO22" s="5"/>
      <c r="FUP22" s="5"/>
      <c r="FUQ22" s="5"/>
      <c r="FUR22" s="5"/>
      <c r="FUS22" s="5"/>
      <c r="FUT22" s="5"/>
      <c r="FUU22" s="5"/>
      <c r="FUV22" s="5"/>
      <c r="FUW22" s="5"/>
      <c r="FUX22" s="5"/>
      <c r="FUY22" s="5"/>
      <c r="FUZ22" s="5"/>
      <c r="FVA22" s="5"/>
      <c r="FVB22" s="5"/>
      <c r="FVC22" s="5"/>
      <c r="FVD22" s="5"/>
      <c r="FVE22" s="5"/>
      <c r="FVF22" s="5"/>
      <c r="FVG22" s="5"/>
      <c r="FVH22" s="5"/>
      <c r="FVI22" s="5"/>
      <c r="FVJ22" s="5"/>
      <c r="FVK22" s="5"/>
      <c r="FVL22" s="5"/>
      <c r="FVM22" s="5"/>
      <c r="FVN22" s="5"/>
      <c r="FVO22" s="5"/>
      <c r="FVP22" s="5"/>
      <c r="FVQ22" s="5"/>
      <c r="FVR22" s="5"/>
      <c r="FVS22" s="5"/>
      <c r="FVT22" s="5"/>
      <c r="FVU22" s="5"/>
      <c r="FVV22" s="5"/>
      <c r="FVW22" s="5"/>
      <c r="FVX22" s="5"/>
      <c r="FVY22" s="5"/>
      <c r="FVZ22" s="5"/>
      <c r="FWA22" s="5"/>
      <c r="FWB22" s="5"/>
      <c r="FWC22" s="5"/>
      <c r="FWD22" s="5"/>
      <c r="FWE22" s="5"/>
      <c r="FWF22" s="5"/>
      <c r="FWG22" s="5"/>
      <c r="FWH22" s="5"/>
      <c r="FWI22" s="5"/>
      <c r="FWJ22" s="5"/>
      <c r="FWK22" s="5"/>
      <c r="FWL22" s="5"/>
      <c r="FWM22" s="5"/>
      <c r="FWN22" s="5"/>
      <c r="FWO22" s="5"/>
      <c r="FWP22" s="5"/>
      <c r="FWQ22" s="5"/>
      <c r="FWR22" s="5"/>
      <c r="FWS22" s="5"/>
      <c r="FWT22" s="5"/>
      <c r="FWU22" s="5"/>
      <c r="FWV22" s="5"/>
      <c r="FWW22" s="5"/>
      <c r="FWX22" s="5"/>
      <c r="FWY22" s="5"/>
      <c r="FWZ22" s="5"/>
      <c r="FXA22" s="5"/>
      <c r="FXB22" s="5"/>
      <c r="FXC22" s="5"/>
      <c r="FXD22" s="5"/>
      <c r="FXE22" s="5"/>
      <c r="FXF22" s="5"/>
      <c r="FXG22" s="5"/>
      <c r="FXH22" s="5"/>
      <c r="FXI22" s="5"/>
      <c r="FXJ22" s="5"/>
      <c r="FXK22" s="5"/>
      <c r="FXL22" s="5"/>
      <c r="FXM22" s="5"/>
      <c r="FXN22" s="5"/>
      <c r="FXO22" s="5"/>
      <c r="FXP22" s="5"/>
      <c r="FXQ22" s="5"/>
      <c r="FXR22" s="5"/>
      <c r="FXS22" s="5"/>
      <c r="FXT22" s="5"/>
      <c r="FXU22" s="5"/>
      <c r="FXV22" s="5"/>
      <c r="FXW22" s="5"/>
      <c r="FXX22" s="5"/>
      <c r="FXY22" s="5"/>
      <c r="FXZ22" s="5"/>
      <c r="FYA22" s="5"/>
      <c r="FYB22" s="5"/>
      <c r="FYC22" s="5"/>
      <c r="FYD22" s="5"/>
      <c r="FYE22" s="5"/>
      <c r="FYF22" s="5"/>
      <c r="FYG22" s="5"/>
      <c r="FYH22" s="5"/>
      <c r="FYI22" s="5"/>
      <c r="FYJ22" s="5"/>
      <c r="FYK22" s="5"/>
      <c r="FYL22" s="5"/>
      <c r="FYM22" s="5"/>
      <c r="FYN22" s="5"/>
      <c r="FYO22" s="5"/>
      <c r="FYP22" s="5"/>
      <c r="FYQ22" s="5"/>
      <c r="FYR22" s="5"/>
      <c r="FYS22" s="5"/>
      <c r="FYT22" s="5"/>
      <c r="FYU22" s="5"/>
      <c r="FYV22" s="5"/>
      <c r="FYW22" s="5"/>
      <c r="FYX22" s="5"/>
      <c r="FYY22" s="5"/>
      <c r="FYZ22" s="5"/>
      <c r="FZA22" s="5"/>
      <c r="FZB22" s="5"/>
      <c r="FZC22" s="5"/>
      <c r="FZD22" s="5"/>
      <c r="FZE22" s="5"/>
      <c r="FZF22" s="5"/>
      <c r="FZG22" s="5"/>
      <c r="FZH22" s="5"/>
      <c r="FZI22" s="5"/>
      <c r="FZJ22" s="5"/>
      <c r="FZK22" s="5"/>
      <c r="FZL22" s="5"/>
      <c r="FZM22" s="5"/>
      <c r="FZN22" s="5"/>
      <c r="FZO22" s="5"/>
      <c r="FZP22" s="5"/>
      <c r="FZQ22" s="5"/>
      <c r="FZR22" s="5"/>
      <c r="FZS22" s="5"/>
      <c r="FZT22" s="5"/>
      <c r="FZU22" s="5"/>
      <c r="FZV22" s="5"/>
      <c r="FZW22" s="5"/>
      <c r="FZX22" s="5"/>
      <c r="FZY22" s="5"/>
      <c r="FZZ22" s="5"/>
      <c r="GAA22" s="5"/>
      <c r="GAB22" s="5"/>
      <c r="GAC22" s="5"/>
      <c r="GAD22" s="5"/>
      <c r="GAE22" s="5"/>
      <c r="GAF22" s="5"/>
      <c r="GAG22" s="5"/>
      <c r="GAH22" s="5"/>
      <c r="GAI22" s="5"/>
      <c r="GAJ22" s="5"/>
      <c r="GAK22" s="5"/>
      <c r="GAL22" s="5"/>
      <c r="GAM22" s="5"/>
      <c r="GAN22" s="5"/>
      <c r="GAO22" s="5"/>
      <c r="GAP22" s="5"/>
      <c r="GAQ22" s="5"/>
      <c r="GAR22" s="5"/>
      <c r="GAS22" s="5"/>
      <c r="GAT22" s="5"/>
      <c r="GAU22" s="5"/>
      <c r="GAV22" s="5"/>
      <c r="GAW22" s="5"/>
      <c r="GAX22" s="5"/>
      <c r="GAY22" s="5"/>
      <c r="GAZ22" s="5"/>
      <c r="GBA22" s="5"/>
      <c r="GBB22" s="5"/>
      <c r="GBC22" s="5"/>
      <c r="GBD22" s="5"/>
      <c r="GBE22" s="5"/>
      <c r="GBF22" s="5"/>
      <c r="GBG22" s="5"/>
      <c r="GBH22" s="5"/>
      <c r="GBI22" s="5"/>
      <c r="GBJ22" s="5"/>
      <c r="GBK22" s="5"/>
      <c r="GBL22" s="5"/>
      <c r="GBM22" s="5"/>
      <c r="GBN22" s="5"/>
      <c r="GBO22" s="5"/>
      <c r="GBP22" s="5"/>
      <c r="GBQ22" s="5"/>
      <c r="GBR22" s="5"/>
      <c r="GBS22" s="5"/>
      <c r="GBT22" s="5"/>
      <c r="GBU22" s="5"/>
      <c r="GBV22" s="5"/>
      <c r="GBW22" s="5"/>
      <c r="GBX22" s="5"/>
      <c r="GBY22" s="5"/>
      <c r="GBZ22" s="5"/>
      <c r="GCA22" s="5"/>
      <c r="GCB22" s="5"/>
      <c r="GCC22" s="5"/>
      <c r="GCD22" s="5"/>
      <c r="GCE22" s="5"/>
      <c r="GCF22" s="5"/>
      <c r="GCG22" s="5"/>
      <c r="GCH22" s="5"/>
      <c r="GCI22" s="5"/>
      <c r="GCJ22" s="5"/>
      <c r="GCK22" s="5"/>
      <c r="GCL22" s="5"/>
      <c r="GCM22" s="5"/>
      <c r="GCN22" s="5"/>
      <c r="GCO22" s="5"/>
      <c r="GCP22" s="5"/>
      <c r="GCQ22" s="5"/>
      <c r="GCR22" s="5"/>
      <c r="GCS22" s="5"/>
      <c r="GCT22" s="5"/>
      <c r="GCU22" s="5"/>
      <c r="GCV22" s="5"/>
      <c r="GCW22" s="5"/>
      <c r="GCX22" s="5"/>
      <c r="GCY22" s="5"/>
      <c r="GCZ22" s="5"/>
      <c r="GDA22" s="5"/>
      <c r="GDB22" s="5"/>
      <c r="GDC22" s="5"/>
      <c r="GDD22" s="5"/>
      <c r="GDE22" s="5"/>
      <c r="GDF22" s="5"/>
      <c r="GDG22" s="5"/>
      <c r="GDH22" s="5"/>
      <c r="GDI22" s="5"/>
      <c r="GDJ22" s="5"/>
      <c r="GDK22" s="5"/>
      <c r="GDL22" s="5"/>
      <c r="GDM22" s="5"/>
      <c r="GDN22" s="5"/>
      <c r="GDO22" s="5"/>
      <c r="GDP22" s="5"/>
      <c r="GDQ22" s="5"/>
      <c r="GDR22" s="5"/>
      <c r="GDS22" s="5"/>
      <c r="GDT22" s="5"/>
      <c r="GDU22" s="5"/>
      <c r="GDV22" s="5"/>
      <c r="GDW22" s="5"/>
      <c r="GDX22" s="5"/>
      <c r="GDY22" s="5"/>
      <c r="GDZ22" s="5"/>
      <c r="GEA22" s="5"/>
      <c r="GEB22" s="5"/>
      <c r="GEC22" s="5"/>
      <c r="GED22" s="5"/>
      <c r="GEE22" s="5"/>
      <c r="GEF22" s="5"/>
      <c r="GEG22" s="5"/>
      <c r="GEH22" s="5"/>
      <c r="GEI22" s="5"/>
      <c r="GEJ22" s="5"/>
      <c r="GEK22" s="5"/>
      <c r="GEL22" s="5"/>
      <c r="GEM22" s="5"/>
      <c r="GEN22" s="5"/>
      <c r="GEO22" s="5"/>
      <c r="GEP22" s="5"/>
      <c r="GEQ22" s="5"/>
      <c r="GER22" s="5"/>
      <c r="GES22" s="5"/>
      <c r="GET22" s="5"/>
      <c r="GEU22" s="5"/>
      <c r="GEV22" s="5"/>
      <c r="GEW22" s="5"/>
      <c r="GEX22" s="5"/>
      <c r="GEY22" s="5"/>
      <c r="GEZ22" s="5"/>
      <c r="GFA22" s="5"/>
      <c r="GFB22" s="5"/>
      <c r="GFC22" s="5"/>
      <c r="GFD22" s="5"/>
      <c r="GFE22" s="5"/>
      <c r="GFF22" s="5"/>
      <c r="GFG22" s="5"/>
      <c r="GFH22" s="5"/>
      <c r="GFI22" s="5"/>
      <c r="GFJ22" s="5"/>
      <c r="GFK22" s="5"/>
      <c r="GFL22" s="5"/>
      <c r="GFM22" s="5"/>
      <c r="GFN22" s="5"/>
      <c r="GFO22" s="5"/>
      <c r="GFP22" s="5"/>
      <c r="GFQ22" s="5"/>
      <c r="GFR22" s="5"/>
      <c r="GFS22" s="5"/>
      <c r="GFT22" s="5"/>
      <c r="GFU22" s="5"/>
      <c r="GFV22" s="5"/>
      <c r="GFW22" s="5"/>
      <c r="GFX22" s="5"/>
      <c r="GFY22" s="5"/>
      <c r="GFZ22" s="5"/>
      <c r="GGA22" s="5"/>
      <c r="GGB22" s="5"/>
      <c r="GGC22" s="5"/>
      <c r="GGD22" s="5"/>
      <c r="GGE22" s="5"/>
      <c r="GGF22" s="5"/>
      <c r="GGG22" s="5"/>
      <c r="GGH22" s="5"/>
      <c r="GGI22" s="5"/>
      <c r="GGJ22" s="5"/>
      <c r="GGK22" s="5"/>
      <c r="GGL22" s="5"/>
      <c r="GGM22" s="5"/>
      <c r="GGN22" s="5"/>
      <c r="GGO22" s="5"/>
      <c r="GGP22" s="5"/>
      <c r="GGQ22" s="5"/>
      <c r="GGR22" s="5"/>
      <c r="GGS22" s="5"/>
      <c r="GGT22" s="5"/>
      <c r="GGU22" s="5"/>
      <c r="GGV22" s="5"/>
      <c r="GGW22" s="5"/>
      <c r="GGX22" s="5"/>
      <c r="GGY22" s="5"/>
      <c r="GGZ22" s="5"/>
      <c r="GHA22" s="5"/>
      <c r="GHB22" s="5"/>
      <c r="GHC22" s="5"/>
      <c r="GHD22" s="5"/>
      <c r="GHE22" s="5"/>
      <c r="GHF22" s="5"/>
      <c r="GHG22" s="5"/>
      <c r="GHH22" s="5"/>
      <c r="GHI22" s="5"/>
      <c r="GHJ22" s="5"/>
      <c r="GHK22" s="5"/>
      <c r="GHL22" s="5"/>
      <c r="GHM22" s="5"/>
      <c r="GHN22" s="5"/>
      <c r="GHO22" s="5"/>
      <c r="GHP22" s="5"/>
      <c r="GHQ22" s="5"/>
      <c r="GHR22" s="5"/>
      <c r="GHS22" s="5"/>
      <c r="GHT22" s="5"/>
      <c r="GHU22" s="5"/>
      <c r="GHV22" s="5"/>
      <c r="GHW22" s="5"/>
      <c r="GHX22" s="5"/>
      <c r="GHY22" s="5"/>
      <c r="GHZ22" s="5"/>
      <c r="GIA22" s="5"/>
      <c r="GIB22" s="5"/>
      <c r="GIC22" s="5"/>
      <c r="GID22" s="5"/>
      <c r="GIE22" s="5"/>
      <c r="GIF22" s="5"/>
      <c r="GIG22" s="5"/>
      <c r="GIH22" s="5"/>
      <c r="GII22" s="5"/>
      <c r="GIJ22" s="5"/>
      <c r="GIK22" s="5"/>
      <c r="GIL22" s="5"/>
      <c r="GIM22" s="5"/>
      <c r="GIN22" s="5"/>
      <c r="GIO22" s="5"/>
      <c r="GIP22" s="5"/>
      <c r="GIQ22" s="5"/>
      <c r="GIR22" s="5"/>
      <c r="GIS22" s="5"/>
      <c r="GIT22" s="5"/>
      <c r="GIU22" s="5"/>
      <c r="GIV22" s="5"/>
      <c r="GIW22" s="5"/>
      <c r="GIX22" s="5"/>
      <c r="GIY22" s="5"/>
      <c r="GIZ22" s="5"/>
      <c r="GJA22" s="5"/>
      <c r="GJB22" s="5"/>
      <c r="GJC22" s="5"/>
      <c r="GJD22" s="5"/>
      <c r="GJE22" s="5"/>
      <c r="GJF22" s="5"/>
      <c r="GJG22" s="5"/>
      <c r="GJH22" s="5"/>
      <c r="GJI22" s="5"/>
      <c r="GJJ22" s="5"/>
      <c r="GJK22" s="5"/>
      <c r="GJL22" s="5"/>
      <c r="GJM22" s="5"/>
      <c r="GJN22" s="5"/>
      <c r="GJO22" s="5"/>
      <c r="GJP22" s="5"/>
      <c r="GJQ22" s="5"/>
      <c r="GJR22" s="5"/>
      <c r="GJS22" s="5"/>
      <c r="GJT22" s="5"/>
      <c r="GJU22" s="5"/>
      <c r="GJV22" s="5"/>
      <c r="GJW22" s="5"/>
      <c r="GJX22" s="5"/>
      <c r="GJY22" s="5"/>
      <c r="GJZ22" s="5"/>
      <c r="GKA22" s="5"/>
      <c r="GKB22" s="5"/>
      <c r="GKC22" s="5"/>
      <c r="GKD22" s="5"/>
      <c r="GKE22" s="5"/>
      <c r="GKF22" s="5"/>
      <c r="GKG22" s="5"/>
      <c r="GKH22" s="5"/>
      <c r="GKI22" s="5"/>
      <c r="GKJ22" s="5"/>
      <c r="GKK22" s="5"/>
      <c r="GKL22" s="5"/>
      <c r="GKM22" s="5"/>
      <c r="GKN22" s="5"/>
      <c r="GKO22" s="5"/>
      <c r="GKP22" s="5"/>
      <c r="GKQ22" s="5"/>
      <c r="GKR22" s="5"/>
      <c r="GKS22" s="5"/>
      <c r="GKT22" s="5"/>
      <c r="GKU22" s="5"/>
      <c r="GKV22" s="5"/>
      <c r="GKW22" s="5"/>
      <c r="GKX22" s="5"/>
      <c r="GKY22" s="5"/>
      <c r="GKZ22" s="5"/>
      <c r="GLA22" s="5"/>
      <c r="GLB22" s="5"/>
      <c r="GLC22" s="5"/>
      <c r="GLD22" s="5"/>
      <c r="GLE22" s="5"/>
      <c r="GLF22" s="5"/>
      <c r="GLG22" s="5"/>
      <c r="GLH22" s="5"/>
      <c r="GLI22" s="5"/>
      <c r="GLJ22" s="5"/>
      <c r="GLK22" s="5"/>
      <c r="GLL22" s="5"/>
      <c r="GLM22" s="5"/>
      <c r="GLN22" s="5"/>
      <c r="GLO22" s="5"/>
      <c r="GLP22" s="5"/>
      <c r="GLQ22" s="5"/>
      <c r="GLR22" s="5"/>
      <c r="GLS22" s="5"/>
      <c r="GLT22" s="5"/>
      <c r="GLU22" s="5"/>
      <c r="GLV22" s="5"/>
      <c r="GLW22" s="5"/>
      <c r="GLX22" s="5"/>
      <c r="GLY22" s="5"/>
      <c r="GLZ22" s="5"/>
      <c r="GMA22" s="5"/>
      <c r="GMB22" s="5"/>
      <c r="GMC22" s="5"/>
      <c r="GMD22" s="5"/>
      <c r="GME22" s="5"/>
      <c r="GMF22" s="5"/>
      <c r="GMG22" s="5"/>
      <c r="GMH22" s="5"/>
      <c r="GMI22" s="5"/>
      <c r="GMJ22" s="5"/>
      <c r="GMK22" s="5"/>
      <c r="GML22" s="5"/>
      <c r="GMM22" s="5"/>
      <c r="GMN22" s="5"/>
      <c r="GMO22" s="5"/>
      <c r="GMP22" s="5"/>
      <c r="GMQ22" s="5"/>
      <c r="GMR22" s="5"/>
      <c r="GMS22" s="5"/>
      <c r="GMT22" s="5"/>
      <c r="GMU22" s="5"/>
      <c r="GMV22" s="5"/>
      <c r="GMW22" s="5"/>
      <c r="GMX22" s="5"/>
      <c r="GMY22" s="5"/>
      <c r="GMZ22" s="5"/>
      <c r="GNA22" s="5"/>
      <c r="GNB22" s="5"/>
      <c r="GNC22" s="5"/>
      <c r="GND22" s="5"/>
      <c r="GNE22" s="5"/>
      <c r="GNF22" s="5"/>
      <c r="GNG22" s="5"/>
      <c r="GNH22" s="5"/>
      <c r="GNI22" s="5"/>
      <c r="GNJ22" s="5"/>
      <c r="GNK22" s="5"/>
      <c r="GNL22" s="5"/>
      <c r="GNM22" s="5"/>
      <c r="GNN22" s="5"/>
      <c r="GNO22" s="5"/>
      <c r="GNP22" s="5"/>
      <c r="GNQ22" s="5"/>
      <c r="GNR22" s="5"/>
      <c r="GNS22" s="5"/>
      <c r="GNT22" s="5"/>
      <c r="GNU22" s="5"/>
      <c r="GNV22" s="5"/>
      <c r="GNW22" s="5"/>
      <c r="GNX22" s="5"/>
      <c r="GNY22" s="5"/>
      <c r="GNZ22" s="5"/>
      <c r="GOA22" s="5"/>
      <c r="GOB22" s="5"/>
      <c r="GOC22" s="5"/>
      <c r="GOD22" s="5"/>
      <c r="GOE22" s="5"/>
      <c r="GOF22" s="5"/>
      <c r="GOG22" s="5"/>
      <c r="GOH22" s="5"/>
      <c r="GOI22" s="5"/>
      <c r="GOJ22" s="5"/>
      <c r="GOK22" s="5"/>
      <c r="GOL22" s="5"/>
      <c r="GOM22" s="5"/>
      <c r="GON22" s="5"/>
      <c r="GOO22" s="5"/>
      <c r="GOP22" s="5"/>
      <c r="GOQ22" s="5"/>
      <c r="GOR22" s="5"/>
      <c r="GOS22" s="5"/>
      <c r="GOT22" s="5"/>
      <c r="GOU22" s="5"/>
      <c r="GOV22" s="5"/>
      <c r="GOW22" s="5"/>
      <c r="GOX22" s="5"/>
      <c r="GOY22" s="5"/>
      <c r="GOZ22" s="5"/>
      <c r="GPA22" s="5"/>
      <c r="GPB22" s="5"/>
      <c r="GPC22" s="5"/>
      <c r="GPD22" s="5"/>
      <c r="GPE22" s="5"/>
      <c r="GPF22" s="5"/>
      <c r="GPG22" s="5"/>
      <c r="GPH22" s="5"/>
      <c r="GPI22" s="5"/>
      <c r="GPJ22" s="5"/>
      <c r="GPK22" s="5"/>
      <c r="GPL22" s="5"/>
      <c r="GPM22" s="5"/>
      <c r="GPN22" s="5"/>
      <c r="GPO22" s="5"/>
      <c r="GPP22" s="5"/>
      <c r="GPQ22" s="5"/>
      <c r="GPR22" s="5"/>
      <c r="GPS22" s="5"/>
      <c r="GPT22" s="5"/>
      <c r="GPU22" s="5"/>
      <c r="GPV22" s="5"/>
      <c r="GPW22" s="5"/>
      <c r="GPX22" s="5"/>
      <c r="GPY22" s="5"/>
      <c r="GPZ22" s="5"/>
      <c r="GQA22" s="5"/>
      <c r="GQB22" s="5"/>
      <c r="GQC22" s="5"/>
      <c r="GQD22" s="5"/>
      <c r="GQE22" s="5"/>
      <c r="GQF22" s="5"/>
      <c r="GQG22" s="5"/>
      <c r="GQH22" s="5"/>
      <c r="GQI22" s="5"/>
      <c r="GQJ22" s="5"/>
      <c r="GQK22" s="5"/>
      <c r="GQL22" s="5"/>
      <c r="GQM22" s="5"/>
      <c r="GQN22" s="5"/>
      <c r="GQO22" s="5"/>
      <c r="GQP22" s="5"/>
      <c r="GQQ22" s="5"/>
      <c r="GQR22" s="5"/>
      <c r="GQS22" s="5"/>
      <c r="GQT22" s="5"/>
      <c r="GQU22" s="5"/>
      <c r="GQV22" s="5"/>
      <c r="GQW22" s="5"/>
      <c r="GQX22" s="5"/>
      <c r="GQY22" s="5"/>
      <c r="GQZ22" s="5"/>
      <c r="GRA22" s="5"/>
      <c r="GRB22" s="5"/>
      <c r="GRC22" s="5"/>
      <c r="GRD22" s="5"/>
      <c r="GRE22" s="5"/>
      <c r="GRF22" s="5"/>
      <c r="GRG22" s="5"/>
      <c r="GRH22" s="5"/>
      <c r="GRI22" s="5"/>
      <c r="GRJ22" s="5"/>
      <c r="GRK22" s="5"/>
      <c r="GRL22" s="5"/>
      <c r="GRM22" s="5"/>
      <c r="GRN22" s="5"/>
      <c r="GRO22" s="5"/>
      <c r="GRP22" s="5"/>
      <c r="GRQ22" s="5"/>
      <c r="GRR22" s="5"/>
      <c r="GRS22" s="5"/>
      <c r="GRT22" s="5"/>
      <c r="GRU22" s="5"/>
      <c r="GRV22" s="5"/>
      <c r="GRW22" s="5"/>
      <c r="GRX22" s="5"/>
      <c r="GRY22" s="5"/>
      <c r="GRZ22" s="5"/>
      <c r="GSA22" s="5"/>
      <c r="GSB22" s="5"/>
      <c r="GSC22" s="5"/>
      <c r="GSD22" s="5"/>
      <c r="GSE22" s="5"/>
      <c r="GSF22" s="5"/>
      <c r="GSG22" s="5"/>
      <c r="GSH22" s="5"/>
      <c r="GSI22" s="5"/>
      <c r="GSJ22" s="5"/>
      <c r="GSK22" s="5"/>
      <c r="GSL22" s="5"/>
      <c r="GSM22" s="5"/>
      <c r="GSN22" s="5"/>
      <c r="GSO22" s="5"/>
      <c r="GSP22" s="5"/>
      <c r="GSQ22" s="5"/>
      <c r="GSR22" s="5"/>
      <c r="GSS22" s="5"/>
      <c r="GST22" s="5"/>
      <c r="GSU22" s="5"/>
      <c r="GSV22" s="5"/>
      <c r="GSW22" s="5"/>
      <c r="GSX22" s="5"/>
      <c r="GSY22" s="5"/>
      <c r="GSZ22" s="5"/>
      <c r="GTA22" s="5"/>
      <c r="GTB22" s="5"/>
      <c r="GTC22" s="5"/>
      <c r="GTD22" s="5"/>
      <c r="GTE22" s="5"/>
      <c r="GTF22" s="5"/>
      <c r="GTG22" s="5"/>
      <c r="GTH22" s="5"/>
      <c r="GTI22" s="5"/>
      <c r="GTJ22" s="5"/>
      <c r="GTK22" s="5"/>
      <c r="GTL22" s="5"/>
      <c r="GTM22" s="5"/>
      <c r="GTN22" s="5"/>
      <c r="GTO22" s="5"/>
      <c r="GTP22" s="5"/>
      <c r="GTQ22" s="5"/>
      <c r="GTR22" s="5"/>
      <c r="GTS22" s="5"/>
      <c r="GTT22" s="5"/>
      <c r="GTU22" s="5"/>
      <c r="GTV22" s="5"/>
      <c r="GTW22" s="5"/>
      <c r="GTX22" s="5"/>
      <c r="GTY22" s="5"/>
      <c r="GTZ22" s="5"/>
      <c r="GUA22" s="5"/>
      <c r="GUB22" s="5"/>
      <c r="GUC22" s="5"/>
      <c r="GUD22" s="5"/>
      <c r="GUE22" s="5"/>
      <c r="GUF22" s="5"/>
      <c r="GUG22" s="5"/>
      <c r="GUH22" s="5"/>
      <c r="GUI22" s="5"/>
      <c r="GUJ22" s="5"/>
      <c r="GUK22" s="5"/>
      <c r="GUL22" s="5"/>
      <c r="GUM22" s="5"/>
      <c r="GUN22" s="5"/>
      <c r="GUO22" s="5"/>
      <c r="GUP22" s="5"/>
      <c r="GUQ22" s="5"/>
      <c r="GUR22" s="5"/>
      <c r="GUS22" s="5"/>
      <c r="GUT22" s="5"/>
      <c r="GUU22" s="5"/>
      <c r="GUV22" s="5"/>
      <c r="GUW22" s="5"/>
      <c r="GUX22" s="5"/>
      <c r="GUY22" s="5"/>
      <c r="GUZ22" s="5"/>
      <c r="GVA22" s="5"/>
      <c r="GVB22" s="5"/>
      <c r="GVC22" s="5"/>
      <c r="GVD22" s="5"/>
      <c r="GVE22" s="5"/>
      <c r="GVF22" s="5"/>
      <c r="GVG22" s="5"/>
      <c r="GVH22" s="5"/>
      <c r="GVI22" s="5"/>
      <c r="GVJ22" s="5"/>
      <c r="GVK22" s="5"/>
      <c r="GVL22" s="5"/>
      <c r="GVM22" s="5"/>
      <c r="GVN22" s="5"/>
      <c r="GVO22" s="5"/>
      <c r="GVP22" s="5"/>
      <c r="GVQ22" s="5"/>
      <c r="GVR22" s="5"/>
      <c r="GVS22" s="5"/>
      <c r="GVT22" s="5"/>
      <c r="GVU22" s="5"/>
      <c r="GVV22" s="5"/>
      <c r="GVW22" s="5"/>
      <c r="GVX22" s="5"/>
      <c r="GVY22" s="5"/>
      <c r="GVZ22" s="5"/>
      <c r="GWA22" s="5"/>
      <c r="GWB22" s="5"/>
      <c r="GWC22" s="5"/>
      <c r="GWD22" s="5"/>
      <c r="GWE22" s="5"/>
      <c r="GWF22" s="5"/>
      <c r="GWG22" s="5"/>
      <c r="GWH22" s="5"/>
      <c r="GWI22" s="5"/>
      <c r="GWJ22" s="5"/>
      <c r="GWK22" s="5"/>
      <c r="GWL22" s="5"/>
      <c r="GWM22" s="5"/>
      <c r="GWN22" s="5"/>
      <c r="GWO22" s="5"/>
      <c r="GWP22" s="5"/>
      <c r="GWQ22" s="5"/>
      <c r="GWR22" s="5"/>
      <c r="GWS22" s="5"/>
      <c r="GWT22" s="5"/>
      <c r="GWU22" s="5"/>
      <c r="GWV22" s="5"/>
      <c r="GWW22" s="5"/>
      <c r="GWX22" s="5"/>
      <c r="GWY22" s="5"/>
      <c r="GWZ22" s="5"/>
      <c r="GXA22" s="5"/>
      <c r="GXB22" s="5"/>
      <c r="GXC22" s="5"/>
      <c r="GXD22" s="5"/>
      <c r="GXE22" s="5"/>
      <c r="GXF22" s="5"/>
      <c r="GXG22" s="5"/>
      <c r="GXH22" s="5"/>
      <c r="GXI22" s="5"/>
      <c r="GXJ22" s="5"/>
      <c r="GXK22" s="5"/>
      <c r="GXL22" s="5"/>
      <c r="GXM22" s="5"/>
      <c r="GXN22" s="5"/>
      <c r="GXO22" s="5"/>
      <c r="GXP22" s="5"/>
      <c r="GXQ22" s="5"/>
      <c r="GXR22" s="5"/>
      <c r="GXS22" s="5"/>
      <c r="GXT22" s="5"/>
      <c r="GXU22" s="5"/>
      <c r="GXV22" s="5"/>
      <c r="GXW22" s="5"/>
      <c r="GXX22" s="5"/>
      <c r="GXY22" s="5"/>
      <c r="GXZ22" s="5"/>
      <c r="GYA22" s="5"/>
      <c r="GYB22" s="5"/>
      <c r="GYC22" s="5"/>
      <c r="GYD22" s="5"/>
      <c r="GYE22" s="5"/>
      <c r="GYF22" s="5"/>
      <c r="GYG22" s="5"/>
      <c r="GYH22" s="5"/>
      <c r="GYI22" s="5"/>
      <c r="GYJ22" s="5"/>
      <c r="GYK22" s="5"/>
      <c r="GYL22" s="5"/>
      <c r="GYM22" s="5"/>
      <c r="GYN22" s="5"/>
      <c r="GYO22" s="5"/>
      <c r="GYP22" s="5"/>
      <c r="GYQ22" s="5"/>
      <c r="GYR22" s="5"/>
      <c r="GYS22" s="5"/>
      <c r="GYT22" s="5"/>
      <c r="GYU22" s="5"/>
      <c r="GYV22" s="5"/>
      <c r="GYW22" s="5"/>
      <c r="GYX22" s="5"/>
      <c r="GYY22" s="5"/>
      <c r="GYZ22" s="5"/>
      <c r="GZA22" s="5"/>
      <c r="GZB22" s="5"/>
      <c r="GZC22" s="5"/>
      <c r="GZD22" s="5"/>
      <c r="GZE22" s="5"/>
      <c r="GZF22" s="5"/>
      <c r="GZG22" s="5"/>
      <c r="GZH22" s="5"/>
      <c r="GZI22" s="5"/>
      <c r="GZJ22" s="5"/>
      <c r="GZK22" s="5"/>
      <c r="GZL22" s="5"/>
      <c r="GZM22" s="5"/>
      <c r="GZN22" s="5"/>
      <c r="GZO22" s="5"/>
      <c r="GZP22" s="5"/>
      <c r="GZQ22" s="5"/>
      <c r="GZR22" s="5"/>
      <c r="GZS22" s="5"/>
      <c r="GZT22" s="5"/>
      <c r="GZU22" s="5"/>
      <c r="GZV22" s="5"/>
      <c r="GZW22" s="5"/>
      <c r="GZX22" s="5"/>
      <c r="GZY22" s="5"/>
      <c r="GZZ22" s="5"/>
      <c r="HAA22" s="5"/>
      <c r="HAB22" s="5"/>
      <c r="HAC22" s="5"/>
      <c r="HAD22" s="5"/>
      <c r="HAE22" s="5"/>
      <c r="HAF22" s="5"/>
      <c r="HAG22" s="5"/>
      <c r="HAH22" s="5"/>
      <c r="HAI22" s="5"/>
      <c r="HAJ22" s="5"/>
      <c r="HAK22" s="5"/>
      <c r="HAL22" s="5"/>
      <c r="HAM22" s="5"/>
      <c r="HAN22" s="5"/>
      <c r="HAO22" s="5"/>
      <c r="HAP22" s="5"/>
      <c r="HAQ22" s="5"/>
      <c r="HAR22" s="5"/>
      <c r="HAS22" s="5"/>
      <c r="HAT22" s="5"/>
      <c r="HAU22" s="5"/>
      <c r="HAV22" s="5"/>
      <c r="HAW22" s="5"/>
      <c r="HAX22" s="5"/>
      <c r="HAY22" s="5"/>
      <c r="HAZ22" s="5"/>
      <c r="HBA22" s="5"/>
      <c r="HBB22" s="5"/>
      <c r="HBC22" s="5"/>
      <c r="HBD22" s="5"/>
      <c r="HBE22" s="5"/>
      <c r="HBF22" s="5"/>
      <c r="HBG22" s="5"/>
      <c r="HBH22" s="5"/>
      <c r="HBI22" s="5"/>
      <c r="HBJ22" s="5"/>
      <c r="HBK22" s="5"/>
      <c r="HBL22" s="5"/>
      <c r="HBM22" s="5"/>
      <c r="HBN22" s="5"/>
      <c r="HBO22" s="5"/>
      <c r="HBP22" s="5"/>
      <c r="HBQ22" s="5"/>
      <c r="HBR22" s="5"/>
      <c r="HBS22" s="5"/>
      <c r="HBT22" s="5"/>
      <c r="HBU22" s="5"/>
      <c r="HBV22" s="5"/>
      <c r="HBW22" s="5"/>
      <c r="HBX22" s="5"/>
      <c r="HBY22" s="5"/>
      <c r="HBZ22" s="5"/>
      <c r="HCA22" s="5"/>
      <c r="HCB22" s="5"/>
      <c r="HCC22" s="5"/>
      <c r="HCD22" s="5"/>
      <c r="HCE22" s="5"/>
      <c r="HCF22" s="5"/>
      <c r="HCG22" s="5"/>
      <c r="HCH22" s="5"/>
      <c r="HCI22" s="5"/>
      <c r="HCJ22" s="5"/>
      <c r="HCK22" s="5"/>
      <c r="HCL22" s="5"/>
      <c r="HCM22" s="5"/>
      <c r="HCN22" s="5"/>
      <c r="HCO22" s="5"/>
      <c r="HCP22" s="5"/>
      <c r="HCQ22" s="5"/>
      <c r="HCR22" s="5"/>
      <c r="HCS22" s="5"/>
      <c r="HCT22" s="5"/>
      <c r="HCU22" s="5"/>
      <c r="HCV22" s="5"/>
      <c r="HCW22" s="5"/>
      <c r="HCX22" s="5"/>
      <c r="HCY22" s="5"/>
      <c r="HCZ22" s="5"/>
      <c r="HDA22" s="5"/>
      <c r="HDB22" s="5"/>
      <c r="HDC22" s="5"/>
      <c r="HDD22" s="5"/>
      <c r="HDE22" s="5"/>
      <c r="HDF22" s="5"/>
      <c r="HDG22" s="5"/>
      <c r="HDH22" s="5"/>
      <c r="HDI22" s="5"/>
      <c r="HDJ22" s="5"/>
      <c r="HDK22" s="5"/>
      <c r="HDL22" s="5"/>
      <c r="HDM22" s="5"/>
      <c r="HDN22" s="5"/>
      <c r="HDO22" s="5"/>
      <c r="HDP22" s="5"/>
      <c r="HDQ22" s="5"/>
      <c r="HDR22" s="5"/>
      <c r="HDS22" s="5"/>
      <c r="HDT22" s="5"/>
      <c r="HDU22" s="5"/>
      <c r="HDV22" s="5"/>
      <c r="HDW22" s="5"/>
      <c r="HDX22" s="5"/>
      <c r="HDY22" s="5"/>
      <c r="HDZ22" s="5"/>
      <c r="HEA22" s="5"/>
      <c r="HEB22" s="5"/>
      <c r="HEC22" s="5"/>
      <c r="HED22" s="5"/>
      <c r="HEE22" s="5"/>
      <c r="HEF22" s="5"/>
      <c r="HEG22" s="5"/>
      <c r="HEH22" s="5"/>
      <c r="HEI22" s="5"/>
      <c r="HEJ22" s="5"/>
      <c r="HEK22" s="5"/>
      <c r="HEL22" s="5"/>
      <c r="HEM22" s="5"/>
      <c r="HEN22" s="5"/>
      <c r="HEO22" s="5"/>
      <c r="HEP22" s="5"/>
      <c r="HEQ22" s="5"/>
      <c r="HER22" s="5"/>
      <c r="HES22" s="5"/>
      <c r="HET22" s="5"/>
      <c r="HEU22" s="5"/>
      <c r="HEV22" s="5"/>
      <c r="HEW22" s="5"/>
      <c r="HEX22" s="5"/>
      <c r="HEY22" s="5"/>
      <c r="HEZ22" s="5"/>
      <c r="HFA22" s="5"/>
      <c r="HFB22" s="5"/>
      <c r="HFC22" s="5"/>
      <c r="HFD22" s="5"/>
      <c r="HFE22" s="5"/>
      <c r="HFF22" s="5"/>
      <c r="HFG22" s="5"/>
      <c r="HFH22" s="5"/>
      <c r="HFI22" s="5"/>
      <c r="HFJ22" s="5"/>
      <c r="HFK22" s="5"/>
      <c r="HFL22" s="5"/>
      <c r="HFM22" s="5"/>
      <c r="HFN22" s="5"/>
      <c r="HFO22" s="5"/>
      <c r="HFP22" s="5"/>
      <c r="HFQ22" s="5"/>
      <c r="HFR22" s="5"/>
      <c r="HFS22" s="5"/>
      <c r="HFT22" s="5"/>
      <c r="HFU22" s="5"/>
      <c r="HFV22" s="5"/>
      <c r="HFW22" s="5"/>
      <c r="HFX22" s="5"/>
      <c r="HFY22" s="5"/>
      <c r="HFZ22" s="5"/>
      <c r="HGA22" s="5"/>
      <c r="HGB22" s="5"/>
      <c r="HGC22" s="5"/>
      <c r="HGD22" s="5"/>
      <c r="HGE22" s="5"/>
      <c r="HGF22" s="5"/>
      <c r="HGG22" s="5"/>
      <c r="HGH22" s="5"/>
      <c r="HGI22" s="5"/>
      <c r="HGJ22" s="5"/>
      <c r="HGK22" s="5"/>
      <c r="HGL22" s="5"/>
      <c r="HGM22" s="5"/>
      <c r="HGN22" s="5"/>
      <c r="HGO22" s="5"/>
      <c r="HGP22" s="5"/>
      <c r="HGQ22" s="5"/>
      <c r="HGR22" s="5"/>
      <c r="HGS22" s="5"/>
      <c r="HGT22" s="5"/>
      <c r="HGU22" s="5"/>
      <c r="HGV22" s="5"/>
      <c r="HGW22" s="5"/>
      <c r="HGX22" s="5"/>
      <c r="HGY22" s="5"/>
      <c r="HGZ22" s="5"/>
      <c r="HHA22" s="5"/>
      <c r="HHB22" s="5"/>
      <c r="HHC22" s="5"/>
      <c r="HHD22" s="5"/>
      <c r="HHE22" s="5"/>
      <c r="HHF22" s="5"/>
      <c r="HHG22" s="5"/>
      <c r="HHH22" s="5"/>
      <c r="HHI22" s="5"/>
      <c r="HHJ22" s="5"/>
      <c r="HHK22" s="5"/>
      <c r="HHL22" s="5"/>
      <c r="HHM22" s="5"/>
      <c r="HHN22" s="5"/>
      <c r="HHO22" s="5"/>
      <c r="HHP22" s="5"/>
      <c r="HHQ22" s="5"/>
      <c r="HHR22" s="5"/>
      <c r="HHS22" s="5"/>
      <c r="HHT22" s="5"/>
      <c r="HHU22" s="5"/>
      <c r="HHV22" s="5"/>
      <c r="HHW22" s="5"/>
      <c r="HHX22" s="5"/>
      <c r="HHY22" s="5"/>
      <c r="HHZ22" s="5"/>
      <c r="HIA22" s="5"/>
      <c r="HIB22" s="5"/>
      <c r="HIC22" s="5"/>
      <c r="HID22" s="5"/>
      <c r="HIE22" s="5"/>
      <c r="HIF22" s="5"/>
      <c r="HIG22" s="5"/>
      <c r="HIH22" s="5"/>
      <c r="HII22" s="5"/>
      <c r="HIJ22" s="5"/>
      <c r="HIK22" s="5"/>
      <c r="HIL22" s="5"/>
      <c r="HIM22" s="5"/>
      <c r="HIN22" s="5"/>
      <c r="HIO22" s="5"/>
      <c r="HIP22" s="5"/>
      <c r="HIQ22" s="5"/>
      <c r="HIR22" s="5"/>
      <c r="HIS22" s="5"/>
      <c r="HIT22" s="5"/>
      <c r="HIU22" s="5"/>
      <c r="HIV22" s="5"/>
      <c r="HIW22" s="5"/>
      <c r="HIX22" s="5"/>
      <c r="HIY22" s="5"/>
      <c r="HIZ22" s="5"/>
      <c r="HJA22" s="5"/>
      <c r="HJB22" s="5"/>
      <c r="HJC22" s="5"/>
      <c r="HJD22" s="5"/>
      <c r="HJE22" s="5"/>
      <c r="HJF22" s="5"/>
      <c r="HJG22" s="5"/>
      <c r="HJH22" s="5"/>
      <c r="HJI22" s="5"/>
      <c r="HJJ22" s="5"/>
      <c r="HJK22" s="5"/>
      <c r="HJL22" s="5"/>
      <c r="HJM22" s="5"/>
      <c r="HJN22" s="5"/>
      <c r="HJO22" s="5"/>
      <c r="HJP22" s="5"/>
      <c r="HJQ22" s="5"/>
      <c r="HJR22" s="5"/>
      <c r="HJS22" s="5"/>
      <c r="HJT22" s="5"/>
      <c r="HJU22" s="5"/>
      <c r="HJV22" s="5"/>
      <c r="HJW22" s="5"/>
      <c r="HJX22" s="5"/>
      <c r="HJY22" s="5"/>
      <c r="HJZ22" s="5"/>
      <c r="HKA22" s="5"/>
      <c r="HKB22" s="5"/>
      <c r="HKC22" s="5"/>
      <c r="HKD22" s="5"/>
      <c r="HKE22" s="5"/>
      <c r="HKF22" s="5"/>
      <c r="HKG22" s="5"/>
      <c r="HKH22" s="5"/>
      <c r="HKI22" s="5"/>
      <c r="HKJ22" s="5"/>
      <c r="HKK22" s="5"/>
      <c r="HKL22" s="5"/>
      <c r="HKM22" s="5"/>
      <c r="HKN22" s="5"/>
      <c r="HKO22" s="5"/>
      <c r="HKP22" s="5"/>
      <c r="HKQ22" s="5"/>
      <c r="HKR22" s="5"/>
      <c r="HKS22" s="5"/>
      <c r="HKT22" s="5"/>
      <c r="HKU22" s="5"/>
      <c r="HKV22" s="5"/>
      <c r="HKW22" s="5"/>
      <c r="HKX22" s="5"/>
      <c r="HKY22" s="5"/>
      <c r="HKZ22" s="5"/>
      <c r="HLA22" s="5"/>
      <c r="HLB22" s="5"/>
      <c r="HLC22" s="5"/>
      <c r="HLD22" s="5"/>
      <c r="HLE22" s="5"/>
      <c r="HLF22" s="5"/>
      <c r="HLG22" s="5"/>
      <c r="HLH22" s="5"/>
      <c r="HLI22" s="5"/>
      <c r="HLJ22" s="5"/>
      <c r="HLK22" s="5"/>
      <c r="HLL22" s="5"/>
      <c r="HLM22" s="5"/>
      <c r="HLN22" s="5"/>
      <c r="HLO22" s="5"/>
      <c r="HLP22" s="5"/>
      <c r="HLQ22" s="5"/>
      <c r="HLR22" s="5"/>
      <c r="HLS22" s="5"/>
      <c r="HLT22" s="5"/>
      <c r="HLU22" s="5"/>
      <c r="HLV22" s="5"/>
      <c r="HLW22" s="5"/>
      <c r="HLX22" s="5"/>
      <c r="HLY22" s="5"/>
      <c r="HLZ22" s="5"/>
      <c r="HMA22" s="5"/>
      <c r="HMB22" s="5"/>
      <c r="HMC22" s="5"/>
      <c r="HMD22" s="5"/>
      <c r="HME22" s="5"/>
      <c r="HMF22" s="5"/>
      <c r="HMG22" s="5"/>
      <c r="HMH22" s="5"/>
      <c r="HMI22" s="5"/>
      <c r="HMJ22" s="5"/>
      <c r="HMK22" s="5"/>
      <c r="HML22" s="5"/>
      <c r="HMM22" s="5"/>
      <c r="HMN22" s="5"/>
      <c r="HMO22" s="5"/>
      <c r="HMP22" s="5"/>
      <c r="HMQ22" s="5"/>
      <c r="HMR22" s="5"/>
      <c r="HMS22" s="5"/>
      <c r="HMT22" s="5"/>
      <c r="HMU22" s="5"/>
      <c r="HMV22" s="5"/>
      <c r="HMW22" s="5"/>
      <c r="HMX22" s="5"/>
      <c r="HMY22" s="5"/>
      <c r="HMZ22" s="5"/>
      <c r="HNA22" s="5"/>
      <c r="HNB22" s="5"/>
      <c r="HNC22" s="5"/>
      <c r="HND22" s="5"/>
      <c r="HNE22" s="5"/>
      <c r="HNF22" s="5"/>
      <c r="HNG22" s="5"/>
      <c r="HNH22" s="5"/>
      <c r="HNI22" s="5"/>
      <c r="HNJ22" s="5"/>
      <c r="HNK22" s="5"/>
      <c r="HNL22" s="5"/>
      <c r="HNM22" s="5"/>
      <c r="HNN22" s="5"/>
      <c r="HNO22" s="5"/>
      <c r="HNP22" s="5"/>
      <c r="HNQ22" s="5"/>
      <c r="HNR22" s="5"/>
      <c r="HNS22" s="5"/>
      <c r="HNT22" s="5"/>
      <c r="HNU22" s="5"/>
      <c r="HNV22" s="5"/>
      <c r="HNW22" s="5"/>
      <c r="HNX22" s="5"/>
      <c r="HNY22" s="5"/>
      <c r="HNZ22" s="5"/>
      <c r="HOA22" s="5"/>
      <c r="HOB22" s="5"/>
      <c r="HOC22" s="5"/>
      <c r="HOD22" s="5"/>
      <c r="HOE22" s="5"/>
      <c r="HOF22" s="5"/>
      <c r="HOG22" s="5"/>
      <c r="HOH22" s="5"/>
      <c r="HOI22" s="5"/>
      <c r="HOJ22" s="5"/>
      <c r="HOK22" s="5"/>
      <c r="HOL22" s="5"/>
      <c r="HOM22" s="5"/>
      <c r="HON22" s="5"/>
      <c r="HOO22" s="5"/>
      <c r="HOP22" s="5"/>
      <c r="HOQ22" s="5"/>
      <c r="HOR22" s="5"/>
      <c r="HOS22" s="5"/>
      <c r="HOT22" s="5"/>
      <c r="HOU22" s="5"/>
      <c r="HOV22" s="5"/>
      <c r="HOW22" s="5"/>
      <c r="HOX22" s="5"/>
      <c r="HOY22" s="5"/>
      <c r="HOZ22" s="5"/>
      <c r="HPA22" s="5"/>
      <c r="HPB22" s="5"/>
      <c r="HPC22" s="5"/>
      <c r="HPD22" s="5"/>
      <c r="HPE22" s="5"/>
      <c r="HPF22" s="5"/>
      <c r="HPG22" s="5"/>
      <c r="HPH22" s="5"/>
      <c r="HPI22" s="5"/>
      <c r="HPJ22" s="5"/>
      <c r="HPK22" s="5"/>
      <c r="HPL22" s="5"/>
      <c r="HPM22" s="5"/>
      <c r="HPN22" s="5"/>
      <c r="HPO22" s="5"/>
      <c r="HPP22" s="5"/>
      <c r="HPQ22" s="5"/>
      <c r="HPR22" s="5"/>
      <c r="HPS22" s="5"/>
      <c r="HPT22" s="5"/>
      <c r="HPU22" s="5"/>
      <c r="HPV22" s="5"/>
      <c r="HPW22" s="5"/>
      <c r="HPX22" s="5"/>
      <c r="HPY22" s="5"/>
      <c r="HPZ22" s="5"/>
      <c r="HQA22" s="5"/>
      <c r="HQB22" s="5"/>
      <c r="HQC22" s="5"/>
      <c r="HQD22" s="5"/>
      <c r="HQE22" s="5"/>
      <c r="HQF22" s="5"/>
      <c r="HQG22" s="5"/>
      <c r="HQH22" s="5"/>
      <c r="HQI22" s="5"/>
      <c r="HQJ22" s="5"/>
      <c r="HQK22" s="5"/>
      <c r="HQL22" s="5"/>
      <c r="HQM22" s="5"/>
      <c r="HQN22" s="5"/>
      <c r="HQO22" s="5"/>
      <c r="HQP22" s="5"/>
      <c r="HQQ22" s="5"/>
      <c r="HQR22" s="5"/>
      <c r="HQS22" s="5"/>
      <c r="HQT22" s="5"/>
      <c r="HQU22" s="5"/>
      <c r="HQV22" s="5"/>
      <c r="HQW22" s="5"/>
      <c r="HQX22" s="5"/>
      <c r="HQY22" s="5"/>
      <c r="HQZ22" s="5"/>
      <c r="HRA22" s="5"/>
      <c r="HRB22" s="5"/>
      <c r="HRC22" s="5"/>
      <c r="HRD22" s="5"/>
      <c r="HRE22" s="5"/>
      <c r="HRF22" s="5"/>
      <c r="HRG22" s="5"/>
      <c r="HRH22" s="5"/>
      <c r="HRI22" s="5"/>
      <c r="HRJ22" s="5"/>
      <c r="HRK22" s="5"/>
      <c r="HRL22" s="5"/>
      <c r="HRM22" s="5"/>
      <c r="HRN22" s="5"/>
      <c r="HRO22" s="5"/>
      <c r="HRP22" s="5"/>
      <c r="HRQ22" s="5"/>
      <c r="HRR22" s="5"/>
      <c r="HRS22" s="5"/>
      <c r="HRT22" s="5"/>
      <c r="HRU22" s="5"/>
      <c r="HRV22" s="5"/>
      <c r="HRW22" s="5"/>
      <c r="HRX22" s="5"/>
      <c r="HRY22" s="5"/>
      <c r="HRZ22" s="5"/>
      <c r="HSA22" s="5"/>
      <c r="HSB22" s="5"/>
      <c r="HSC22" s="5"/>
      <c r="HSD22" s="5"/>
      <c r="HSE22" s="5"/>
      <c r="HSF22" s="5"/>
      <c r="HSG22" s="5"/>
      <c r="HSH22" s="5"/>
      <c r="HSI22" s="5"/>
      <c r="HSJ22" s="5"/>
      <c r="HSK22" s="5"/>
      <c r="HSL22" s="5"/>
      <c r="HSM22" s="5"/>
      <c r="HSN22" s="5"/>
      <c r="HSO22" s="5"/>
      <c r="HSP22" s="5"/>
      <c r="HSQ22" s="5"/>
      <c r="HSR22" s="5"/>
      <c r="HSS22" s="5"/>
      <c r="HST22" s="5"/>
      <c r="HSU22" s="5"/>
      <c r="HSV22" s="5"/>
      <c r="HSW22" s="5"/>
      <c r="HSX22" s="5"/>
      <c r="HSY22" s="5"/>
      <c r="HSZ22" s="5"/>
      <c r="HTA22" s="5"/>
      <c r="HTB22" s="5"/>
      <c r="HTC22" s="5"/>
      <c r="HTD22" s="5"/>
      <c r="HTE22" s="5"/>
      <c r="HTF22" s="5"/>
      <c r="HTG22" s="5"/>
      <c r="HTH22" s="5"/>
      <c r="HTI22" s="5"/>
      <c r="HTJ22" s="5"/>
      <c r="HTK22" s="5"/>
      <c r="HTL22" s="5"/>
      <c r="HTM22" s="5"/>
      <c r="HTN22" s="5"/>
      <c r="HTO22" s="5"/>
      <c r="HTP22" s="5"/>
      <c r="HTQ22" s="5"/>
      <c r="HTR22" s="5"/>
      <c r="HTS22" s="5"/>
      <c r="HTT22" s="5"/>
      <c r="HTU22" s="5"/>
      <c r="HTV22" s="5"/>
      <c r="HTW22" s="5"/>
      <c r="HTX22" s="5"/>
      <c r="HTY22" s="5"/>
      <c r="HTZ22" s="5"/>
      <c r="HUA22" s="5"/>
      <c r="HUB22" s="5"/>
      <c r="HUC22" s="5"/>
      <c r="HUD22" s="5"/>
      <c r="HUE22" s="5"/>
      <c r="HUF22" s="5"/>
      <c r="HUG22" s="5"/>
      <c r="HUH22" s="5"/>
      <c r="HUI22" s="5"/>
      <c r="HUJ22" s="5"/>
      <c r="HUK22" s="5"/>
      <c r="HUL22" s="5"/>
      <c r="HUM22" s="5"/>
      <c r="HUN22" s="5"/>
      <c r="HUO22" s="5"/>
      <c r="HUP22" s="5"/>
      <c r="HUQ22" s="5"/>
      <c r="HUR22" s="5"/>
      <c r="HUS22" s="5"/>
      <c r="HUT22" s="5"/>
      <c r="HUU22" s="5"/>
      <c r="HUV22" s="5"/>
      <c r="HUW22" s="5"/>
      <c r="HUX22" s="5"/>
      <c r="HUY22" s="5"/>
      <c r="HUZ22" s="5"/>
      <c r="HVA22" s="5"/>
      <c r="HVB22" s="5"/>
      <c r="HVC22" s="5"/>
      <c r="HVD22" s="5"/>
      <c r="HVE22" s="5"/>
      <c r="HVF22" s="5"/>
      <c r="HVG22" s="5"/>
      <c r="HVH22" s="5"/>
      <c r="HVI22" s="5"/>
      <c r="HVJ22" s="5"/>
      <c r="HVK22" s="5"/>
      <c r="HVL22" s="5"/>
      <c r="HVM22" s="5"/>
      <c r="HVN22" s="5"/>
      <c r="HVO22" s="5"/>
      <c r="HVP22" s="5"/>
      <c r="HVQ22" s="5"/>
      <c r="HVR22" s="5"/>
      <c r="HVS22" s="5"/>
      <c r="HVT22" s="5"/>
      <c r="HVU22" s="5"/>
      <c r="HVV22" s="5"/>
      <c r="HVW22" s="5"/>
      <c r="HVX22" s="5"/>
      <c r="HVY22" s="5"/>
      <c r="HVZ22" s="5"/>
      <c r="HWA22" s="5"/>
      <c r="HWB22" s="5"/>
      <c r="HWC22" s="5"/>
      <c r="HWD22" s="5"/>
      <c r="HWE22" s="5"/>
      <c r="HWF22" s="5"/>
      <c r="HWG22" s="5"/>
      <c r="HWH22" s="5"/>
      <c r="HWI22" s="5"/>
      <c r="HWJ22" s="5"/>
      <c r="HWK22" s="5"/>
      <c r="HWL22" s="5"/>
      <c r="HWM22" s="5"/>
      <c r="HWN22" s="5"/>
      <c r="HWO22" s="5"/>
      <c r="HWP22" s="5"/>
      <c r="HWQ22" s="5"/>
      <c r="HWR22" s="5"/>
      <c r="HWS22" s="5"/>
      <c r="HWT22" s="5"/>
      <c r="HWU22" s="5"/>
      <c r="HWV22" s="5"/>
      <c r="HWW22" s="5"/>
      <c r="HWX22" s="5"/>
      <c r="HWY22" s="5"/>
      <c r="HWZ22" s="5"/>
      <c r="HXA22" s="5"/>
      <c r="HXB22" s="5"/>
      <c r="HXC22" s="5"/>
      <c r="HXD22" s="5"/>
      <c r="HXE22" s="5"/>
      <c r="HXF22" s="5"/>
      <c r="HXG22" s="5"/>
      <c r="HXH22" s="5"/>
      <c r="HXI22" s="5"/>
      <c r="HXJ22" s="5"/>
      <c r="HXK22" s="5"/>
      <c r="HXL22" s="5"/>
      <c r="HXM22" s="5"/>
      <c r="HXN22" s="5"/>
      <c r="HXO22" s="5"/>
      <c r="HXP22" s="5"/>
      <c r="HXQ22" s="5"/>
      <c r="HXR22" s="5"/>
      <c r="HXS22" s="5"/>
      <c r="HXT22" s="5"/>
      <c r="HXU22" s="5"/>
      <c r="HXV22" s="5"/>
      <c r="HXW22" s="5"/>
      <c r="HXX22" s="5"/>
      <c r="HXY22" s="5"/>
      <c r="HXZ22" s="5"/>
      <c r="HYA22" s="5"/>
      <c r="HYB22" s="5"/>
      <c r="HYC22" s="5"/>
      <c r="HYD22" s="5"/>
      <c r="HYE22" s="5"/>
      <c r="HYF22" s="5"/>
      <c r="HYG22" s="5"/>
      <c r="HYH22" s="5"/>
      <c r="HYI22" s="5"/>
      <c r="HYJ22" s="5"/>
      <c r="HYK22" s="5"/>
      <c r="HYL22" s="5"/>
      <c r="HYM22" s="5"/>
      <c r="HYN22" s="5"/>
      <c r="HYO22" s="5"/>
      <c r="HYP22" s="5"/>
      <c r="HYQ22" s="5"/>
      <c r="HYR22" s="5"/>
      <c r="HYS22" s="5"/>
      <c r="HYT22" s="5"/>
      <c r="HYU22" s="5"/>
      <c r="HYV22" s="5"/>
      <c r="HYW22" s="5"/>
      <c r="HYX22" s="5"/>
      <c r="HYY22" s="5"/>
      <c r="HYZ22" s="5"/>
      <c r="HZA22" s="5"/>
      <c r="HZB22" s="5"/>
      <c r="HZC22" s="5"/>
      <c r="HZD22" s="5"/>
      <c r="HZE22" s="5"/>
      <c r="HZF22" s="5"/>
      <c r="HZG22" s="5"/>
      <c r="HZH22" s="5"/>
      <c r="HZI22" s="5"/>
      <c r="HZJ22" s="5"/>
      <c r="HZK22" s="5"/>
      <c r="HZL22" s="5"/>
      <c r="HZM22" s="5"/>
      <c r="HZN22" s="5"/>
      <c r="HZO22" s="5"/>
      <c r="HZP22" s="5"/>
      <c r="HZQ22" s="5"/>
      <c r="HZR22" s="5"/>
      <c r="HZS22" s="5"/>
      <c r="HZT22" s="5"/>
      <c r="HZU22" s="5"/>
      <c r="HZV22" s="5"/>
      <c r="HZW22" s="5"/>
      <c r="HZX22" s="5"/>
      <c r="HZY22" s="5"/>
      <c r="HZZ22" s="5"/>
      <c r="IAA22" s="5"/>
      <c r="IAB22" s="5"/>
      <c r="IAC22" s="5"/>
      <c r="IAD22" s="5"/>
      <c r="IAE22" s="5"/>
      <c r="IAF22" s="5"/>
      <c r="IAG22" s="5"/>
      <c r="IAH22" s="5"/>
      <c r="IAI22" s="5"/>
      <c r="IAJ22" s="5"/>
      <c r="IAK22" s="5"/>
      <c r="IAL22" s="5"/>
      <c r="IAM22" s="5"/>
      <c r="IAN22" s="5"/>
      <c r="IAO22" s="5"/>
      <c r="IAP22" s="5"/>
      <c r="IAQ22" s="5"/>
      <c r="IAR22" s="5"/>
      <c r="IAS22" s="5"/>
      <c r="IAT22" s="5"/>
      <c r="IAU22" s="5"/>
      <c r="IAV22" s="5"/>
      <c r="IAW22" s="5"/>
      <c r="IAX22" s="5"/>
      <c r="IAY22" s="5"/>
      <c r="IAZ22" s="5"/>
      <c r="IBA22" s="5"/>
      <c r="IBB22" s="5"/>
      <c r="IBC22" s="5"/>
      <c r="IBD22" s="5"/>
      <c r="IBE22" s="5"/>
      <c r="IBF22" s="5"/>
      <c r="IBG22" s="5"/>
      <c r="IBH22" s="5"/>
      <c r="IBI22" s="5"/>
      <c r="IBJ22" s="5"/>
      <c r="IBK22" s="5"/>
      <c r="IBL22" s="5"/>
      <c r="IBM22" s="5"/>
      <c r="IBN22" s="5"/>
      <c r="IBO22" s="5"/>
      <c r="IBP22" s="5"/>
      <c r="IBQ22" s="5"/>
      <c r="IBR22" s="5"/>
      <c r="IBS22" s="5"/>
      <c r="IBT22" s="5"/>
      <c r="IBU22" s="5"/>
      <c r="IBV22" s="5"/>
      <c r="IBW22" s="5"/>
      <c r="IBX22" s="5"/>
      <c r="IBY22" s="5"/>
      <c r="IBZ22" s="5"/>
      <c r="ICA22" s="5"/>
      <c r="ICB22" s="5"/>
      <c r="ICC22" s="5"/>
      <c r="ICD22" s="5"/>
      <c r="ICE22" s="5"/>
      <c r="ICF22" s="5"/>
      <c r="ICG22" s="5"/>
      <c r="ICH22" s="5"/>
      <c r="ICI22" s="5"/>
      <c r="ICJ22" s="5"/>
      <c r="ICK22" s="5"/>
      <c r="ICL22" s="5"/>
      <c r="ICM22" s="5"/>
      <c r="ICN22" s="5"/>
      <c r="ICO22" s="5"/>
      <c r="ICP22" s="5"/>
      <c r="ICQ22" s="5"/>
      <c r="ICR22" s="5"/>
      <c r="ICS22" s="5"/>
      <c r="ICT22" s="5"/>
      <c r="ICU22" s="5"/>
      <c r="ICV22" s="5"/>
      <c r="ICW22" s="5"/>
      <c r="ICX22" s="5"/>
      <c r="ICY22" s="5"/>
      <c r="ICZ22" s="5"/>
      <c r="IDA22" s="5"/>
      <c r="IDB22" s="5"/>
      <c r="IDC22" s="5"/>
      <c r="IDD22" s="5"/>
      <c r="IDE22" s="5"/>
      <c r="IDF22" s="5"/>
      <c r="IDG22" s="5"/>
      <c r="IDH22" s="5"/>
      <c r="IDI22" s="5"/>
      <c r="IDJ22" s="5"/>
      <c r="IDK22" s="5"/>
      <c r="IDL22" s="5"/>
      <c r="IDM22" s="5"/>
      <c r="IDN22" s="5"/>
      <c r="IDO22" s="5"/>
      <c r="IDP22" s="5"/>
      <c r="IDQ22" s="5"/>
      <c r="IDR22" s="5"/>
      <c r="IDS22" s="5"/>
      <c r="IDT22" s="5"/>
      <c r="IDU22" s="5"/>
      <c r="IDV22" s="5"/>
      <c r="IDW22" s="5"/>
      <c r="IDX22" s="5"/>
      <c r="IDY22" s="5"/>
      <c r="IDZ22" s="5"/>
      <c r="IEA22" s="5"/>
      <c r="IEB22" s="5"/>
      <c r="IEC22" s="5"/>
      <c r="IED22" s="5"/>
      <c r="IEE22" s="5"/>
      <c r="IEF22" s="5"/>
      <c r="IEG22" s="5"/>
      <c r="IEH22" s="5"/>
      <c r="IEI22" s="5"/>
      <c r="IEJ22" s="5"/>
      <c r="IEK22" s="5"/>
      <c r="IEL22" s="5"/>
      <c r="IEM22" s="5"/>
      <c r="IEN22" s="5"/>
      <c r="IEO22" s="5"/>
      <c r="IEP22" s="5"/>
      <c r="IEQ22" s="5"/>
      <c r="IER22" s="5"/>
      <c r="IES22" s="5"/>
      <c r="IET22" s="5"/>
      <c r="IEU22" s="5"/>
      <c r="IEV22" s="5"/>
      <c r="IEW22" s="5"/>
      <c r="IEX22" s="5"/>
      <c r="IEY22" s="5"/>
      <c r="IEZ22" s="5"/>
      <c r="IFA22" s="5"/>
      <c r="IFB22" s="5"/>
      <c r="IFC22" s="5"/>
      <c r="IFD22" s="5"/>
      <c r="IFE22" s="5"/>
      <c r="IFF22" s="5"/>
      <c r="IFG22" s="5"/>
      <c r="IFH22" s="5"/>
      <c r="IFI22" s="5"/>
      <c r="IFJ22" s="5"/>
      <c r="IFK22" s="5"/>
      <c r="IFL22" s="5"/>
      <c r="IFM22" s="5"/>
      <c r="IFN22" s="5"/>
      <c r="IFO22" s="5"/>
      <c r="IFP22" s="5"/>
      <c r="IFQ22" s="5"/>
      <c r="IFR22" s="5"/>
      <c r="IFS22" s="5"/>
      <c r="IFT22" s="5"/>
      <c r="IFU22" s="5"/>
      <c r="IFV22" s="5"/>
      <c r="IFW22" s="5"/>
      <c r="IFX22" s="5"/>
      <c r="IFY22" s="5"/>
      <c r="IFZ22" s="5"/>
      <c r="IGA22" s="5"/>
      <c r="IGB22" s="5"/>
      <c r="IGC22" s="5"/>
      <c r="IGD22" s="5"/>
      <c r="IGE22" s="5"/>
      <c r="IGF22" s="5"/>
      <c r="IGG22" s="5"/>
      <c r="IGH22" s="5"/>
      <c r="IGI22" s="5"/>
      <c r="IGJ22" s="5"/>
      <c r="IGK22" s="5"/>
      <c r="IGL22" s="5"/>
      <c r="IGM22" s="5"/>
      <c r="IGN22" s="5"/>
      <c r="IGO22" s="5"/>
      <c r="IGP22" s="5"/>
      <c r="IGQ22" s="5"/>
      <c r="IGR22" s="5"/>
      <c r="IGS22" s="5"/>
      <c r="IGT22" s="5"/>
      <c r="IGU22" s="5"/>
      <c r="IGV22" s="5"/>
      <c r="IGW22" s="5"/>
      <c r="IGX22" s="5"/>
      <c r="IGY22" s="5"/>
      <c r="IGZ22" s="5"/>
      <c r="IHA22" s="5"/>
      <c r="IHB22" s="5"/>
      <c r="IHC22" s="5"/>
      <c r="IHD22" s="5"/>
      <c r="IHE22" s="5"/>
      <c r="IHF22" s="5"/>
      <c r="IHG22" s="5"/>
      <c r="IHH22" s="5"/>
      <c r="IHI22" s="5"/>
      <c r="IHJ22" s="5"/>
      <c r="IHK22" s="5"/>
      <c r="IHL22" s="5"/>
      <c r="IHM22" s="5"/>
      <c r="IHN22" s="5"/>
      <c r="IHO22" s="5"/>
      <c r="IHP22" s="5"/>
      <c r="IHQ22" s="5"/>
      <c r="IHR22" s="5"/>
      <c r="IHS22" s="5"/>
      <c r="IHT22" s="5"/>
      <c r="IHU22" s="5"/>
      <c r="IHV22" s="5"/>
      <c r="IHW22" s="5"/>
      <c r="IHX22" s="5"/>
      <c r="IHY22" s="5"/>
      <c r="IHZ22" s="5"/>
      <c r="IIA22" s="5"/>
      <c r="IIB22" s="5"/>
      <c r="IIC22" s="5"/>
      <c r="IID22" s="5"/>
      <c r="IIE22" s="5"/>
      <c r="IIF22" s="5"/>
      <c r="IIG22" s="5"/>
      <c r="IIH22" s="5"/>
      <c r="III22" s="5"/>
      <c r="IIJ22" s="5"/>
      <c r="IIK22" s="5"/>
      <c r="IIL22" s="5"/>
      <c r="IIM22" s="5"/>
      <c r="IIN22" s="5"/>
      <c r="IIO22" s="5"/>
      <c r="IIP22" s="5"/>
      <c r="IIQ22" s="5"/>
      <c r="IIR22" s="5"/>
      <c r="IIS22" s="5"/>
      <c r="IIT22" s="5"/>
      <c r="IIU22" s="5"/>
      <c r="IIV22" s="5"/>
      <c r="IIW22" s="5"/>
      <c r="IIX22" s="5"/>
      <c r="IIY22" s="5"/>
      <c r="IIZ22" s="5"/>
      <c r="IJA22" s="5"/>
      <c r="IJB22" s="5"/>
      <c r="IJC22" s="5"/>
      <c r="IJD22" s="5"/>
      <c r="IJE22" s="5"/>
      <c r="IJF22" s="5"/>
      <c r="IJG22" s="5"/>
      <c r="IJH22" s="5"/>
      <c r="IJI22" s="5"/>
      <c r="IJJ22" s="5"/>
      <c r="IJK22" s="5"/>
      <c r="IJL22" s="5"/>
      <c r="IJM22" s="5"/>
      <c r="IJN22" s="5"/>
      <c r="IJO22" s="5"/>
      <c r="IJP22" s="5"/>
      <c r="IJQ22" s="5"/>
      <c r="IJR22" s="5"/>
      <c r="IJS22" s="5"/>
      <c r="IJT22" s="5"/>
      <c r="IJU22" s="5"/>
      <c r="IJV22" s="5"/>
      <c r="IJW22" s="5"/>
      <c r="IJX22" s="5"/>
      <c r="IJY22" s="5"/>
      <c r="IJZ22" s="5"/>
      <c r="IKA22" s="5"/>
      <c r="IKB22" s="5"/>
      <c r="IKC22" s="5"/>
      <c r="IKD22" s="5"/>
      <c r="IKE22" s="5"/>
      <c r="IKF22" s="5"/>
      <c r="IKG22" s="5"/>
      <c r="IKH22" s="5"/>
      <c r="IKI22" s="5"/>
      <c r="IKJ22" s="5"/>
      <c r="IKK22" s="5"/>
      <c r="IKL22" s="5"/>
      <c r="IKM22" s="5"/>
      <c r="IKN22" s="5"/>
      <c r="IKO22" s="5"/>
      <c r="IKP22" s="5"/>
      <c r="IKQ22" s="5"/>
      <c r="IKR22" s="5"/>
      <c r="IKS22" s="5"/>
      <c r="IKT22" s="5"/>
      <c r="IKU22" s="5"/>
      <c r="IKV22" s="5"/>
      <c r="IKW22" s="5"/>
      <c r="IKX22" s="5"/>
      <c r="IKY22" s="5"/>
      <c r="IKZ22" s="5"/>
      <c r="ILA22" s="5"/>
      <c r="ILB22" s="5"/>
      <c r="ILC22" s="5"/>
      <c r="ILD22" s="5"/>
      <c r="ILE22" s="5"/>
      <c r="ILF22" s="5"/>
      <c r="ILG22" s="5"/>
      <c r="ILH22" s="5"/>
      <c r="ILI22" s="5"/>
      <c r="ILJ22" s="5"/>
      <c r="ILK22" s="5"/>
      <c r="ILL22" s="5"/>
      <c r="ILM22" s="5"/>
      <c r="ILN22" s="5"/>
      <c r="ILO22" s="5"/>
      <c r="ILP22" s="5"/>
      <c r="ILQ22" s="5"/>
      <c r="ILR22" s="5"/>
      <c r="ILS22" s="5"/>
      <c r="ILT22" s="5"/>
      <c r="ILU22" s="5"/>
      <c r="ILV22" s="5"/>
      <c r="ILW22" s="5"/>
      <c r="ILX22" s="5"/>
      <c r="ILY22" s="5"/>
      <c r="ILZ22" s="5"/>
      <c r="IMA22" s="5"/>
      <c r="IMB22" s="5"/>
      <c r="IMC22" s="5"/>
      <c r="IMD22" s="5"/>
      <c r="IME22" s="5"/>
      <c r="IMF22" s="5"/>
      <c r="IMG22" s="5"/>
      <c r="IMH22" s="5"/>
      <c r="IMI22" s="5"/>
      <c r="IMJ22" s="5"/>
      <c r="IMK22" s="5"/>
      <c r="IML22" s="5"/>
      <c r="IMM22" s="5"/>
      <c r="IMN22" s="5"/>
      <c r="IMO22" s="5"/>
      <c r="IMP22" s="5"/>
      <c r="IMQ22" s="5"/>
      <c r="IMR22" s="5"/>
      <c r="IMS22" s="5"/>
      <c r="IMT22" s="5"/>
      <c r="IMU22" s="5"/>
      <c r="IMV22" s="5"/>
      <c r="IMW22" s="5"/>
      <c r="IMX22" s="5"/>
      <c r="IMY22" s="5"/>
      <c r="IMZ22" s="5"/>
      <c r="INA22" s="5"/>
      <c r="INB22" s="5"/>
      <c r="INC22" s="5"/>
      <c r="IND22" s="5"/>
      <c r="INE22" s="5"/>
      <c r="INF22" s="5"/>
      <c r="ING22" s="5"/>
      <c r="INH22" s="5"/>
      <c r="INI22" s="5"/>
      <c r="INJ22" s="5"/>
      <c r="INK22" s="5"/>
      <c r="INL22" s="5"/>
      <c r="INM22" s="5"/>
      <c r="INN22" s="5"/>
      <c r="INO22" s="5"/>
      <c r="INP22" s="5"/>
      <c r="INQ22" s="5"/>
      <c r="INR22" s="5"/>
      <c r="INS22" s="5"/>
      <c r="INT22" s="5"/>
      <c r="INU22" s="5"/>
      <c r="INV22" s="5"/>
      <c r="INW22" s="5"/>
      <c r="INX22" s="5"/>
      <c r="INY22" s="5"/>
      <c r="INZ22" s="5"/>
      <c r="IOA22" s="5"/>
      <c r="IOB22" s="5"/>
      <c r="IOC22" s="5"/>
      <c r="IOD22" s="5"/>
      <c r="IOE22" s="5"/>
      <c r="IOF22" s="5"/>
      <c r="IOG22" s="5"/>
      <c r="IOH22" s="5"/>
      <c r="IOI22" s="5"/>
      <c r="IOJ22" s="5"/>
      <c r="IOK22" s="5"/>
      <c r="IOL22" s="5"/>
      <c r="IOM22" s="5"/>
      <c r="ION22" s="5"/>
      <c r="IOO22" s="5"/>
      <c r="IOP22" s="5"/>
      <c r="IOQ22" s="5"/>
      <c r="IOR22" s="5"/>
      <c r="IOS22" s="5"/>
      <c r="IOT22" s="5"/>
      <c r="IOU22" s="5"/>
      <c r="IOV22" s="5"/>
      <c r="IOW22" s="5"/>
      <c r="IOX22" s="5"/>
      <c r="IOY22" s="5"/>
      <c r="IOZ22" s="5"/>
      <c r="IPA22" s="5"/>
      <c r="IPB22" s="5"/>
      <c r="IPC22" s="5"/>
      <c r="IPD22" s="5"/>
      <c r="IPE22" s="5"/>
      <c r="IPF22" s="5"/>
      <c r="IPG22" s="5"/>
      <c r="IPH22" s="5"/>
      <c r="IPI22" s="5"/>
      <c r="IPJ22" s="5"/>
      <c r="IPK22" s="5"/>
      <c r="IPL22" s="5"/>
      <c r="IPM22" s="5"/>
      <c r="IPN22" s="5"/>
      <c r="IPO22" s="5"/>
      <c r="IPP22" s="5"/>
      <c r="IPQ22" s="5"/>
      <c r="IPR22" s="5"/>
      <c r="IPS22" s="5"/>
      <c r="IPT22" s="5"/>
      <c r="IPU22" s="5"/>
      <c r="IPV22" s="5"/>
      <c r="IPW22" s="5"/>
      <c r="IPX22" s="5"/>
      <c r="IPY22" s="5"/>
      <c r="IPZ22" s="5"/>
      <c r="IQA22" s="5"/>
      <c r="IQB22" s="5"/>
      <c r="IQC22" s="5"/>
      <c r="IQD22" s="5"/>
      <c r="IQE22" s="5"/>
      <c r="IQF22" s="5"/>
      <c r="IQG22" s="5"/>
      <c r="IQH22" s="5"/>
      <c r="IQI22" s="5"/>
      <c r="IQJ22" s="5"/>
      <c r="IQK22" s="5"/>
      <c r="IQL22" s="5"/>
      <c r="IQM22" s="5"/>
      <c r="IQN22" s="5"/>
      <c r="IQO22" s="5"/>
      <c r="IQP22" s="5"/>
      <c r="IQQ22" s="5"/>
      <c r="IQR22" s="5"/>
      <c r="IQS22" s="5"/>
      <c r="IQT22" s="5"/>
      <c r="IQU22" s="5"/>
      <c r="IQV22" s="5"/>
      <c r="IQW22" s="5"/>
      <c r="IQX22" s="5"/>
      <c r="IQY22" s="5"/>
      <c r="IQZ22" s="5"/>
      <c r="IRA22" s="5"/>
      <c r="IRB22" s="5"/>
      <c r="IRC22" s="5"/>
      <c r="IRD22" s="5"/>
      <c r="IRE22" s="5"/>
      <c r="IRF22" s="5"/>
      <c r="IRG22" s="5"/>
      <c r="IRH22" s="5"/>
      <c r="IRI22" s="5"/>
      <c r="IRJ22" s="5"/>
      <c r="IRK22" s="5"/>
      <c r="IRL22" s="5"/>
      <c r="IRM22" s="5"/>
      <c r="IRN22" s="5"/>
      <c r="IRO22" s="5"/>
      <c r="IRP22" s="5"/>
      <c r="IRQ22" s="5"/>
      <c r="IRR22" s="5"/>
      <c r="IRS22" s="5"/>
      <c r="IRT22" s="5"/>
      <c r="IRU22" s="5"/>
      <c r="IRV22" s="5"/>
      <c r="IRW22" s="5"/>
      <c r="IRX22" s="5"/>
      <c r="IRY22" s="5"/>
      <c r="IRZ22" s="5"/>
      <c r="ISA22" s="5"/>
      <c r="ISB22" s="5"/>
      <c r="ISC22" s="5"/>
      <c r="ISD22" s="5"/>
      <c r="ISE22" s="5"/>
      <c r="ISF22" s="5"/>
      <c r="ISG22" s="5"/>
      <c r="ISH22" s="5"/>
      <c r="ISI22" s="5"/>
      <c r="ISJ22" s="5"/>
      <c r="ISK22" s="5"/>
      <c r="ISL22" s="5"/>
      <c r="ISM22" s="5"/>
      <c r="ISN22" s="5"/>
      <c r="ISO22" s="5"/>
      <c r="ISP22" s="5"/>
      <c r="ISQ22" s="5"/>
      <c r="ISR22" s="5"/>
      <c r="ISS22" s="5"/>
      <c r="IST22" s="5"/>
      <c r="ISU22" s="5"/>
      <c r="ISV22" s="5"/>
      <c r="ISW22" s="5"/>
      <c r="ISX22" s="5"/>
      <c r="ISY22" s="5"/>
      <c r="ISZ22" s="5"/>
      <c r="ITA22" s="5"/>
      <c r="ITB22" s="5"/>
      <c r="ITC22" s="5"/>
      <c r="ITD22" s="5"/>
      <c r="ITE22" s="5"/>
      <c r="ITF22" s="5"/>
      <c r="ITG22" s="5"/>
      <c r="ITH22" s="5"/>
      <c r="ITI22" s="5"/>
      <c r="ITJ22" s="5"/>
      <c r="ITK22" s="5"/>
      <c r="ITL22" s="5"/>
      <c r="ITM22" s="5"/>
      <c r="ITN22" s="5"/>
      <c r="ITO22" s="5"/>
      <c r="ITP22" s="5"/>
      <c r="ITQ22" s="5"/>
      <c r="ITR22" s="5"/>
      <c r="ITS22" s="5"/>
      <c r="ITT22" s="5"/>
      <c r="ITU22" s="5"/>
      <c r="ITV22" s="5"/>
      <c r="ITW22" s="5"/>
      <c r="ITX22" s="5"/>
      <c r="ITY22" s="5"/>
      <c r="ITZ22" s="5"/>
      <c r="IUA22" s="5"/>
      <c r="IUB22" s="5"/>
      <c r="IUC22" s="5"/>
      <c r="IUD22" s="5"/>
      <c r="IUE22" s="5"/>
      <c r="IUF22" s="5"/>
      <c r="IUG22" s="5"/>
      <c r="IUH22" s="5"/>
      <c r="IUI22" s="5"/>
      <c r="IUJ22" s="5"/>
      <c r="IUK22" s="5"/>
      <c r="IUL22" s="5"/>
      <c r="IUM22" s="5"/>
      <c r="IUN22" s="5"/>
      <c r="IUO22" s="5"/>
      <c r="IUP22" s="5"/>
      <c r="IUQ22" s="5"/>
      <c r="IUR22" s="5"/>
      <c r="IUS22" s="5"/>
      <c r="IUT22" s="5"/>
      <c r="IUU22" s="5"/>
      <c r="IUV22" s="5"/>
      <c r="IUW22" s="5"/>
      <c r="IUX22" s="5"/>
      <c r="IUY22" s="5"/>
      <c r="IUZ22" s="5"/>
      <c r="IVA22" s="5"/>
      <c r="IVB22" s="5"/>
      <c r="IVC22" s="5"/>
      <c r="IVD22" s="5"/>
      <c r="IVE22" s="5"/>
      <c r="IVF22" s="5"/>
      <c r="IVG22" s="5"/>
      <c r="IVH22" s="5"/>
      <c r="IVI22" s="5"/>
      <c r="IVJ22" s="5"/>
      <c r="IVK22" s="5"/>
      <c r="IVL22" s="5"/>
      <c r="IVM22" s="5"/>
      <c r="IVN22" s="5"/>
      <c r="IVO22" s="5"/>
      <c r="IVP22" s="5"/>
      <c r="IVQ22" s="5"/>
      <c r="IVR22" s="5"/>
      <c r="IVS22" s="5"/>
      <c r="IVT22" s="5"/>
      <c r="IVU22" s="5"/>
      <c r="IVV22" s="5"/>
      <c r="IVW22" s="5"/>
      <c r="IVX22" s="5"/>
      <c r="IVY22" s="5"/>
      <c r="IVZ22" s="5"/>
      <c r="IWA22" s="5"/>
      <c r="IWB22" s="5"/>
      <c r="IWC22" s="5"/>
      <c r="IWD22" s="5"/>
      <c r="IWE22" s="5"/>
      <c r="IWF22" s="5"/>
      <c r="IWG22" s="5"/>
      <c r="IWH22" s="5"/>
      <c r="IWI22" s="5"/>
      <c r="IWJ22" s="5"/>
      <c r="IWK22" s="5"/>
      <c r="IWL22" s="5"/>
      <c r="IWM22" s="5"/>
      <c r="IWN22" s="5"/>
      <c r="IWO22" s="5"/>
      <c r="IWP22" s="5"/>
      <c r="IWQ22" s="5"/>
      <c r="IWR22" s="5"/>
      <c r="IWS22" s="5"/>
      <c r="IWT22" s="5"/>
      <c r="IWU22" s="5"/>
      <c r="IWV22" s="5"/>
      <c r="IWW22" s="5"/>
      <c r="IWX22" s="5"/>
      <c r="IWY22" s="5"/>
      <c r="IWZ22" s="5"/>
      <c r="IXA22" s="5"/>
      <c r="IXB22" s="5"/>
      <c r="IXC22" s="5"/>
      <c r="IXD22" s="5"/>
      <c r="IXE22" s="5"/>
      <c r="IXF22" s="5"/>
      <c r="IXG22" s="5"/>
      <c r="IXH22" s="5"/>
      <c r="IXI22" s="5"/>
      <c r="IXJ22" s="5"/>
      <c r="IXK22" s="5"/>
      <c r="IXL22" s="5"/>
      <c r="IXM22" s="5"/>
      <c r="IXN22" s="5"/>
      <c r="IXO22" s="5"/>
      <c r="IXP22" s="5"/>
      <c r="IXQ22" s="5"/>
      <c r="IXR22" s="5"/>
      <c r="IXS22" s="5"/>
      <c r="IXT22" s="5"/>
      <c r="IXU22" s="5"/>
      <c r="IXV22" s="5"/>
      <c r="IXW22" s="5"/>
      <c r="IXX22" s="5"/>
      <c r="IXY22" s="5"/>
      <c r="IXZ22" s="5"/>
      <c r="IYA22" s="5"/>
      <c r="IYB22" s="5"/>
      <c r="IYC22" s="5"/>
      <c r="IYD22" s="5"/>
      <c r="IYE22" s="5"/>
      <c r="IYF22" s="5"/>
      <c r="IYG22" s="5"/>
      <c r="IYH22" s="5"/>
      <c r="IYI22" s="5"/>
      <c r="IYJ22" s="5"/>
      <c r="IYK22" s="5"/>
      <c r="IYL22" s="5"/>
      <c r="IYM22" s="5"/>
      <c r="IYN22" s="5"/>
      <c r="IYO22" s="5"/>
      <c r="IYP22" s="5"/>
      <c r="IYQ22" s="5"/>
      <c r="IYR22" s="5"/>
      <c r="IYS22" s="5"/>
      <c r="IYT22" s="5"/>
      <c r="IYU22" s="5"/>
      <c r="IYV22" s="5"/>
      <c r="IYW22" s="5"/>
      <c r="IYX22" s="5"/>
      <c r="IYY22" s="5"/>
      <c r="IYZ22" s="5"/>
      <c r="IZA22" s="5"/>
      <c r="IZB22" s="5"/>
      <c r="IZC22" s="5"/>
      <c r="IZD22" s="5"/>
      <c r="IZE22" s="5"/>
      <c r="IZF22" s="5"/>
      <c r="IZG22" s="5"/>
      <c r="IZH22" s="5"/>
      <c r="IZI22" s="5"/>
      <c r="IZJ22" s="5"/>
      <c r="IZK22" s="5"/>
      <c r="IZL22" s="5"/>
      <c r="IZM22" s="5"/>
      <c r="IZN22" s="5"/>
      <c r="IZO22" s="5"/>
      <c r="IZP22" s="5"/>
      <c r="IZQ22" s="5"/>
      <c r="IZR22" s="5"/>
      <c r="IZS22" s="5"/>
      <c r="IZT22" s="5"/>
      <c r="IZU22" s="5"/>
      <c r="IZV22" s="5"/>
      <c r="IZW22" s="5"/>
      <c r="IZX22" s="5"/>
      <c r="IZY22" s="5"/>
      <c r="IZZ22" s="5"/>
      <c r="JAA22" s="5"/>
      <c r="JAB22" s="5"/>
      <c r="JAC22" s="5"/>
      <c r="JAD22" s="5"/>
      <c r="JAE22" s="5"/>
      <c r="JAF22" s="5"/>
      <c r="JAG22" s="5"/>
      <c r="JAH22" s="5"/>
      <c r="JAI22" s="5"/>
      <c r="JAJ22" s="5"/>
      <c r="JAK22" s="5"/>
      <c r="JAL22" s="5"/>
      <c r="JAM22" s="5"/>
      <c r="JAN22" s="5"/>
      <c r="JAO22" s="5"/>
      <c r="JAP22" s="5"/>
      <c r="JAQ22" s="5"/>
      <c r="JAR22" s="5"/>
      <c r="JAS22" s="5"/>
      <c r="JAT22" s="5"/>
      <c r="JAU22" s="5"/>
      <c r="JAV22" s="5"/>
      <c r="JAW22" s="5"/>
      <c r="JAX22" s="5"/>
      <c r="JAY22" s="5"/>
      <c r="JAZ22" s="5"/>
      <c r="JBA22" s="5"/>
      <c r="JBB22" s="5"/>
      <c r="JBC22" s="5"/>
      <c r="JBD22" s="5"/>
      <c r="JBE22" s="5"/>
      <c r="JBF22" s="5"/>
      <c r="JBG22" s="5"/>
      <c r="JBH22" s="5"/>
      <c r="JBI22" s="5"/>
      <c r="JBJ22" s="5"/>
      <c r="JBK22" s="5"/>
      <c r="JBL22" s="5"/>
      <c r="JBM22" s="5"/>
      <c r="JBN22" s="5"/>
      <c r="JBO22" s="5"/>
      <c r="JBP22" s="5"/>
      <c r="JBQ22" s="5"/>
      <c r="JBR22" s="5"/>
      <c r="JBS22" s="5"/>
      <c r="JBT22" s="5"/>
      <c r="JBU22" s="5"/>
      <c r="JBV22" s="5"/>
      <c r="JBW22" s="5"/>
      <c r="JBX22" s="5"/>
      <c r="JBY22" s="5"/>
      <c r="JBZ22" s="5"/>
      <c r="JCA22" s="5"/>
      <c r="JCB22" s="5"/>
      <c r="JCC22" s="5"/>
      <c r="JCD22" s="5"/>
      <c r="JCE22" s="5"/>
      <c r="JCF22" s="5"/>
      <c r="JCG22" s="5"/>
      <c r="JCH22" s="5"/>
      <c r="JCI22" s="5"/>
      <c r="JCJ22" s="5"/>
      <c r="JCK22" s="5"/>
      <c r="JCL22" s="5"/>
      <c r="JCM22" s="5"/>
      <c r="JCN22" s="5"/>
      <c r="JCO22" s="5"/>
      <c r="JCP22" s="5"/>
      <c r="JCQ22" s="5"/>
      <c r="JCR22" s="5"/>
      <c r="JCS22" s="5"/>
      <c r="JCT22" s="5"/>
      <c r="JCU22" s="5"/>
      <c r="JCV22" s="5"/>
      <c r="JCW22" s="5"/>
      <c r="JCX22" s="5"/>
      <c r="JCY22" s="5"/>
      <c r="JCZ22" s="5"/>
      <c r="JDA22" s="5"/>
      <c r="JDB22" s="5"/>
      <c r="JDC22" s="5"/>
      <c r="JDD22" s="5"/>
      <c r="JDE22" s="5"/>
      <c r="JDF22" s="5"/>
      <c r="JDG22" s="5"/>
      <c r="JDH22" s="5"/>
      <c r="JDI22" s="5"/>
      <c r="JDJ22" s="5"/>
      <c r="JDK22" s="5"/>
      <c r="JDL22" s="5"/>
      <c r="JDM22" s="5"/>
      <c r="JDN22" s="5"/>
      <c r="JDO22" s="5"/>
      <c r="JDP22" s="5"/>
      <c r="JDQ22" s="5"/>
      <c r="JDR22" s="5"/>
      <c r="JDS22" s="5"/>
      <c r="JDT22" s="5"/>
      <c r="JDU22" s="5"/>
      <c r="JDV22" s="5"/>
      <c r="JDW22" s="5"/>
      <c r="JDX22" s="5"/>
      <c r="JDY22" s="5"/>
      <c r="JDZ22" s="5"/>
      <c r="JEA22" s="5"/>
      <c r="JEB22" s="5"/>
      <c r="JEC22" s="5"/>
      <c r="JED22" s="5"/>
      <c r="JEE22" s="5"/>
      <c r="JEF22" s="5"/>
      <c r="JEG22" s="5"/>
      <c r="JEH22" s="5"/>
      <c r="JEI22" s="5"/>
      <c r="JEJ22" s="5"/>
      <c r="JEK22" s="5"/>
      <c r="JEL22" s="5"/>
      <c r="JEM22" s="5"/>
      <c r="JEN22" s="5"/>
      <c r="JEO22" s="5"/>
      <c r="JEP22" s="5"/>
      <c r="JEQ22" s="5"/>
      <c r="JER22" s="5"/>
      <c r="JES22" s="5"/>
      <c r="JET22" s="5"/>
      <c r="JEU22" s="5"/>
      <c r="JEV22" s="5"/>
      <c r="JEW22" s="5"/>
      <c r="JEX22" s="5"/>
      <c r="JEY22" s="5"/>
      <c r="JEZ22" s="5"/>
      <c r="JFA22" s="5"/>
      <c r="JFB22" s="5"/>
      <c r="JFC22" s="5"/>
      <c r="JFD22" s="5"/>
      <c r="JFE22" s="5"/>
      <c r="JFF22" s="5"/>
      <c r="JFG22" s="5"/>
      <c r="JFH22" s="5"/>
      <c r="JFI22" s="5"/>
      <c r="JFJ22" s="5"/>
      <c r="JFK22" s="5"/>
      <c r="JFL22" s="5"/>
      <c r="JFM22" s="5"/>
      <c r="JFN22" s="5"/>
      <c r="JFO22" s="5"/>
      <c r="JFP22" s="5"/>
      <c r="JFQ22" s="5"/>
      <c r="JFR22" s="5"/>
      <c r="JFS22" s="5"/>
      <c r="JFT22" s="5"/>
      <c r="JFU22" s="5"/>
      <c r="JFV22" s="5"/>
      <c r="JFW22" s="5"/>
      <c r="JFX22" s="5"/>
      <c r="JFY22" s="5"/>
      <c r="JFZ22" s="5"/>
      <c r="JGA22" s="5"/>
      <c r="JGB22" s="5"/>
      <c r="JGC22" s="5"/>
      <c r="JGD22" s="5"/>
      <c r="JGE22" s="5"/>
      <c r="JGF22" s="5"/>
      <c r="JGG22" s="5"/>
      <c r="JGH22" s="5"/>
      <c r="JGI22" s="5"/>
      <c r="JGJ22" s="5"/>
      <c r="JGK22" s="5"/>
      <c r="JGL22" s="5"/>
      <c r="JGM22" s="5"/>
      <c r="JGN22" s="5"/>
      <c r="JGO22" s="5"/>
      <c r="JGP22" s="5"/>
      <c r="JGQ22" s="5"/>
      <c r="JGR22" s="5"/>
      <c r="JGS22" s="5"/>
      <c r="JGT22" s="5"/>
      <c r="JGU22" s="5"/>
      <c r="JGV22" s="5"/>
      <c r="JGW22" s="5"/>
      <c r="JGX22" s="5"/>
      <c r="JGY22" s="5"/>
      <c r="JGZ22" s="5"/>
      <c r="JHA22" s="5"/>
      <c r="JHB22" s="5"/>
      <c r="JHC22" s="5"/>
      <c r="JHD22" s="5"/>
      <c r="JHE22" s="5"/>
      <c r="JHF22" s="5"/>
      <c r="JHG22" s="5"/>
      <c r="JHH22" s="5"/>
      <c r="JHI22" s="5"/>
      <c r="JHJ22" s="5"/>
      <c r="JHK22" s="5"/>
      <c r="JHL22" s="5"/>
      <c r="JHM22" s="5"/>
      <c r="JHN22" s="5"/>
      <c r="JHO22" s="5"/>
      <c r="JHP22" s="5"/>
      <c r="JHQ22" s="5"/>
      <c r="JHR22" s="5"/>
      <c r="JHS22" s="5"/>
      <c r="JHT22" s="5"/>
      <c r="JHU22" s="5"/>
      <c r="JHV22" s="5"/>
      <c r="JHW22" s="5"/>
      <c r="JHX22" s="5"/>
      <c r="JHY22" s="5"/>
      <c r="JHZ22" s="5"/>
      <c r="JIA22" s="5"/>
      <c r="JIB22" s="5"/>
      <c r="JIC22" s="5"/>
      <c r="JID22" s="5"/>
      <c r="JIE22" s="5"/>
      <c r="JIF22" s="5"/>
      <c r="JIG22" s="5"/>
      <c r="JIH22" s="5"/>
      <c r="JII22" s="5"/>
      <c r="JIJ22" s="5"/>
      <c r="JIK22" s="5"/>
      <c r="JIL22" s="5"/>
      <c r="JIM22" s="5"/>
      <c r="JIN22" s="5"/>
      <c r="JIO22" s="5"/>
      <c r="JIP22" s="5"/>
      <c r="JIQ22" s="5"/>
      <c r="JIR22" s="5"/>
      <c r="JIS22" s="5"/>
      <c r="JIT22" s="5"/>
      <c r="JIU22" s="5"/>
      <c r="JIV22" s="5"/>
      <c r="JIW22" s="5"/>
      <c r="JIX22" s="5"/>
      <c r="JIY22" s="5"/>
      <c r="JIZ22" s="5"/>
      <c r="JJA22" s="5"/>
      <c r="JJB22" s="5"/>
      <c r="JJC22" s="5"/>
      <c r="JJD22" s="5"/>
      <c r="JJE22" s="5"/>
      <c r="JJF22" s="5"/>
      <c r="JJG22" s="5"/>
      <c r="JJH22" s="5"/>
      <c r="JJI22" s="5"/>
      <c r="JJJ22" s="5"/>
      <c r="JJK22" s="5"/>
      <c r="JJL22" s="5"/>
      <c r="JJM22" s="5"/>
      <c r="JJN22" s="5"/>
      <c r="JJO22" s="5"/>
      <c r="JJP22" s="5"/>
      <c r="JJQ22" s="5"/>
      <c r="JJR22" s="5"/>
      <c r="JJS22" s="5"/>
      <c r="JJT22" s="5"/>
      <c r="JJU22" s="5"/>
      <c r="JJV22" s="5"/>
      <c r="JJW22" s="5"/>
      <c r="JJX22" s="5"/>
      <c r="JJY22" s="5"/>
      <c r="JJZ22" s="5"/>
      <c r="JKA22" s="5"/>
      <c r="JKB22" s="5"/>
      <c r="JKC22" s="5"/>
      <c r="JKD22" s="5"/>
      <c r="JKE22" s="5"/>
      <c r="JKF22" s="5"/>
      <c r="JKG22" s="5"/>
      <c r="JKH22" s="5"/>
      <c r="JKI22" s="5"/>
      <c r="JKJ22" s="5"/>
      <c r="JKK22" s="5"/>
      <c r="JKL22" s="5"/>
      <c r="JKM22" s="5"/>
      <c r="JKN22" s="5"/>
      <c r="JKO22" s="5"/>
      <c r="JKP22" s="5"/>
      <c r="JKQ22" s="5"/>
      <c r="JKR22" s="5"/>
      <c r="JKS22" s="5"/>
      <c r="JKT22" s="5"/>
      <c r="JKU22" s="5"/>
      <c r="JKV22" s="5"/>
      <c r="JKW22" s="5"/>
      <c r="JKX22" s="5"/>
      <c r="JKY22" s="5"/>
      <c r="JKZ22" s="5"/>
      <c r="JLA22" s="5"/>
      <c r="JLB22" s="5"/>
      <c r="JLC22" s="5"/>
      <c r="JLD22" s="5"/>
      <c r="JLE22" s="5"/>
      <c r="JLF22" s="5"/>
      <c r="JLG22" s="5"/>
      <c r="JLH22" s="5"/>
      <c r="JLI22" s="5"/>
      <c r="JLJ22" s="5"/>
      <c r="JLK22" s="5"/>
      <c r="JLL22" s="5"/>
      <c r="JLM22" s="5"/>
      <c r="JLN22" s="5"/>
      <c r="JLO22" s="5"/>
      <c r="JLP22" s="5"/>
      <c r="JLQ22" s="5"/>
      <c r="JLR22" s="5"/>
      <c r="JLS22" s="5"/>
      <c r="JLT22" s="5"/>
      <c r="JLU22" s="5"/>
      <c r="JLV22" s="5"/>
      <c r="JLW22" s="5"/>
      <c r="JLX22" s="5"/>
      <c r="JLY22" s="5"/>
      <c r="JLZ22" s="5"/>
      <c r="JMA22" s="5"/>
      <c r="JMB22" s="5"/>
      <c r="JMC22" s="5"/>
      <c r="JMD22" s="5"/>
      <c r="JME22" s="5"/>
      <c r="JMF22" s="5"/>
      <c r="JMG22" s="5"/>
      <c r="JMH22" s="5"/>
      <c r="JMI22" s="5"/>
      <c r="JMJ22" s="5"/>
      <c r="JMK22" s="5"/>
      <c r="JML22" s="5"/>
      <c r="JMM22" s="5"/>
      <c r="JMN22" s="5"/>
      <c r="JMO22" s="5"/>
      <c r="JMP22" s="5"/>
      <c r="JMQ22" s="5"/>
      <c r="JMR22" s="5"/>
      <c r="JMS22" s="5"/>
      <c r="JMT22" s="5"/>
      <c r="JMU22" s="5"/>
      <c r="JMV22" s="5"/>
      <c r="JMW22" s="5"/>
      <c r="JMX22" s="5"/>
      <c r="JMY22" s="5"/>
      <c r="JMZ22" s="5"/>
      <c r="JNA22" s="5"/>
      <c r="JNB22" s="5"/>
      <c r="JNC22" s="5"/>
      <c r="JND22" s="5"/>
      <c r="JNE22" s="5"/>
      <c r="JNF22" s="5"/>
      <c r="JNG22" s="5"/>
      <c r="JNH22" s="5"/>
      <c r="JNI22" s="5"/>
      <c r="JNJ22" s="5"/>
      <c r="JNK22" s="5"/>
      <c r="JNL22" s="5"/>
      <c r="JNM22" s="5"/>
      <c r="JNN22" s="5"/>
      <c r="JNO22" s="5"/>
      <c r="JNP22" s="5"/>
      <c r="JNQ22" s="5"/>
      <c r="JNR22" s="5"/>
      <c r="JNS22" s="5"/>
      <c r="JNT22" s="5"/>
      <c r="JNU22" s="5"/>
      <c r="JNV22" s="5"/>
      <c r="JNW22" s="5"/>
      <c r="JNX22" s="5"/>
      <c r="JNY22" s="5"/>
      <c r="JNZ22" s="5"/>
      <c r="JOA22" s="5"/>
      <c r="JOB22" s="5"/>
      <c r="JOC22" s="5"/>
      <c r="JOD22" s="5"/>
      <c r="JOE22" s="5"/>
      <c r="JOF22" s="5"/>
      <c r="JOG22" s="5"/>
      <c r="JOH22" s="5"/>
      <c r="JOI22" s="5"/>
      <c r="JOJ22" s="5"/>
      <c r="JOK22" s="5"/>
      <c r="JOL22" s="5"/>
      <c r="JOM22" s="5"/>
      <c r="JON22" s="5"/>
      <c r="JOO22" s="5"/>
      <c r="JOP22" s="5"/>
      <c r="JOQ22" s="5"/>
      <c r="JOR22" s="5"/>
      <c r="JOS22" s="5"/>
      <c r="JOT22" s="5"/>
      <c r="JOU22" s="5"/>
      <c r="JOV22" s="5"/>
      <c r="JOW22" s="5"/>
      <c r="JOX22" s="5"/>
      <c r="JOY22" s="5"/>
      <c r="JOZ22" s="5"/>
      <c r="JPA22" s="5"/>
      <c r="JPB22" s="5"/>
      <c r="JPC22" s="5"/>
      <c r="JPD22" s="5"/>
      <c r="JPE22" s="5"/>
      <c r="JPF22" s="5"/>
      <c r="JPG22" s="5"/>
      <c r="JPH22" s="5"/>
      <c r="JPI22" s="5"/>
      <c r="JPJ22" s="5"/>
      <c r="JPK22" s="5"/>
      <c r="JPL22" s="5"/>
      <c r="JPM22" s="5"/>
      <c r="JPN22" s="5"/>
      <c r="JPO22" s="5"/>
      <c r="JPP22" s="5"/>
      <c r="JPQ22" s="5"/>
      <c r="JPR22" s="5"/>
      <c r="JPS22" s="5"/>
      <c r="JPT22" s="5"/>
      <c r="JPU22" s="5"/>
      <c r="JPV22" s="5"/>
      <c r="JPW22" s="5"/>
      <c r="JPX22" s="5"/>
      <c r="JPY22" s="5"/>
      <c r="JPZ22" s="5"/>
      <c r="JQA22" s="5"/>
      <c r="JQB22" s="5"/>
      <c r="JQC22" s="5"/>
      <c r="JQD22" s="5"/>
      <c r="JQE22" s="5"/>
      <c r="JQF22" s="5"/>
      <c r="JQG22" s="5"/>
      <c r="JQH22" s="5"/>
      <c r="JQI22" s="5"/>
      <c r="JQJ22" s="5"/>
      <c r="JQK22" s="5"/>
      <c r="JQL22" s="5"/>
      <c r="JQM22" s="5"/>
      <c r="JQN22" s="5"/>
      <c r="JQO22" s="5"/>
      <c r="JQP22" s="5"/>
      <c r="JQQ22" s="5"/>
      <c r="JQR22" s="5"/>
      <c r="JQS22" s="5"/>
      <c r="JQT22" s="5"/>
      <c r="JQU22" s="5"/>
      <c r="JQV22" s="5"/>
      <c r="JQW22" s="5"/>
      <c r="JQX22" s="5"/>
      <c r="JQY22" s="5"/>
      <c r="JQZ22" s="5"/>
      <c r="JRA22" s="5"/>
      <c r="JRB22" s="5"/>
      <c r="JRC22" s="5"/>
      <c r="JRD22" s="5"/>
      <c r="JRE22" s="5"/>
      <c r="JRF22" s="5"/>
      <c r="JRG22" s="5"/>
      <c r="JRH22" s="5"/>
      <c r="JRI22" s="5"/>
      <c r="JRJ22" s="5"/>
      <c r="JRK22" s="5"/>
      <c r="JRL22" s="5"/>
      <c r="JRM22" s="5"/>
      <c r="JRN22" s="5"/>
      <c r="JRO22" s="5"/>
      <c r="JRP22" s="5"/>
      <c r="JRQ22" s="5"/>
      <c r="JRR22" s="5"/>
      <c r="JRS22" s="5"/>
      <c r="JRT22" s="5"/>
      <c r="JRU22" s="5"/>
      <c r="JRV22" s="5"/>
      <c r="JRW22" s="5"/>
      <c r="JRX22" s="5"/>
      <c r="JRY22" s="5"/>
      <c r="JRZ22" s="5"/>
      <c r="JSA22" s="5"/>
      <c r="JSB22" s="5"/>
      <c r="JSC22" s="5"/>
      <c r="JSD22" s="5"/>
      <c r="JSE22" s="5"/>
      <c r="JSF22" s="5"/>
      <c r="JSG22" s="5"/>
      <c r="JSH22" s="5"/>
      <c r="JSI22" s="5"/>
      <c r="JSJ22" s="5"/>
      <c r="JSK22" s="5"/>
      <c r="JSL22" s="5"/>
      <c r="JSM22" s="5"/>
      <c r="JSN22" s="5"/>
      <c r="JSO22" s="5"/>
      <c r="JSP22" s="5"/>
      <c r="JSQ22" s="5"/>
      <c r="JSR22" s="5"/>
      <c r="JSS22" s="5"/>
      <c r="JST22" s="5"/>
      <c r="JSU22" s="5"/>
      <c r="JSV22" s="5"/>
      <c r="JSW22" s="5"/>
      <c r="JSX22" s="5"/>
      <c r="JSY22" s="5"/>
      <c r="JSZ22" s="5"/>
      <c r="JTA22" s="5"/>
      <c r="JTB22" s="5"/>
      <c r="JTC22" s="5"/>
      <c r="JTD22" s="5"/>
      <c r="JTE22" s="5"/>
      <c r="JTF22" s="5"/>
      <c r="JTG22" s="5"/>
      <c r="JTH22" s="5"/>
      <c r="JTI22" s="5"/>
      <c r="JTJ22" s="5"/>
      <c r="JTK22" s="5"/>
      <c r="JTL22" s="5"/>
      <c r="JTM22" s="5"/>
      <c r="JTN22" s="5"/>
      <c r="JTO22" s="5"/>
      <c r="JTP22" s="5"/>
      <c r="JTQ22" s="5"/>
      <c r="JTR22" s="5"/>
      <c r="JTS22" s="5"/>
      <c r="JTT22" s="5"/>
      <c r="JTU22" s="5"/>
      <c r="JTV22" s="5"/>
      <c r="JTW22" s="5"/>
      <c r="JTX22" s="5"/>
      <c r="JTY22" s="5"/>
      <c r="JTZ22" s="5"/>
      <c r="JUA22" s="5"/>
      <c r="JUB22" s="5"/>
      <c r="JUC22" s="5"/>
      <c r="JUD22" s="5"/>
      <c r="JUE22" s="5"/>
      <c r="JUF22" s="5"/>
      <c r="JUG22" s="5"/>
      <c r="JUH22" s="5"/>
      <c r="JUI22" s="5"/>
      <c r="JUJ22" s="5"/>
      <c r="JUK22" s="5"/>
      <c r="JUL22" s="5"/>
      <c r="JUM22" s="5"/>
      <c r="JUN22" s="5"/>
      <c r="JUO22" s="5"/>
      <c r="JUP22" s="5"/>
      <c r="JUQ22" s="5"/>
      <c r="JUR22" s="5"/>
      <c r="JUS22" s="5"/>
      <c r="JUT22" s="5"/>
      <c r="JUU22" s="5"/>
      <c r="JUV22" s="5"/>
      <c r="JUW22" s="5"/>
      <c r="JUX22" s="5"/>
      <c r="JUY22" s="5"/>
      <c r="JUZ22" s="5"/>
      <c r="JVA22" s="5"/>
      <c r="JVB22" s="5"/>
      <c r="JVC22" s="5"/>
      <c r="JVD22" s="5"/>
      <c r="JVE22" s="5"/>
      <c r="JVF22" s="5"/>
      <c r="JVG22" s="5"/>
      <c r="JVH22" s="5"/>
      <c r="JVI22" s="5"/>
      <c r="JVJ22" s="5"/>
      <c r="JVK22" s="5"/>
      <c r="JVL22" s="5"/>
      <c r="JVM22" s="5"/>
      <c r="JVN22" s="5"/>
      <c r="JVO22" s="5"/>
      <c r="JVP22" s="5"/>
      <c r="JVQ22" s="5"/>
      <c r="JVR22" s="5"/>
      <c r="JVS22" s="5"/>
      <c r="JVT22" s="5"/>
      <c r="JVU22" s="5"/>
      <c r="JVV22" s="5"/>
      <c r="JVW22" s="5"/>
      <c r="JVX22" s="5"/>
      <c r="JVY22" s="5"/>
      <c r="JVZ22" s="5"/>
      <c r="JWA22" s="5"/>
      <c r="JWB22" s="5"/>
      <c r="JWC22" s="5"/>
      <c r="JWD22" s="5"/>
      <c r="JWE22" s="5"/>
      <c r="JWF22" s="5"/>
      <c r="JWG22" s="5"/>
      <c r="JWH22" s="5"/>
      <c r="JWI22" s="5"/>
      <c r="JWJ22" s="5"/>
      <c r="JWK22" s="5"/>
      <c r="JWL22" s="5"/>
      <c r="JWM22" s="5"/>
      <c r="JWN22" s="5"/>
      <c r="JWO22" s="5"/>
      <c r="JWP22" s="5"/>
      <c r="JWQ22" s="5"/>
      <c r="JWR22" s="5"/>
      <c r="JWS22" s="5"/>
      <c r="JWT22" s="5"/>
      <c r="JWU22" s="5"/>
      <c r="JWV22" s="5"/>
      <c r="JWW22" s="5"/>
      <c r="JWX22" s="5"/>
      <c r="JWY22" s="5"/>
      <c r="JWZ22" s="5"/>
      <c r="JXA22" s="5"/>
      <c r="JXB22" s="5"/>
      <c r="JXC22" s="5"/>
      <c r="JXD22" s="5"/>
      <c r="JXE22" s="5"/>
      <c r="JXF22" s="5"/>
      <c r="JXG22" s="5"/>
      <c r="JXH22" s="5"/>
      <c r="JXI22" s="5"/>
      <c r="JXJ22" s="5"/>
      <c r="JXK22" s="5"/>
      <c r="JXL22" s="5"/>
      <c r="JXM22" s="5"/>
      <c r="JXN22" s="5"/>
      <c r="JXO22" s="5"/>
      <c r="JXP22" s="5"/>
      <c r="JXQ22" s="5"/>
      <c r="JXR22" s="5"/>
      <c r="JXS22" s="5"/>
      <c r="JXT22" s="5"/>
      <c r="JXU22" s="5"/>
      <c r="JXV22" s="5"/>
      <c r="JXW22" s="5"/>
      <c r="JXX22" s="5"/>
      <c r="JXY22" s="5"/>
      <c r="JXZ22" s="5"/>
      <c r="JYA22" s="5"/>
      <c r="JYB22" s="5"/>
      <c r="JYC22" s="5"/>
      <c r="JYD22" s="5"/>
      <c r="JYE22" s="5"/>
      <c r="JYF22" s="5"/>
      <c r="JYG22" s="5"/>
      <c r="JYH22" s="5"/>
      <c r="JYI22" s="5"/>
      <c r="JYJ22" s="5"/>
      <c r="JYK22" s="5"/>
      <c r="JYL22" s="5"/>
      <c r="JYM22" s="5"/>
      <c r="JYN22" s="5"/>
      <c r="JYO22" s="5"/>
      <c r="JYP22" s="5"/>
      <c r="JYQ22" s="5"/>
      <c r="JYR22" s="5"/>
      <c r="JYS22" s="5"/>
      <c r="JYT22" s="5"/>
      <c r="JYU22" s="5"/>
      <c r="JYV22" s="5"/>
      <c r="JYW22" s="5"/>
      <c r="JYX22" s="5"/>
      <c r="JYY22" s="5"/>
      <c r="JYZ22" s="5"/>
      <c r="JZA22" s="5"/>
      <c r="JZB22" s="5"/>
      <c r="JZC22" s="5"/>
      <c r="JZD22" s="5"/>
      <c r="JZE22" s="5"/>
      <c r="JZF22" s="5"/>
      <c r="JZG22" s="5"/>
      <c r="JZH22" s="5"/>
      <c r="JZI22" s="5"/>
      <c r="JZJ22" s="5"/>
      <c r="JZK22" s="5"/>
      <c r="JZL22" s="5"/>
      <c r="JZM22" s="5"/>
      <c r="JZN22" s="5"/>
      <c r="JZO22" s="5"/>
      <c r="JZP22" s="5"/>
      <c r="JZQ22" s="5"/>
      <c r="JZR22" s="5"/>
      <c r="JZS22" s="5"/>
      <c r="JZT22" s="5"/>
      <c r="JZU22" s="5"/>
      <c r="JZV22" s="5"/>
      <c r="JZW22" s="5"/>
      <c r="JZX22" s="5"/>
      <c r="JZY22" s="5"/>
      <c r="JZZ22" s="5"/>
      <c r="KAA22" s="5"/>
      <c r="KAB22" s="5"/>
      <c r="KAC22" s="5"/>
      <c r="KAD22" s="5"/>
      <c r="KAE22" s="5"/>
      <c r="KAF22" s="5"/>
      <c r="KAG22" s="5"/>
      <c r="KAH22" s="5"/>
      <c r="KAI22" s="5"/>
      <c r="KAJ22" s="5"/>
      <c r="KAK22" s="5"/>
      <c r="KAL22" s="5"/>
      <c r="KAM22" s="5"/>
      <c r="KAN22" s="5"/>
      <c r="KAO22" s="5"/>
      <c r="KAP22" s="5"/>
      <c r="KAQ22" s="5"/>
      <c r="KAR22" s="5"/>
      <c r="KAS22" s="5"/>
      <c r="KAT22" s="5"/>
      <c r="KAU22" s="5"/>
      <c r="KAV22" s="5"/>
      <c r="KAW22" s="5"/>
      <c r="KAX22" s="5"/>
      <c r="KAY22" s="5"/>
      <c r="KAZ22" s="5"/>
      <c r="KBA22" s="5"/>
      <c r="KBB22" s="5"/>
      <c r="KBC22" s="5"/>
      <c r="KBD22" s="5"/>
      <c r="KBE22" s="5"/>
      <c r="KBF22" s="5"/>
      <c r="KBG22" s="5"/>
      <c r="KBH22" s="5"/>
      <c r="KBI22" s="5"/>
      <c r="KBJ22" s="5"/>
      <c r="KBK22" s="5"/>
      <c r="KBL22" s="5"/>
      <c r="KBM22" s="5"/>
      <c r="KBN22" s="5"/>
      <c r="KBO22" s="5"/>
      <c r="KBP22" s="5"/>
      <c r="KBQ22" s="5"/>
      <c r="KBR22" s="5"/>
      <c r="KBS22" s="5"/>
      <c r="KBT22" s="5"/>
      <c r="KBU22" s="5"/>
      <c r="KBV22" s="5"/>
      <c r="KBW22" s="5"/>
      <c r="KBX22" s="5"/>
      <c r="KBY22" s="5"/>
      <c r="KBZ22" s="5"/>
      <c r="KCA22" s="5"/>
      <c r="KCB22" s="5"/>
      <c r="KCC22" s="5"/>
      <c r="KCD22" s="5"/>
      <c r="KCE22" s="5"/>
      <c r="KCF22" s="5"/>
      <c r="KCG22" s="5"/>
      <c r="KCH22" s="5"/>
      <c r="KCI22" s="5"/>
      <c r="KCJ22" s="5"/>
      <c r="KCK22" s="5"/>
      <c r="KCL22" s="5"/>
      <c r="KCM22" s="5"/>
      <c r="KCN22" s="5"/>
      <c r="KCO22" s="5"/>
      <c r="KCP22" s="5"/>
      <c r="KCQ22" s="5"/>
      <c r="KCR22" s="5"/>
      <c r="KCS22" s="5"/>
      <c r="KCT22" s="5"/>
      <c r="KCU22" s="5"/>
      <c r="KCV22" s="5"/>
      <c r="KCW22" s="5"/>
      <c r="KCX22" s="5"/>
      <c r="KCY22" s="5"/>
      <c r="KCZ22" s="5"/>
      <c r="KDA22" s="5"/>
      <c r="KDB22" s="5"/>
      <c r="KDC22" s="5"/>
      <c r="KDD22" s="5"/>
      <c r="KDE22" s="5"/>
      <c r="KDF22" s="5"/>
      <c r="KDG22" s="5"/>
      <c r="KDH22" s="5"/>
      <c r="KDI22" s="5"/>
      <c r="KDJ22" s="5"/>
      <c r="KDK22" s="5"/>
      <c r="KDL22" s="5"/>
      <c r="KDM22" s="5"/>
      <c r="KDN22" s="5"/>
      <c r="KDO22" s="5"/>
      <c r="KDP22" s="5"/>
      <c r="KDQ22" s="5"/>
      <c r="KDR22" s="5"/>
      <c r="KDS22" s="5"/>
      <c r="KDT22" s="5"/>
      <c r="KDU22" s="5"/>
      <c r="KDV22" s="5"/>
      <c r="KDW22" s="5"/>
      <c r="KDX22" s="5"/>
      <c r="KDY22" s="5"/>
      <c r="KDZ22" s="5"/>
      <c r="KEA22" s="5"/>
      <c r="KEB22" s="5"/>
      <c r="KEC22" s="5"/>
      <c r="KED22" s="5"/>
      <c r="KEE22" s="5"/>
      <c r="KEF22" s="5"/>
      <c r="KEG22" s="5"/>
      <c r="KEH22" s="5"/>
      <c r="KEI22" s="5"/>
      <c r="KEJ22" s="5"/>
      <c r="KEK22" s="5"/>
      <c r="KEL22" s="5"/>
      <c r="KEM22" s="5"/>
      <c r="KEN22" s="5"/>
      <c r="KEO22" s="5"/>
      <c r="KEP22" s="5"/>
      <c r="KEQ22" s="5"/>
      <c r="KER22" s="5"/>
      <c r="KES22" s="5"/>
      <c r="KET22" s="5"/>
      <c r="KEU22" s="5"/>
      <c r="KEV22" s="5"/>
      <c r="KEW22" s="5"/>
      <c r="KEX22" s="5"/>
      <c r="KEY22" s="5"/>
      <c r="KEZ22" s="5"/>
      <c r="KFA22" s="5"/>
      <c r="KFB22" s="5"/>
      <c r="KFC22" s="5"/>
      <c r="KFD22" s="5"/>
      <c r="KFE22" s="5"/>
      <c r="KFF22" s="5"/>
      <c r="KFG22" s="5"/>
      <c r="KFH22" s="5"/>
      <c r="KFI22" s="5"/>
      <c r="KFJ22" s="5"/>
      <c r="KFK22" s="5"/>
      <c r="KFL22" s="5"/>
      <c r="KFM22" s="5"/>
      <c r="KFN22" s="5"/>
      <c r="KFO22" s="5"/>
      <c r="KFP22" s="5"/>
      <c r="KFQ22" s="5"/>
      <c r="KFR22" s="5"/>
      <c r="KFS22" s="5"/>
      <c r="KFT22" s="5"/>
      <c r="KFU22" s="5"/>
      <c r="KFV22" s="5"/>
      <c r="KFW22" s="5"/>
      <c r="KFX22" s="5"/>
      <c r="KFY22" s="5"/>
      <c r="KFZ22" s="5"/>
      <c r="KGA22" s="5"/>
      <c r="KGB22" s="5"/>
      <c r="KGC22" s="5"/>
      <c r="KGD22" s="5"/>
      <c r="KGE22" s="5"/>
      <c r="KGF22" s="5"/>
      <c r="KGG22" s="5"/>
      <c r="KGH22" s="5"/>
      <c r="KGI22" s="5"/>
      <c r="KGJ22" s="5"/>
      <c r="KGK22" s="5"/>
      <c r="KGL22" s="5"/>
      <c r="KGM22" s="5"/>
      <c r="KGN22" s="5"/>
      <c r="KGO22" s="5"/>
      <c r="KGP22" s="5"/>
      <c r="KGQ22" s="5"/>
      <c r="KGR22" s="5"/>
      <c r="KGS22" s="5"/>
      <c r="KGT22" s="5"/>
      <c r="KGU22" s="5"/>
      <c r="KGV22" s="5"/>
      <c r="KGW22" s="5"/>
      <c r="KGX22" s="5"/>
      <c r="KGY22" s="5"/>
      <c r="KGZ22" s="5"/>
      <c r="KHA22" s="5"/>
      <c r="KHB22" s="5"/>
      <c r="KHC22" s="5"/>
      <c r="KHD22" s="5"/>
      <c r="KHE22" s="5"/>
      <c r="KHF22" s="5"/>
      <c r="KHG22" s="5"/>
      <c r="KHH22" s="5"/>
      <c r="KHI22" s="5"/>
      <c r="KHJ22" s="5"/>
      <c r="KHK22" s="5"/>
      <c r="KHL22" s="5"/>
      <c r="KHM22" s="5"/>
      <c r="KHN22" s="5"/>
      <c r="KHO22" s="5"/>
      <c r="KHP22" s="5"/>
      <c r="KHQ22" s="5"/>
      <c r="KHR22" s="5"/>
      <c r="KHS22" s="5"/>
      <c r="KHT22" s="5"/>
      <c r="KHU22" s="5"/>
      <c r="KHV22" s="5"/>
      <c r="KHW22" s="5"/>
      <c r="KHX22" s="5"/>
      <c r="KHY22" s="5"/>
      <c r="KHZ22" s="5"/>
      <c r="KIA22" s="5"/>
      <c r="KIB22" s="5"/>
      <c r="KIC22" s="5"/>
      <c r="KID22" s="5"/>
      <c r="KIE22" s="5"/>
      <c r="KIF22" s="5"/>
      <c r="KIG22" s="5"/>
      <c r="KIH22" s="5"/>
      <c r="KII22" s="5"/>
      <c r="KIJ22" s="5"/>
      <c r="KIK22" s="5"/>
      <c r="KIL22" s="5"/>
      <c r="KIM22" s="5"/>
      <c r="KIN22" s="5"/>
      <c r="KIO22" s="5"/>
      <c r="KIP22" s="5"/>
      <c r="KIQ22" s="5"/>
      <c r="KIR22" s="5"/>
      <c r="KIS22" s="5"/>
      <c r="KIT22" s="5"/>
      <c r="KIU22" s="5"/>
      <c r="KIV22" s="5"/>
      <c r="KIW22" s="5"/>
      <c r="KIX22" s="5"/>
      <c r="KIY22" s="5"/>
      <c r="KIZ22" s="5"/>
      <c r="KJA22" s="5"/>
      <c r="KJB22" s="5"/>
      <c r="KJC22" s="5"/>
      <c r="KJD22" s="5"/>
      <c r="KJE22" s="5"/>
      <c r="KJF22" s="5"/>
      <c r="KJG22" s="5"/>
      <c r="KJH22" s="5"/>
      <c r="KJI22" s="5"/>
      <c r="KJJ22" s="5"/>
      <c r="KJK22" s="5"/>
      <c r="KJL22" s="5"/>
      <c r="KJM22" s="5"/>
      <c r="KJN22" s="5"/>
      <c r="KJO22" s="5"/>
      <c r="KJP22" s="5"/>
      <c r="KJQ22" s="5"/>
      <c r="KJR22" s="5"/>
      <c r="KJS22" s="5"/>
      <c r="KJT22" s="5"/>
      <c r="KJU22" s="5"/>
      <c r="KJV22" s="5"/>
      <c r="KJW22" s="5"/>
      <c r="KJX22" s="5"/>
      <c r="KJY22" s="5"/>
      <c r="KJZ22" s="5"/>
      <c r="KKA22" s="5"/>
      <c r="KKB22" s="5"/>
      <c r="KKC22" s="5"/>
      <c r="KKD22" s="5"/>
      <c r="KKE22" s="5"/>
      <c r="KKF22" s="5"/>
      <c r="KKG22" s="5"/>
      <c r="KKH22" s="5"/>
      <c r="KKI22" s="5"/>
      <c r="KKJ22" s="5"/>
      <c r="KKK22" s="5"/>
      <c r="KKL22" s="5"/>
      <c r="KKM22" s="5"/>
      <c r="KKN22" s="5"/>
      <c r="KKO22" s="5"/>
      <c r="KKP22" s="5"/>
      <c r="KKQ22" s="5"/>
      <c r="KKR22" s="5"/>
      <c r="KKS22" s="5"/>
      <c r="KKT22" s="5"/>
      <c r="KKU22" s="5"/>
      <c r="KKV22" s="5"/>
      <c r="KKW22" s="5"/>
      <c r="KKX22" s="5"/>
      <c r="KKY22" s="5"/>
      <c r="KKZ22" s="5"/>
      <c r="KLA22" s="5"/>
      <c r="KLB22" s="5"/>
      <c r="KLC22" s="5"/>
      <c r="KLD22" s="5"/>
      <c r="KLE22" s="5"/>
      <c r="KLF22" s="5"/>
      <c r="KLG22" s="5"/>
      <c r="KLH22" s="5"/>
      <c r="KLI22" s="5"/>
      <c r="KLJ22" s="5"/>
      <c r="KLK22" s="5"/>
      <c r="KLL22" s="5"/>
      <c r="KLM22" s="5"/>
      <c r="KLN22" s="5"/>
      <c r="KLO22" s="5"/>
      <c r="KLP22" s="5"/>
      <c r="KLQ22" s="5"/>
      <c r="KLR22" s="5"/>
      <c r="KLS22" s="5"/>
      <c r="KLT22" s="5"/>
      <c r="KLU22" s="5"/>
      <c r="KLV22" s="5"/>
      <c r="KLW22" s="5"/>
      <c r="KLX22" s="5"/>
      <c r="KLY22" s="5"/>
      <c r="KLZ22" s="5"/>
      <c r="KMA22" s="5"/>
      <c r="KMB22" s="5"/>
      <c r="KMC22" s="5"/>
      <c r="KMD22" s="5"/>
      <c r="KME22" s="5"/>
      <c r="KMF22" s="5"/>
      <c r="KMG22" s="5"/>
      <c r="KMH22" s="5"/>
      <c r="KMI22" s="5"/>
      <c r="KMJ22" s="5"/>
      <c r="KMK22" s="5"/>
      <c r="KML22" s="5"/>
      <c r="KMM22" s="5"/>
      <c r="KMN22" s="5"/>
      <c r="KMO22" s="5"/>
      <c r="KMP22" s="5"/>
      <c r="KMQ22" s="5"/>
      <c r="KMR22" s="5"/>
      <c r="KMS22" s="5"/>
      <c r="KMT22" s="5"/>
      <c r="KMU22" s="5"/>
      <c r="KMV22" s="5"/>
      <c r="KMW22" s="5"/>
      <c r="KMX22" s="5"/>
      <c r="KMY22" s="5"/>
      <c r="KMZ22" s="5"/>
      <c r="KNA22" s="5"/>
      <c r="KNB22" s="5"/>
      <c r="KNC22" s="5"/>
      <c r="KND22" s="5"/>
      <c r="KNE22" s="5"/>
      <c r="KNF22" s="5"/>
      <c r="KNG22" s="5"/>
      <c r="KNH22" s="5"/>
      <c r="KNI22" s="5"/>
      <c r="KNJ22" s="5"/>
      <c r="KNK22" s="5"/>
      <c r="KNL22" s="5"/>
      <c r="KNM22" s="5"/>
      <c r="KNN22" s="5"/>
      <c r="KNO22" s="5"/>
      <c r="KNP22" s="5"/>
      <c r="KNQ22" s="5"/>
      <c r="KNR22" s="5"/>
      <c r="KNS22" s="5"/>
      <c r="KNT22" s="5"/>
      <c r="KNU22" s="5"/>
      <c r="KNV22" s="5"/>
      <c r="KNW22" s="5"/>
      <c r="KNX22" s="5"/>
      <c r="KNY22" s="5"/>
      <c r="KNZ22" s="5"/>
      <c r="KOA22" s="5"/>
      <c r="KOB22" s="5"/>
      <c r="KOC22" s="5"/>
      <c r="KOD22" s="5"/>
      <c r="KOE22" s="5"/>
      <c r="KOF22" s="5"/>
      <c r="KOG22" s="5"/>
      <c r="KOH22" s="5"/>
      <c r="KOI22" s="5"/>
      <c r="KOJ22" s="5"/>
      <c r="KOK22" s="5"/>
      <c r="KOL22" s="5"/>
      <c r="KOM22" s="5"/>
      <c r="KON22" s="5"/>
      <c r="KOO22" s="5"/>
      <c r="KOP22" s="5"/>
      <c r="KOQ22" s="5"/>
      <c r="KOR22" s="5"/>
      <c r="KOS22" s="5"/>
      <c r="KOT22" s="5"/>
      <c r="KOU22" s="5"/>
      <c r="KOV22" s="5"/>
      <c r="KOW22" s="5"/>
      <c r="KOX22" s="5"/>
      <c r="KOY22" s="5"/>
      <c r="KOZ22" s="5"/>
      <c r="KPA22" s="5"/>
      <c r="KPB22" s="5"/>
      <c r="KPC22" s="5"/>
      <c r="KPD22" s="5"/>
      <c r="KPE22" s="5"/>
      <c r="KPF22" s="5"/>
      <c r="KPG22" s="5"/>
      <c r="KPH22" s="5"/>
      <c r="KPI22" s="5"/>
      <c r="KPJ22" s="5"/>
      <c r="KPK22" s="5"/>
      <c r="KPL22" s="5"/>
      <c r="KPM22" s="5"/>
      <c r="KPN22" s="5"/>
      <c r="KPO22" s="5"/>
      <c r="KPP22" s="5"/>
      <c r="KPQ22" s="5"/>
      <c r="KPR22" s="5"/>
      <c r="KPS22" s="5"/>
      <c r="KPT22" s="5"/>
      <c r="KPU22" s="5"/>
      <c r="KPV22" s="5"/>
      <c r="KPW22" s="5"/>
      <c r="KPX22" s="5"/>
      <c r="KPY22" s="5"/>
      <c r="KPZ22" s="5"/>
      <c r="KQA22" s="5"/>
      <c r="KQB22" s="5"/>
      <c r="KQC22" s="5"/>
      <c r="KQD22" s="5"/>
      <c r="KQE22" s="5"/>
      <c r="KQF22" s="5"/>
      <c r="KQG22" s="5"/>
      <c r="KQH22" s="5"/>
      <c r="KQI22" s="5"/>
      <c r="KQJ22" s="5"/>
      <c r="KQK22" s="5"/>
      <c r="KQL22" s="5"/>
      <c r="KQM22" s="5"/>
      <c r="KQN22" s="5"/>
      <c r="KQO22" s="5"/>
      <c r="KQP22" s="5"/>
      <c r="KQQ22" s="5"/>
      <c r="KQR22" s="5"/>
      <c r="KQS22" s="5"/>
      <c r="KQT22" s="5"/>
      <c r="KQU22" s="5"/>
      <c r="KQV22" s="5"/>
      <c r="KQW22" s="5"/>
      <c r="KQX22" s="5"/>
      <c r="KQY22" s="5"/>
      <c r="KQZ22" s="5"/>
      <c r="KRA22" s="5"/>
      <c r="KRB22" s="5"/>
      <c r="KRC22" s="5"/>
      <c r="KRD22" s="5"/>
      <c r="KRE22" s="5"/>
      <c r="KRF22" s="5"/>
      <c r="KRG22" s="5"/>
      <c r="KRH22" s="5"/>
      <c r="KRI22" s="5"/>
      <c r="KRJ22" s="5"/>
      <c r="KRK22" s="5"/>
      <c r="KRL22" s="5"/>
      <c r="KRM22" s="5"/>
      <c r="KRN22" s="5"/>
      <c r="KRO22" s="5"/>
      <c r="KRP22" s="5"/>
      <c r="KRQ22" s="5"/>
      <c r="KRR22" s="5"/>
      <c r="KRS22" s="5"/>
      <c r="KRT22" s="5"/>
      <c r="KRU22" s="5"/>
      <c r="KRV22" s="5"/>
      <c r="KRW22" s="5"/>
      <c r="KRX22" s="5"/>
      <c r="KRY22" s="5"/>
      <c r="KRZ22" s="5"/>
      <c r="KSA22" s="5"/>
      <c r="KSB22" s="5"/>
      <c r="KSC22" s="5"/>
      <c r="KSD22" s="5"/>
      <c r="KSE22" s="5"/>
      <c r="KSF22" s="5"/>
      <c r="KSG22" s="5"/>
      <c r="KSH22" s="5"/>
      <c r="KSI22" s="5"/>
      <c r="KSJ22" s="5"/>
      <c r="KSK22" s="5"/>
      <c r="KSL22" s="5"/>
      <c r="KSM22" s="5"/>
      <c r="KSN22" s="5"/>
      <c r="KSO22" s="5"/>
      <c r="KSP22" s="5"/>
      <c r="KSQ22" s="5"/>
      <c r="KSR22" s="5"/>
      <c r="KSS22" s="5"/>
      <c r="KST22" s="5"/>
      <c r="KSU22" s="5"/>
      <c r="KSV22" s="5"/>
      <c r="KSW22" s="5"/>
      <c r="KSX22" s="5"/>
      <c r="KSY22" s="5"/>
      <c r="KSZ22" s="5"/>
      <c r="KTA22" s="5"/>
      <c r="KTB22" s="5"/>
      <c r="KTC22" s="5"/>
      <c r="KTD22" s="5"/>
      <c r="KTE22" s="5"/>
      <c r="KTF22" s="5"/>
      <c r="KTG22" s="5"/>
      <c r="KTH22" s="5"/>
      <c r="KTI22" s="5"/>
      <c r="KTJ22" s="5"/>
      <c r="KTK22" s="5"/>
      <c r="KTL22" s="5"/>
      <c r="KTM22" s="5"/>
      <c r="KTN22" s="5"/>
      <c r="KTO22" s="5"/>
      <c r="KTP22" s="5"/>
      <c r="KTQ22" s="5"/>
      <c r="KTR22" s="5"/>
      <c r="KTS22" s="5"/>
      <c r="KTT22" s="5"/>
      <c r="KTU22" s="5"/>
      <c r="KTV22" s="5"/>
      <c r="KTW22" s="5"/>
      <c r="KTX22" s="5"/>
      <c r="KTY22" s="5"/>
      <c r="KTZ22" s="5"/>
      <c r="KUA22" s="5"/>
      <c r="KUB22" s="5"/>
      <c r="KUC22" s="5"/>
      <c r="KUD22" s="5"/>
      <c r="KUE22" s="5"/>
      <c r="KUF22" s="5"/>
      <c r="KUG22" s="5"/>
      <c r="KUH22" s="5"/>
      <c r="KUI22" s="5"/>
      <c r="KUJ22" s="5"/>
      <c r="KUK22" s="5"/>
      <c r="KUL22" s="5"/>
      <c r="KUM22" s="5"/>
      <c r="KUN22" s="5"/>
      <c r="KUO22" s="5"/>
      <c r="KUP22" s="5"/>
      <c r="KUQ22" s="5"/>
      <c r="KUR22" s="5"/>
      <c r="KUS22" s="5"/>
      <c r="KUT22" s="5"/>
      <c r="KUU22" s="5"/>
      <c r="KUV22" s="5"/>
      <c r="KUW22" s="5"/>
      <c r="KUX22" s="5"/>
      <c r="KUY22" s="5"/>
      <c r="KUZ22" s="5"/>
      <c r="KVA22" s="5"/>
      <c r="KVB22" s="5"/>
      <c r="KVC22" s="5"/>
      <c r="KVD22" s="5"/>
      <c r="KVE22" s="5"/>
      <c r="KVF22" s="5"/>
      <c r="KVG22" s="5"/>
      <c r="KVH22" s="5"/>
      <c r="KVI22" s="5"/>
      <c r="KVJ22" s="5"/>
      <c r="KVK22" s="5"/>
      <c r="KVL22" s="5"/>
      <c r="KVM22" s="5"/>
      <c r="KVN22" s="5"/>
      <c r="KVO22" s="5"/>
      <c r="KVP22" s="5"/>
      <c r="KVQ22" s="5"/>
      <c r="KVR22" s="5"/>
      <c r="KVS22" s="5"/>
      <c r="KVT22" s="5"/>
      <c r="KVU22" s="5"/>
      <c r="KVV22" s="5"/>
      <c r="KVW22" s="5"/>
      <c r="KVX22" s="5"/>
      <c r="KVY22" s="5"/>
      <c r="KVZ22" s="5"/>
      <c r="KWA22" s="5"/>
      <c r="KWB22" s="5"/>
      <c r="KWC22" s="5"/>
      <c r="KWD22" s="5"/>
      <c r="KWE22" s="5"/>
      <c r="KWF22" s="5"/>
      <c r="KWG22" s="5"/>
      <c r="KWH22" s="5"/>
      <c r="KWI22" s="5"/>
      <c r="KWJ22" s="5"/>
      <c r="KWK22" s="5"/>
      <c r="KWL22" s="5"/>
      <c r="KWM22" s="5"/>
      <c r="KWN22" s="5"/>
      <c r="KWO22" s="5"/>
      <c r="KWP22" s="5"/>
      <c r="KWQ22" s="5"/>
      <c r="KWR22" s="5"/>
      <c r="KWS22" s="5"/>
      <c r="KWT22" s="5"/>
      <c r="KWU22" s="5"/>
      <c r="KWV22" s="5"/>
      <c r="KWW22" s="5"/>
      <c r="KWX22" s="5"/>
      <c r="KWY22" s="5"/>
      <c r="KWZ22" s="5"/>
      <c r="KXA22" s="5"/>
      <c r="KXB22" s="5"/>
      <c r="KXC22" s="5"/>
      <c r="KXD22" s="5"/>
      <c r="KXE22" s="5"/>
      <c r="KXF22" s="5"/>
      <c r="KXG22" s="5"/>
      <c r="KXH22" s="5"/>
      <c r="KXI22" s="5"/>
      <c r="KXJ22" s="5"/>
      <c r="KXK22" s="5"/>
      <c r="KXL22" s="5"/>
      <c r="KXM22" s="5"/>
      <c r="KXN22" s="5"/>
      <c r="KXO22" s="5"/>
      <c r="KXP22" s="5"/>
      <c r="KXQ22" s="5"/>
      <c r="KXR22" s="5"/>
      <c r="KXS22" s="5"/>
      <c r="KXT22" s="5"/>
      <c r="KXU22" s="5"/>
      <c r="KXV22" s="5"/>
      <c r="KXW22" s="5"/>
      <c r="KXX22" s="5"/>
      <c r="KXY22" s="5"/>
      <c r="KXZ22" s="5"/>
      <c r="KYA22" s="5"/>
      <c r="KYB22" s="5"/>
      <c r="KYC22" s="5"/>
      <c r="KYD22" s="5"/>
      <c r="KYE22" s="5"/>
      <c r="KYF22" s="5"/>
      <c r="KYG22" s="5"/>
      <c r="KYH22" s="5"/>
      <c r="KYI22" s="5"/>
      <c r="KYJ22" s="5"/>
      <c r="KYK22" s="5"/>
      <c r="KYL22" s="5"/>
      <c r="KYM22" s="5"/>
      <c r="KYN22" s="5"/>
      <c r="KYO22" s="5"/>
      <c r="KYP22" s="5"/>
      <c r="KYQ22" s="5"/>
      <c r="KYR22" s="5"/>
      <c r="KYS22" s="5"/>
      <c r="KYT22" s="5"/>
      <c r="KYU22" s="5"/>
      <c r="KYV22" s="5"/>
      <c r="KYW22" s="5"/>
      <c r="KYX22" s="5"/>
      <c r="KYY22" s="5"/>
      <c r="KYZ22" s="5"/>
      <c r="KZA22" s="5"/>
      <c r="KZB22" s="5"/>
      <c r="KZC22" s="5"/>
      <c r="KZD22" s="5"/>
      <c r="KZE22" s="5"/>
      <c r="KZF22" s="5"/>
      <c r="KZG22" s="5"/>
      <c r="KZH22" s="5"/>
      <c r="KZI22" s="5"/>
      <c r="KZJ22" s="5"/>
      <c r="KZK22" s="5"/>
      <c r="KZL22" s="5"/>
      <c r="KZM22" s="5"/>
      <c r="KZN22" s="5"/>
      <c r="KZO22" s="5"/>
      <c r="KZP22" s="5"/>
      <c r="KZQ22" s="5"/>
      <c r="KZR22" s="5"/>
      <c r="KZS22" s="5"/>
      <c r="KZT22" s="5"/>
      <c r="KZU22" s="5"/>
      <c r="KZV22" s="5"/>
      <c r="KZW22" s="5"/>
      <c r="KZX22" s="5"/>
      <c r="KZY22" s="5"/>
      <c r="KZZ22" s="5"/>
      <c r="LAA22" s="5"/>
      <c r="LAB22" s="5"/>
      <c r="LAC22" s="5"/>
      <c r="LAD22" s="5"/>
      <c r="LAE22" s="5"/>
      <c r="LAF22" s="5"/>
      <c r="LAG22" s="5"/>
      <c r="LAH22" s="5"/>
      <c r="LAI22" s="5"/>
      <c r="LAJ22" s="5"/>
      <c r="LAK22" s="5"/>
      <c r="LAL22" s="5"/>
      <c r="LAM22" s="5"/>
      <c r="LAN22" s="5"/>
      <c r="LAO22" s="5"/>
      <c r="LAP22" s="5"/>
      <c r="LAQ22" s="5"/>
      <c r="LAR22" s="5"/>
      <c r="LAS22" s="5"/>
      <c r="LAT22" s="5"/>
      <c r="LAU22" s="5"/>
      <c r="LAV22" s="5"/>
      <c r="LAW22" s="5"/>
      <c r="LAX22" s="5"/>
      <c r="LAY22" s="5"/>
      <c r="LAZ22" s="5"/>
      <c r="LBA22" s="5"/>
      <c r="LBB22" s="5"/>
      <c r="LBC22" s="5"/>
      <c r="LBD22" s="5"/>
      <c r="LBE22" s="5"/>
      <c r="LBF22" s="5"/>
      <c r="LBG22" s="5"/>
      <c r="LBH22" s="5"/>
      <c r="LBI22" s="5"/>
      <c r="LBJ22" s="5"/>
      <c r="LBK22" s="5"/>
      <c r="LBL22" s="5"/>
      <c r="LBM22" s="5"/>
      <c r="LBN22" s="5"/>
      <c r="LBO22" s="5"/>
      <c r="LBP22" s="5"/>
      <c r="LBQ22" s="5"/>
      <c r="LBR22" s="5"/>
      <c r="LBS22" s="5"/>
      <c r="LBT22" s="5"/>
      <c r="LBU22" s="5"/>
      <c r="LBV22" s="5"/>
      <c r="LBW22" s="5"/>
      <c r="LBX22" s="5"/>
      <c r="LBY22" s="5"/>
      <c r="LBZ22" s="5"/>
      <c r="LCA22" s="5"/>
      <c r="LCB22" s="5"/>
      <c r="LCC22" s="5"/>
      <c r="LCD22" s="5"/>
      <c r="LCE22" s="5"/>
      <c r="LCF22" s="5"/>
      <c r="LCG22" s="5"/>
      <c r="LCH22" s="5"/>
      <c r="LCI22" s="5"/>
      <c r="LCJ22" s="5"/>
      <c r="LCK22" s="5"/>
      <c r="LCL22" s="5"/>
      <c r="LCM22" s="5"/>
      <c r="LCN22" s="5"/>
      <c r="LCO22" s="5"/>
      <c r="LCP22" s="5"/>
      <c r="LCQ22" s="5"/>
      <c r="LCR22" s="5"/>
      <c r="LCS22" s="5"/>
      <c r="LCT22" s="5"/>
      <c r="LCU22" s="5"/>
      <c r="LCV22" s="5"/>
      <c r="LCW22" s="5"/>
      <c r="LCX22" s="5"/>
      <c r="LCY22" s="5"/>
      <c r="LCZ22" s="5"/>
      <c r="LDA22" s="5"/>
      <c r="LDB22" s="5"/>
      <c r="LDC22" s="5"/>
      <c r="LDD22" s="5"/>
      <c r="LDE22" s="5"/>
      <c r="LDF22" s="5"/>
      <c r="LDG22" s="5"/>
      <c r="LDH22" s="5"/>
      <c r="LDI22" s="5"/>
      <c r="LDJ22" s="5"/>
      <c r="LDK22" s="5"/>
      <c r="LDL22" s="5"/>
      <c r="LDM22" s="5"/>
      <c r="LDN22" s="5"/>
      <c r="LDO22" s="5"/>
      <c r="LDP22" s="5"/>
      <c r="LDQ22" s="5"/>
      <c r="LDR22" s="5"/>
      <c r="LDS22" s="5"/>
      <c r="LDT22" s="5"/>
      <c r="LDU22" s="5"/>
      <c r="LDV22" s="5"/>
      <c r="LDW22" s="5"/>
      <c r="LDX22" s="5"/>
      <c r="LDY22" s="5"/>
      <c r="LDZ22" s="5"/>
      <c r="LEA22" s="5"/>
      <c r="LEB22" s="5"/>
      <c r="LEC22" s="5"/>
      <c r="LED22" s="5"/>
      <c r="LEE22" s="5"/>
      <c r="LEF22" s="5"/>
      <c r="LEG22" s="5"/>
      <c r="LEH22" s="5"/>
      <c r="LEI22" s="5"/>
      <c r="LEJ22" s="5"/>
      <c r="LEK22" s="5"/>
      <c r="LEL22" s="5"/>
      <c r="LEM22" s="5"/>
      <c r="LEN22" s="5"/>
      <c r="LEO22" s="5"/>
      <c r="LEP22" s="5"/>
      <c r="LEQ22" s="5"/>
      <c r="LER22" s="5"/>
      <c r="LES22" s="5"/>
      <c r="LET22" s="5"/>
      <c r="LEU22" s="5"/>
      <c r="LEV22" s="5"/>
      <c r="LEW22" s="5"/>
      <c r="LEX22" s="5"/>
      <c r="LEY22" s="5"/>
      <c r="LEZ22" s="5"/>
      <c r="LFA22" s="5"/>
      <c r="LFB22" s="5"/>
      <c r="LFC22" s="5"/>
      <c r="LFD22" s="5"/>
      <c r="LFE22" s="5"/>
      <c r="LFF22" s="5"/>
      <c r="LFG22" s="5"/>
      <c r="LFH22" s="5"/>
      <c r="LFI22" s="5"/>
      <c r="LFJ22" s="5"/>
      <c r="LFK22" s="5"/>
      <c r="LFL22" s="5"/>
      <c r="LFM22" s="5"/>
      <c r="LFN22" s="5"/>
      <c r="LFO22" s="5"/>
      <c r="LFP22" s="5"/>
      <c r="LFQ22" s="5"/>
      <c r="LFR22" s="5"/>
      <c r="LFS22" s="5"/>
      <c r="LFT22" s="5"/>
      <c r="LFU22" s="5"/>
      <c r="LFV22" s="5"/>
      <c r="LFW22" s="5"/>
      <c r="LFX22" s="5"/>
      <c r="LFY22" s="5"/>
      <c r="LFZ22" s="5"/>
      <c r="LGA22" s="5"/>
      <c r="LGB22" s="5"/>
      <c r="LGC22" s="5"/>
      <c r="LGD22" s="5"/>
      <c r="LGE22" s="5"/>
      <c r="LGF22" s="5"/>
      <c r="LGG22" s="5"/>
      <c r="LGH22" s="5"/>
      <c r="LGI22" s="5"/>
      <c r="LGJ22" s="5"/>
      <c r="LGK22" s="5"/>
      <c r="LGL22" s="5"/>
      <c r="LGM22" s="5"/>
      <c r="LGN22" s="5"/>
      <c r="LGO22" s="5"/>
      <c r="LGP22" s="5"/>
      <c r="LGQ22" s="5"/>
      <c r="LGR22" s="5"/>
      <c r="LGS22" s="5"/>
      <c r="LGT22" s="5"/>
      <c r="LGU22" s="5"/>
      <c r="LGV22" s="5"/>
      <c r="LGW22" s="5"/>
      <c r="LGX22" s="5"/>
      <c r="LGY22" s="5"/>
      <c r="LGZ22" s="5"/>
      <c r="LHA22" s="5"/>
      <c r="LHB22" s="5"/>
      <c r="LHC22" s="5"/>
      <c r="LHD22" s="5"/>
      <c r="LHE22" s="5"/>
      <c r="LHF22" s="5"/>
      <c r="LHG22" s="5"/>
      <c r="LHH22" s="5"/>
      <c r="LHI22" s="5"/>
      <c r="LHJ22" s="5"/>
      <c r="LHK22" s="5"/>
      <c r="LHL22" s="5"/>
      <c r="LHM22" s="5"/>
      <c r="LHN22" s="5"/>
      <c r="LHO22" s="5"/>
      <c r="LHP22" s="5"/>
      <c r="LHQ22" s="5"/>
      <c r="LHR22" s="5"/>
      <c r="LHS22" s="5"/>
      <c r="LHT22" s="5"/>
      <c r="LHU22" s="5"/>
      <c r="LHV22" s="5"/>
      <c r="LHW22" s="5"/>
      <c r="LHX22" s="5"/>
      <c r="LHY22" s="5"/>
      <c r="LHZ22" s="5"/>
      <c r="LIA22" s="5"/>
      <c r="LIB22" s="5"/>
      <c r="LIC22" s="5"/>
      <c r="LID22" s="5"/>
      <c r="LIE22" s="5"/>
      <c r="LIF22" s="5"/>
      <c r="LIG22" s="5"/>
      <c r="LIH22" s="5"/>
      <c r="LII22" s="5"/>
      <c r="LIJ22" s="5"/>
      <c r="LIK22" s="5"/>
      <c r="LIL22" s="5"/>
      <c r="LIM22" s="5"/>
      <c r="LIN22" s="5"/>
      <c r="LIO22" s="5"/>
      <c r="LIP22" s="5"/>
      <c r="LIQ22" s="5"/>
      <c r="LIR22" s="5"/>
      <c r="LIS22" s="5"/>
      <c r="LIT22" s="5"/>
      <c r="LIU22" s="5"/>
      <c r="LIV22" s="5"/>
      <c r="LIW22" s="5"/>
      <c r="LIX22" s="5"/>
      <c r="LIY22" s="5"/>
      <c r="LIZ22" s="5"/>
      <c r="LJA22" s="5"/>
      <c r="LJB22" s="5"/>
      <c r="LJC22" s="5"/>
      <c r="LJD22" s="5"/>
      <c r="LJE22" s="5"/>
      <c r="LJF22" s="5"/>
      <c r="LJG22" s="5"/>
      <c r="LJH22" s="5"/>
      <c r="LJI22" s="5"/>
      <c r="LJJ22" s="5"/>
      <c r="LJK22" s="5"/>
      <c r="LJL22" s="5"/>
      <c r="LJM22" s="5"/>
      <c r="LJN22" s="5"/>
      <c r="LJO22" s="5"/>
      <c r="LJP22" s="5"/>
      <c r="LJQ22" s="5"/>
      <c r="LJR22" s="5"/>
      <c r="LJS22" s="5"/>
      <c r="LJT22" s="5"/>
      <c r="LJU22" s="5"/>
      <c r="LJV22" s="5"/>
      <c r="LJW22" s="5"/>
      <c r="LJX22" s="5"/>
      <c r="LJY22" s="5"/>
      <c r="LJZ22" s="5"/>
      <c r="LKA22" s="5"/>
      <c r="LKB22" s="5"/>
      <c r="LKC22" s="5"/>
      <c r="LKD22" s="5"/>
      <c r="LKE22" s="5"/>
      <c r="LKF22" s="5"/>
      <c r="LKG22" s="5"/>
      <c r="LKH22" s="5"/>
      <c r="LKI22" s="5"/>
      <c r="LKJ22" s="5"/>
      <c r="LKK22" s="5"/>
      <c r="LKL22" s="5"/>
      <c r="LKM22" s="5"/>
      <c r="LKN22" s="5"/>
      <c r="LKO22" s="5"/>
      <c r="LKP22" s="5"/>
      <c r="LKQ22" s="5"/>
      <c r="LKR22" s="5"/>
      <c r="LKS22" s="5"/>
      <c r="LKT22" s="5"/>
      <c r="LKU22" s="5"/>
      <c r="LKV22" s="5"/>
      <c r="LKW22" s="5"/>
      <c r="LKX22" s="5"/>
      <c r="LKY22" s="5"/>
      <c r="LKZ22" s="5"/>
      <c r="LLA22" s="5"/>
      <c r="LLB22" s="5"/>
      <c r="LLC22" s="5"/>
      <c r="LLD22" s="5"/>
      <c r="LLE22" s="5"/>
      <c r="LLF22" s="5"/>
      <c r="LLG22" s="5"/>
      <c r="LLH22" s="5"/>
      <c r="LLI22" s="5"/>
      <c r="LLJ22" s="5"/>
      <c r="LLK22" s="5"/>
      <c r="LLL22" s="5"/>
      <c r="LLM22" s="5"/>
      <c r="LLN22" s="5"/>
      <c r="LLO22" s="5"/>
      <c r="LLP22" s="5"/>
      <c r="LLQ22" s="5"/>
      <c r="LLR22" s="5"/>
      <c r="LLS22" s="5"/>
      <c r="LLT22" s="5"/>
      <c r="LLU22" s="5"/>
      <c r="LLV22" s="5"/>
      <c r="LLW22" s="5"/>
      <c r="LLX22" s="5"/>
      <c r="LLY22" s="5"/>
      <c r="LLZ22" s="5"/>
      <c r="LMA22" s="5"/>
      <c r="LMB22" s="5"/>
      <c r="LMC22" s="5"/>
      <c r="LMD22" s="5"/>
      <c r="LME22" s="5"/>
      <c r="LMF22" s="5"/>
      <c r="LMG22" s="5"/>
      <c r="LMH22" s="5"/>
      <c r="LMI22" s="5"/>
      <c r="LMJ22" s="5"/>
      <c r="LMK22" s="5"/>
      <c r="LML22" s="5"/>
      <c r="LMM22" s="5"/>
      <c r="LMN22" s="5"/>
      <c r="LMO22" s="5"/>
      <c r="LMP22" s="5"/>
      <c r="LMQ22" s="5"/>
      <c r="LMR22" s="5"/>
      <c r="LMS22" s="5"/>
      <c r="LMT22" s="5"/>
      <c r="LMU22" s="5"/>
      <c r="LMV22" s="5"/>
      <c r="LMW22" s="5"/>
      <c r="LMX22" s="5"/>
      <c r="LMY22" s="5"/>
      <c r="LMZ22" s="5"/>
      <c r="LNA22" s="5"/>
      <c r="LNB22" s="5"/>
      <c r="LNC22" s="5"/>
      <c r="LND22" s="5"/>
      <c r="LNE22" s="5"/>
      <c r="LNF22" s="5"/>
      <c r="LNG22" s="5"/>
      <c r="LNH22" s="5"/>
      <c r="LNI22" s="5"/>
      <c r="LNJ22" s="5"/>
      <c r="LNK22" s="5"/>
      <c r="LNL22" s="5"/>
      <c r="LNM22" s="5"/>
      <c r="LNN22" s="5"/>
      <c r="LNO22" s="5"/>
      <c r="LNP22" s="5"/>
      <c r="LNQ22" s="5"/>
      <c r="LNR22" s="5"/>
      <c r="LNS22" s="5"/>
      <c r="LNT22" s="5"/>
      <c r="LNU22" s="5"/>
      <c r="LNV22" s="5"/>
      <c r="LNW22" s="5"/>
      <c r="LNX22" s="5"/>
      <c r="LNY22" s="5"/>
      <c r="LNZ22" s="5"/>
      <c r="LOA22" s="5"/>
      <c r="LOB22" s="5"/>
      <c r="LOC22" s="5"/>
      <c r="LOD22" s="5"/>
      <c r="LOE22" s="5"/>
      <c r="LOF22" s="5"/>
      <c r="LOG22" s="5"/>
      <c r="LOH22" s="5"/>
      <c r="LOI22" s="5"/>
      <c r="LOJ22" s="5"/>
      <c r="LOK22" s="5"/>
      <c r="LOL22" s="5"/>
      <c r="LOM22" s="5"/>
      <c r="LON22" s="5"/>
      <c r="LOO22" s="5"/>
      <c r="LOP22" s="5"/>
      <c r="LOQ22" s="5"/>
      <c r="LOR22" s="5"/>
      <c r="LOS22" s="5"/>
      <c r="LOT22" s="5"/>
      <c r="LOU22" s="5"/>
      <c r="LOV22" s="5"/>
      <c r="LOW22" s="5"/>
      <c r="LOX22" s="5"/>
      <c r="LOY22" s="5"/>
      <c r="LOZ22" s="5"/>
      <c r="LPA22" s="5"/>
      <c r="LPB22" s="5"/>
      <c r="LPC22" s="5"/>
      <c r="LPD22" s="5"/>
      <c r="LPE22" s="5"/>
      <c r="LPF22" s="5"/>
      <c r="LPG22" s="5"/>
      <c r="LPH22" s="5"/>
      <c r="LPI22" s="5"/>
      <c r="LPJ22" s="5"/>
      <c r="LPK22" s="5"/>
      <c r="LPL22" s="5"/>
      <c r="LPM22" s="5"/>
      <c r="LPN22" s="5"/>
      <c r="LPO22" s="5"/>
      <c r="LPP22" s="5"/>
      <c r="LPQ22" s="5"/>
      <c r="LPR22" s="5"/>
      <c r="LPS22" s="5"/>
      <c r="LPT22" s="5"/>
      <c r="LPU22" s="5"/>
      <c r="LPV22" s="5"/>
      <c r="LPW22" s="5"/>
      <c r="LPX22" s="5"/>
      <c r="LPY22" s="5"/>
      <c r="LPZ22" s="5"/>
      <c r="LQA22" s="5"/>
      <c r="LQB22" s="5"/>
      <c r="LQC22" s="5"/>
      <c r="LQD22" s="5"/>
      <c r="LQE22" s="5"/>
      <c r="LQF22" s="5"/>
      <c r="LQG22" s="5"/>
      <c r="LQH22" s="5"/>
      <c r="LQI22" s="5"/>
      <c r="LQJ22" s="5"/>
      <c r="LQK22" s="5"/>
      <c r="LQL22" s="5"/>
      <c r="LQM22" s="5"/>
      <c r="LQN22" s="5"/>
      <c r="LQO22" s="5"/>
      <c r="LQP22" s="5"/>
      <c r="LQQ22" s="5"/>
      <c r="LQR22" s="5"/>
      <c r="LQS22" s="5"/>
      <c r="LQT22" s="5"/>
      <c r="LQU22" s="5"/>
      <c r="LQV22" s="5"/>
      <c r="LQW22" s="5"/>
      <c r="LQX22" s="5"/>
      <c r="LQY22" s="5"/>
      <c r="LQZ22" s="5"/>
      <c r="LRA22" s="5"/>
      <c r="LRB22" s="5"/>
      <c r="LRC22" s="5"/>
      <c r="LRD22" s="5"/>
      <c r="LRE22" s="5"/>
      <c r="LRF22" s="5"/>
      <c r="LRG22" s="5"/>
      <c r="LRH22" s="5"/>
      <c r="LRI22" s="5"/>
      <c r="LRJ22" s="5"/>
      <c r="LRK22" s="5"/>
      <c r="LRL22" s="5"/>
      <c r="LRM22" s="5"/>
      <c r="LRN22" s="5"/>
      <c r="LRO22" s="5"/>
      <c r="LRP22" s="5"/>
      <c r="LRQ22" s="5"/>
      <c r="LRR22" s="5"/>
      <c r="LRS22" s="5"/>
      <c r="LRT22" s="5"/>
      <c r="LRU22" s="5"/>
      <c r="LRV22" s="5"/>
      <c r="LRW22" s="5"/>
      <c r="LRX22" s="5"/>
      <c r="LRY22" s="5"/>
      <c r="LRZ22" s="5"/>
      <c r="LSA22" s="5"/>
      <c r="LSB22" s="5"/>
      <c r="LSC22" s="5"/>
      <c r="LSD22" s="5"/>
      <c r="LSE22" s="5"/>
      <c r="LSF22" s="5"/>
      <c r="LSG22" s="5"/>
      <c r="LSH22" s="5"/>
      <c r="LSI22" s="5"/>
      <c r="LSJ22" s="5"/>
      <c r="LSK22" s="5"/>
      <c r="LSL22" s="5"/>
      <c r="LSM22" s="5"/>
      <c r="LSN22" s="5"/>
      <c r="LSO22" s="5"/>
      <c r="LSP22" s="5"/>
      <c r="LSQ22" s="5"/>
      <c r="LSR22" s="5"/>
      <c r="LSS22" s="5"/>
      <c r="LST22" s="5"/>
      <c r="LSU22" s="5"/>
      <c r="LSV22" s="5"/>
      <c r="LSW22" s="5"/>
      <c r="LSX22" s="5"/>
      <c r="LSY22" s="5"/>
      <c r="LSZ22" s="5"/>
      <c r="LTA22" s="5"/>
      <c r="LTB22" s="5"/>
      <c r="LTC22" s="5"/>
      <c r="LTD22" s="5"/>
      <c r="LTE22" s="5"/>
      <c r="LTF22" s="5"/>
      <c r="LTG22" s="5"/>
      <c r="LTH22" s="5"/>
      <c r="LTI22" s="5"/>
      <c r="LTJ22" s="5"/>
      <c r="LTK22" s="5"/>
      <c r="LTL22" s="5"/>
      <c r="LTM22" s="5"/>
      <c r="LTN22" s="5"/>
      <c r="LTO22" s="5"/>
      <c r="LTP22" s="5"/>
      <c r="LTQ22" s="5"/>
      <c r="LTR22" s="5"/>
      <c r="LTS22" s="5"/>
      <c r="LTT22" s="5"/>
      <c r="LTU22" s="5"/>
      <c r="LTV22" s="5"/>
      <c r="LTW22" s="5"/>
      <c r="LTX22" s="5"/>
      <c r="LTY22" s="5"/>
      <c r="LTZ22" s="5"/>
      <c r="LUA22" s="5"/>
      <c r="LUB22" s="5"/>
      <c r="LUC22" s="5"/>
      <c r="LUD22" s="5"/>
      <c r="LUE22" s="5"/>
      <c r="LUF22" s="5"/>
      <c r="LUG22" s="5"/>
      <c r="LUH22" s="5"/>
      <c r="LUI22" s="5"/>
      <c r="LUJ22" s="5"/>
      <c r="LUK22" s="5"/>
      <c r="LUL22" s="5"/>
      <c r="LUM22" s="5"/>
      <c r="LUN22" s="5"/>
      <c r="LUO22" s="5"/>
      <c r="LUP22" s="5"/>
      <c r="LUQ22" s="5"/>
      <c r="LUR22" s="5"/>
      <c r="LUS22" s="5"/>
      <c r="LUT22" s="5"/>
      <c r="LUU22" s="5"/>
      <c r="LUV22" s="5"/>
      <c r="LUW22" s="5"/>
      <c r="LUX22" s="5"/>
      <c r="LUY22" s="5"/>
      <c r="LUZ22" s="5"/>
      <c r="LVA22" s="5"/>
      <c r="LVB22" s="5"/>
      <c r="LVC22" s="5"/>
      <c r="LVD22" s="5"/>
      <c r="LVE22" s="5"/>
      <c r="LVF22" s="5"/>
      <c r="LVG22" s="5"/>
      <c r="LVH22" s="5"/>
      <c r="LVI22" s="5"/>
      <c r="LVJ22" s="5"/>
      <c r="LVK22" s="5"/>
      <c r="LVL22" s="5"/>
      <c r="LVM22" s="5"/>
      <c r="LVN22" s="5"/>
      <c r="LVO22" s="5"/>
      <c r="LVP22" s="5"/>
      <c r="LVQ22" s="5"/>
      <c r="LVR22" s="5"/>
      <c r="LVS22" s="5"/>
      <c r="LVT22" s="5"/>
      <c r="LVU22" s="5"/>
      <c r="LVV22" s="5"/>
      <c r="LVW22" s="5"/>
      <c r="LVX22" s="5"/>
      <c r="LVY22" s="5"/>
      <c r="LVZ22" s="5"/>
      <c r="LWA22" s="5"/>
      <c r="LWB22" s="5"/>
      <c r="LWC22" s="5"/>
      <c r="LWD22" s="5"/>
      <c r="LWE22" s="5"/>
      <c r="LWF22" s="5"/>
      <c r="LWG22" s="5"/>
      <c r="LWH22" s="5"/>
      <c r="LWI22" s="5"/>
      <c r="LWJ22" s="5"/>
      <c r="LWK22" s="5"/>
      <c r="LWL22" s="5"/>
      <c r="LWM22" s="5"/>
      <c r="LWN22" s="5"/>
      <c r="LWO22" s="5"/>
      <c r="LWP22" s="5"/>
      <c r="LWQ22" s="5"/>
      <c r="LWR22" s="5"/>
      <c r="LWS22" s="5"/>
      <c r="LWT22" s="5"/>
      <c r="LWU22" s="5"/>
      <c r="LWV22" s="5"/>
      <c r="LWW22" s="5"/>
      <c r="LWX22" s="5"/>
      <c r="LWY22" s="5"/>
      <c r="LWZ22" s="5"/>
      <c r="LXA22" s="5"/>
      <c r="LXB22" s="5"/>
      <c r="LXC22" s="5"/>
      <c r="LXD22" s="5"/>
      <c r="LXE22" s="5"/>
      <c r="LXF22" s="5"/>
      <c r="LXG22" s="5"/>
      <c r="LXH22" s="5"/>
      <c r="LXI22" s="5"/>
      <c r="LXJ22" s="5"/>
      <c r="LXK22" s="5"/>
      <c r="LXL22" s="5"/>
      <c r="LXM22" s="5"/>
      <c r="LXN22" s="5"/>
      <c r="LXO22" s="5"/>
      <c r="LXP22" s="5"/>
      <c r="LXQ22" s="5"/>
      <c r="LXR22" s="5"/>
      <c r="LXS22" s="5"/>
      <c r="LXT22" s="5"/>
      <c r="LXU22" s="5"/>
      <c r="LXV22" s="5"/>
      <c r="LXW22" s="5"/>
      <c r="LXX22" s="5"/>
      <c r="LXY22" s="5"/>
      <c r="LXZ22" s="5"/>
      <c r="LYA22" s="5"/>
      <c r="LYB22" s="5"/>
      <c r="LYC22" s="5"/>
      <c r="LYD22" s="5"/>
      <c r="LYE22" s="5"/>
      <c r="LYF22" s="5"/>
      <c r="LYG22" s="5"/>
      <c r="LYH22" s="5"/>
      <c r="LYI22" s="5"/>
      <c r="LYJ22" s="5"/>
      <c r="LYK22" s="5"/>
      <c r="LYL22" s="5"/>
      <c r="LYM22" s="5"/>
      <c r="LYN22" s="5"/>
      <c r="LYO22" s="5"/>
      <c r="LYP22" s="5"/>
      <c r="LYQ22" s="5"/>
      <c r="LYR22" s="5"/>
      <c r="LYS22" s="5"/>
      <c r="LYT22" s="5"/>
      <c r="LYU22" s="5"/>
      <c r="LYV22" s="5"/>
      <c r="LYW22" s="5"/>
      <c r="LYX22" s="5"/>
      <c r="LYY22" s="5"/>
      <c r="LYZ22" s="5"/>
      <c r="LZA22" s="5"/>
      <c r="LZB22" s="5"/>
      <c r="LZC22" s="5"/>
      <c r="LZD22" s="5"/>
      <c r="LZE22" s="5"/>
      <c r="LZF22" s="5"/>
      <c r="LZG22" s="5"/>
      <c r="LZH22" s="5"/>
      <c r="LZI22" s="5"/>
      <c r="LZJ22" s="5"/>
      <c r="LZK22" s="5"/>
      <c r="LZL22" s="5"/>
      <c r="LZM22" s="5"/>
      <c r="LZN22" s="5"/>
      <c r="LZO22" s="5"/>
      <c r="LZP22" s="5"/>
      <c r="LZQ22" s="5"/>
      <c r="LZR22" s="5"/>
      <c r="LZS22" s="5"/>
      <c r="LZT22" s="5"/>
      <c r="LZU22" s="5"/>
      <c r="LZV22" s="5"/>
      <c r="LZW22" s="5"/>
      <c r="LZX22" s="5"/>
      <c r="LZY22" s="5"/>
      <c r="LZZ22" s="5"/>
      <c r="MAA22" s="5"/>
      <c r="MAB22" s="5"/>
      <c r="MAC22" s="5"/>
      <c r="MAD22" s="5"/>
      <c r="MAE22" s="5"/>
      <c r="MAF22" s="5"/>
      <c r="MAG22" s="5"/>
      <c r="MAH22" s="5"/>
      <c r="MAI22" s="5"/>
      <c r="MAJ22" s="5"/>
      <c r="MAK22" s="5"/>
      <c r="MAL22" s="5"/>
      <c r="MAM22" s="5"/>
      <c r="MAN22" s="5"/>
      <c r="MAO22" s="5"/>
      <c r="MAP22" s="5"/>
      <c r="MAQ22" s="5"/>
      <c r="MAR22" s="5"/>
      <c r="MAS22" s="5"/>
      <c r="MAT22" s="5"/>
      <c r="MAU22" s="5"/>
      <c r="MAV22" s="5"/>
      <c r="MAW22" s="5"/>
      <c r="MAX22" s="5"/>
      <c r="MAY22" s="5"/>
      <c r="MAZ22" s="5"/>
      <c r="MBA22" s="5"/>
      <c r="MBB22" s="5"/>
      <c r="MBC22" s="5"/>
      <c r="MBD22" s="5"/>
      <c r="MBE22" s="5"/>
      <c r="MBF22" s="5"/>
      <c r="MBG22" s="5"/>
      <c r="MBH22" s="5"/>
      <c r="MBI22" s="5"/>
      <c r="MBJ22" s="5"/>
      <c r="MBK22" s="5"/>
      <c r="MBL22" s="5"/>
      <c r="MBM22" s="5"/>
      <c r="MBN22" s="5"/>
      <c r="MBO22" s="5"/>
      <c r="MBP22" s="5"/>
      <c r="MBQ22" s="5"/>
      <c r="MBR22" s="5"/>
      <c r="MBS22" s="5"/>
      <c r="MBT22" s="5"/>
      <c r="MBU22" s="5"/>
      <c r="MBV22" s="5"/>
      <c r="MBW22" s="5"/>
      <c r="MBX22" s="5"/>
      <c r="MBY22" s="5"/>
      <c r="MBZ22" s="5"/>
      <c r="MCA22" s="5"/>
      <c r="MCB22" s="5"/>
      <c r="MCC22" s="5"/>
      <c r="MCD22" s="5"/>
      <c r="MCE22" s="5"/>
      <c r="MCF22" s="5"/>
      <c r="MCG22" s="5"/>
      <c r="MCH22" s="5"/>
      <c r="MCI22" s="5"/>
      <c r="MCJ22" s="5"/>
      <c r="MCK22" s="5"/>
      <c r="MCL22" s="5"/>
      <c r="MCM22" s="5"/>
      <c r="MCN22" s="5"/>
      <c r="MCO22" s="5"/>
      <c r="MCP22" s="5"/>
      <c r="MCQ22" s="5"/>
      <c r="MCR22" s="5"/>
      <c r="MCS22" s="5"/>
      <c r="MCT22" s="5"/>
      <c r="MCU22" s="5"/>
      <c r="MCV22" s="5"/>
      <c r="MCW22" s="5"/>
      <c r="MCX22" s="5"/>
      <c r="MCY22" s="5"/>
      <c r="MCZ22" s="5"/>
      <c r="MDA22" s="5"/>
      <c r="MDB22" s="5"/>
      <c r="MDC22" s="5"/>
      <c r="MDD22" s="5"/>
      <c r="MDE22" s="5"/>
      <c r="MDF22" s="5"/>
      <c r="MDG22" s="5"/>
      <c r="MDH22" s="5"/>
      <c r="MDI22" s="5"/>
      <c r="MDJ22" s="5"/>
      <c r="MDK22" s="5"/>
      <c r="MDL22" s="5"/>
      <c r="MDM22" s="5"/>
      <c r="MDN22" s="5"/>
      <c r="MDO22" s="5"/>
      <c r="MDP22" s="5"/>
      <c r="MDQ22" s="5"/>
      <c r="MDR22" s="5"/>
      <c r="MDS22" s="5"/>
      <c r="MDT22" s="5"/>
      <c r="MDU22" s="5"/>
      <c r="MDV22" s="5"/>
      <c r="MDW22" s="5"/>
      <c r="MDX22" s="5"/>
      <c r="MDY22" s="5"/>
      <c r="MDZ22" s="5"/>
      <c r="MEA22" s="5"/>
      <c r="MEB22" s="5"/>
      <c r="MEC22" s="5"/>
      <c r="MED22" s="5"/>
      <c r="MEE22" s="5"/>
      <c r="MEF22" s="5"/>
      <c r="MEG22" s="5"/>
      <c r="MEH22" s="5"/>
      <c r="MEI22" s="5"/>
      <c r="MEJ22" s="5"/>
      <c r="MEK22" s="5"/>
      <c r="MEL22" s="5"/>
      <c r="MEM22" s="5"/>
      <c r="MEN22" s="5"/>
      <c r="MEO22" s="5"/>
      <c r="MEP22" s="5"/>
      <c r="MEQ22" s="5"/>
      <c r="MER22" s="5"/>
      <c r="MES22" s="5"/>
      <c r="MET22" s="5"/>
      <c r="MEU22" s="5"/>
      <c r="MEV22" s="5"/>
      <c r="MEW22" s="5"/>
      <c r="MEX22" s="5"/>
      <c r="MEY22" s="5"/>
      <c r="MEZ22" s="5"/>
      <c r="MFA22" s="5"/>
      <c r="MFB22" s="5"/>
      <c r="MFC22" s="5"/>
      <c r="MFD22" s="5"/>
      <c r="MFE22" s="5"/>
      <c r="MFF22" s="5"/>
      <c r="MFG22" s="5"/>
      <c r="MFH22" s="5"/>
      <c r="MFI22" s="5"/>
      <c r="MFJ22" s="5"/>
      <c r="MFK22" s="5"/>
      <c r="MFL22" s="5"/>
      <c r="MFM22" s="5"/>
      <c r="MFN22" s="5"/>
      <c r="MFO22" s="5"/>
      <c r="MFP22" s="5"/>
      <c r="MFQ22" s="5"/>
      <c r="MFR22" s="5"/>
      <c r="MFS22" s="5"/>
      <c r="MFT22" s="5"/>
      <c r="MFU22" s="5"/>
      <c r="MFV22" s="5"/>
      <c r="MFW22" s="5"/>
      <c r="MFX22" s="5"/>
      <c r="MFY22" s="5"/>
      <c r="MFZ22" s="5"/>
      <c r="MGA22" s="5"/>
      <c r="MGB22" s="5"/>
      <c r="MGC22" s="5"/>
      <c r="MGD22" s="5"/>
      <c r="MGE22" s="5"/>
      <c r="MGF22" s="5"/>
      <c r="MGG22" s="5"/>
      <c r="MGH22" s="5"/>
      <c r="MGI22" s="5"/>
      <c r="MGJ22" s="5"/>
      <c r="MGK22" s="5"/>
      <c r="MGL22" s="5"/>
      <c r="MGM22" s="5"/>
      <c r="MGN22" s="5"/>
      <c r="MGO22" s="5"/>
      <c r="MGP22" s="5"/>
      <c r="MGQ22" s="5"/>
      <c r="MGR22" s="5"/>
      <c r="MGS22" s="5"/>
      <c r="MGT22" s="5"/>
      <c r="MGU22" s="5"/>
      <c r="MGV22" s="5"/>
      <c r="MGW22" s="5"/>
      <c r="MGX22" s="5"/>
      <c r="MGY22" s="5"/>
      <c r="MGZ22" s="5"/>
      <c r="MHA22" s="5"/>
      <c r="MHB22" s="5"/>
      <c r="MHC22" s="5"/>
      <c r="MHD22" s="5"/>
      <c r="MHE22" s="5"/>
      <c r="MHF22" s="5"/>
      <c r="MHG22" s="5"/>
      <c r="MHH22" s="5"/>
      <c r="MHI22" s="5"/>
      <c r="MHJ22" s="5"/>
      <c r="MHK22" s="5"/>
      <c r="MHL22" s="5"/>
      <c r="MHM22" s="5"/>
      <c r="MHN22" s="5"/>
      <c r="MHO22" s="5"/>
      <c r="MHP22" s="5"/>
      <c r="MHQ22" s="5"/>
      <c r="MHR22" s="5"/>
      <c r="MHS22" s="5"/>
      <c r="MHT22" s="5"/>
      <c r="MHU22" s="5"/>
      <c r="MHV22" s="5"/>
      <c r="MHW22" s="5"/>
      <c r="MHX22" s="5"/>
      <c r="MHY22" s="5"/>
      <c r="MHZ22" s="5"/>
      <c r="MIA22" s="5"/>
      <c r="MIB22" s="5"/>
      <c r="MIC22" s="5"/>
      <c r="MID22" s="5"/>
      <c r="MIE22" s="5"/>
      <c r="MIF22" s="5"/>
      <c r="MIG22" s="5"/>
      <c r="MIH22" s="5"/>
      <c r="MII22" s="5"/>
      <c r="MIJ22" s="5"/>
      <c r="MIK22" s="5"/>
      <c r="MIL22" s="5"/>
      <c r="MIM22" s="5"/>
      <c r="MIN22" s="5"/>
      <c r="MIO22" s="5"/>
      <c r="MIP22" s="5"/>
      <c r="MIQ22" s="5"/>
      <c r="MIR22" s="5"/>
      <c r="MIS22" s="5"/>
      <c r="MIT22" s="5"/>
      <c r="MIU22" s="5"/>
      <c r="MIV22" s="5"/>
      <c r="MIW22" s="5"/>
      <c r="MIX22" s="5"/>
      <c r="MIY22" s="5"/>
      <c r="MIZ22" s="5"/>
      <c r="MJA22" s="5"/>
      <c r="MJB22" s="5"/>
      <c r="MJC22" s="5"/>
      <c r="MJD22" s="5"/>
      <c r="MJE22" s="5"/>
      <c r="MJF22" s="5"/>
      <c r="MJG22" s="5"/>
      <c r="MJH22" s="5"/>
      <c r="MJI22" s="5"/>
      <c r="MJJ22" s="5"/>
      <c r="MJK22" s="5"/>
      <c r="MJL22" s="5"/>
      <c r="MJM22" s="5"/>
      <c r="MJN22" s="5"/>
      <c r="MJO22" s="5"/>
      <c r="MJP22" s="5"/>
      <c r="MJQ22" s="5"/>
      <c r="MJR22" s="5"/>
      <c r="MJS22" s="5"/>
      <c r="MJT22" s="5"/>
      <c r="MJU22" s="5"/>
      <c r="MJV22" s="5"/>
      <c r="MJW22" s="5"/>
      <c r="MJX22" s="5"/>
      <c r="MJY22" s="5"/>
      <c r="MJZ22" s="5"/>
      <c r="MKA22" s="5"/>
      <c r="MKB22" s="5"/>
      <c r="MKC22" s="5"/>
      <c r="MKD22" s="5"/>
      <c r="MKE22" s="5"/>
      <c r="MKF22" s="5"/>
      <c r="MKG22" s="5"/>
      <c r="MKH22" s="5"/>
      <c r="MKI22" s="5"/>
      <c r="MKJ22" s="5"/>
      <c r="MKK22" s="5"/>
      <c r="MKL22" s="5"/>
      <c r="MKM22" s="5"/>
      <c r="MKN22" s="5"/>
      <c r="MKO22" s="5"/>
      <c r="MKP22" s="5"/>
      <c r="MKQ22" s="5"/>
      <c r="MKR22" s="5"/>
      <c r="MKS22" s="5"/>
      <c r="MKT22" s="5"/>
      <c r="MKU22" s="5"/>
      <c r="MKV22" s="5"/>
      <c r="MKW22" s="5"/>
      <c r="MKX22" s="5"/>
      <c r="MKY22" s="5"/>
      <c r="MKZ22" s="5"/>
      <c r="MLA22" s="5"/>
      <c r="MLB22" s="5"/>
      <c r="MLC22" s="5"/>
      <c r="MLD22" s="5"/>
      <c r="MLE22" s="5"/>
      <c r="MLF22" s="5"/>
      <c r="MLG22" s="5"/>
      <c r="MLH22" s="5"/>
      <c r="MLI22" s="5"/>
      <c r="MLJ22" s="5"/>
      <c r="MLK22" s="5"/>
      <c r="MLL22" s="5"/>
      <c r="MLM22" s="5"/>
      <c r="MLN22" s="5"/>
      <c r="MLO22" s="5"/>
      <c r="MLP22" s="5"/>
      <c r="MLQ22" s="5"/>
      <c r="MLR22" s="5"/>
      <c r="MLS22" s="5"/>
      <c r="MLT22" s="5"/>
      <c r="MLU22" s="5"/>
      <c r="MLV22" s="5"/>
      <c r="MLW22" s="5"/>
      <c r="MLX22" s="5"/>
      <c r="MLY22" s="5"/>
      <c r="MLZ22" s="5"/>
      <c r="MMA22" s="5"/>
      <c r="MMB22" s="5"/>
      <c r="MMC22" s="5"/>
      <c r="MMD22" s="5"/>
      <c r="MME22" s="5"/>
      <c r="MMF22" s="5"/>
      <c r="MMG22" s="5"/>
      <c r="MMH22" s="5"/>
      <c r="MMI22" s="5"/>
      <c r="MMJ22" s="5"/>
      <c r="MMK22" s="5"/>
      <c r="MML22" s="5"/>
      <c r="MMM22" s="5"/>
      <c r="MMN22" s="5"/>
      <c r="MMO22" s="5"/>
      <c r="MMP22" s="5"/>
      <c r="MMQ22" s="5"/>
      <c r="MMR22" s="5"/>
      <c r="MMS22" s="5"/>
      <c r="MMT22" s="5"/>
      <c r="MMU22" s="5"/>
      <c r="MMV22" s="5"/>
      <c r="MMW22" s="5"/>
      <c r="MMX22" s="5"/>
      <c r="MMY22" s="5"/>
      <c r="MMZ22" s="5"/>
      <c r="MNA22" s="5"/>
      <c r="MNB22" s="5"/>
      <c r="MNC22" s="5"/>
      <c r="MND22" s="5"/>
      <c r="MNE22" s="5"/>
      <c r="MNF22" s="5"/>
      <c r="MNG22" s="5"/>
      <c r="MNH22" s="5"/>
      <c r="MNI22" s="5"/>
      <c r="MNJ22" s="5"/>
      <c r="MNK22" s="5"/>
      <c r="MNL22" s="5"/>
      <c r="MNM22" s="5"/>
      <c r="MNN22" s="5"/>
      <c r="MNO22" s="5"/>
      <c r="MNP22" s="5"/>
      <c r="MNQ22" s="5"/>
      <c r="MNR22" s="5"/>
      <c r="MNS22" s="5"/>
      <c r="MNT22" s="5"/>
      <c r="MNU22" s="5"/>
      <c r="MNV22" s="5"/>
      <c r="MNW22" s="5"/>
      <c r="MNX22" s="5"/>
      <c r="MNY22" s="5"/>
      <c r="MNZ22" s="5"/>
      <c r="MOA22" s="5"/>
      <c r="MOB22" s="5"/>
      <c r="MOC22" s="5"/>
      <c r="MOD22" s="5"/>
      <c r="MOE22" s="5"/>
      <c r="MOF22" s="5"/>
      <c r="MOG22" s="5"/>
      <c r="MOH22" s="5"/>
      <c r="MOI22" s="5"/>
      <c r="MOJ22" s="5"/>
      <c r="MOK22" s="5"/>
      <c r="MOL22" s="5"/>
      <c r="MOM22" s="5"/>
      <c r="MON22" s="5"/>
      <c r="MOO22" s="5"/>
      <c r="MOP22" s="5"/>
      <c r="MOQ22" s="5"/>
      <c r="MOR22" s="5"/>
      <c r="MOS22" s="5"/>
      <c r="MOT22" s="5"/>
      <c r="MOU22" s="5"/>
      <c r="MOV22" s="5"/>
      <c r="MOW22" s="5"/>
      <c r="MOX22" s="5"/>
      <c r="MOY22" s="5"/>
      <c r="MOZ22" s="5"/>
      <c r="MPA22" s="5"/>
      <c r="MPB22" s="5"/>
      <c r="MPC22" s="5"/>
      <c r="MPD22" s="5"/>
      <c r="MPE22" s="5"/>
      <c r="MPF22" s="5"/>
      <c r="MPG22" s="5"/>
      <c r="MPH22" s="5"/>
      <c r="MPI22" s="5"/>
      <c r="MPJ22" s="5"/>
      <c r="MPK22" s="5"/>
      <c r="MPL22" s="5"/>
      <c r="MPM22" s="5"/>
      <c r="MPN22" s="5"/>
      <c r="MPO22" s="5"/>
      <c r="MPP22" s="5"/>
      <c r="MPQ22" s="5"/>
      <c r="MPR22" s="5"/>
      <c r="MPS22" s="5"/>
      <c r="MPT22" s="5"/>
      <c r="MPU22" s="5"/>
      <c r="MPV22" s="5"/>
      <c r="MPW22" s="5"/>
      <c r="MPX22" s="5"/>
      <c r="MPY22" s="5"/>
      <c r="MPZ22" s="5"/>
      <c r="MQA22" s="5"/>
      <c r="MQB22" s="5"/>
      <c r="MQC22" s="5"/>
      <c r="MQD22" s="5"/>
      <c r="MQE22" s="5"/>
      <c r="MQF22" s="5"/>
      <c r="MQG22" s="5"/>
      <c r="MQH22" s="5"/>
      <c r="MQI22" s="5"/>
      <c r="MQJ22" s="5"/>
      <c r="MQK22" s="5"/>
      <c r="MQL22" s="5"/>
      <c r="MQM22" s="5"/>
      <c r="MQN22" s="5"/>
      <c r="MQO22" s="5"/>
      <c r="MQP22" s="5"/>
      <c r="MQQ22" s="5"/>
      <c r="MQR22" s="5"/>
      <c r="MQS22" s="5"/>
      <c r="MQT22" s="5"/>
      <c r="MQU22" s="5"/>
      <c r="MQV22" s="5"/>
      <c r="MQW22" s="5"/>
      <c r="MQX22" s="5"/>
      <c r="MQY22" s="5"/>
      <c r="MQZ22" s="5"/>
      <c r="MRA22" s="5"/>
      <c r="MRB22" s="5"/>
      <c r="MRC22" s="5"/>
      <c r="MRD22" s="5"/>
      <c r="MRE22" s="5"/>
      <c r="MRF22" s="5"/>
      <c r="MRG22" s="5"/>
      <c r="MRH22" s="5"/>
      <c r="MRI22" s="5"/>
      <c r="MRJ22" s="5"/>
      <c r="MRK22" s="5"/>
      <c r="MRL22" s="5"/>
      <c r="MRM22" s="5"/>
      <c r="MRN22" s="5"/>
      <c r="MRO22" s="5"/>
      <c r="MRP22" s="5"/>
      <c r="MRQ22" s="5"/>
      <c r="MRR22" s="5"/>
      <c r="MRS22" s="5"/>
      <c r="MRT22" s="5"/>
      <c r="MRU22" s="5"/>
      <c r="MRV22" s="5"/>
      <c r="MRW22" s="5"/>
      <c r="MRX22" s="5"/>
      <c r="MRY22" s="5"/>
      <c r="MRZ22" s="5"/>
      <c r="MSA22" s="5"/>
      <c r="MSB22" s="5"/>
      <c r="MSC22" s="5"/>
      <c r="MSD22" s="5"/>
      <c r="MSE22" s="5"/>
      <c r="MSF22" s="5"/>
      <c r="MSG22" s="5"/>
      <c r="MSH22" s="5"/>
      <c r="MSI22" s="5"/>
      <c r="MSJ22" s="5"/>
      <c r="MSK22" s="5"/>
      <c r="MSL22" s="5"/>
      <c r="MSM22" s="5"/>
      <c r="MSN22" s="5"/>
      <c r="MSO22" s="5"/>
      <c r="MSP22" s="5"/>
      <c r="MSQ22" s="5"/>
      <c r="MSR22" s="5"/>
      <c r="MSS22" s="5"/>
      <c r="MST22" s="5"/>
      <c r="MSU22" s="5"/>
      <c r="MSV22" s="5"/>
      <c r="MSW22" s="5"/>
      <c r="MSX22" s="5"/>
      <c r="MSY22" s="5"/>
      <c r="MSZ22" s="5"/>
      <c r="MTA22" s="5"/>
      <c r="MTB22" s="5"/>
      <c r="MTC22" s="5"/>
      <c r="MTD22" s="5"/>
      <c r="MTE22" s="5"/>
      <c r="MTF22" s="5"/>
      <c r="MTG22" s="5"/>
      <c r="MTH22" s="5"/>
      <c r="MTI22" s="5"/>
      <c r="MTJ22" s="5"/>
      <c r="MTK22" s="5"/>
      <c r="MTL22" s="5"/>
      <c r="MTM22" s="5"/>
      <c r="MTN22" s="5"/>
      <c r="MTO22" s="5"/>
      <c r="MTP22" s="5"/>
      <c r="MTQ22" s="5"/>
      <c r="MTR22" s="5"/>
      <c r="MTS22" s="5"/>
      <c r="MTT22" s="5"/>
      <c r="MTU22" s="5"/>
      <c r="MTV22" s="5"/>
      <c r="MTW22" s="5"/>
      <c r="MTX22" s="5"/>
      <c r="MTY22" s="5"/>
      <c r="MTZ22" s="5"/>
      <c r="MUA22" s="5"/>
      <c r="MUB22" s="5"/>
      <c r="MUC22" s="5"/>
      <c r="MUD22" s="5"/>
      <c r="MUE22" s="5"/>
      <c r="MUF22" s="5"/>
      <c r="MUG22" s="5"/>
      <c r="MUH22" s="5"/>
      <c r="MUI22" s="5"/>
      <c r="MUJ22" s="5"/>
      <c r="MUK22" s="5"/>
      <c r="MUL22" s="5"/>
      <c r="MUM22" s="5"/>
      <c r="MUN22" s="5"/>
      <c r="MUO22" s="5"/>
      <c r="MUP22" s="5"/>
      <c r="MUQ22" s="5"/>
      <c r="MUR22" s="5"/>
      <c r="MUS22" s="5"/>
      <c r="MUT22" s="5"/>
      <c r="MUU22" s="5"/>
      <c r="MUV22" s="5"/>
      <c r="MUW22" s="5"/>
      <c r="MUX22" s="5"/>
      <c r="MUY22" s="5"/>
      <c r="MUZ22" s="5"/>
      <c r="MVA22" s="5"/>
      <c r="MVB22" s="5"/>
      <c r="MVC22" s="5"/>
      <c r="MVD22" s="5"/>
      <c r="MVE22" s="5"/>
      <c r="MVF22" s="5"/>
      <c r="MVG22" s="5"/>
      <c r="MVH22" s="5"/>
      <c r="MVI22" s="5"/>
      <c r="MVJ22" s="5"/>
      <c r="MVK22" s="5"/>
      <c r="MVL22" s="5"/>
      <c r="MVM22" s="5"/>
      <c r="MVN22" s="5"/>
      <c r="MVO22" s="5"/>
      <c r="MVP22" s="5"/>
      <c r="MVQ22" s="5"/>
      <c r="MVR22" s="5"/>
      <c r="MVS22" s="5"/>
      <c r="MVT22" s="5"/>
      <c r="MVU22" s="5"/>
      <c r="MVV22" s="5"/>
      <c r="MVW22" s="5"/>
      <c r="MVX22" s="5"/>
      <c r="MVY22" s="5"/>
      <c r="MVZ22" s="5"/>
      <c r="MWA22" s="5"/>
      <c r="MWB22" s="5"/>
      <c r="MWC22" s="5"/>
      <c r="MWD22" s="5"/>
      <c r="MWE22" s="5"/>
      <c r="MWF22" s="5"/>
      <c r="MWG22" s="5"/>
      <c r="MWH22" s="5"/>
      <c r="MWI22" s="5"/>
      <c r="MWJ22" s="5"/>
      <c r="MWK22" s="5"/>
      <c r="MWL22" s="5"/>
      <c r="MWM22" s="5"/>
      <c r="MWN22" s="5"/>
      <c r="MWO22" s="5"/>
      <c r="MWP22" s="5"/>
      <c r="MWQ22" s="5"/>
      <c r="MWR22" s="5"/>
      <c r="MWS22" s="5"/>
      <c r="MWT22" s="5"/>
      <c r="MWU22" s="5"/>
      <c r="MWV22" s="5"/>
      <c r="MWW22" s="5"/>
      <c r="MWX22" s="5"/>
      <c r="MWY22" s="5"/>
      <c r="MWZ22" s="5"/>
      <c r="MXA22" s="5"/>
      <c r="MXB22" s="5"/>
      <c r="MXC22" s="5"/>
      <c r="MXD22" s="5"/>
      <c r="MXE22" s="5"/>
      <c r="MXF22" s="5"/>
      <c r="MXG22" s="5"/>
      <c r="MXH22" s="5"/>
      <c r="MXI22" s="5"/>
      <c r="MXJ22" s="5"/>
      <c r="MXK22" s="5"/>
      <c r="MXL22" s="5"/>
      <c r="MXM22" s="5"/>
      <c r="MXN22" s="5"/>
      <c r="MXO22" s="5"/>
      <c r="MXP22" s="5"/>
      <c r="MXQ22" s="5"/>
      <c r="MXR22" s="5"/>
      <c r="MXS22" s="5"/>
      <c r="MXT22" s="5"/>
      <c r="MXU22" s="5"/>
      <c r="MXV22" s="5"/>
      <c r="MXW22" s="5"/>
      <c r="MXX22" s="5"/>
      <c r="MXY22" s="5"/>
      <c r="MXZ22" s="5"/>
      <c r="MYA22" s="5"/>
      <c r="MYB22" s="5"/>
      <c r="MYC22" s="5"/>
      <c r="MYD22" s="5"/>
      <c r="MYE22" s="5"/>
      <c r="MYF22" s="5"/>
      <c r="MYG22" s="5"/>
      <c r="MYH22" s="5"/>
      <c r="MYI22" s="5"/>
      <c r="MYJ22" s="5"/>
      <c r="MYK22" s="5"/>
      <c r="MYL22" s="5"/>
      <c r="MYM22" s="5"/>
      <c r="MYN22" s="5"/>
      <c r="MYO22" s="5"/>
      <c r="MYP22" s="5"/>
      <c r="MYQ22" s="5"/>
      <c r="MYR22" s="5"/>
      <c r="MYS22" s="5"/>
      <c r="MYT22" s="5"/>
      <c r="MYU22" s="5"/>
      <c r="MYV22" s="5"/>
      <c r="MYW22" s="5"/>
      <c r="MYX22" s="5"/>
      <c r="MYY22" s="5"/>
      <c r="MYZ22" s="5"/>
      <c r="MZA22" s="5"/>
      <c r="MZB22" s="5"/>
      <c r="MZC22" s="5"/>
      <c r="MZD22" s="5"/>
      <c r="MZE22" s="5"/>
      <c r="MZF22" s="5"/>
      <c r="MZG22" s="5"/>
      <c r="MZH22" s="5"/>
      <c r="MZI22" s="5"/>
      <c r="MZJ22" s="5"/>
      <c r="MZK22" s="5"/>
      <c r="MZL22" s="5"/>
      <c r="MZM22" s="5"/>
      <c r="MZN22" s="5"/>
      <c r="MZO22" s="5"/>
      <c r="MZP22" s="5"/>
      <c r="MZQ22" s="5"/>
      <c r="MZR22" s="5"/>
      <c r="MZS22" s="5"/>
      <c r="MZT22" s="5"/>
      <c r="MZU22" s="5"/>
      <c r="MZV22" s="5"/>
      <c r="MZW22" s="5"/>
      <c r="MZX22" s="5"/>
      <c r="MZY22" s="5"/>
      <c r="MZZ22" s="5"/>
      <c r="NAA22" s="5"/>
      <c r="NAB22" s="5"/>
      <c r="NAC22" s="5"/>
      <c r="NAD22" s="5"/>
      <c r="NAE22" s="5"/>
      <c r="NAF22" s="5"/>
      <c r="NAG22" s="5"/>
      <c r="NAH22" s="5"/>
      <c r="NAI22" s="5"/>
      <c r="NAJ22" s="5"/>
      <c r="NAK22" s="5"/>
      <c r="NAL22" s="5"/>
      <c r="NAM22" s="5"/>
      <c r="NAN22" s="5"/>
      <c r="NAO22" s="5"/>
      <c r="NAP22" s="5"/>
      <c r="NAQ22" s="5"/>
      <c r="NAR22" s="5"/>
      <c r="NAS22" s="5"/>
      <c r="NAT22" s="5"/>
      <c r="NAU22" s="5"/>
      <c r="NAV22" s="5"/>
      <c r="NAW22" s="5"/>
      <c r="NAX22" s="5"/>
      <c r="NAY22" s="5"/>
      <c r="NAZ22" s="5"/>
      <c r="NBA22" s="5"/>
      <c r="NBB22" s="5"/>
      <c r="NBC22" s="5"/>
      <c r="NBD22" s="5"/>
      <c r="NBE22" s="5"/>
      <c r="NBF22" s="5"/>
      <c r="NBG22" s="5"/>
      <c r="NBH22" s="5"/>
      <c r="NBI22" s="5"/>
      <c r="NBJ22" s="5"/>
      <c r="NBK22" s="5"/>
      <c r="NBL22" s="5"/>
      <c r="NBM22" s="5"/>
      <c r="NBN22" s="5"/>
      <c r="NBO22" s="5"/>
      <c r="NBP22" s="5"/>
      <c r="NBQ22" s="5"/>
      <c r="NBR22" s="5"/>
      <c r="NBS22" s="5"/>
      <c r="NBT22" s="5"/>
      <c r="NBU22" s="5"/>
      <c r="NBV22" s="5"/>
      <c r="NBW22" s="5"/>
      <c r="NBX22" s="5"/>
      <c r="NBY22" s="5"/>
      <c r="NBZ22" s="5"/>
      <c r="NCA22" s="5"/>
      <c r="NCB22" s="5"/>
      <c r="NCC22" s="5"/>
      <c r="NCD22" s="5"/>
      <c r="NCE22" s="5"/>
      <c r="NCF22" s="5"/>
      <c r="NCG22" s="5"/>
      <c r="NCH22" s="5"/>
      <c r="NCI22" s="5"/>
      <c r="NCJ22" s="5"/>
      <c r="NCK22" s="5"/>
      <c r="NCL22" s="5"/>
      <c r="NCM22" s="5"/>
      <c r="NCN22" s="5"/>
      <c r="NCO22" s="5"/>
      <c r="NCP22" s="5"/>
      <c r="NCQ22" s="5"/>
      <c r="NCR22" s="5"/>
      <c r="NCS22" s="5"/>
      <c r="NCT22" s="5"/>
      <c r="NCU22" s="5"/>
      <c r="NCV22" s="5"/>
      <c r="NCW22" s="5"/>
      <c r="NCX22" s="5"/>
      <c r="NCY22" s="5"/>
      <c r="NCZ22" s="5"/>
      <c r="NDA22" s="5"/>
      <c r="NDB22" s="5"/>
      <c r="NDC22" s="5"/>
      <c r="NDD22" s="5"/>
      <c r="NDE22" s="5"/>
      <c r="NDF22" s="5"/>
      <c r="NDG22" s="5"/>
      <c r="NDH22" s="5"/>
      <c r="NDI22" s="5"/>
      <c r="NDJ22" s="5"/>
      <c r="NDK22" s="5"/>
      <c r="NDL22" s="5"/>
      <c r="NDM22" s="5"/>
      <c r="NDN22" s="5"/>
      <c r="NDO22" s="5"/>
      <c r="NDP22" s="5"/>
      <c r="NDQ22" s="5"/>
      <c r="NDR22" s="5"/>
      <c r="NDS22" s="5"/>
      <c r="NDT22" s="5"/>
      <c r="NDU22" s="5"/>
      <c r="NDV22" s="5"/>
      <c r="NDW22" s="5"/>
      <c r="NDX22" s="5"/>
      <c r="NDY22" s="5"/>
      <c r="NDZ22" s="5"/>
      <c r="NEA22" s="5"/>
      <c r="NEB22" s="5"/>
      <c r="NEC22" s="5"/>
      <c r="NED22" s="5"/>
      <c r="NEE22" s="5"/>
      <c r="NEF22" s="5"/>
      <c r="NEG22" s="5"/>
      <c r="NEH22" s="5"/>
      <c r="NEI22" s="5"/>
      <c r="NEJ22" s="5"/>
      <c r="NEK22" s="5"/>
      <c r="NEL22" s="5"/>
      <c r="NEM22" s="5"/>
      <c r="NEN22" s="5"/>
      <c r="NEO22" s="5"/>
      <c r="NEP22" s="5"/>
      <c r="NEQ22" s="5"/>
      <c r="NER22" s="5"/>
      <c r="NES22" s="5"/>
      <c r="NET22" s="5"/>
      <c r="NEU22" s="5"/>
      <c r="NEV22" s="5"/>
      <c r="NEW22" s="5"/>
      <c r="NEX22" s="5"/>
      <c r="NEY22" s="5"/>
      <c r="NEZ22" s="5"/>
      <c r="NFA22" s="5"/>
      <c r="NFB22" s="5"/>
      <c r="NFC22" s="5"/>
      <c r="NFD22" s="5"/>
      <c r="NFE22" s="5"/>
      <c r="NFF22" s="5"/>
      <c r="NFG22" s="5"/>
      <c r="NFH22" s="5"/>
      <c r="NFI22" s="5"/>
      <c r="NFJ22" s="5"/>
      <c r="NFK22" s="5"/>
      <c r="NFL22" s="5"/>
      <c r="NFM22" s="5"/>
      <c r="NFN22" s="5"/>
      <c r="NFO22" s="5"/>
      <c r="NFP22" s="5"/>
      <c r="NFQ22" s="5"/>
      <c r="NFR22" s="5"/>
      <c r="NFS22" s="5"/>
      <c r="NFT22" s="5"/>
      <c r="NFU22" s="5"/>
      <c r="NFV22" s="5"/>
      <c r="NFW22" s="5"/>
      <c r="NFX22" s="5"/>
      <c r="NFY22" s="5"/>
      <c r="NFZ22" s="5"/>
      <c r="NGA22" s="5"/>
      <c r="NGB22" s="5"/>
      <c r="NGC22" s="5"/>
      <c r="NGD22" s="5"/>
      <c r="NGE22" s="5"/>
      <c r="NGF22" s="5"/>
      <c r="NGG22" s="5"/>
      <c r="NGH22" s="5"/>
      <c r="NGI22" s="5"/>
      <c r="NGJ22" s="5"/>
      <c r="NGK22" s="5"/>
      <c r="NGL22" s="5"/>
      <c r="NGM22" s="5"/>
      <c r="NGN22" s="5"/>
      <c r="NGO22" s="5"/>
      <c r="NGP22" s="5"/>
      <c r="NGQ22" s="5"/>
      <c r="NGR22" s="5"/>
      <c r="NGS22" s="5"/>
      <c r="NGT22" s="5"/>
      <c r="NGU22" s="5"/>
      <c r="NGV22" s="5"/>
      <c r="NGW22" s="5"/>
      <c r="NGX22" s="5"/>
      <c r="NGY22" s="5"/>
      <c r="NGZ22" s="5"/>
      <c r="NHA22" s="5"/>
      <c r="NHB22" s="5"/>
      <c r="NHC22" s="5"/>
      <c r="NHD22" s="5"/>
      <c r="NHE22" s="5"/>
      <c r="NHF22" s="5"/>
      <c r="NHG22" s="5"/>
      <c r="NHH22" s="5"/>
      <c r="NHI22" s="5"/>
      <c r="NHJ22" s="5"/>
      <c r="NHK22" s="5"/>
      <c r="NHL22" s="5"/>
      <c r="NHM22" s="5"/>
      <c r="NHN22" s="5"/>
      <c r="NHO22" s="5"/>
      <c r="NHP22" s="5"/>
      <c r="NHQ22" s="5"/>
      <c r="NHR22" s="5"/>
      <c r="NHS22" s="5"/>
      <c r="NHT22" s="5"/>
      <c r="NHU22" s="5"/>
      <c r="NHV22" s="5"/>
      <c r="NHW22" s="5"/>
      <c r="NHX22" s="5"/>
      <c r="NHY22" s="5"/>
      <c r="NHZ22" s="5"/>
      <c r="NIA22" s="5"/>
      <c r="NIB22" s="5"/>
      <c r="NIC22" s="5"/>
      <c r="NID22" s="5"/>
      <c r="NIE22" s="5"/>
      <c r="NIF22" s="5"/>
      <c r="NIG22" s="5"/>
      <c r="NIH22" s="5"/>
      <c r="NII22" s="5"/>
      <c r="NIJ22" s="5"/>
      <c r="NIK22" s="5"/>
      <c r="NIL22" s="5"/>
      <c r="NIM22" s="5"/>
      <c r="NIN22" s="5"/>
      <c r="NIO22" s="5"/>
      <c r="NIP22" s="5"/>
      <c r="NIQ22" s="5"/>
      <c r="NIR22" s="5"/>
      <c r="NIS22" s="5"/>
      <c r="NIT22" s="5"/>
      <c r="NIU22" s="5"/>
      <c r="NIV22" s="5"/>
      <c r="NIW22" s="5"/>
      <c r="NIX22" s="5"/>
      <c r="NIY22" s="5"/>
      <c r="NIZ22" s="5"/>
      <c r="NJA22" s="5"/>
      <c r="NJB22" s="5"/>
      <c r="NJC22" s="5"/>
      <c r="NJD22" s="5"/>
      <c r="NJE22" s="5"/>
      <c r="NJF22" s="5"/>
      <c r="NJG22" s="5"/>
      <c r="NJH22" s="5"/>
      <c r="NJI22" s="5"/>
      <c r="NJJ22" s="5"/>
      <c r="NJK22" s="5"/>
      <c r="NJL22" s="5"/>
      <c r="NJM22" s="5"/>
      <c r="NJN22" s="5"/>
      <c r="NJO22" s="5"/>
      <c r="NJP22" s="5"/>
      <c r="NJQ22" s="5"/>
      <c r="NJR22" s="5"/>
      <c r="NJS22" s="5"/>
      <c r="NJT22" s="5"/>
      <c r="NJU22" s="5"/>
      <c r="NJV22" s="5"/>
      <c r="NJW22" s="5"/>
      <c r="NJX22" s="5"/>
      <c r="NJY22" s="5"/>
      <c r="NJZ22" s="5"/>
      <c r="NKA22" s="5"/>
      <c r="NKB22" s="5"/>
      <c r="NKC22" s="5"/>
      <c r="NKD22" s="5"/>
      <c r="NKE22" s="5"/>
      <c r="NKF22" s="5"/>
      <c r="NKG22" s="5"/>
      <c r="NKH22" s="5"/>
      <c r="NKI22" s="5"/>
      <c r="NKJ22" s="5"/>
      <c r="NKK22" s="5"/>
      <c r="NKL22" s="5"/>
      <c r="NKM22" s="5"/>
      <c r="NKN22" s="5"/>
      <c r="NKO22" s="5"/>
      <c r="NKP22" s="5"/>
      <c r="NKQ22" s="5"/>
      <c r="NKR22" s="5"/>
      <c r="NKS22" s="5"/>
      <c r="NKT22" s="5"/>
      <c r="NKU22" s="5"/>
      <c r="NKV22" s="5"/>
      <c r="NKW22" s="5"/>
      <c r="NKX22" s="5"/>
      <c r="NKY22" s="5"/>
      <c r="NKZ22" s="5"/>
      <c r="NLA22" s="5"/>
      <c r="NLB22" s="5"/>
      <c r="NLC22" s="5"/>
      <c r="NLD22" s="5"/>
      <c r="NLE22" s="5"/>
      <c r="NLF22" s="5"/>
      <c r="NLG22" s="5"/>
      <c r="NLH22" s="5"/>
      <c r="NLI22" s="5"/>
      <c r="NLJ22" s="5"/>
      <c r="NLK22" s="5"/>
      <c r="NLL22" s="5"/>
      <c r="NLM22" s="5"/>
      <c r="NLN22" s="5"/>
      <c r="NLO22" s="5"/>
      <c r="NLP22" s="5"/>
      <c r="NLQ22" s="5"/>
      <c r="NLR22" s="5"/>
      <c r="NLS22" s="5"/>
      <c r="NLT22" s="5"/>
      <c r="NLU22" s="5"/>
      <c r="NLV22" s="5"/>
      <c r="NLW22" s="5"/>
      <c r="NLX22" s="5"/>
      <c r="NLY22" s="5"/>
      <c r="NLZ22" s="5"/>
      <c r="NMA22" s="5"/>
      <c r="NMB22" s="5"/>
      <c r="NMC22" s="5"/>
      <c r="NMD22" s="5"/>
      <c r="NME22" s="5"/>
      <c r="NMF22" s="5"/>
      <c r="NMG22" s="5"/>
      <c r="NMH22" s="5"/>
      <c r="NMI22" s="5"/>
      <c r="NMJ22" s="5"/>
      <c r="NMK22" s="5"/>
      <c r="NML22" s="5"/>
      <c r="NMM22" s="5"/>
      <c r="NMN22" s="5"/>
      <c r="NMO22" s="5"/>
      <c r="NMP22" s="5"/>
      <c r="NMQ22" s="5"/>
      <c r="NMR22" s="5"/>
      <c r="NMS22" s="5"/>
      <c r="NMT22" s="5"/>
      <c r="NMU22" s="5"/>
      <c r="NMV22" s="5"/>
      <c r="NMW22" s="5"/>
      <c r="NMX22" s="5"/>
      <c r="NMY22" s="5"/>
      <c r="NMZ22" s="5"/>
      <c r="NNA22" s="5"/>
      <c r="NNB22" s="5"/>
      <c r="NNC22" s="5"/>
      <c r="NND22" s="5"/>
      <c r="NNE22" s="5"/>
      <c r="NNF22" s="5"/>
      <c r="NNG22" s="5"/>
      <c r="NNH22" s="5"/>
      <c r="NNI22" s="5"/>
      <c r="NNJ22" s="5"/>
      <c r="NNK22" s="5"/>
      <c r="NNL22" s="5"/>
      <c r="NNM22" s="5"/>
      <c r="NNN22" s="5"/>
      <c r="NNO22" s="5"/>
      <c r="NNP22" s="5"/>
      <c r="NNQ22" s="5"/>
      <c r="NNR22" s="5"/>
      <c r="NNS22" s="5"/>
      <c r="NNT22" s="5"/>
      <c r="NNU22" s="5"/>
      <c r="NNV22" s="5"/>
      <c r="NNW22" s="5"/>
      <c r="NNX22" s="5"/>
      <c r="NNY22" s="5"/>
      <c r="NNZ22" s="5"/>
      <c r="NOA22" s="5"/>
      <c r="NOB22" s="5"/>
      <c r="NOC22" s="5"/>
      <c r="NOD22" s="5"/>
      <c r="NOE22" s="5"/>
      <c r="NOF22" s="5"/>
      <c r="NOG22" s="5"/>
      <c r="NOH22" s="5"/>
      <c r="NOI22" s="5"/>
      <c r="NOJ22" s="5"/>
      <c r="NOK22" s="5"/>
      <c r="NOL22" s="5"/>
      <c r="NOM22" s="5"/>
      <c r="NON22" s="5"/>
      <c r="NOO22" s="5"/>
      <c r="NOP22" s="5"/>
      <c r="NOQ22" s="5"/>
      <c r="NOR22" s="5"/>
      <c r="NOS22" s="5"/>
      <c r="NOT22" s="5"/>
      <c r="NOU22" s="5"/>
      <c r="NOV22" s="5"/>
      <c r="NOW22" s="5"/>
      <c r="NOX22" s="5"/>
      <c r="NOY22" s="5"/>
      <c r="NOZ22" s="5"/>
      <c r="NPA22" s="5"/>
      <c r="NPB22" s="5"/>
      <c r="NPC22" s="5"/>
      <c r="NPD22" s="5"/>
      <c r="NPE22" s="5"/>
      <c r="NPF22" s="5"/>
      <c r="NPG22" s="5"/>
      <c r="NPH22" s="5"/>
      <c r="NPI22" s="5"/>
      <c r="NPJ22" s="5"/>
      <c r="NPK22" s="5"/>
      <c r="NPL22" s="5"/>
      <c r="NPM22" s="5"/>
      <c r="NPN22" s="5"/>
      <c r="NPO22" s="5"/>
      <c r="NPP22" s="5"/>
      <c r="NPQ22" s="5"/>
      <c r="NPR22" s="5"/>
      <c r="NPS22" s="5"/>
      <c r="NPT22" s="5"/>
      <c r="NPU22" s="5"/>
      <c r="NPV22" s="5"/>
      <c r="NPW22" s="5"/>
      <c r="NPX22" s="5"/>
      <c r="NPY22" s="5"/>
      <c r="NPZ22" s="5"/>
      <c r="NQA22" s="5"/>
      <c r="NQB22" s="5"/>
      <c r="NQC22" s="5"/>
      <c r="NQD22" s="5"/>
      <c r="NQE22" s="5"/>
      <c r="NQF22" s="5"/>
      <c r="NQG22" s="5"/>
      <c r="NQH22" s="5"/>
      <c r="NQI22" s="5"/>
      <c r="NQJ22" s="5"/>
      <c r="NQK22" s="5"/>
      <c r="NQL22" s="5"/>
      <c r="NQM22" s="5"/>
      <c r="NQN22" s="5"/>
      <c r="NQO22" s="5"/>
      <c r="NQP22" s="5"/>
      <c r="NQQ22" s="5"/>
      <c r="NQR22" s="5"/>
      <c r="NQS22" s="5"/>
      <c r="NQT22" s="5"/>
      <c r="NQU22" s="5"/>
      <c r="NQV22" s="5"/>
      <c r="NQW22" s="5"/>
      <c r="NQX22" s="5"/>
      <c r="NQY22" s="5"/>
      <c r="NQZ22" s="5"/>
      <c r="NRA22" s="5"/>
      <c r="NRB22" s="5"/>
      <c r="NRC22" s="5"/>
      <c r="NRD22" s="5"/>
      <c r="NRE22" s="5"/>
      <c r="NRF22" s="5"/>
      <c r="NRG22" s="5"/>
      <c r="NRH22" s="5"/>
      <c r="NRI22" s="5"/>
      <c r="NRJ22" s="5"/>
      <c r="NRK22" s="5"/>
      <c r="NRL22" s="5"/>
      <c r="NRM22" s="5"/>
      <c r="NRN22" s="5"/>
      <c r="NRO22" s="5"/>
      <c r="NRP22" s="5"/>
      <c r="NRQ22" s="5"/>
      <c r="NRR22" s="5"/>
      <c r="NRS22" s="5"/>
      <c r="NRT22" s="5"/>
      <c r="NRU22" s="5"/>
      <c r="NRV22" s="5"/>
      <c r="NRW22" s="5"/>
      <c r="NRX22" s="5"/>
      <c r="NRY22" s="5"/>
      <c r="NRZ22" s="5"/>
      <c r="NSA22" s="5"/>
      <c r="NSB22" s="5"/>
      <c r="NSC22" s="5"/>
      <c r="NSD22" s="5"/>
      <c r="NSE22" s="5"/>
      <c r="NSF22" s="5"/>
      <c r="NSG22" s="5"/>
      <c r="NSH22" s="5"/>
      <c r="NSI22" s="5"/>
      <c r="NSJ22" s="5"/>
      <c r="NSK22" s="5"/>
      <c r="NSL22" s="5"/>
      <c r="NSM22" s="5"/>
      <c r="NSN22" s="5"/>
      <c r="NSO22" s="5"/>
      <c r="NSP22" s="5"/>
      <c r="NSQ22" s="5"/>
      <c r="NSR22" s="5"/>
      <c r="NSS22" s="5"/>
      <c r="NST22" s="5"/>
      <c r="NSU22" s="5"/>
      <c r="NSV22" s="5"/>
      <c r="NSW22" s="5"/>
      <c r="NSX22" s="5"/>
      <c r="NSY22" s="5"/>
      <c r="NSZ22" s="5"/>
      <c r="NTA22" s="5"/>
      <c r="NTB22" s="5"/>
      <c r="NTC22" s="5"/>
      <c r="NTD22" s="5"/>
      <c r="NTE22" s="5"/>
      <c r="NTF22" s="5"/>
      <c r="NTG22" s="5"/>
      <c r="NTH22" s="5"/>
      <c r="NTI22" s="5"/>
      <c r="NTJ22" s="5"/>
      <c r="NTK22" s="5"/>
      <c r="NTL22" s="5"/>
      <c r="NTM22" s="5"/>
      <c r="NTN22" s="5"/>
      <c r="NTO22" s="5"/>
      <c r="NTP22" s="5"/>
      <c r="NTQ22" s="5"/>
      <c r="NTR22" s="5"/>
      <c r="NTS22" s="5"/>
      <c r="NTT22" s="5"/>
      <c r="NTU22" s="5"/>
      <c r="NTV22" s="5"/>
      <c r="NTW22" s="5"/>
      <c r="NTX22" s="5"/>
      <c r="NTY22" s="5"/>
      <c r="NTZ22" s="5"/>
      <c r="NUA22" s="5"/>
      <c r="NUB22" s="5"/>
      <c r="NUC22" s="5"/>
      <c r="NUD22" s="5"/>
      <c r="NUE22" s="5"/>
      <c r="NUF22" s="5"/>
      <c r="NUG22" s="5"/>
      <c r="NUH22" s="5"/>
      <c r="NUI22" s="5"/>
      <c r="NUJ22" s="5"/>
      <c r="NUK22" s="5"/>
      <c r="NUL22" s="5"/>
      <c r="NUM22" s="5"/>
      <c r="NUN22" s="5"/>
      <c r="NUO22" s="5"/>
      <c r="NUP22" s="5"/>
      <c r="NUQ22" s="5"/>
      <c r="NUR22" s="5"/>
      <c r="NUS22" s="5"/>
      <c r="NUT22" s="5"/>
      <c r="NUU22" s="5"/>
      <c r="NUV22" s="5"/>
      <c r="NUW22" s="5"/>
      <c r="NUX22" s="5"/>
      <c r="NUY22" s="5"/>
      <c r="NUZ22" s="5"/>
      <c r="NVA22" s="5"/>
      <c r="NVB22" s="5"/>
      <c r="NVC22" s="5"/>
      <c r="NVD22" s="5"/>
      <c r="NVE22" s="5"/>
      <c r="NVF22" s="5"/>
      <c r="NVG22" s="5"/>
      <c r="NVH22" s="5"/>
      <c r="NVI22" s="5"/>
      <c r="NVJ22" s="5"/>
      <c r="NVK22" s="5"/>
      <c r="NVL22" s="5"/>
      <c r="NVM22" s="5"/>
      <c r="NVN22" s="5"/>
      <c r="NVO22" s="5"/>
      <c r="NVP22" s="5"/>
      <c r="NVQ22" s="5"/>
      <c r="NVR22" s="5"/>
      <c r="NVS22" s="5"/>
      <c r="NVT22" s="5"/>
      <c r="NVU22" s="5"/>
      <c r="NVV22" s="5"/>
      <c r="NVW22" s="5"/>
      <c r="NVX22" s="5"/>
      <c r="NVY22" s="5"/>
      <c r="NVZ22" s="5"/>
      <c r="NWA22" s="5"/>
      <c r="NWB22" s="5"/>
      <c r="NWC22" s="5"/>
      <c r="NWD22" s="5"/>
      <c r="NWE22" s="5"/>
      <c r="NWF22" s="5"/>
      <c r="NWG22" s="5"/>
      <c r="NWH22" s="5"/>
      <c r="NWI22" s="5"/>
      <c r="NWJ22" s="5"/>
      <c r="NWK22" s="5"/>
      <c r="NWL22" s="5"/>
      <c r="NWM22" s="5"/>
      <c r="NWN22" s="5"/>
      <c r="NWO22" s="5"/>
      <c r="NWP22" s="5"/>
      <c r="NWQ22" s="5"/>
      <c r="NWR22" s="5"/>
      <c r="NWS22" s="5"/>
      <c r="NWT22" s="5"/>
      <c r="NWU22" s="5"/>
      <c r="NWV22" s="5"/>
      <c r="NWW22" s="5"/>
      <c r="NWX22" s="5"/>
      <c r="NWY22" s="5"/>
      <c r="NWZ22" s="5"/>
      <c r="NXA22" s="5"/>
      <c r="NXB22" s="5"/>
      <c r="NXC22" s="5"/>
      <c r="NXD22" s="5"/>
      <c r="NXE22" s="5"/>
      <c r="NXF22" s="5"/>
      <c r="NXG22" s="5"/>
      <c r="NXH22" s="5"/>
      <c r="NXI22" s="5"/>
      <c r="NXJ22" s="5"/>
      <c r="NXK22" s="5"/>
      <c r="NXL22" s="5"/>
      <c r="NXM22" s="5"/>
      <c r="NXN22" s="5"/>
      <c r="NXO22" s="5"/>
      <c r="NXP22" s="5"/>
      <c r="NXQ22" s="5"/>
      <c r="NXR22" s="5"/>
      <c r="NXS22" s="5"/>
      <c r="NXT22" s="5"/>
      <c r="NXU22" s="5"/>
      <c r="NXV22" s="5"/>
      <c r="NXW22" s="5"/>
      <c r="NXX22" s="5"/>
      <c r="NXY22" s="5"/>
      <c r="NXZ22" s="5"/>
      <c r="NYA22" s="5"/>
      <c r="NYB22" s="5"/>
      <c r="NYC22" s="5"/>
      <c r="NYD22" s="5"/>
      <c r="NYE22" s="5"/>
      <c r="NYF22" s="5"/>
      <c r="NYG22" s="5"/>
      <c r="NYH22" s="5"/>
      <c r="NYI22" s="5"/>
      <c r="NYJ22" s="5"/>
      <c r="NYK22" s="5"/>
      <c r="NYL22" s="5"/>
      <c r="NYM22" s="5"/>
      <c r="NYN22" s="5"/>
      <c r="NYO22" s="5"/>
      <c r="NYP22" s="5"/>
      <c r="NYQ22" s="5"/>
      <c r="NYR22" s="5"/>
      <c r="NYS22" s="5"/>
      <c r="NYT22" s="5"/>
      <c r="NYU22" s="5"/>
      <c r="NYV22" s="5"/>
      <c r="NYW22" s="5"/>
      <c r="NYX22" s="5"/>
      <c r="NYY22" s="5"/>
      <c r="NYZ22" s="5"/>
      <c r="NZA22" s="5"/>
      <c r="NZB22" s="5"/>
      <c r="NZC22" s="5"/>
      <c r="NZD22" s="5"/>
      <c r="NZE22" s="5"/>
      <c r="NZF22" s="5"/>
      <c r="NZG22" s="5"/>
      <c r="NZH22" s="5"/>
      <c r="NZI22" s="5"/>
      <c r="NZJ22" s="5"/>
      <c r="NZK22" s="5"/>
      <c r="NZL22" s="5"/>
      <c r="NZM22" s="5"/>
      <c r="NZN22" s="5"/>
      <c r="NZO22" s="5"/>
      <c r="NZP22" s="5"/>
      <c r="NZQ22" s="5"/>
      <c r="NZR22" s="5"/>
      <c r="NZS22" s="5"/>
      <c r="NZT22" s="5"/>
      <c r="NZU22" s="5"/>
      <c r="NZV22" s="5"/>
      <c r="NZW22" s="5"/>
      <c r="NZX22" s="5"/>
      <c r="NZY22" s="5"/>
      <c r="NZZ22" s="5"/>
      <c r="OAA22" s="5"/>
      <c r="OAB22" s="5"/>
      <c r="OAC22" s="5"/>
      <c r="OAD22" s="5"/>
      <c r="OAE22" s="5"/>
      <c r="OAF22" s="5"/>
      <c r="OAG22" s="5"/>
      <c r="OAH22" s="5"/>
      <c r="OAI22" s="5"/>
      <c r="OAJ22" s="5"/>
      <c r="OAK22" s="5"/>
      <c r="OAL22" s="5"/>
      <c r="OAM22" s="5"/>
      <c r="OAN22" s="5"/>
      <c r="OAO22" s="5"/>
      <c r="OAP22" s="5"/>
      <c r="OAQ22" s="5"/>
      <c r="OAR22" s="5"/>
      <c r="OAS22" s="5"/>
      <c r="OAT22" s="5"/>
      <c r="OAU22" s="5"/>
      <c r="OAV22" s="5"/>
      <c r="OAW22" s="5"/>
      <c r="OAX22" s="5"/>
      <c r="OAY22" s="5"/>
      <c r="OAZ22" s="5"/>
      <c r="OBA22" s="5"/>
      <c r="OBB22" s="5"/>
      <c r="OBC22" s="5"/>
      <c r="OBD22" s="5"/>
      <c r="OBE22" s="5"/>
      <c r="OBF22" s="5"/>
      <c r="OBG22" s="5"/>
      <c r="OBH22" s="5"/>
      <c r="OBI22" s="5"/>
      <c r="OBJ22" s="5"/>
      <c r="OBK22" s="5"/>
      <c r="OBL22" s="5"/>
      <c r="OBM22" s="5"/>
      <c r="OBN22" s="5"/>
      <c r="OBO22" s="5"/>
      <c r="OBP22" s="5"/>
      <c r="OBQ22" s="5"/>
      <c r="OBR22" s="5"/>
      <c r="OBS22" s="5"/>
      <c r="OBT22" s="5"/>
      <c r="OBU22" s="5"/>
      <c r="OBV22" s="5"/>
      <c r="OBW22" s="5"/>
      <c r="OBX22" s="5"/>
      <c r="OBY22" s="5"/>
      <c r="OBZ22" s="5"/>
      <c r="OCA22" s="5"/>
      <c r="OCB22" s="5"/>
      <c r="OCC22" s="5"/>
      <c r="OCD22" s="5"/>
      <c r="OCE22" s="5"/>
      <c r="OCF22" s="5"/>
      <c r="OCG22" s="5"/>
      <c r="OCH22" s="5"/>
      <c r="OCI22" s="5"/>
      <c r="OCJ22" s="5"/>
      <c r="OCK22" s="5"/>
      <c r="OCL22" s="5"/>
      <c r="OCM22" s="5"/>
      <c r="OCN22" s="5"/>
      <c r="OCO22" s="5"/>
      <c r="OCP22" s="5"/>
      <c r="OCQ22" s="5"/>
      <c r="OCR22" s="5"/>
      <c r="OCS22" s="5"/>
      <c r="OCT22" s="5"/>
      <c r="OCU22" s="5"/>
      <c r="OCV22" s="5"/>
      <c r="OCW22" s="5"/>
      <c r="OCX22" s="5"/>
      <c r="OCY22" s="5"/>
      <c r="OCZ22" s="5"/>
      <c r="ODA22" s="5"/>
      <c r="ODB22" s="5"/>
      <c r="ODC22" s="5"/>
      <c r="ODD22" s="5"/>
      <c r="ODE22" s="5"/>
      <c r="ODF22" s="5"/>
      <c r="ODG22" s="5"/>
      <c r="ODH22" s="5"/>
      <c r="ODI22" s="5"/>
      <c r="ODJ22" s="5"/>
      <c r="ODK22" s="5"/>
      <c r="ODL22" s="5"/>
      <c r="ODM22" s="5"/>
      <c r="ODN22" s="5"/>
      <c r="ODO22" s="5"/>
      <c r="ODP22" s="5"/>
      <c r="ODQ22" s="5"/>
      <c r="ODR22" s="5"/>
      <c r="ODS22" s="5"/>
      <c r="ODT22" s="5"/>
      <c r="ODU22" s="5"/>
      <c r="ODV22" s="5"/>
      <c r="ODW22" s="5"/>
      <c r="ODX22" s="5"/>
      <c r="ODY22" s="5"/>
      <c r="ODZ22" s="5"/>
      <c r="OEA22" s="5"/>
      <c r="OEB22" s="5"/>
      <c r="OEC22" s="5"/>
      <c r="OED22" s="5"/>
      <c r="OEE22" s="5"/>
      <c r="OEF22" s="5"/>
      <c r="OEG22" s="5"/>
      <c r="OEH22" s="5"/>
      <c r="OEI22" s="5"/>
      <c r="OEJ22" s="5"/>
      <c r="OEK22" s="5"/>
      <c r="OEL22" s="5"/>
      <c r="OEM22" s="5"/>
      <c r="OEN22" s="5"/>
      <c r="OEO22" s="5"/>
      <c r="OEP22" s="5"/>
      <c r="OEQ22" s="5"/>
      <c r="OER22" s="5"/>
      <c r="OES22" s="5"/>
      <c r="OET22" s="5"/>
      <c r="OEU22" s="5"/>
      <c r="OEV22" s="5"/>
      <c r="OEW22" s="5"/>
      <c r="OEX22" s="5"/>
      <c r="OEY22" s="5"/>
      <c r="OEZ22" s="5"/>
      <c r="OFA22" s="5"/>
      <c r="OFB22" s="5"/>
      <c r="OFC22" s="5"/>
      <c r="OFD22" s="5"/>
      <c r="OFE22" s="5"/>
      <c r="OFF22" s="5"/>
      <c r="OFG22" s="5"/>
      <c r="OFH22" s="5"/>
      <c r="OFI22" s="5"/>
      <c r="OFJ22" s="5"/>
      <c r="OFK22" s="5"/>
      <c r="OFL22" s="5"/>
      <c r="OFM22" s="5"/>
      <c r="OFN22" s="5"/>
      <c r="OFO22" s="5"/>
      <c r="OFP22" s="5"/>
      <c r="OFQ22" s="5"/>
      <c r="OFR22" s="5"/>
      <c r="OFS22" s="5"/>
      <c r="OFT22" s="5"/>
      <c r="OFU22" s="5"/>
      <c r="OFV22" s="5"/>
      <c r="OFW22" s="5"/>
      <c r="OFX22" s="5"/>
      <c r="OFY22" s="5"/>
      <c r="OFZ22" s="5"/>
      <c r="OGA22" s="5"/>
      <c r="OGB22" s="5"/>
      <c r="OGC22" s="5"/>
      <c r="OGD22" s="5"/>
      <c r="OGE22" s="5"/>
      <c r="OGF22" s="5"/>
      <c r="OGG22" s="5"/>
      <c r="OGH22" s="5"/>
      <c r="OGI22" s="5"/>
      <c r="OGJ22" s="5"/>
      <c r="OGK22" s="5"/>
      <c r="OGL22" s="5"/>
      <c r="OGM22" s="5"/>
      <c r="OGN22" s="5"/>
      <c r="OGO22" s="5"/>
      <c r="OGP22" s="5"/>
      <c r="OGQ22" s="5"/>
      <c r="OGR22" s="5"/>
      <c r="OGS22" s="5"/>
      <c r="OGT22" s="5"/>
      <c r="OGU22" s="5"/>
      <c r="OGV22" s="5"/>
      <c r="OGW22" s="5"/>
      <c r="OGX22" s="5"/>
      <c r="OGY22" s="5"/>
      <c r="OGZ22" s="5"/>
      <c r="OHA22" s="5"/>
      <c r="OHB22" s="5"/>
      <c r="OHC22" s="5"/>
      <c r="OHD22" s="5"/>
      <c r="OHE22" s="5"/>
      <c r="OHF22" s="5"/>
      <c r="OHG22" s="5"/>
      <c r="OHH22" s="5"/>
      <c r="OHI22" s="5"/>
      <c r="OHJ22" s="5"/>
      <c r="OHK22" s="5"/>
      <c r="OHL22" s="5"/>
      <c r="OHM22" s="5"/>
      <c r="OHN22" s="5"/>
      <c r="OHO22" s="5"/>
      <c r="OHP22" s="5"/>
      <c r="OHQ22" s="5"/>
      <c r="OHR22" s="5"/>
      <c r="OHS22" s="5"/>
      <c r="OHT22" s="5"/>
      <c r="OHU22" s="5"/>
      <c r="OHV22" s="5"/>
      <c r="OHW22" s="5"/>
      <c r="OHX22" s="5"/>
      <c r="OHY22" s="5"/>
      <c r="OHZ22" s="5"/>
      <c r="OIA22" s="5"/>
      <c r="OIB22" s="5"/>
      <c r="OIC22" s="5"/>
      <c r="OID22" s="5"/>
      <c r="OIE22" s="5"/>
      <c r="OIF22" s="5"/>
      <c r="OIG22" s="5"/>
      <c r="OIH22" s="5"/>
      <c r="OII22" s="5"/>
      <c r="OIJ22" s="5"/>
      <c r="OIK22" s="5"/>
      <c r="OIL22" s="5"/>
      <c r="OIM22" s="5"/>
      <c r="OIN22" s="5"/>
      <c r="OIO22" s="5"/>
      <c r="OIP22" s="5"/>
      <c r="OIQ22" s="5"/>
      <c r="OIR22" s="5"/>
      <c r="OIS22" s="5"/>
      <c r="OIT22" s="5"/>
      <c r="OIU22" s="5"/>
      <c r="OIV22" s="5"/>
      <c r="OIW22" s="5"/>
      <c r="OIX22" s="5"/>
      <c r="OIY22" s="5"/>
      <c r="OIZ22" s="5"/>
      <c r="OJA22" s="5"/>
      <c r="OJB22" s="5"/>
      <c r="OJC22" s="5"/>
      <c r="OJD22" s="5"/>
      <c r="OJE22" s="5"/>
      <c r="OJF22" s="5"/>
      <c r="OJG22" s="5"/>
      <c r="OJH22" s="5"/>
      <c r="OJI22" s="5"/>
      <c r="OJJ22" s="5"/>
      <c r="OJK22" s="5"/>
      <c r="OJL22" s="5"/>
      <c r="OJM22" s="5"/>
      <c r="OJN22" s="5"/>
      <c r="OJO22" s="5"/>
      <c r="OJP22" s="5"/>
      <c r="OJQ22" s="5"/>
      <c r="OJR22" s="5"/>
      <c r="OJS22" s="5"/>
      <c r="OJT22" s="5"/>
      <c r="OJU22" s="5"/>
      <c r="OJV22" s="5"/>
      <c r="OJW22" s="5"/>
      <c r="OJX22" s="5"/>
      <c r="OJY22" s="5"/>
      <c r="OJZ22" s="5"/>
      <c r="OKA22" s="5"/>
      <c r="OKB22" s="5"/>
      <c r="OKC22" s="5"/>
      <c r="OKD22" s="5"/>
      <c r="OKE22" s="5"/>
      <c r="OKF22" s="5"/>
      <c r="OKG22" s="5"/>
      <c r="OKH22" s="5"/>
      <c r="OKI22" s="5"/>
      <c r="OKJ22" s="5"/>
      <c r="OKK22" s="5"/>
      <c r="OKL22" s="5"/>
      <c r="OKM22" s="5"/>
      <c r="OKN22" s="5"/>
      <c r="OKO22" s="5"/>
      <c r="OKP22" s="5"/>
      <c r="OKQ22" s="5"/>
      <c r="OKR22" s="5"/>
      <c r="OKS22" s="5"/>
      <c r="OKT22" s="5"/>
      <c r="OKU22" s="5"/>
      <c r="OKV22" s="5"/>
      <c r="OKW22" s="5"/>
      <c r="OKX22" s="5"/>
      <c r="OKY22" s="5"/>
      <c r="OKZ22" s="5"/>
      <c r="OLA22" s="5"/>
      <c r="OLB22" s="5"/>
      <c r="OLC22" s="5"/>
      <c r="OLD22" s="5"/>
      <c r="OLE22" s="5"/>
      <c r="OLF22" s="5"/>
      <c r="OLG22" s="5"/>
      <c r="OLH22" s="5"/>
      <c r="OLI22" s="5"/>
      <c r="OLJ22" s="5"/>
      <c r="OLK22" s="5"/>
      <c r="OLL22" s="5"/>
      <c r="OLM22" s="5"/>
      <c r="OLN22" s="5"/>
      <c r="OLO22" s="5"/>
      <c r="OLP22" s="5"/>
      <c r="OLQ22" s="5"/>
      <c r="OLR22" s="5"/>
      <c r="OLS22" s="5"/>
      <c r="OLT22" s="5"/>
      <c r="OLU22" s="5"/>
      <c r="OLV22" s="5"/>
      <c r="OLW22" s="5"/>
      <c r="OLX22" s="5"/>
      <c r="OLY22" s="5"/>
      <c r="OLZ22" s="5"/>
      <c r="OMA22" s="5"/>
      <c r="OMB22" s="5"/>
      <c r="OMC22" s="5"/>
      <c r="OMD22" s="5"/>
      <c r="OME22" s="5"/>
      <c r="OMF22" s="5"/>
      <c r="OMG22" s="5"/>
      <c r="OMH22" s="5"/>
      <c r="OMI22" s="5"/>
      <c r="OMJ22" s="5"/>
      <c r="OMK22" s="5"/>
      <c r="OML22" s="5"/>
      <c r="OMM22" s="5"/>
      <c r="OMN22" s="5"/>
      <c r="OMO22" s="5"/>
      <c r="OMP22" s="5"/>
      <c r="OMQ22" s="5"/>
      <c r="OMR22" s="5"/>
      <c r="OMS22" s="5"/>
      <c r="OMT22" s="5"/>
      <c r="OMU22" s="5"/>
      <c r="OMV22" s="5"/>
      <c r="OMW22" s="5"/>
      <c r="OMX22" s="5"/>
      <c r="OMY22" s="5"/>
      <c r="OMZ22" s="5"/>
      <c r="ONA22" s="5"/>
      <c r="ONB22" s="5"/>
      <c r="ONC22" s="5"/>
      <c r="OND22" s="5"/>
      <c r="ONE22" s="5"/>
      <c r="ONF22" s="5"/>
      <c r="ONG22" s="5"/>
      <c r="ONH22" s="5"/>
      <c r="ONI22" s="5"/>
      <c r="ONJ22" s="5"/>
      <c r="ONK22" s="5"/>
      <c r="ONL22" s="5"/>
      <c r="ONM22" s="5"/>
      <c r="ONN22" s="5"/>
      <c r="ONO22" s="5"/>
      <c r="ONP22" s="5"/>
      <c r="ONQ22" s="5"/>
      <c r="ONR22" s="5"/>
      <c r="ONS22" s="5"/>
      <c r="ONT22" s="5"/>
      <c r="ONU22" s="5"/>
      <c r="ONV22" s="5"/>
      <c r="ONW22" s="5"/>
      <c r="ONX22" s="5"/>
      <c r="ONY22" s="5"/>
      <c r="ONZ22" s="5"/>
      <c r="OOA22" s="5"/>
      <c r="OOB22" s="5"/>
      <c r="OOC22" s="5"/>
      <c r="OOD22" s="5"/>
      <c r="OOE22" s="5"/>
      <c r="OOF22" s="5"/>
      <c r="OOG22" s="5"/>
      <c r="OOH22" s="5"/>
      <c r="OOI22" s="5"/>
      <c r="OOJ22" s="5"/>
      <c r="OOK22" s="5"/>
      <c r="OOL22" s="5"/>
      <c r="OOM22" s="5"/>
      <c r="OON22" s="5"/>
      <c r="OOO22" s="5"/>
      <c r="OOP22" s="5"/>
      <c r="OOQ22" s="5"/>
      <c r="OOR22" s="5"/>
      <c r="OOS22" s="5"/>
      <c r="OOT22" s="5"/>
      <c r="OOU22" s="5"/>
      <c r="OOV22" s="5"/>
      <c r="OOW22" s="5"/>
      <c r="OOX22" s="5"/>
      <c r="OOY22" s="5"/>
      <c r="OOZ22" s="5"/>
      <c r="OPA22" s="5"/>
      <c r="OPB22" s="5"/>
      <c r="OPC22" s="5"/>
      <c r="OPD22" s="5"/>
      <c r="OPE22" s="5"/>
      <c r="OPF22" s="5"/>
      <c r="OPG22" s="5"/>
      <c r="OPH22" s="5"/>
      <c r="OPI22" s="5"/>
      <c r="OPJ22" s="5"/>
      <c r="OPK22" s="5"/>
      <c r="OPL22" s="5"/>
      <c r="OPM22" s="5"/>
      <c r="OPN22" s="5"/>
      <c r="OPO22" s="5"/>
      <c r="OPP22" s="5"/>
      <c r="OPQ22" s="5"/>
      <c r="OPR22" s="5"/>
      <c r="OPS22" s="5"/>
      <c r="OPT22" s="5"/>
      <c r="OPU22" s="5"/>
      <c r="OPV22" s="5"/>
      <c r="OPW22" s="5"/>
      <c r="OPX22" s="5"/>
      <c r="OPY22" s="5"/>
      <c r="OPZ22" s="5"/>
      <c r="OQA22" s="5"/>
      <c r="OQB22" s="5"/>
      <c r="OQC22" s="5"/>
      <c r="OQD22" s="5"/>
      <c r="OQE22" s="5"/>
      <c r="OQF22" s="5"/>
      <c r="OQG22" s="5"/>
      <c r="OQH22" s="5"/>
      <c r="OQI22" s="5"/>
      <c r="OQJ22" s="5"/>
      <c r="OQK22" s="5"/>
      <c r="OQL22" s="5"/>
      <c r="OQM22" s="5"/>
      <c r="OQN22" s="5"/>
      <c r="OQO22" s="5"/>
      <c r="OQP22" s="5"/>
      <c r="OQQ22" s="5"/>
      <c r="OQR22" s="5"/>
      <c r="OQS22" s="5"/>
      <c r="OQT22" s="5"/>
      <c r="OQU22" s="5"/>
      <c r="OQV22" s="5"/>
      <c r="OQW22" s="5"/>
      <c r="OQX22" s="5"/>
      <c r="OQY22" s="5"/>
      <c r="OQZ22" s="5"/>
      <c r="ORA22" s="5"/>
      <c r="ORB22" s="5"/>
      <c r="ORC22" s="5"/>
      <c r="ORD22" s="5"/>
      <c r="ORE22" s="5"/>
      <c r="ORF22" s="5"/>
      <c r="ORG22" s="5"/>
      <c r="ORH22" s="5"/>
      <c r="ORI22" s="5"/>
      <c r="ORJ22" s="5"/>
      <c r="ORK22" s="5"/>
      <c r="ORL22" s="5"/>
      <c r="ORM22" s="5"/>
      <c r="ORN22" s="5"/>
      <c r="ORO22" s="5"/>
      <c r="ORP22" s="5"/>
      <c r="ORQ22" s="5"/>
      <c r="ORR22" s="5"/>
      <c r="ORS22" s="5"/>
      <c r="ORT22" s="5"/>
      <c r="ORU22" s="5"/>
      <c r="ORV22" s="5"/>
      <c r="ORW22" s="5"/>
      <c r="ORX22" s="5"/>
      <c r="ORY22" s="5"/>
      <c r="ORZ22" s="5"/>
      <c r="OSA22" s="5"/>
      <c r="OSB22" s="5"/>
      <c r="OSC22" s="5"/>
      <c r="OSD22" s="5"/>
      <c r="OSE22" s="5"/>
      <c r="OSF22" s="5"/>
      <c r="OSG22" s="5"/>
      <c r="OSH22" s="5"/>
      <c r="OSI22" s="5"/>
      <c r="OSJ22" s="5"/>
      <c r="OSK22" s="5"/>
      <c r="OSL22" s="5"/>
      <c r="OSM22" s="5"/>
      <c r="OSN22" s="5"/>
      <c r="OSO22" s="5"/>
      <c r="OSP22" s="5"/>
      <c r="OSQ22" s="5"/>
      <c r="OSR22" s="5"/>
      <c r="OSS22" s="5"/>
      <c r="OST22" s="5"/>
      <c r="OSU22" s="5"/>
      <c r="OSV22" s="5"/>
      <c r="OSW22" s="5"/>
      <c r="OSX22" s="5"/>
      <c r="OSY22" s="5"/>
      <c r="OSZ22" s="5"/>
      <c r="OTA22" s="5"/>
      <c r="OTB22" s="5"/>
      <c r="OTC22" s="5"/>
      <c r="OTD22" s="5"/>
      <c r="OTE22" s="5"/>
      <c r="OTF22" s="5"/>
      <c r="OTG22" s="5"/>
      <c r="OTH22" s="5"/>
      <c r="OTI22" s="5"/>
      <c r="OTJ22" s="5"/>
      <c r="OTK22" s="5"/>
      <c r="OTL22" s="5"/>
      <c r="OTM22" s="5"/>
      <c r="OTN22" s="5"/>
      <c r="OTO22" s="5"/>
      <c r="OTP22" s="5"/>
      <c r="OTQ22" s="5"/>
      <c r="OTR22" s="5"/>
      <c r="OTS22" s="5"/>
      <c r="OTT22" s="5"/>
      <c r="OTU22" s="5"/>
      <c r="OTV22" s="5"/>
      <c r="OTW22" s="5"/>
      <c r="OTX22" s="5"/>
      <c r="OTY22" s="5"/>
      <c r="OTZ22" s="5"/>
      <c r="OUA22" s="5"/>
      <c r="OUB22" s="5"/>
      <c r="OUC22" s="5"/>
      <c r="OUD22" s="5"/>
      <c r="OUE22" s="5"/>
      <c r="OUF22" s="5"/>
      <c r="OUG22" s="5"/>
      <c r="OUH22" s="5"/>
      <c r="OUI22" s="5"/>
      <c r="OUJ22" s="5"/>
      <c r="OUK22" s="5"/>
      <c r="OUL22" s="5"/>
      <c r="OUM22" s="5"/>
      <c r="OUN22" s="5"/>
      <c r="OUO22" s="5"/>
      <c r="OUP22" s="5"/>
      <c r="OUQ22" s="5"/>
      <c r="OUR22" s="5"/>
      <c r="OUS22" s="5"/>
      <c r="OUT22" s="5"/>
      <c r="OUU22" s="5"/>
      <c r="OUV22" s="5"/>
      <c r="OUW22" s="5"/>
      <c r="OUX22" s="5"/>
      <c r="OUY22" s="5"/>
      <c r="OUZ22" s="5"/>
      <c r="OVA22" s="5"/>
      <c r="OVB22" s="5"/>
      <c r="OVC22" s="5"/>
      <c r="OVD22" s="5"/>
      <c r="OVE22" s="5"/>
      <c r="OVF22" s="5"/>
      <c r="OVG22" s="5"/>
      <c r="OVH22" s="5"/>
      <c r="OVI22" s="5"/>
      <c r="OVJ22" s="5"/>
      <c r="OVK22" s="5"/>
      <c r="OVL22" s="5"/>
      <c r="OVM22" s="5"/>
      <c r="OVN22" s="5"/>
      <c r="OVO22" s="5"/>
      <c r="OVP22" s="5"/>
      <c r="OVQ22" s="5"/>
      <c r="OVR22" s="5"/>
      <c r="OVS22" s="5"/>
      <c r="OVT22" s="5"/>
      <c r="OVU22" s="5"/>
      <c r="OVV22" s="5"/>
      <c r="OVW22" s="5"/>
      <c r="OVX22" s="5"/>
      <c r="OVY22" s="5"/>
      <c r="OVZ22" s="5"/>
      <c r="OWA22" s="5"/>
      <c r="OWB22" s="5"/>
      <c r="OWC22" s="5"/>
      <c r="OWD22" s="5"/>
      <c r="OWE22" s="5"/>
      <c r="OWF22" s="5"/>
      <c r="OWG22" s="5"/>
      <c r="OWH22" s="5"/>
      <c r="OWI22" s="5"/>
      <c r="OWJ22" s="5"/>
      <c r="OWK22" s="5"/>
      <c r="OWL22" s="5"/>
      <c r="OWM22" s="5"/>
      <c r="OWN22" s="5"/>
      <c r="OWO22" s="5"/>
      <c r="OWP22" s="5"/>
      <c r="OWQ22" s="5"/>
      <c r="OWR22" s="5"/>
      <c r="OWS22" s="5"/>
      <c r="OWT22" s="5"/>
      <c r="OWU22" s="5"/>
      <c r="OWV22" s="5"/>
      <c r="OWW22" s="5"/>
      <c r="OWX22" s="5"/>
      <c r="OWY22" s="5"/>
      <c r="OWZ22" s="5"/>
      <c r="OXA22" s="5"/>
      <c r="OXB22" s="5"/>
      <c r="OXC22" s="5"/>
      <c r="OXD22" s="5"/>
      <c r="OXE22" s="5"/>
      <c r="OXF22" s="5"/>
      <c r="OXG22" s="5"/>
      <c r="OXH22" s="5"/>
      <c r="OXI22" s="5"/>
      <c r="OXJ22" s="5"/>
      <c r="OXK22" s="5"/>
      <c r="OXL22" s="5"/>
      <c r="OXM22" s="5"/>
      <c r="OXN22" s="5"/>
      <c r="OXO22" s="5"/>
      <c r="OXP22" s="5"/>
      <c r="OXQ22" s="5"/>
      <c r="OXR22" s="5"/>
      <c r="OXS22" s="5"/>
      <c r="OXT22" s="5"/>
      <c r="OXU22" s="5"/>
      <c r="OXV22" s="5"/>
      <c r="OXW22" s="5"/>
      <c r="OXX22" s="5"/>
      <c r="OXY22" s="5"/>
      <c r="OXZ22" s="5"/>
      <c r="OYA22" s="5"/>
      <c r="OYB22" s="5"/>
      <c r="OYC22" s="5"/>
      <c r="OYD22" s="5"/>
      <c r="OYE22" s="5"/>
      <c r="OYF22" s="5"/>
      <c r="OYG22" s="5"/>
      <c r="OYH22" s="5"/>
      <c r="OYI22" s="5"/>
      <c r="OYJ22" s="5"/>
      <c r="OYK22" s="5"/>
      <c r="OYL22" s="5"/>
      <c r="OYM22" s="5"/>
      <c r="OYN22" s="5"/>
      <c r="OYO22" s="5"/>
      <c r="OYP22" s="5"/>
      <c r="OYQ22" s="5"/>
      <c r="OYR22" s="5"/>
      <c r="OYS22" s="5"/>
      <c r="OYT22" s="5"/>
      <c r="OYU22" s="5"/>
      <c r="OYV22" s="5"/>
      <c r="OYW22" s="5"/>
      <c r="OYX22" s="5"/>
      <c r="OYY22" s="5"/>
      <c r="OYZ22" s="5"/>
      <c r="OZA22" s="5"/>
      <c r="OZB22" s="5"/>
      <c r="OZC22" s="5"/>
      <c r="OZD22" s="5"/>
      <c r="OZE22" s="5"/>
      <c r="OZF22" s="5"/>
      <c r="OZG22" s="5"/>
      <c r="OZH22" s="5"/>
      <c r="OZI22" s="5"/>
      <c r="OZJ22" s="5"/>
      <c r="OZK22" s="5"/>
      <c r="OZL22" s="5"/>
      <c r="OZM22" s="5"/>
      <c r="OZN22" s="5"/>
      <c r="OZO22" s="5"/>
      <c r="OZP22" s="5"/>
      <c r="OZQ22" s="5"/>
      <c r="OZR22" s="5"/>
      <c r="OZS22" s="5"/>
      <c r="OZT22" s="5"/>
      <c r="OZU22" s="5"/>
      <c r="OZV22" s="5"/>
      <c r="OZW22" s="5"/>
      <c r="OZX22" s="5"/>
      <c r="OZY22" s="5"/>
      <c r="OZZ22" s="5"/>
      <c r="PAA22" s="5"/>
      <c r="PAB22" s="5"/>
      <c r="PAC22" s="5"/>
      <c r="PAD22" s="5"/>
      <c r="PAE22" s="5"/>
      <c r="PAF22" s="5"/>
      <c r="PAG22" s="5"/>
      <c r="PAH22" s="5"/>
      <c r="PAI22" s="5"/>
      <c r="PAJ22" s="5"/>
      <c r="PAK22" s="5"/>
      <c r="PAL22" s="5"/>
      <c r="PAM22" s="5"/>
      <c r="PAN22" s="5"/>
      <c r="PAO22" s="5"/>
      <c r="PAP22" s="5"/>
      <c r="PAQ22" s="5"/>
      <c r="PAR22" s="5"/>
      <c r="PAS22" s="5"/>
      <c r="PAT22" s="5"/>
      <c r="PAU22" s="5"/>
      <c r="PAV22" s="5"/>
      <c r="PAW22" s="5"/>
      <c r="PAX22" s="5"/>
      <c r="PAY22" s="5"/>
      <c r="PAZ22" s="5"/>
      <c r="PBA22" s="5"/>
      <c r="PBB22" s="5"/>
      <c r="PBC22" s="5"/>
      <c r="PBD22" s="5"/>
      <c r="PBE22" s="5"/>
      <c r="PBF22" s="5"/>
      <c r="PBG22" s="5"/>
      <c r="PBH22" s="5"/>
      <c r="PBI22" s="5"/>
      <c r="PBJ22" s="5"/>
      <c r="PBK22" s="5"/>
      <c r="PBL22" s="5"/>
      <c r="PBM22" s="5"/>
      <c r="PBN22" s="5"/>
      <c r="PBO22" s="5"/>
      <c r="PBP22" s="5"/>
      <c r="PBQ22" s="5"/>
      <c r="PBR22" s="5"/>
      <c r="PBS22" s="5"/>
      <c r="PBT22" s="5"/>
      <c r="PBU22" s="5"/>
      <c r="PBV22" s="5"/>
      <c r="PBW22" s="5"/>
      <c r="PBX22" s="5"/>
      <c r="PBY22" s="5"/>
      <c r="PBZ22" s="5"/>
      <c r="PCA22" s="5"/>
      <c r="PCB22" s="5"/>
      <c r="PCC22" s="5"/>
      <c r="PCD22" s="5"/>
      <c r="PCE22" s="5"/>
      <c r="PCF22" s="5"/>
      <c r="PCG22" s="5"/>
      <c r="PCH22" s="5"/>
      <c r="PCI22" s="5"/>
      <c r="PCJ22" s="5"/>
      <c r="PCK22" s="5"/>
      <c r="PCL22" s="5"/>
      <c r="PCM22" s="5"/>
      <c r="PCN22" s="5"/>
      <c r="PCO22" s="5"/>
      <c r="PCP22" s="5"/>
      <c r="PCQ22" s="5"/>
      <c r="PCR22" s="5"/>
      <c r="PCS22" s="5"/>
      <c r="PCT22" s="5"/>
      <c r="PCU22" s="5"/>
      <c r="PCV22" s="5"/>
      <c r="PCW22" s="5"/>
      <c r="PCX22" s="5"/>
      <c r="PCY22" s="5"/>
      <c r="PCZ22" s="5"/>
      <c r="PDA22" s="5"/>
      <c r="PDB22" s="5"/>
      <c r="PDC22" s="5"/>
      <c r="PDD22" s="5"/>
      <c r="PDE22" s="5"/>
      <c r="PDF22" s="5"/>
      <c r="PDG22" s="5"/>
      <c r="PDH22" s="5"/>
      <c r="PDI22" s="5"/>
      <c r="PDJ22" s="5"/>
      <c r="PDK22" s="5"/>
      <c r="PDL22" s="5"/>
      <c r="PDM22" s="5"/>
      <c r="PDN22" s="5"/>
      <c r="PDO22" s="5"/>
      <c r="PDP22" s="5"/>
      <c r="PDQ22" s="5"/>
      <c r="PDR22" s="5"/>
      <c r="PDS22" s="5"/>
      <c r="PDT22" s="5"/>
      <c r="PDU22" s="5"/>
      <c r="PDV22" s="5"/>
      <c r="PDW22" s="5"/>
      <c r="PDX22" s="5"/>
      <c r="PDY22" s="5"/>
      <c r="PDZ22" s="5"/>
      <c r="PEA22" s="5"/>
      <c r="PEB22" s="5"/>
      <c r="PEC22" s="5"/>
      <c r="PED22" s="5"/>
      <c r="PEE22" s="5"/>
      <c r="PEF22" s="5"/>
      <c r="PEG22" s="5"/>
      <c r="PEH22" s="5"/>
      <c r="PEI22" s="5"/>
      <c r="PEJ22" s="5"/>
      <c r="PEK22" s="5"/>
      <c r="PEL22" s="5"/>
      <c r="PEM22" s="5"/>
      <c r="PEN22" s="5"/>
      <c r="PEO22" s="5"/>
      <c r="PEP22" s="5"/>
      <c r="PEQ22" s="5"/>
      <c r="PER22" s="5"/>
      <c r="PES22" s="5"/>
      <c r="PET22" s="5"/>
      <c r="PEU22" s="5"/>
      <c r="PEV22" s="5"/>
      <c r="PEW22" s="5"/>
      <c r="PEX22" s="5"/>
      <c r="PEY22" s="5"/>
      <c r="PEZ22" s="5"/>
      <c r="PFA22" s="5"/>
      <c r="PFB22" s="5"/>
      <c r="PFC22" s="5"/>
      <c r="PFD22" s="5"/>
      <c r="PFE22" s="5"/>
      <c r="PFF22" s="5"/>
      <c r="PFG22" s="5"/>
      <c r="PFH22" s="5"/>
      <c r="PFI22" s="5"/>
      <c r="PFJ22" s="5"/>
      <c r="PFK22" s="5"/>
      <c r="PFL22" s="5"/>
      <c r="PFM22" s="5"/>
      <c r="PFN22" s="5"/>
      <c r="PFO22" s="5"/>
      <c r="PFP22" s="5"/>
      <c r="PFQ22" s="5"/>
      <c r="PFR22" s="5"/>
      <c r="PFS22" s="5"/>
      <c r="PFT22" s="5"/>
      <c r="PFU22" s="5"/>
      <c r="PFV22" s="5"/>
      <c r="PFW22" s="5"/>
      <c r="PFX22" s="5"/>
      <c r="PFY22" s="5"/>
      <c r="PFZ22" s="5"/>
      <c r="PGA22" s="5"/>
      <c r="PGB22" s="5"/>
      <c r="PGC22" s="5"/>
      <c r="PGD22" s="5"/>
      <c r="PGE22" s="5"/>
      <c r="PGF22" s="5"/>
      <c r="PGG22" s="5"/>
      <c r="PGH22" s="5"/>
      <c r="PGI22" s="5"/>
      <c r="PGJ22" s="5"/>
      <c r="PGK22" s="5"/>
      <c r="PGL22" s="5"/>
      <c r="PGM22" s="5"/>
      <c r="PGN22" s="5"/>
      <c r="PGO22" s="5"/>
      <c r="PGP22" s="5"/>
      <c r="PGQ22" s="5"/>
      <c r="PGR22" s="5"/>
      <c r="PGS22" s="5"/>
      <c r="PGT22" s="5"/>
      <c r="PGU22" s="5"/>
      <c r="PGV22" s="5"/>
      <c r="PGW22" s="5"/>
      <c r="PGX22" s="5"/>
      <c r="PGY22" s="5"/>
      <c r="PGZ22" s="5"/>
      <c r="PHA22" s="5"/>
      <c r="PHB22" s="5"/>
      <c r="PHC22" s="5"/>
      <c r="PHD22" s="5"/>
      <c r="PHE22" s="5"/>
      <c r="PHF22" s="5"/>
      <c r="PHG22" s="5"/>
      <c r="PHH22" s="5"/>
      <c r="PHI22" s="5"/>
      <c r="PHJ22" s="5"/>
      <c r="PHK22" s="5"/>
      <c r="PHL22" s="5"/>
      <c r="PHM22" s="5"/>
      <c r="PHN22" s="5"/>
      <c r="PHO22" s="5"/>
      <c r="PHP22" s="5"/>
      <c r="PHQ22" s="5"/>
      <c r="PHR22" s="5"/>
      <c r="PHS22" s="5"/>
      <c r="PHT22" s="5"/>
      <c r="PHU22" s="5"/>
      <c r="PHV22" s="5"/>
      <c r="PHW22" s="5"/>
      <c r="PHX22" s="5"/>
      <c r="PHY22" s="5"/>
      <c r="PHZ22" s="5"/>
      <c r="PIA22" s="5"/>
      <c r="PIB22" s="5"/>
      <c r="PIC22" s="5"/>
      <c r="PID22" s="5"/>
      <c r="PIE22" s="5"/>
      <c r="PIF22" s="5"/>
      <c r="PIG22" s="5"/>
      <c r="PIH22" s="5"/>
      <c r="PII22" s="5"/>
      <c r="PIJ22" s="5"/>
      <c r="PIK22" s="5"/>
      <c r="PIL22" s="5"/>
      <c r="PIM22" s="5"/>
      <c r="PIN22" s="5"/>
      <c r="PIO22" s="5"/>
      <c r="PIP22" s="5"/>
      <c r="PIQ22" s="5"/>
      <c r="PIR22" s="5"/>
      <c r="PIS22" s="5"/>
      <c r="PIT22" s="5"/>
      <c r="PIU22" s="5"/>
      <c r="PIV22" s="5"/>
      <c r="PIW22" s="5"/>
      <c r="PIX22" s="5"/>
      <c r="PIY22" s="5"/>
      <c r="PIZ22" s="5"/>
      <c r="PJA22" s="5"/>
      <c r="PJB22" s="5"/>
      <c r="PJC22" s="5"/>
      <c r="PJD22" s="5"/>
      <c r="PJE22" s="5"/>
      <c r="PJF22" s="5"/>
      <c r="PJG22" s="5"/>
      <c r="PJH22" s="5"/>
      <c r="PJI22" s="5"/>
      <c r="PJJ22" s="5"/>
      <c r="PJK22" s="5"/>
      <c r="PJL22" s="5"/>
      <c r="PJM22" s="5"/>
      <c r="PJN22" s="5"/>
      <c r="PJO22" s="5"/>
      <c r="PJP22" s="5"/>
      <c r="PJQ22" s="5"/>
      <c r="PJR22" s="5"/>
      <c r="PJS22" s="5"/>
      <c r="PJT22" s="5"/>
      <c r="PJU22" s="5"/>
      <c r="PJV22" s="5"/>
      <c r="PJW22" s="5"/>
      <c r="PJX22" s="5"/>
      <c r="PJY22" s="5"/>
      <c r="PJZ22" s="5"/>
      <c r="PKA22" s="5"/>
      <c r="PKB22" s="5"/>
      <c r="PKC22" s="5"/>
      <c r="PKD22" s="5"/>
      <c r="PKE22" s="5"/>
      <c r="PKF22" s="5"/>
      <c r="PKG22" s="5"/>
      <c r="PKH22" s="5"/>
      <c r="PKI22" s="5"/>
      <c r="PKJ22" s="5"/>
      <c r="PKK22" s="5"/>
      <c r="PKL22" s="5"/>
      <c r="PKM22" s="5"/>
      <c r="PKN22" s="5"/>
      <c r="PKO22" s="5"/>
      <c r="PKP22" s="5"/>
      <c r="PKQ22" s="5"/>
      <c r="PKR22" s="5"/>
      <c r="PKS22" s="5"/>
      <c r="PKT22" s="5"/>
      <c r="PKU22" s="5"/>
      <c r="PKV22" s="5"/>
      <c r="PKW22" s="5"/>
      <c r="PKX22" s="5"/>
      <c r="PKY22" s="5"/>
      <c r="PKZ22" s="5"/>
      <c r="PLA22" s="5"/>
      <c r="PLB22" s="5"/>
      <c r="PLC22" s="5"/>
      <c r="PLD22" s="5"/>
      <c r="PLE22" s="5"/>
      <c r="PLF22" s="5"/>
      <c r="PLG22" s="5"/>
      <c r="PLH22" s="5"/>
      <c r="PLI22" s="5"/>
      <c r="PLJ22" s="5"/>
      <c r="PLK22" s="5"/>
      <c r="PLL22" s="5"/>
      <c r="PLM22" s="5"/>
      <c r="PLN22" s="5"/>
      <c r="PLO22" s="5"/>
      <c r="PLP22" s="5"/>
      <c r="PLQ22" s="5"/>
      <c r="PLR22" s="5"/>
      <c r="PLS22" s="5"/>
      <c r="PLT22" s="5"/>
      <c r="PLU22" s="5"/>
      <c r="PLV22" s="5"/>
      <c r="PLW22" s="5"/>
      <c r="PLX22" s="5"/>
      <c r="PLY22" s="5"/>
      <c r="PLZ22" s="5"/>
      <c r="PMA22" s="5"/>
      <c r="PMB22" s="5"/>
      <c r="PMC22" s="5"/>
      <c r="PMD22" s="5"/>
      <c r="PME22" s="5"/>
      <c r="PMF22" s="5"/>
      <c r="PMG22" s="5"/>
      <c r="PMH22" s="5"/>
      <c r="PMI22" s="5"/>
      <c r="PMJ22" s="5"/>
      <c r="PMK22" s="5"/>
      <c r="PML22" s="5"/>
      <c r="PMM22" s="5"/>
      <c r="PMN22" s="5"/>
      <c r="PMO22" s="5"/>
      <c r="PMP22" s="5"/>
      <c r="PMQ22" s="5"/>
      <c r="PMR22" s="5"/>
      <c r="PMS22" s="5"/>
      <c r="PMT22" s="5"/>
      <c r="PMU22" s="5"/>
      <c r="PMV22" s="5"/>
      <c r="PMW22" s="5"/>
      <c r="PMX22" s="5"/>
      <c r="PMY22" s="5"/>
      <c r="PMZ22" s="5"/>
      <c r="PNA22" s="5"/>
      <c r="PNB22" s="5"/>
      <c r="PNC22" s="5"/>
      <c r="PND22" s="5"/>
      <c r="PNE22" s="5"/>
      <c r="PNF22" s="5"/>
      <c r="PNG22" s="5"/>
      <c r="PNH22" s="5"/>
      <c r="PNI22" s="5"/>
      <c r="PNJ22" s="5"/>
      <c r="PNK22" s="5"/>
      <c r="PNL22" s="5"/>
      <c r="PNM22" s="5"/>
      <c r="PNN22" s="5"/>
      <c r="PNO22" s="5"/>
      <c r="PNP22" s="5"/>
      <c r="PNQ22" s="5"/>
      <c r="PNR22" s="5"/>
      <c r="PNS22" s="5"/>
      <c r="PNT22" s="5"/>
      <c r="PNU22" s="5"/>
      <c r="PNV22" s="5"/>
      <c r="PNW22" s="5"/>
      <c r="PNX22" s="5"/>
      <c r="PNY22" s="5"/>
      <c r="PNZ22" s="5"/>
      <c r="POA22" s="5"/>
      <c r="POB22" s="5"/>
      <c r="POC22" s="5"/>
      <c r="POD22" s="5"/>
      <c r="POE22" s="5"/>
      <c r="POF22" s="5"/>
      <c r="POG22" s="5"/>
      <c r="POH22" s="5"/>
      <c r="POI22" s="5"/>
      <c r="POJ22" s="5"/>
      <c r="POK22" s="5"/>
      <c r="POL22" s="5"/>
      <c r="POM22" s="5"/>
      <c r="PON22" s="5"/>
      <c r="POO22" s="5"/>
      <c r="POP22" s="5"/>
      <c r="POQ22" s="5"/>
      <c r="POR22" s="5"/>
      <c r="POS22" s="5"/>
      <c r="POT22" s="5"/>
      <c r="POU22" s="5"/>
      <c r="POV22" s="5"/>
      <c r="POW22" s="5"/>
      <c r="POX22" s="5"/>
      <c r="POY22" s="5"/>
      <c r="POZ22" s="5"/>
      <c r="PPA22" s="5"/>
      <c r="PPB22" s="5"/>
      <c r="PPC22" s="5"/>
      <c r="PPD22" s="5"/>
      <c r="PPE22" s="5"/>
      <c r="PPF22" s="5"/>
      <c r="PPG22" s="5"/>
      <c r="PPH22" s="5"/>
      <c r="PPI22" s="5"/>
      <c r="PPJ22" s="5"/>
      <c r="PPK22" s="5"/>
      <c r="PPL22" s="5"/>
      <c r="PPM22" s="5"/>
      <c r="PPN22" s="5"/>
      <c r="PPO22" s="5"/>
      <c r="PPP22" s="5"/>
      <c r="PPQ22" s="5"/>
      <c r="PPR22" s="5"/>
      <c r="PPS22" s="5"/>
      <c r="PPT22" s="5"/>
      <c r="PPU22" s="5"/>
      <c r="PPV22" s="5"/>
      <c r="PPW22" s="5"/>
      <c r="PPX22" s="5"/>
      <c r="PPY22" s="5"/>
      <c r="PPZ22" s="5"/>
      <c r="PQA22" s="5"/>
      <c r="PQB22" s="5"/>
      <c r="PQC22" s="5"/>
      <c r="PQD22" s="5"/>
      <c r="PQE22" s="5"/>
      <c r="PQF22" s="5"/>
      <c r="PQG22" s="5"/>
      <c r="PQH22" s="5"/>
      <c r="PQI22" s="5"/>
      <c r="PQJ22" s="5"/>
      <c r="PQK22" s="5"/>
      <c r="PQL22" s="5"/>
      <c r="PQM22" s="5"/>
      <c r="PQN22" s="5"/>
      <c r="PQO22" s="5"/>
      <c r="PQP22" s="5"/>
      <c r="PQQ22" s="5"/>
      <c r="PQR22" s="5"/>
      <c r="PQS22" s="5"/>
      <c r="PQT22" s="5"/>
      <c r="PQU22" s="5"/>
      <c r="PQV22" s="5"/>
      <c r="PQW22" s="5"/>
      <c r="PQX22" s="5"/>
      <c r="PQY22" s="5"/>
      <c r="PQZ22" s="5"/>
      <c r="PRA22" s="5"/>
      <c r="PRB22" s="5"/>
      <c r="PRC22" s="5"/>
      <c r="PRD22" s="5"/>
      <c r="PRE22" s="5"/>
      <c r="PRF22" s="5"/>
      <c r="PRG22" s="5"/>
      <c r="PRH22" s="5"/>
      <c r="PRI22" s="5"/>
      <c r="PRJ22" s="5"/>
      <c r="PRK22" s="5"/>
      <c r="PRL22" s="5"/>
      <c r="PRM22" s="5"/>
      <c r="PRN22" s="5"/>
      <c r="PRO22" s="5"/>
      <c r="PRP22" s="5"/>
      <c r="PRQ22" s="5"/>
      <c r="PRR22" s="5"/>
      <c r="PRS22" s="5"/>
      <c r="PRT22" s="5"/>
      <c r="PRU22" s="5"/>
      <c r="PRV22" s="5"/>
      <c r="PRW22" s="5"/>
      <c r="PRX22" s="5"/>
      <c r="PRY22" s="5"/>
      <c r="PRZ22" s="5"/>
      <c r="PSA22" s="5"/>
      <c r="PSB22" s="5"/>
      <c r="PSC22" s="5"/>
      <c r="PSD22" s="5"/>
      <c r="PSE22" s="5"/>
      <c r="PSF22" s="5"/>
      <c r="PSG22" s="5"/>
      <c r="PSH22" s="5"/>
      <c r="PSI22" s="5"/>
      <c r="PSJ22" s="5"/>
      <c r="PSK22" s="5"/>
      <c r="PSL22" s="5"/>
      <c r="PSM22" s="5"/>
      <c r="PSN22" s="5"/>
      <c r="PSO22" s="5"/>
      <c r="PSP22" s="5"/>
      <c r="PSQ22" s="5"/>
      <c r="PSR22" s="5"/>
      <c r="PSS22" s="5"/>
      <c r="PST22" s="5"/>
      <c r="PSU22" s="5"/>
      <c r="PSV22" s="5"/>
      <c r="PSW22" s="5"/>
      <c r="PSX22" s="5"/>
      <c r="PSY22" s="5"/>
      <c r="PSZ22" s="5"/>
      <c r="PTA22" s="5"/>
      <c r="PTB22" s="5"/>
      <c r="PTC22" s="5"/>
      <c r="PTD22" s="5"/>
      <c r="PTE22" s="5"/>
      <c r="PTF22" s="5"/>
      <c r="PTG22" s="5"/>
      <c r="PTH22" s="5"/>
      <c r="PTI22" s="5"/>
      <c r="PTJ22" s="5"/>
      <c r="PTK22" s="5"/>
      <c r="PTL22" s="5"/>
      <c r="PTM22" s="5"/>
      <c r="PTN22" s="5"/>
      <c r="PTO22" s="5"/>
      <c r="PTP22" s="5"/>
      <c r="PTQ22" s="5"/>
      <c r="PTR22" s="5"/>
      <c r="PTS22" s="5"/>
      <c r="PTT22" s="5"/>
      <c r="PTU22" s="5"/>
      <c r="PTV22" s="5"/>
      <c r="PTW22" s="5"/>
      <c r="PTX22" s="5"/>
      <c r="PTY22" s="5"/>
      <c r="PTZ22" s="5"/>
      <c r="PUA22" s="5"/>
      <c r="PUB22" s="5"/>
      <c r="PUC22" s="5"/>
      <c r="PUD22" s="5"/>
      <c r="PUE22" s="5"/>
      <c r="PUF22" s="5"/>
      <c r="PUG22" s="5"/>
      <c r="PUH22" s="5"/>
      <c r="PUI22" s="5"/>
      <c r="PUJ22" s="5"/>
      <c r="PUK22" s="5"/>
      <c r="PUL22" s="5"/>
      <c r="PUM22" s="5"/>
      <c r="PUN22" s="5"/>
      <c r="PUO22" s="5"/>
      <c r="PUP22" s="5"/>
      <c r="PUQ22" s="5"/>
      <c r="PUR22" s="5"/>
      <c r="PUS22" s="5"/>
      <c r="PUT22" s="5"/>
      <c r="PUU22" s="5"/>
      <c r="PUV22" s="5"/>
      <c r="PUW22" s="5"/>
      <c r="PUX22" s="5"/>
      <c r="PUY22" s="5"/>
      <c r="PUZ22" s="5"/>
      <c r="PVA22" s="5"/>
      <c r="PVB22" s="5"/>
      <c r="PVC22" s="5"/>
      <c r="PVD22" s="5"/>
      <c r="PVE22" s="5"/>
      <c r="PVF22" s="5"/>
      <c r="PVG22" s="5"/>
      <c r="PVH22" s="5"/>
      <c r="PVI22" s="5"/>
      <c r="PVJ22" s="5"/>
      <c r="PVK22" s="5"/>
      <c r="PVL22" s="5"/>
      <c r="PVM22" s="5"/>
      <c r="PVN22" s="5"/>
      <c r="PVO22" s="5"/>
      <c r="PVP22" s="5"/>
      <c r="PVQ22" s="5"/>
      <c r="PVR22" s="5"/>
      <c r="PVS22" s="5"/>
      <c r="PVT22" s="5"/>
      <c r="PVU22" s="5"/>
      <c r="PVV22" s="5"/>
      <c r="PVW22" s="5"/>
      <c r="PVX22" s="5"/>
      <c r="PVY22" s="5"/>
      <c r="PVZ22" s="5"/>
      <c r="PWA22" s="5"/>
      <c r="PWB22" s="5"/>
      <c r="PWC22" s="5"/>
      <c r="PWD22" s="5"/>
      <c r="PWE22" s="5"/>
      <c r="PWF22" s="5"/>
      <c r="PWG22" s="5"/>
      <c r="PWH22" s="5"/>
      <c r="PWI22" s="5"/>
      <c r="PWJ22" s="5"/>
      <c r="PWK22" s="5"/>
      <c r="PWL22" s="5"/>
      <c r="PWM22" s="5"/>
      <c r="PWN22" s="5"/>
      <c r="PWO22" s="5"/>
      <c r="PWP22" s="5"/>
      <c r="PWQ22" s="5"/>
      <c r="PWR22" s="5"/>
      <c r="PWS22" s="5"/>
      <c r="PWT22" s="5"/>
      <c r="PWU22" s="5"/>
      <c r="PWV22" s="5"/>
      <c r="PWW22" s="5"/>
      <c r="PWX22" s="5"/>
      <c r="PWY22" s="5"/>
      <c r="PWZ22" s="5"/>
      <c r="PXA22" s="5"/>
      <c r="PXB22" s="5"/>
      <c r="PXC22" s="5"/>
      <c r="PXD22" s="5"/>
      <c r="PXE22" s="5"/>
      <c r="PXF22" s="5"/>
      <c r="PXG22" s="5"/>
      <c r="PXH22" s="5"/>
      <c r="PXI22" s="5"/>
      <c r="PXJ22" s="5"/>
      <c r="PXK22" s="5"/>
      <c r="PXL22" s="5"/>
      <c r="PXM22" s="5"/>
      <c r="PXN22" s="5"/>
      <c r="PXO22" s="5"/>
      <c r="PXP22" s="5"/>
      <c r="PXQ22" s="5"/>
      <c r="PXR22" s="5"/>
      <c r="PXS22" s="5"/>
      <c r="PXT22" s="5"/>
      <c r="PXU22" s="5"/>
      <c r="PXV22" s="5"/>
      <c r="PXW22" s="5"/>
      <c r="PXX22" s="5"/>
      <c r="PXY22" s="5"/>
      <c r="PXZ22" s="5"/>
      <c r="PYA22" s="5"/>
      <c r="PYB22" s="5"/>
      <c r="PYC22" s="5"/>
      <c r="PYD22" s="5"/>
      <c r="PYE22" s="5"/>
      <c r="PYF22" s="5"/>
      <c r="PYG22" s="5"/>
      <c r="PYH22" s="5"/>
      <c r="PYI22" s="5"/>
      <c r="PYJ22" s="5"/>
      <c r="PYK22" s="5"/>
      <c r="PYL22" s="5"/>
      <c r="PYM22" s="5"/>
      <c r="PYN22" s="5"/>
      <c r="PYO22" s="5"/>
      <c r="PYP22" s="5"/>
      <c r="PYQ22" s="5"/>
      <c r="PYR22" s="5"/>
      <c r="PYS22" s="5"/>
      <c r="PYT22" s="5"/>
      <c r="PYU22" s="5"/>
      <c r="PYV22" s="5"/>
      <c r="PYW22" s="5"/>
      <c r="PYX22" s="5"/>
      <c r="PYY22" s="5"/>
      <c r="PYZ22" s="5"/>
      <c r="PZA22" s="5"/>
      <c r="PZB22" s="5"/>
      <c r="PZC22" s="5"/>
      <c r="PZD22" s="5"/>
      <c r="PZE22" s="5"/>
      <c r="PZF22" s="5"/>
      <c r="PZG22" s="5"/>
      <c r="PZH22" s="5"/>
      <c r="PZI22" s="5"/>
      <c r="PZJ22" s="5"/>
      <c r="PZK22" s="5"/>
      <c r="PZL22" s="5"/>
      <c r="PZM22" s="5"/>
      <c r="PZN22" s="5"/>
      <c r="PZO22" s="5"/>
      <c r="PZP22" s="5"/>
      <c r="PZQ22" s="5"/>
      <c r="PZR22" s="5"/>
      <c r="PZS22" s="5"/>
      <c r="PZT22" s="5"/>
      <c r="PZU22" s="5"/>
      <c r="PZV22" s="5"/>
      <c r="PZW22" s="5"/>
      <c r="PZX22" s="5"/>
      <c r="PZY22" s="5"/>
      <c r="PZZ22" s="5"/>
      <c r="QAA22" s="5"/>
      <c r="QAB22" s="5"/>
      <c r="QAC22" s="5"/>
      <c r="QAD22" s="5"/>
      <c r="QAE22" s="5"/>
      <c r="QAF22" s="5"/>
      <c r="QAG22" s="5"/>
      <c r="QAH22" s="5"/>
      <c r="QAI22" s="5"/>
      <c r="QAJ22" s="5"/>
      <c r="QAK22" s="5"/>
      <c r="QAL22" s="5"/>
      <c r="QAM22" s="5"/>
      <c r="QAN22" s="5"/>
      <c r="QAO22" s="5"/>
      <c r="QAP22" s="5"/>
      <c r="QAQ22" s="5"/>
      <c r="QAR22" s="5"/>
      <c r="QAS22" s="5"/>
      <c r="QAT22" s="5"/>
      <c r="QAU22" s="5"/>
      <c r="QAV22" s="5"/>
      <c r="QAW22" s="5"/>
      <c r="QAX22" s="5"/>
      <c r="QAY22" s="5"/>
      <c r="QAZ22" s="5"/>
      <c r="QBA22" s="5"/>
      <c r="QBB22" s="5"/>
      <c r="QBC22" s="5"/>
      <c r="QBD22" s="5"/>
      <c r="QBE22" s="5"/>
      <c r="QBF22" s="5"/>
      <c r="QBG22" s="5"/>
      <c r="QBH22" s="5"/>
      <c r="QBI22" s="5"/>
      <c r="QBJ22" s="5"/>
      <c r="QBK22" s="5"/>
      <c r="QBL22" s="5"/>
      <c r="QBM22" s="5"/>
      <c r="QBN22" s="5"/>
      <c r="QBO22" s="5"/>
      <c r="QBP22" s="5"/>
      <c r="QBQ22" s="5"/>
      <c r="QBR22" s="5"/>
      <c r="QBS22" s="5"/>
      <c r="QBT22" s="5"/>
      <c r="QBU22" s="5"/>
      <c r="QBV22" s="5"/>
      <c r="QBW22" s="5"/>
      <c r="QBX22" s="5"/>
      <c r="QBY22" s="5"/>
      <c r="QBZ22" s="5"/>
      <c r="QCA22" s="5"/>
      <c r="QCB22" s="5"/>
      <c r="QCC22" s="5"/>
      <c r="QCD22" s="5"/>
      <c r="QCE22" s="5"/>
      <c r="QCF22" s="5"/>
      <c r="QCG22" s="5"/>
      <c r="QCH22" s="5"/>
      <c r="QCI22" s="5"/>
      <c r="QCJ22" s="5"/>
      <c r="QCK22" s="5"/>
      <c r="QCL22" s="5"/>
      <c r="QCM22" s="5"/>
      <c r="QCN22" s="5"/>
      <c r="QCO22" s="5"/>
      <c r="QCP22" s="5"/>
      <c r="QCQ22" s="5"/>
      <c r="QCR22" s="5"/>
      <c r="QCS22" s="5"/>
      <c r="QCT22" s="5"/>
      <c r="QCU22" s="5"/>
      <c r="QCV22" s="5"/>
      <c r="QCW22" s="5"/>
      <c r="QCX22" s="5"/>
      <c r="QCY22" s="5"/>
      <c r="QCZ22" s="5"/>
      <c r="QDA22" s="5"/>
      <c r="QDB22" s="5"/>
      <c r="QDC22" s="5"/>
      <c r="QDD22" s="5"/>
      <c r="QDE22" s="5"/>
      <c r="QDF22" s="5"/>
      <c r="QDG22" s="5"/>
      <c r="QDH22" s="5"/>
      <c r="QDI22" s="5"/>
      <c r="QDJ22" s="5"/>
      <c r="QDK22" s="5"/>
      <c r="QDL22" s="5"/>
      <c r="QDM22" s="5"/>
      <c r="QDN22" s="5"/>
      <c r="QDO22" s="5"/>
      <c r="QDP22" s="5"/>
      <c r="QDQ22" s="5"/>
      <c r="QDR22" s="5"/>
      <c r="QDS22" s="5"/>
      <c r="QDT22" s="5"/>
      <c r="QDU22" s="5"/>
      <c r="QDV22" s="5"/>
      <c r="QDW22" s="5"/>
      <c r="QDX22" s="5"/>
      <c r="QDY22" s="5"/>
      <c r="QDZ22" s="5"/>
      <c r="QEA22" s="5"/>
      <c r="QEB22" s="5"/>
      <c r="QEC22" s="5"/>
      <c r="QED22" s="5"/>
      <c r="QEE22" s="5"/>
      <c r="QEF22" s="5"/>
      <c r="QEG22" s="5"/>
      <c r="QEH22" s="5"/>
      <c r="QEI22" s="5"/>
      <c r="QEJ22" s="5"/>
      <c r="QEK22" s="5"/>
      <c r="QEL22" s="5"/>
      <c r="QEM22" s="5"/>
      <c r="QEN22" s="5"/>
      <c r="QEO22" s="5"/>
      <c r="QEP22" s="5"/>
      <c r="QEQ22" s="5"/>
      <c r="QER22" s="5"/>
      <c r="QES22" s="5"/>
      <c r="QET22" s="5"/>
      <c r="QEU22" s="5"/>
      <c r="QEV22" s="5"/>
      <c r="QEW22" s="5"/>
      <c r="QEX22" s="5"/>
      <c r="QEY22" s="5"/>
      <c r="QEZ22" s="5"/>
      <c r="QFA22" s="5"/>
      <c r="QFB22" s="5"/>
      <c r="QFC22" s="5"/>
      <c r="QFD22" s="5"/>
      <c r="QFE22" s="5"/>
      <c r="QFF22" s="5"/>
      <c r="QFG22" s="5"/>
      <c r="QFH22" s="5"/>
      <c r="QFI22" s="5"/>
      <c r="QFJ22" s="5"/>
      <c r="QFK22" s="5"/>
      <c r="QFL22" s="5"/>
      <c r="QFM22" s="5"/>
      <c r="QFN22" s="5"/>
      <c r="QFO22" s="5"/>
      <c r="QFP22" s="5"/>
      <c r="QFQ22" s="5"/>
      <c r="QFR22" s="5"/>
      <c r="QFS22" s="5"/>
      <c r="QFT22" s="5"/>
      <c r="QFU22" s="5"/>
      <c r="QFV22" s="5"/>
      <c r="QFW22" s="5"/>
      <c r="QFX22" s="5"/>
      <c r="QFY22" s="5"/>
      <c r="QFZ22" s="5"/>
      <c r="QGA22" s="5"/>
      <c r="QGB22" s="5"/>
      <c r="QGC22" s="5"/>
      <c r="QGD22" s="5"/>
      <c r="QGE22" s="5"/>
      <c r="QGF22" s="5"/>
      <c r="QGG22" s="5"/>
      <c r="QGH22" s="5"/>
      <c r="QGI22" s="5"/>
      <c r="QGJ22" s="5"/>
      <c r="QGK22" s="5"/>
      <c r="QGL22" s="5"/>
      <c r="QGM22" s="5"/>
      <c r="QGN22" s="5"/>
      <c r="QGO22" s="5"/>
      <c r="QGP22" s="5"/>
      <c r="QGQ22" s="5"/>
      <c r="QGR22" s="5"/>
      <c r="QGS22" s="5"/>
      <c r="QGT22" s="5"/>
      <c r="QGU22" s="5"/>
      <c r="QGV22" s="5"/>
      <c r="QGW22" s="5"/>
      <c r="QGX22" s="5"/>
      <c r="QGY22" s="5"/>
      <c r="QGZ22" s="5"/>
      <c r="QHA22" s="5"/>
      <c r="QHB22" s="5"/>
      <c r="QHC22" s="5"/>
      <c r="QHD22" s="5"/>
      <c r="QHE22" s="5"/>
      <c r="QHF22" s="5"/>
      <c r="QHG22" s="5"/>
      <c r="QHH22" s="5"/>
      <c r="QHI22" s="5"/>
      <c r="QHJ22" s="5"/>
      <c r="QHK22" s="5"/>
      <c r="QHL22" s="5"/>
      <c r="QHM22" s="5"/>
      <c r="QHN22" s="5"/>
      <c r="QHO22" s="5"/>
      <c r="QHP22" s="5"/>
      <c r="QHQ22" s="5"/>
      <c r="QHR22" s="5"/>
      <c r="QHS22" s="5"/>
      <c r="QHT22" s="5"/>
      <c r="QHU22" s="5"/>
      <c r="QHV22" s="5"/>
      <c r="QHW22" s="5"/>
      <c r="QHX22" s="5"/>
      <c r="QHY22" s="5"/>
      <c r="QHZ22" s="5"/>
      <c r="QIA22" s="5"/>
      <c r="QIB22" s="5"/>
      <c r="QIC22" s="5"/>
      <c r="QID22" s="5"/>
      <c r="QIE22" s="5"/>
      <c r="QIF22" s="5"/>
      <c r="QIG22" s="5"/>
      <c r="QIH22" s="5"/>
      <c r="QII22" s="5"/>
      <c r="QIJ22" s="5"/>
      <c r="QIK22" s="5"/>
      <c r="QIL22" s="5"/>
      <c r="QIM22" s="5"/>
      <c r="QIN22" s="5"/>
      <c r="QIO22" s="5"/>
      <c r="QIP22" s="5"/>
      <c r="QIQ22" s="5"/>
      <c r="QIR22" s="5"/>
      <c r="QIS22" s="5"/>
      <c r="QIT22" s="5"/>
      <c r="QIU22" s="5"/>
      <c r="QIV22" s="5"/>
      <c r="QIW22" s="5"/>
      <c r="QIX22" s="5"/>
      <c r="QIY22" s="5"/>
      <c r="QIZ22" s="5"/>
      <c r="QJA22" s="5"/>
      <c r="QJB22" s="5"/>
      <c r="QJC22" s="5"/>
      <c r="QJD22" s="5"/>
      <c r="QJE22" s="5"/>
      <c r="QJF22" s="5"/>
      <c r="QJG22" s="5"/>
      <c r="QJH22" s="5"/>
      <c r="QJI22" s="5"/>
      <c r="QJJ22" s="5"/>
      <c r="QJK22" s="5"/>
      <c r="QJL22" s="5"/>
      <c r="QJM22" s="5"/>
      <c r="QJN22" s="5"/>
      <c r="QJO22" s="5"/>
      <c r="QJP22" s="5"/>
      <c r="QJQ22" s="5"/>
      <c r="QJR22" s="5"/>
      <c r="QJS22" s="5"/>
      <c r="QJT22" s="5"/>
      <c r="QJU22" s="5"/>
      <c r="QJV22" s="5"/>
      <c r="QJW22" s="5"/>
      <c r="QJX22" s="5"/>
      <c r="QJY22" s="5"/>
      <c r="QJZ22" s="5"/>
      <c r="QKA22" s="5"/>
      <c r="QKB22" s="5"/>
      <c r="QKC22" s="5"/>
      <c r="QKD22" s="5"/>
      <c r="QKE22" s="5"/>
      <c r="QKF22" s="5"/>
      <c r="QKG22" s="5"/>
      <c r="QKH22" s="5"/>
      <c r="QKI22" s="5"/>
      <c r="QKJ22" s="5"/>
      <c r="QKK22" s="5"/>
      <c r="QKL22" s="5"/>
      <c r="QKM22" s="5"/>
      <c r="QKN22" s="5"/>
      <c r="QKO22" s="5"/>
      <c r="QKP22" s="5"/>
      <c r="QKQ22" s="5"/>
      <c r="QKR22" s="5"/>
      <c r="QKS22" s="5"/>
      <c r="QKT22" s="5"/>
      <c r="QKU22" s="5"/>
      <c r="QKV22" s="5"/>
      <c r="QKW22" s="5"/>
      <c r="QKX22" s="5"/>
      <c r="QKY22" s="5"/>
      <c r="QKZ22" s="5"/>
      <c r="QLA22" s="5"/>
      <c r="QLB22" s="5"/>
      <c r="QLC22" s="5"/>
      <c r="QLD22" s="5"/>
      <c r="QLE22" s="5"/>
      <c r="QLF22" s="5"/>
      <c r="QLG22" s="5"/>
      <c r="QLH22" s="5"/>
      <c r="QLI22" s="5"/>
      <c r="QLJ22" s="5"/>
      <c r="QLK22" s="5"/>
      <c r="QLL22" s="5"/>
      <c r="QLM22" s="5"/>
      <c r="QLN22" s="5"/>
      <c r="QLO22" s="5"/>
      <c r="QLP22" s="5"/>
      <c r="QLQ22" s="5"/>
      <c r="QLR22" s="5"/>
      <c r="QLS22" s="5"/>
      <c r="QLT22" s="5"/>
      <c r="QLU22" s="5"/>
      <c r="QLV22" s="5"/>
      <c r="QLW22" s="5"/>
      <c r="QLX22" s="5"/>
      <c r="QLY22" s="5"/>
      <c r="QLZ22" s="5"/>
      <c r="QMA22" s="5"/>
      <c r="QMB22" s="5"/>
      <c r="QMC22" s="5"/>
      <c r="QMD22" s="5"/>
      <c r="QME22" s="5"/>
      <c r="QMF22" s="5"/>
      <c r="QMG22" s="5"/>
      <c r="QMH22" s="5"/>
      <c r="QMI22" s="5"/>
      <c r="QMJ22" s="5"/>
      <c r="QMK22" s="5"/>
      <c r="QML22" s="5"/>
      <c r="QMM22" s="5"/>
      <c r="QMN22" s="5"/>
      <c r="QMO22" s="5"/>
      <c r="QMP22" s="5"/>
      <c r="QMQ22" s="5"/>
      <c r="QMR22" s="5"/>
      <c r="QMS22" s="5"/>
      <c r="QMT22" s="5"/>
      <c r="QMU22" s="5"/>
      <c r="QMV22" s="5"/>
      <c r="QMW22" s="5"/>
      <c r="QMX22" s="5"/>
      <c r="QMY22" s="5"/>
      <c r="QMZ22" s="5"/>
      <c r="QNA22" s="5"/>
      <c r="QNB22" s="5"/>
      <c r="QNC22" s="5"/>
      <c r="QND22" s="5"/>
      <c r="QNE22" s="5"/>
      <c r="QNF22" s="5"/>
      <c r="QNG22" s="5"/>
      <c r="QNH22" s="5"/>
      <c r="QNI22" s="5"/>
      <c r="QNJ22" s="5"/>
      <c r="QNK22" s="5"/>
      <c r="QNL22" s="5"/>
      <c r="QNM22" s="5"/>
      <c r="QNN22" s="5"/>
      <c r="QNO22" s="5"/>
      <c r="QNP22" s="5"/>
      <c r="QNQ22" s="5"/>
      <c r="QNR22" s="5"/>
      <c r="QNS22" s="5"/>
      <c r="QNT22" s="5"/>
      <c r="QNU22" s="5"/>
      <c r="QNV22" s="5"/>
      <c r="QNW22" s="5"/>
      <c r="QNX22" s="5"/>
      <c r="QNY22" s="5"/>
      <c r="QNZ22" s="5"/>
      <c r="QOA22" s="5"/>
      <c r="QOB22" s="5"/>
      <c r="QOC22" s="5"/>
      <c r="QOD22" s="5"/>
      <c r="QOE22" s="5"/>
      <c r="QOF22" s="5"/>
      <c r="QOG22" s="5"/>
      <c r="QOH22" s="5"/>
      <c r="QOI22" s="5"/>
      <c r="QOJ22" s="5"/>
      <c r="QOK22" s="5"/>
      <c r="QOL22" s="5"/>
      <c r="QOM22" s="5"/>
      <c r="QON22" s="5"/>
      <c r="QOO22" s="5"/>
      <c r="QOP22" s="5"/>
      <c r="QOQ22" s="5"/>
      <c r="QOR22" s="5"/>
      <c r="QOS22" s="5"/>
      <c r="QOT22" s="5"/>
      <c r="QOU22" s="5"/>
      <c r="QOV22" s="5"/>
      <c r="QOW22" s="5"/>
      <c r="QOX22" s="5"/>
      <c r="QOY22" s="5"/>
      <c r="QOZ22" s="5"/>
      <c r="QPA22" s="5"/>
      <c r="QPB22" s="5"/>
      <c r="QPC22" s="5"/>
      <c r="QPD22" s="5"/>
      <c r="QPE22" s="5"/>
      <c r="QPF22" s="5"/>
      <c r="QPG22" s="5"/>
      <c r="QPH22" s="5"/>
      <c r="QPI22" s="5"/>
      <c r="QPJ22" s="5"/>
      <c r="QPK22" s="5"/>
      <c r="QPL22" s="5"/>
      <c r="QPM22" s="5"/>
      <c r="QPN22" s="5"/>
      <c r="QPO22" s="5"/>
      <c r="QPP22" s="5"/>
      <c r="QPQ22" s="5"/>
      <c r="QPR22" s="5"/>
      <c r="QPS22" s="5"/>
      <c r="QPT22" s="5"/>
      <c r="QPU22" s="5"/>
      <c r="QPV22" s="5"/>
      <c r="QPW22" s="5"/>
      <c r="QPX22" s="5"/>
      <c r="QPY22" s="5"/>
      <c r="QPZ22" s="5"/>
      <c r="QQA22" s="5"/>
      <c r="QQB22" s="5"/>
      <c r="QQC22" s="5"/>
      <c r="QQD22" s="5"/>
      <c r="QQE22" s="5"/>
      <c r="QQF22" s="5"/>
      <c r="QQG22" s="5"/>
      <c r="QQH22" s="5"/>
      <c r="QQI22" s="5"/>
      <c r="QQJ22" s="5"/>
      <c r="QQK22" s="5"/>
      <c r="QQL22" s="5"/>
      <c r="QQM22" s="5"/>
      <c r="QQN22" s="5"/>
      <c r="QQO22" s="5"/>
      <c r="QQP22" s="5"/>
      <c r="QQQ22" s="5"/>
      <c r="QQR22" s="5"/>
      <c r="QQS22" s="5"/>
      <c r="QQT22" s="5"/>
      <c r="QQU22" s="5"/>
      <c r="QQV22" s="5"/>
      <c r="QQW22" s="5"/>
      <c r="QQX22" s="5"/>
      <c r="QQY22" s="5"/>
      <c r="QQZ22" s="5"/>
      <c r="QRA22" s="5"/>
      <c r="QRB22" s="5"/>
      <c r="QRC22" s="5"/>
      <c r="QRD22" s="5"/>
      <c r="QRE22" s="5"/>
      <c r="QRF22" s="5"/>
      <c r="QRG22" s="5"/>
      <c r="QRH22" s="5"/>
      <c r="QRI22" s="5"/>
      <c r="QRJ22" s="5"/>
      <c r="QRK22" s="5"/>
      <c r="QRL22" s="5"/>
      <c r="QRM22" s="5"/>
      <c r="QRN22" s="5"/>
      <c r="QRO22" s="5"/>
      <c r="QRP22" s="5"/>
      <c r="QRQ22" s="5"/>
      <c r="QRR22" s="5"/>
      <c r="QRS22" s="5"/>
      <c r="QRT22" s="5"/>
      <c r="QRU22" s="5"/>
      <c r="QRV22" s="5"/>
      <c r="QRW22" s="5"/>
      <c r="QRX22" s="5"/>
      <c r="QRY22" s="5"/>
      <c r="QRZ22" s="5"/>
      <c r="QSA22" s="5"/>
      <c r="QSB22" s="5"/>
      <c r="QSC22" s="5"/>
      <c r="QSD22" s="5"/>
      <c r="QSE22" s="5"/>
      <c r="QSF22" s="5"/>
      <c r="QSG22" s="5"/>
      <c r="QSH22" s="5"/>
      <c r="QSI22" s="5"/>
      <c r="QSJ22" s="5"/>
      <c r="QSK22" s="5"/>
      <c r="QSL22" s="5"/>
      <c r="QSM22" s="5"/>
      <c r="QSN22" s="5"/>
      <c r="QSO22" s="5"/>
      <c r="QSP22" s="5"/>
      <c r="QSQ22" s="5"/>
      <c r="QSR22" s="5"/>
      <c r="QSS22" s="5"/>
      <c r="QST22" s="5"/>
      <c r="QSU22" s="5"/>
      <c r="QSV22" s="5"/>
      <c r="QSW22" s="5"/>
      <c r="QSX22" s="5"/>
      <c r="QSY22" s="5"/>
      <c r="QSZ22" s="5"/>
      <c r="QTA22" s="5"/>
      <c r="QTB22" s="5"/>
      <c r="QTC22" s="5"/>
      <c r="QTD22" s="5"/>
      <c r="QTE22" s="5"/>
      <c r="QTF22" s="5"/>
      <c r="QTG22" s="5"/>
      <c r="QTH22" s="5"/>
      <c r="QTI22" s="5"/>
      <c r="QTJ22" s="5"/>
      <c r="QTK22" s="5"/>
      <c r="QTL22" s="5"/>
      <c r="QTM22" s="5"/>
      <c r="QTN22" s="5"/>
      <c r="QTO22" s="5"/>
      <c r="QTP22" s="5"/>
      <c r="QTQ22" s="5"/>
      <c r="QTR22" s="5"/>
      <c r="QTS22" s="5"/>
      <c r="QTT22" s="5"/>
      <c r="QTU22" s="5"/>
      <c r="QTV22" s="5"/>
      <c r="QTW22" s="5"/>
      <c r="QTX22" s="5"/>
      <c r="QTY22" s="5"/>
      <c r="QTZ22" s="5"/>
      <c r="QUA22" s="5"/>
      <c r="QUB22" s="5"/>
      <c r="QUC22" s="5"/>
      <c r="QUD22" s="5"/>
      <c r="QUE22" s="5"/>
      <c r="QUF22" s="5"/>
      <c r="QUG22" s="5"/>
      <c r="QUH22" s="5"/>
      <c r="QUI22" s="5"/>
      <c r="QUJ22" s="5"/>
      <c r="QUK22" s="5"/>
      <c r="QUL22" s="5"/>
      <c r="QUM22" s="5"/>
      <c r="QUN22" s="5"/>
      <c r="QUO22" s="5"/>
      <c r="QUP22" s="5"/>
      <c r="QUQ22" s="5"/>
      <c r="QUR22" s="5"/>
      <c r="QUS22" s="5"/>
      <c r="QUT22" s="5"/>
      <c r="QUU22" s="5"/>
      <c r="QUV22" s="5"/>
      <c r="QUW22" s="5"/>
      <c r="QUX22" s="5"/>
      <c r="QUY22" s="5"/>
      <c r="QUZ22" s="5"/>
      <c r="QVA22" s="5"/>
      <c r="QVB22" s="5"/>
      <c r="QVC22" s="5"/>
      <c r="QVD22" s="5"/>
      <c r="QVE22" s="5"/>
      <c r="QVF22" s="5"/>
      <c r="QVG22" s="5"/>
      <c r="QVH22" s="5"/>
      <c r="QVI22" s="5"/>
      <c r="QVJ22" s="5"/>
      <c r="QVK22" s="5"/>
      <c r="QVL22" s="5"/>
      <c r="QVM22" s="5"/>
      <c r="QVN22" s="5"/>
      <c r="QVO22" s="5"/>
      <c r="QVP22" s="5"/>
      <c r="QVQ22" s="5"/>
      <c r="QVR22" s="5"/>
      <c r="QVS22" s="5"/>
      <c r="QVT22" s="5"/>
      <c r="QVU22" s="5"/>
      <c r="QVV22" s="5"/>
      <c r="QVW22" s="5"/>
      <c r="QVX22" s="5"/>
      <c r="QVY22" s="5"/>
      <c r="QVZ22" s="5"/>
      <c r="QWA22" s="5"/>
      <c r="QWB22" s="5"/>
      <c r="QWC22" s="5"/>
      <c r="QWD22" s="5"/>
      <c r="QWE22" s="5"/>
      <c r="QWF22" s="5"/>
      <c r="QWG22" s="5"/>
      <c r="QWH22" s="5"/>
      <c r="QWI22" s="5"/>
      <c r="QWJ22" s="5"/>
      <c r="QWK22" s="5"/>
      <c r="QWL22" s="5"/>
      <c r="QWM22" s="5"/>
      <c r="QWN22" s="5"/>
      <c r="QWO22" s="5"/>
      <c r="QWP22" s="5"/>
      <c r="QWQ22" s="5"/>
      <c r="QWR22" s="5"/>
      <c r="QWS22" s="5"/>
      <c r="QWT22" s="5"/>
      <c r="QWU22" s="5"/>
      <c r="QWV22" s="5"/>
      <c r="QWW22" s="5"/>
      <c r="QWX22" s="5"/>
      <c r="QWY22" s="5"/>
      <c r="QWZ22" s="5"/>
      <c r="QXA22" s="5"/>
      <c r="QXB22" s="5"/>
      <c r="QXC22" s="5"/>
      <c r="QXD22" s="5"/>
      <c r="QXE22" s="5"/>
      <c r="QXF22" s="5"/>
      <c r="QXG22" s="5"/>
      <c r="QXH22" s="5"/>
      <c r="QXI22" s="5"/>
      <c r="QXJ22" s="5"/>
      <c r="QXK22" s="5"/>
      <c r="QXL22" s="5"/>
      <c r="QXM22" s="5"/>
      <c r="QXN22" s="5"/>
      <c r="QXO22" s="5"/>
      <c r="QXP22" s="5"/>
      <c r="QXQ22" s="5"/>
      <c r="QXR22" s="5"/>
      <c r="QXS22" s="5"/>
      <c r="QXT22" s="5"/>
      <c r="QXU22" s="5"/>
      <c r="QXV22" s="5"/>
      <c r="QXW22" s="5"/>
      <c r="QXX22" s="5"/>
      <c r="QXY22" s="5"/>
      <c r="QXZ22" s="5"/>
      <c r="QYA22" s="5"/>
      <c r="QYB22" s="5"/>
      <c r="QYC22" s="5"/>
      <c r="QYD22" s="5"/>
      <c r="QYE22" s="5"/>
      <c r="QYF22" s="5"/>
      <c r="QYG22" s="5"/>
      <c r="QYH22" s="5"/>
      <c r="QYI22" s="5"/>
      <c r="QYJ22" s="5"/>
      <c r="QYK22" s="5"/>
      <c r="QYL22" s="5"/>
      <c r="QYM22" s="5"/>
      <c r="QYN22" s="5"/>
      <c r="QYO22" s="5"/>
      <c r="QYP22" s="5"/>
      <c r="QYQ22" s="5"/>
      <c r="QYR22" s="5"/>
      <c r="QYS22" s="5"/>
      <c r="QYT22" s="5"/>
      <c r="QYU22" s="5"/>
      <c r="QYV22" s="5"/>
      <c r="QYW22" s="5"/>
      <c r="QYX22" s="5"/>
      <c r="QYY22" s="5"/>
      <c r="QYZ22" s="5"/>
      <c r="QZA22" s="5"/>
      <c r="QZB22" s="5"/>
      <c r="QZC22" s="5"/>
      <c r="QZD22" s="5"/>
      <c r="QZE22" s="5"/>
      <c r="QZF22" s="5"/>
      <c r="QZG22" s="5"/>
      <c r="QZH22" s="5"/>
      <c r="QZI22" s="5"/>
      <c r="QZJ22" s="5"/>
      <c r="QZK22" s="5"/>
      <c r="QZL22" s="5"/>
      <c r="QZM22" s="5"/>
      <c r="QZN22" s="5"/>
      <c r="QZO22" s="5"/>
      <c r="QZP22" s="5"/>
      <c r="QZQ22" s="5"/>
      <c r="QZR22" s="5"/>
      <c r="QZS22" s="5"/>
      <c r="QZT22" s="5"/>
      <c r="QZU22" s="5"/>
      <c r="QZV22" s="5"/>
      <c r="QZW22" s="5"/>
      <c r="QZX22" s="5"/>
      <c r="QZY22" s="5"/>
      <c r="QZZ22" s="5"/>
      <c r="RAA22" s="5"/>
      <c r="RAB22" s="5"/>
      <c r="RAC22" s="5"/>
      <c r="RAD22" s="5"/>
      <c r="RAE22" s="5"/>
      <c r="RAF22" s="5"/>
      <c r="RAG22" s="5"/>
      <c r="RAH22" s="5"/>
      <c r="RAI22" s="5"/>
      <c r="RAJ22" s="5"/>
      <c r="RAK22" s="5"/>
      <c r="RAL22" s="5"/>
      <c r="RAM22" s="5"/>
      <c r="RAN22" s="5"/>
      <c r="RAO22" s="5"/>
      <c r="RAP22" s="5"/>
      <c r="RAQ22" s="5"/>
      <c r="RAR22" s="5"/>
      <c r="RAS22" s="5"/>
      <c r="RAT22" s="5"/>
      <c r="RAU22" s="5"/>
      <c r="RAV22" s="5"/>
      <c r="RAW22" s="5"/>
      <c r="RAX22" s="5"/>
      <c r="RAY22" s="5"/>
      <c r="RAZ22" s="5"/>
      <c r="RBA22" s="5"/>
      <c r="RBB22" s="5"/>
      <c r="RBC22" s="5"/>
      <c r="RBD22" s="5"/>
      <c r="RBE22" s="5"/>
      <c r="RBF22" s="5"/>
      <c r="RBG22" s="5"/>
      <c r="RBH22" s="5"/>
      <c r="RBI22" s="5"/>
      <c r="RBJ22" s="5"/>
      <c r="RBK22" s="5"/>
      <c r="RBL22" s="5"/>
      <c r="RBM22" s="5"/>
      <c r="RBN22" s="5"/>
      <c r="RBO22" s="5"/>
      <c r="RBP22" s="5"/>
      <c r="RBQ22" s="5"/>
      <c r="RBR22" s="5"/>
      <c r="RBS22" s="5"/>
      <c r="RBT22" s="5"/>
      <c r="RBU22" s="5"/>
      <c r="RBV22" s="5"/>
      <c r="RBW22" s="5"/>
      <c r="RBX22" s="5"/>
      <c r="RBY22" s="5"/>
      <c r="RBZ22" s="5"/>
      <c r="RCA22" s="5"/>
      <c r="RCB22" s="5"/>
      <c r="RCC22" s="5"/>
      <c r="RCD22" s="5"/>
      <c r="RCE22" s="5"/>
      <c r="RCF22" s="5"/>
      <c r="RCG22" s="5"/>
      <c r="RCH22" s="5"/>
      <c r="RCI22" s="5"/>
      <c r="RCJ22" s="5"/>
      <c r="RCK22" s="5"/>
      <c r="RCL22" s="5"/>
      <c r="RCM22" s="5"/>
      <c r="RCN22" s="5"/>
      <c r="RCO22" s="5"/>
      <c r="RCP22" s="5"/>
      <c r="RCQ22" s="5"/>
      <c r="RCR22" s="5"/>
      <c r="RCS22" s="5"/>
      <c r="RCT22" s="5"/>
      <c r="RCU22" s="5"/>
      <c r="RCV22" s="5"/>
      <c r="RCW22" s="5"/>
      <c r="RCX22" s="5"/>
      <c r="RCY22" s="5"/>
      <c r="RCZ22" s="5"/>
      <c r="RDA22" s="5"/>
      <c r="RDB22" s="5"/>
      <c r="RDC22" s="5"/>
      <c r="RDD22" s="5"/>
      <c r="RDE22" s="5"/>
      <c r="RDF22" s="5"/>
      <c r="RDG22" s="5"/>
      <c r="RDH22" s="5"/>
      <c r="RDI22" s="5"/>
      <c r="RDJ22" s="5"/>
      <c r="RDK22" s="5"/>
      <c r="RDL22" s="5"/>
      <c r="RDM22" s="5"/>
      <c r="RDN22" s="5"/>
      <c r="RDO22" s="5"/>
      <c r="RDP22" s="5"/>
      <c r="RDQ22" s="5"/>
      <c r="RDR22" s="5"/>
      <c r="RDS22" s="5"/>
      <c r="RDT22" s="5"/>
      <c r="RDU22" s="5"/>
      <c r="RDV22" s="5"/>
      <c r="RDW22" s="5"/>
      <c r="RDX22" s="5"/>
      <c r="RDY22" s="5"/>
      <c r="RDZ22" s="5"/>
      <c r="REA22" s="5"/>
      <c r="REB22" s="5"/>
      <c r="REC22" s="5"/>
      <c r="RED22" s="5"/>
      <c r="REE22" s="5"/>
      <c r="REF22" s="5"/>
      <c r="REG22" s="5"/>
      <c r="REH22" s="5"/>
      <c r="REI22" s="5"/>
      <c r="REJ22" s="5"/>
      <c r="REK22" s="5"/>
      <c r="REL22" s="5"/>
      <c r="REM22" s="5"/>
      <c r="REN22" s="5"/>
      <c r="REO22" s="5"/>
      <c r="REP22" s="5"/>
      <c r="REQ22" s="5"/>
      <c r="RER22" s="5"/>
      <c r="RES22" s="5"/>
      <c r="RET22" s="5"/>
      <c r="REU22" s="5"/>
      <c r="REV22" s="5"/>
      <c r="REW22" s="5"/>
      <c r="REX22" s="5"/>
      <c r="REY22" s="5"/>
      <c r="REZ22" s="5"/>
      <c r="RFA22" s="5"/>
      <c r="RFB22" s="5"/>
      <c r="RFC22" s="5"/>
      <c r="RFD22" s="5"/>
      <c r="RFE22" s="5"/>
      <c r="RFF22" s="5"/>
      <c r="RFG22" s="5"/>
      <c r="RFH22" s="5"/>
      <c r="RFI22" s="5"/>
      <c r="RFJ22" s="5"/>
      <c r="RFK22" s="5"/>
      <c r="RFL22" s="5"/>
      <c r="RFM22" s="5"/>
      <c r="RFN22" s="5"/>
      <c r="RFO22" s="5"/>
      <c r="RFP22" s="5"/>
      <c r="RFQ22" s="5"/>
      <c r="RFR22" s="5"/>
      <c r="RFS22" s="5"/>
      <c r="RFT22" s="5"/>
      <c r="RFU22" s="5"/>
      <c r="RFV22" s="5"/>
      <c r="RFW22" s="5"/>
      <c r="RFX22" s="5"/>
      <c r="RFY22" s="5"/>
      <c r="RFZ22" s="5"/>
      <c r="RGA22" s="5"/>
      <c r="RGB22" s="5"/>
      <c r="RGC22" s="5"/>
      <c r="RGD22" s="5"/>
      <c r="RGE22" s="5"/>
      <c r="RGF22" s="5"/>
      <c r="RGG22" s="5"/>
      <c r="RGH22" s="5"/>
      <c r="RGI22" s="5"/>
      <c r="RGJ22" s="5"/>
      <c r="RGK22" s="5"/>
      <c r="RGL22" s="5"/>
      <c r="RGM22" s="5"/>
      <c r="RGN22" s="5"/>
      <c r="RGO22" s="5"/>
      <c r="RGP22" s="5"/>
      <c r="RGQ22" s="5"/>
      <c r="RGR22" s="5"/>
      <c r="RGS22" s="5"/>
      <c r="RGT22" s="5"/>
      <c r="RGU22" s="5"/>
      <c r="RGV22" s="5"/>
      <c r="RGW22" s="5"/>
      <c r="RGX22" s="5"/>
      <c r="RGY22" s="5"/>
      <c r="RGZ22" s="5"/>
      <c r="RHA22" s="5"/>
      <c r="RHB22" s="5"/>
      <c r="RHC22" s="5"/>
      <c r="RHD22" s="5"/>
      <c r="RHE22" s="5"/>
      <c r="RHF22" s="5"/>
      <c r="RHG22" s="5"/>
      <c r="RHH22" s="5"/>
      <c r="RHI22" s="5"/>
      <c r="RHJ22" s="5"/>
      <c r="RHK22" s="5"/>
      <c r="RHL22" s="5"/>
      <c r="RHM22" s="5"/>
      <c r="RHN22" s="5"/>
      <c r="RHO22" s="5"/>
      <c r="RHP22" s="5"/>
      <c r="RHQ22" s="5"/>
      <c r="RHR22" s="5"/>
      <c r="RHS22" s="5"/>
      <c r="RHT22" s="5"/>
      <c r="RHU22" s="5"/>
      <c r="RHV22" s="5"/>
      <c r="RHW22" s="5"/>
      <c r="RHX22" s="5"/>
      <c r="RHY22" s="5"/>
      <c r="RHZ22" s="5"/>
      <c r="RIA22" s="5"/>
      <c r="RIB22" s="5"/>
      <c r="RIC22" s="5"/>
      <c r="RID22" s="5"/>
      <c r="RIE22" s="5"/>
      <c r="RIF22" s="5"/>
      <c r="RIG22" s="5"/>
      <c r="RIH22" s="5"/>
      <c r="RII22" s="5"/>
      <c r="RIJ22" s="5"/>
      <c r="RIK22" s="5"/>
      <c r="RIL22" s="5"/>
      <c r="RIM22" s="5"/>
      <c r="RIN22" s="5"/>
      <c r="RIO22" s="5"/>
      <c r="RIP22" s="5"/>
      <c r="RIQ22" s="5"/>
      <c r="RIR22" s="5"/>
      <c r="RIS22" s="5"/>
      <c r="RIT22" s="5"/>
      <c r="RIU22" s="5"/>
      <c r="RIV22" s="5"/>
      <c r="RIW22" s="5"/>
      <c r="RIX22" s="5"/>
      <c r="RIY22" s="5"/>
      <c r="RIZ22" s="5"/>
      <c r="RJA22" s="5"/>
      <c r="RJB22" s="5"/>
      <c r="RJC22" s="5"/>
      <c r="RJD22" s="5"/>
      <c r="RJE22" s="5"/>
      <c r="RJF22" s="5"/>
      <c r="RJG22" s="5"/>
      <c r="RJH22" s="5"/>
      <c r="RJI22" s="5"/>
      <c r="RJJ22" s="5"/>
      <c r="RJK22" s="5"/>
      <c r="RJL22" s="5"/>
      <c r="RJM22" s="5"/>
      <c r="RJN22" s="5"/>
      <c r="RJO22" s="5"/>
      <c r="RJP22" s="5"/>
      <c r="RJQ22" s="5"/>
      <c r="RJR22" s="5"/>
      <c r="RJS22" s="5"/>
      <c r="RJT22" s="5"/>
      <c r="RJU22" s="5"/>
      <c r="RJV22" s="5"/>
      <c r="RJW22" s="5"/>
      <c r="RJX22" s="5"/>
      <c r="RJY22" s="5"/>
      <c r="RJZ22" s="5"/>
      <c r="RKA22" s="5"/>
      <c r="RKB22" s="5"/>
      <c r="RKC22" s="5"/>
      <c r="RKD22" s="5"/>
      <c r="RKE22" s="5"/>
      <c r="RKF22" s="5"/>
      <c r="RKG22" s="5"/>
      <c r="RKH22" s="5"/>
      <c r="RKI22" s="5"/>
      <c r="RKJ22" s="5"/>
      <c r="RKK22" s="5"/>
      <c r="RKL22" s="5"/>
      <c r="RKM22" s="5"/>
      <c r="RKN22" s="5"/>
      <c r="RKO22" s="5"/>
      <c r="RKP22" s="5"/>
      <c r="RKQ22" s="5"/>
      <c r="RKR22" s="5"/>
      <c r="RKS22" s="5"/>
      <c r="RKT22" s="5"/>
      <c r="RKU22" s="5"/>
      <c r="RKV22" s="5"/>
      <c r="RKW22" s="5"/>
      <c r="RKX22" s="5"/>
      <c r="RKY22" s="5"/>
      <c r="RKZ22" s="5"/>
      <c r="RLA22" s="5"/>
      <c r="RLB22" s="5"/>
      <c r="RLC22" s="5"/>
      <c r="RLD22" s="5"/>
      <c r="RLE22" s="5"/>
      <c r="RLF22" s="5"/>
      <c r="RLG22" s="5"/>
      <c r="RLH22" s="5"/>
      <c r="RLI22" s="5"/>
      <c r="RLJ22" s="5"/>
      <c r="RLK22" s="5"/>
      <c r="RLL22" s="5"/>
      <c r="RLM22" s="5"/>
      <c r="RLN22" s="5"/>
      <c r="RLO22" s="5"/>
      <c r="RLP22" s="5"/>
      <c r="RLQ22" s="5"/>
      <c r="RLR22" s="5"/>
      <c r="RLS22" s="5"/>
      <c r="RLT22" s="5"/>
      <c r="RLU22" s="5"/>
      <c r="RLV22" s="5"/>
      <c r="RLW22" s="5"/>
      <c r="RLX22" s="5"/>
      <c r="RLY22" s="5"/>
      <c r="RLZ22" s="5"/>
      <c r="RMA22" s="5"/>
      <c r="RMB22" s="5"/>
      <c r="RMC22" s="5"/>
      <c r="RMD22" s="5"/>
      <c r="RME22" s="5"/>
      <c r="RMF22" s="5"/>
      <c r="RMG22" s="5"/>
      <c r="RMH22" s="5"/>
      <c r="RMI22" s="5"/>
      <c r="RMJ22" s="5"/>
      <c r="RMK22" s="5"/>
      <c r="RML22" s="5"/>
      <c r="RMM22" s="5"/>
      <c r="RMN22" s="5"/>
      <c r="RMO22" s="5"/>
      <c r="RMP22" s="5"/>
      <c r="RMQ22" s="5"/>
      <c r="RMR22" s="5"/>
      <c r="RMS22" s="5"/>
      <c r="RMT22" s="5"/>
      <c r="RMU22" s="5"/>
      <c r="RMV22" s="5"/>
      <c r="RMW22" s="5"/>
      <c r="RMX22" s="5"/>
      <c r="RMY22" s="5"/>
      <c r="RMZ22" s="5"/>
      <c r="RNA22" s="5"/>
      <c r="RNB22" s="5"/>
      <c r="RNC22" s="5"/>
      <c r="RND22" s="5"/>
      <c r="RNE22" s="5"/>
      <c r="RNF22" s="5"/>
      <c r="RNG22" s="5"/>
      <c r="RNH22" s="5"/>
      <c r="RNI22" s="5"/>
      <c r="RNJ22" s="5"/>
      <c r="RNK22" s="5"/>
      <c r="RNL22" s="5"/>
      <c r="RNM22" s="5"/>
      <c r="RNN22" s="5"/>
      <c r="RNO22" s="5"/>
      <c r="RNP22" s="5"/>
      <c r="RNQ22" s="5"/>
      <c r="RNR22" s="5"/>
      <c r="RNS22" s="5"/>
      <c r="RNT22" s="5"/>
      <c r="RNU22" s="5"/>
      <c r="RNV22" s="5"/>
      <c r="RNW22" s="5"/>
      <c r="RNX22" s="5"/>
      <c r="RNY22" s="5"/>
      <c r="RNZ22" s="5"/>
      <c r="ROA22" s="5"/>
      <c r="ROB22" s="5"/>
      <c r="ROC22" s="5"/>
      <c r="ROD22" s="5"/>
      <c r="ROE22" s="5"/>
      <c r="ROF22" s="5"/>
      <c r="ROG22" s="5"/>
      <c r="ROH22" s="5"/>
      <c r="ROI22" s="5"/>
      <c r="ROJ22" s="5"/>
      <c r="ROK22" s="5"/>
      <c r="ROL22" s="5"/>
      <c r="ROM22" s="5"/>
      <c r="RON22" s="5"/>
      <c r="ROO22" s="5"/>
      <c r="ROP22" s="5"/>
      <c r="ROQ22" s="5"/>
      <c r="ROR22" s="5"/>
      <c r="ROS22" s="5"/>
      <c r="ROT22" s="5"/>
      <c r="ROU22" s="5"/>
      <c r="ROV22" s="5"/>
      <c r="ROW22" s="5"/>
      <c r="ROX22" s="5"/>
      <c r="ROY22" s="5"/>
      <c r="ROZ22" s="5"/>
      <c r="RPA22" s="5"/>
      <c r="RPB22" s="5"/>
      <c r="RPC22" s="5"/>
      <c r="RPD22" s="5"/>
      <c r="RPE22" s="5"/>
      <c r="RPF22" s="5"/>
      <c r="RPG22" s="5"/>
      <c r="RPH22" s="5"/>
      <c r="RPI22" s="5"/>
      <c r="RPJ22" s="5"/>
      <c r="RPK22" s="5"/>
      <c r="RPL22" s="5"/>
      <c r="RPM22" s="5"/>
      <c r="RPN22" s="5"/>
      <c r="RPO22" s="5"/>
      <c r="RPP22" s="5"/>
      <c r="RPQ22" s="5"/>
      <c r="RPR22" s="5"/>
      <c r="RPS22" s="5"/>
      <c r="RPT22" s="5"/>
      <c r="RPU22" s="5"/>
      <c r="RPV22" s="5"/>
      <c r="RPW22" s="5"/>
      <c r="RPX22" s="5"/>
      <c r="RPY22" s="5"/>
      <c r="RPZ22" s="5"/>
      <c r="RQA22" s="5"/>
      <c r="RQB22" s="5"/>
      <c r="RQC22" s="5"/>
      <c r="RQD22" s="5"/>
      <c r="RQE22" s="5"/>
      <c r="RQF22" s="5"/>
      <c r="RQG22" s="5"/>
      <c r="RQH22" s="5"/>
      <c r="RQI22" s="5"/>
      <c r="RQJ22" s="5"/>
      <c r="RQK22" s="5"/>
      <c r="RQL22" s="5"/>
      <c r="RQM22" s="5"/>
      <c r="RQN22" s="5"/>
      <c r="RQO22" s="5"/>
      <c r="RQP22" s="5"/>
      <c r="RQQ22" s="5"/>
      <c r="RQR22" s="5"/>
      <c r="RQS22" s="5"/>
      <c r="RQT22" s="5"/>
      <c r="RQU22" s="5"/>
      <c r="RQV22" s="5"/>
      <c r="RQW22" s="5"/>
      <c r="RQX22" s="5"/>
      <c r="RQY22" s="5"/>
      <c r="RQZ22" s="5"/>
      <c r="RRA22" s="5"/>
      <c r="RRB22" s="5"/>
      <c r="RRC22" s="5"/>
      <c r="RRD22" s="5"/>
      <c r="RRE22" s="5"/>
      <c r="RRF22" s="5"/>
      <c r="RRG22" s="5"/>
      <c r="RRH22" s="5"/>
      <c r="RRI22" s="5"/>
      <c r="RRJ22" s="5"/>
      <c r="RRK22" s="5"/>
      <c r="RRL22" s="5"/>
      <c r="RRM22" s="5"/>
      <c r="RRN22" s="5"/>
      <c r="RRO22" s="5"/>
      <c r="RRP22" s="5"/>
      <c r="RRQ22" s="5"/>
      <c r="RRR22" s="5"/>
      <c r="RRS22" s="5"/>
      <c r="RRT22" s="5"/>
      <c r="RRU22" s="5"/>
      <c r="RRV22" s="5"/>
      <c r="RRW22" s="5"/>
      <c r="RRX22" s="5"/>
      <c r="RRY22" s="5"/>
      <c r="RRZ22" s="5"/>
      <c r="RSA22" s="5"/>
      <c r="RSB22" s="5"/>
      <c r="RSC22" s="5"/>
      <c r="RSD22" s="5"/>
      <c r="RSE22" s="5"/>
      <c r="RSF22" s="5"/>
      <c r="RSG22" s="5"/>
      <c r="RSH22" s="5"/>
      <c r="RSI22" s="5"/>
      <c r="RSJ22" s="5"/>
      <c r="RSK22" s="5"/>
      <c r="RSL22" s="5"/>
      <c r="RSM22" s="5"/>
      <c r="RSN22" s="5"/>
      <c r="RSO22" s="5"/>
      <c r="RSP22" s="5"/>
      <c r="RSQ22" s="5"/>
      <c r="RSR22" s="5"/>
      <c r="RSS22" s="5"/>
      <c r="RST22" s="5"/>
      <c r="RSU22" s="5"/>
      <c r="RSV22" s="5"/>
      <c r="RSW22" s="5"/>
      <c r="RSX22" s="5"/>
      <c r="RSY22" s="5"/>
      <c r="RSZ22" s="5"/>
      <c r="RTA22" s="5"/>
      <c r="RTB22" s="5"/>
      <c r="RTC22" s="5"/>
      <c r="RTD22" s="5"/>
      <c r="RTE22" s="5"/>
      <c r="RTF22" s="5"/>
      <c r="RTG22" s="5"/>
      <c r="RTH22" s="5"/>
      <c r="RTI22" s="5"/>
      <c r="RTJ22" s="5"/>
      <c r="RTK22" s="5"/>
      <c r="RTL22" s="5"/>
      <c r="RTM22" s="5"/>
      <c r="RTN22" s="5"/>
      <c r="RTO22" s="5"/>
      <c r="RTP22" s="5"/>
      <c r="RTQ22" s="5"/>
      <c r="RTR22" s="5"/>
      <c r="RTS22" s="5"/>
      <c r="RTT22" s="5"/>
      <c r="RTU22" s="5"/>
      <c r="RTV22" s="5"/>
      <c r="RTW22" s="5"/>
      <c r="RTX22" s="5"/>
      <c r="RTY22" s="5"/>
      <c r="RTZ22" s="5"/>
      <c r="RUA22" s="5"/>
      <c r="RUB22" s="5"/>
      <c r="RUC22" s="5"/>
      <c r="RUD22" s="5"/>
      <c r="RUE22" s="5"/>
      <c r="RUF22" s="5"/>
      <c r="RUG22" s="5"/>
      <c r="RUH22" s="5"/>
      <c r="RUI22" s="5"/>
      <c r="RUJ22" s="5"/>
      <c r="RUK22" s="5"/>
      <c r="RUL22" s="5"/>
      <c r="RUM22" s="5"/>
      <c r="RUN22" s="5"/>
      <c r="RUO22" s="5"/>
      <c r="RUP22" s="5"/>
      <c r="RUQ22" s="5"/>
      <c r="RUR22" s="5"/>
      <c r="RUS22" s="5"/>
      <c r="RUT22" s="5"/>
      <c r="RUU22" s="5"/>
      <c r="RUV22" s="5"/>
      <c r="RUW22" s="5"/>
      <c r="RUX22" s="5"/>
      <c r="RUY22" s="5"/>
      <c r="RUZ22" s="5"/>
      <c r="RVA22" s="5"/>
      <c r="RVB22" s="5"/>
      <c r="RVC22" s="5"/>
      <c r="RVD22" s="5"/>
      <c r="RVE22" s="5"/>
      <c r="RVF22" s="5"/>
      <c r="RVG22" s="5"/>
      <c r="RVH22" s="5"/>
      <c r="RVI22" s="5"/>
      <c r="RVJ22" s="5"/>
      <c r="RVK22" s="5"/>
      <c r="RVL22" s="5"/>
      <c r="RVM22" s="5"/>
      <c r="RVN22" s="5"/>
      <c r="RVO22" s="5"/>
      <c r="RVP22" s="5"/>
      <c r="RVQ22" s="5"/>
      <c r="RVR22" s="5"/>
      <c r="RVS22" s="5"/>
      <c r="RVT22" s="5"/>
      <c r="RVU22" s="5"/>
      <c r="RVV22" s="5"/>
      <c r="RVW22" s="5"/>
      <c r="RVX22" s="5"/>
      <c r="RVY22" s="5"/>
      <c r="RVZ22" s="5"/>
      <c r="RWA22" s="5"/>
      <c r="RWB22" s="5"/>
      <c r="RWC22" s="5"/>
      <c r="RWD22" s="5"/>
      <c r="RWE22" s="5"/>
      <c r="RWF22" s="5"/>
      <c r="RWG22" s="5"/>
      <c r="RWH22" s="5"/>
      <c r="RWI22" s="5"/>
      <c r="RWJ22" s="5"/>
      <c r="RWK22" s="5"/>
      <c r="RWL22" s="5"/>
      <c r="RWM22" s="5"/>
      <c r="RWN22" s="5"/>
      <c r="RWO22" s="5"/>
      <c r="RWP22" s="5"/>
      <c r="RWQ22" s="5"/>
      <c r="RWR22" s="5"/>
      <c r="RWS22" s="5"/>
      <c r="RWT22" s="5"/>
      <c r="RWU22" s="5"/>
      <c r="RWV22" s="5"/>
      <c r="RWW22" s="5"/>
      <c r="RWX22" s="5"/>
      <c r="RWY22" s="5"/>
      <c r="RWZ22" s="5"/>
      <c r="RXA22" s="5"/>
      <c r="RXB22" s="5"/>
      <c r="RXC22" s="5"/>
      <c r="RXD22" s="5"/>
      <c r="RXE22" s="5"/>
      <c r="RXF22" s="5"/>
      <c r="RXG22" s="5"/>
      <c r="RXH22" s="5"/>
      <c r="RXI22" s="5"/>
      <c r="RXJ22" s="5"/>
      <c r="RXK22" s="5"/>
      <c r="RXL22" s="5"/>
      <c r="RXM22" s="5"/>
      <c r="RXN22" s="5"/>
      <c r="RXO22" s="5"/>
      <c r="RXP22" s="5"/>
      <c r="RXQ22" s="5"/>
      <c r="RXR22" s="5"/>
      <c r="RXS22" s="5"/>
      <c r="RXT22" s="5"/>
      <c r="RXU22" s="5"/>
      <c r="RXV22" s="5"/>
      <c r="RXW22" s="5"/>
      <c r="RXX22" s="5"/>
      <c r="RXY22" s="5"/>
      <c r="RXZ22" s="5"/>
      <c r="RYA22" s="5"/>
      <c r="RYB22" s="5"/>
      <c r="RYC22" s="5"/>
      <c r="RYD22" s="5"/>
      <c r="RYE22" s="5"/>
      <c r="RYF22" s="5"/>
      <c r="RYG22" s="5"/>
      <c r="RYH22" s="5"/>
      <c r="RYI22" s="5"/>
      <c r="RYJ22" s="5"/>
      <c r="RYK22" s="5"/>
      <c r="RYL22" s="5"/>
      <c r="RYM22" s="5"/>
      <c r="RYN22" s="5"/>
      <c r="RYO22" s="5"/>
      <c r="RYP22" s="5"/>
      <c r="RYQ22" s="5"/>
      <c r="RYR22" s="5"/>
      <c r="RYS22" s="5"/>
      <c r="RYT22" s="5"/>
      <c r="RYU22" s="5"/>
      <c r="RYV22" s="5"/>
      <c r="RYW22" s="5"/>
      <c r="RYX22" s="5"/>
      <c r="RYY22" s="5"/>
      <c r="RYZ22" s="5"/>
      <c r="RZA22" s="5"/>
      <c r="RZB22" s="5"/>
      <c r="RZC22" s="5"/>
      <c r="RZD22" s="5"/>
      <c r="RZE22" s="5"/>
      <c r="RZF22" s="5"/>
      <c r="RZG22" s="5"/>
      <c r="RZH22" s="5"/>
      <c r="RZI22" s="5"/>
      <c r="RZJ22" s="5"/>
      <c r="RZK22" s="5"/>
      <c r="RZL22" s="5"/>
      <c r="RZM22" s="5"/>
      <c r="RZN22" s="5"/>
      <c r="RZO22" s="5"/>
      <c r="RZP22" s="5"/>
      <c r="RZQ22" s="5"/>
      <c r="RZR22" s="5"/>
      <c r="RZS22" s="5"/>
      <c r="RZT22" s="5"/>
      <c r="RZU22" s="5"/>
      <c r="RZV22" s="5"/>
      <c r="RZW22" s="5"/>
      <c r="RZX22" s="5"/>
      <c r="RZY22" s="5"/>
      <c r="RZZ22" s="5"/>
      <c r="SAA22" s="5"/>
      <c r="SAB22" s="5"/>
      <c r="SAC22" s="5"/>
      <c r="SAD22" s="5"/>
      <c r="SAE22" s="5"/>
      <c r="SAF22" s="5"/>
      <c r="SAG22" s="5"/>
      <c r="SAH22" s="5"/>
      <c r="SAI22" s="5"/>
      <c r="SAJ22" s="5"/>
      <c r="SAK22" s="5"/>
      <c r="SAL22" s="5"/>
      <c r="SAM22" s="5"/>
      <c r="SAN22" s="5"/>
      <c r="SAO22" s="5"/>
      <c r="SAP22" s="5"/>
      <c r="SAQ22" s="5"/>
      <c r="SAR22" s="5"/>
      <c r="SAS22" s="5"/>
      <c r="SAT22" s="5"/>
      <c r="SAU22" s="5"/>
      <c r="SAV22" s="5"/>
      <c r="SAW22" s="5"/>
      <c r="SAX22" s="5"/>
      <c r="SAY22" s="5"/>
      <c r="SAZ22" s="5"/>
      <c r="SBA22" s="5"/>
      <c r="SBB22" s="5"/>
      <c r="SBC22" s="5"/>
      <c r="SBD22" s="5"/>
      <c r="SBE22" s="5"/>
      <c r="SBF22" s="5"/>
      <c r="SBG22" s="5"/>
      <c r="SBH22" s="5"/>
      <c r="SBI22" s="5"/>
      <c r="SBJ22" s="5"/>
      <c r="SBK22" s="5"/>
      <c r="SBL22" s="5"/>
      <c r="SBM22" s="5"/>
      <c r="SBN22" s="5"/>
      <c r="SBO22" s="5"/>
      <c r="SBP22" s="5"/>
      <c r="SBQ22" s="5"/>
      <c r="SBR22" s="5"/>
      <c r="SBS22" s="5"/>
      <c r="SBT22" s="5"/>
      <c r="SBU22" s="5"/>
      <c r="SBV22" s="5"/>
      <c r="SBW22" s="5"/>
      <c r="SBX22" s="5"/>
      <c r="SBY22" s="5"/>
      <c r="SBZ22" s="5"/>
      <c r="SCA22" s="5"/>
      <c r="SCB22" s="5"/>
      <c r="SCC22" s="5"/>
      <c r="SCD22" s="5"/>
      <c r="SCE22" s="5"/>
      <c r="SCF22" s="5"/>
      <c r="SCG22" s="5"/>
      <c r="SCH22" s="5"/>
      <c r="SCI22" s="5"/>
      <c r="SCJ22" s="5"/>
      <c r="SCK22" s="5"/>
      <c r="SCL22" s="5"/>
      <c r="SCM22" s="5"/>
      <c r="SCN22" s="5"/>
      <c r="SCO22" s="5"/>
      <c r="SCP22" s="5"/>
      <c r="SCQ22" s="5"/>
      <c r="SCR22" s="5"/>
      <c r="SCS22" s="5"/>
      <c r="SCT22" s="5"/>
      <c r="SCU22" s="5"/>
      <c r="SCV22" s="5"/>
      <c r="SCW22" s="5"/>
      <c r="SCX22" s="5"/>
      <c r="SCY22" s="5"/>
      <c r="SCZ22" s="5"/>
      <c r="SDA22" s="5"/>
      <c r="SDB22" s="5"/>
      <c r="SDC22" s="5"/>
      <c r="SDD22" s="5"/>
      <c r="SDE22" s="5"/>
      <c r="SDF22" s="5"/>
      <c r="SDG22" s="5"/>
      <c r="SDH22" s="5"/>
      <c r="SDI22" s="5"/>
      <c r="SDJ22" s="5"/>
      <c r="SDK22" s="5"/>
      <c r="SDL22" s="5"/>
      <c r="SDM22" s="5"/>
      <c r="SDN22" s="5"/>
      <c r="SDO22" s="5"/>
      <c r="SDP22" s="5"/>
      <c r="SDQ22" s="5"/>
      <c r="SDR22" s="5"/>
      <c r="SDS22" s="5"/>
      <c r="SDT22" s="5"/>
      <c r="SDU22" s="5"/>
      <c r="SDV22" s="5"/>
      <c r="SDW22" s="5"/>
      <c r="SDX22" s="5"/>
      <c r="SDY22" s="5"/>
      <c r="SDZ22" s="5"/>
      <c r="SEA22" s="5"/>
      <c r="SEB22" s="5"/>
      <c r="SEC22" s="5"/>
      <c r="SED22" s="5"/>
      <c r="SEE22" s="5"/>
      <c r="SEF22" s="5"/>
      <c r="SEG22" s="5"/>
      <c r="SEH22" s="5"/>
      <c r="SEI22" s="5"/>
      <c r="SEJ22" s="5"/>
      <c r="SEK22" s="5"/>
      <c r="SEL22" s="5"/>
      <c r="SEM22" s="5"/>
      <c r="SEN22" s="5"/>
      <c r="SEO22" s="5"/>
      <c r="SEP22" s="5"/>
      <c r="SEQ22" s="5"/>
      <c r="SER22" s="5"/>
      <c r="SES22" s="5"/>
      <c r="SET22" s="5"/>
      <c r="SEU22" s="5"/>
      <c r="SEV22" s="5"/>
      <c r="SEW22" s="5"/>
      <c r="SEX22" s="5"/>
      <c r="SEY22" s="5"/>
      <c r="SEZ22" s="5"/>
      <c r="SFA22" s="5"/>
      <c r="SFB22" s="5"/>
      <c r="SFC22" s="5"/>
      <c r="SFD22" s="5"/>
      <c r="SFE22" s="5"/>
      <c r="SFF22" s="5"/>
      <c r="SFG22" s="5"/>
      <c r="SFH22" s="5"/>
      <c r="SFI22" s="5"/>
      <c r="SFJ22" s="5"/>
      <c r="SFK22" s="5"/>
      <c r="SFL22" s="5"/>
      <c r="SFM22" s="5"/>
      <c r="SFN22" s="5"/>
      <c r="SFO22" s="5"/>
      <c r="SFP22" s="5"/>
      <c r="SFQ22" s="5"/>
      <c r="SFR22" s="5"/>
      <c r="SFS22" s="5"/>
      <c r="SFT22" s="5"/>
      <c r="SFU22" s="5"/>
      <c r="SFV22" s="5"/>
      <c r="SFW22" s="5"/>
      <c r="SFX22" s="5"/>
      <c r="SFY22" s="5"/>
      <c r="SFZ22" s="5"/>
      <c r="SGA22" s="5"/>
      <c r="SGB22" s="5"/>
      <c r="SGC22" s="5"/>
      <c r="SGD22" s="5"/>
      <c r="SGE22" s="5"/>
      <c r="SGF22" s="5"/>
      <c r="SGG22" s="5"/>
      <c r="SGH22" s="5"/>
      <c r="SGI22" s="5"/>
      <c r="SGJ22" s="5"/>
      <c r="SGK22" s="5"/>
      <c r="SGL22" s="5"/>
      <c r="SGM22" s="5"/>
      <c r="SGN22" s="5"/>
      <c r="SGO22" s="5"/>
      <c r="SGP22" s="5"/>
      <c r="SGQ22" s="5"/>
      <c r="SGR22" s="5"/>
      <c r="SGS22" s="5"/>
      <c r="SGT22" s="5"/>
      <c r="SGU22" s="5"/>
      <c r="SGV22" s="5"/>
      <c r="SGW22" s="5"/>
      <c r="SGX22" s="5"/>
      <c r="SGY22" s="5"/>
      <c r="SGZ22" s="5"/>
      <c r="SHA22" s="5"/>
      <c r="SHB22" s="5"/>
      <c r="SHC22" s="5"/>
      <c r="SHD22" s="5"/>
      <c r="SHE22" s="5"/>
      <c r="SHF22" s="5"/>
      <c r="SHG22" s="5"/>
      <c r="SHH22" s="5"/>
      <c r="SHI22" s="5"/>
      <c r="SHJ22" s="5"/>
      <c r="SHK22" s="5"/>
      <c r="SHL22" s="5"/>
      <c r="SHM22" s="5"/>
      <c r="SHN22" s="5"/>
      <c r="SHO22" s="5"/>
      <c r="SHP22" s="5"/>
      <c r="SHQ22" s="5"/>
      <c r="SHR22" s="5"/>
      <c r="SHS22" s="5"/>
      <c r="SHT22" s="5"/>
      <c r="SHU22" s="5"/>
      <c r="SHV22" s="5"/>
      <c r="SHW22" s="5"/>
      <c r="SHX22" s="5"/>
      <c r="SHY22" s="5"/>
      <c r="SHZ22" s="5"/>
      <c r="SIA22" s="5"/>
      <c r="SIB22" s="5"/>
      <c r="SIC22" s="5"/>
      <c r="SID22" s="5"/>
      <c r="SIE22" s="5"/>
      <c r="SIF22" s="5"/>
      <c r="SIG22" s="5"/>
      <c r="SIH22" s="5"/>
      <c r="SII22" s="5"/>
      <c r="SIJ22" s="5"/>
      <c r="SIK22" s="5"/>
      <c r="SIL22" s="5"/>
      <c r="SIM22" s="5"/>
      <c r="SIN22" s="5"/>
      <c r="SIO22" s="5"/>
      <c r="SIP22" s="5"/>
      <c r="SIQ22" s="5"/>
      <c r="SIR22" s="5"/>
      <c r="SIS22" s="5"/>
      <c r="SIT22" s="5"/>
      <c r="SIU22" s="5"/>
      <c r="SIV22" s="5"/>
      <c r="SIW22" s="5"/>
      <c r="SIX22" s="5"/>
      <c r="SIY22" s="5"/>
      <c r="SIZ22" s="5"/>
      <c r="SJA22" s="5"/>
      <c r="SJB22" s="5"/>
      <c r="SJC22" s="5"/>
      <c r="SJD22" s="5"/>
      <c r="SJE22" s="5"/>
      <c r="SJF22" s="5"/>
      <c r="SJG22" s="5"/>
      <c r="SJH22" s="5"/>
      <c r="SJI22" s="5"/>
      <c r="SJJ22" s="5"/>
      <c r="SJK22" s="5"/>
      <c r="SJL22" s="5"/>
      <c r="SJM22" s="5"/>
      <c r="SJN22" s="5"/>
      <c r="SJO22" s="5"/>
      <c r="SJP22" s="5"/>
      <c r="SJQ22" s="5"/>
      <c r="SJR22" s="5"/>
      <c r="SJS22" s="5"/>
      <c r="SJT22" s="5"/>
      <c r="SJU22" s="5"/>
      <c r="SJV22" s="5"/>
      <c r="SJW22" s="5"/>
      <c r="SJX22" s="5"/>
      <c r="SJY22" s="5"/>
      <c r="SJZ22" s="5"/>
      <c r="SKA22" s="5"/>
      <c r="SKB22" s="5"/>
      <c r="SKC22" s="5"/>
      <c r="SKD22" s="5"/>
      <c r="SKE22" s="5"/>
      <c r="SKF22" s="5"/>
      <c r="SKG22" s="5"/>
      <c r="SKH22" s="5"/>
      <c r="SKI22" s="5"/>
      <c r="SKJ22" s="5"/>
      <c r="SKK22" s="5"/>
      <c r="SKL22" s="5"/>
      <c r="SKM22" s="5"/>
      <c r="SKN22" s="5"/>
      <c r="SKO22" s="5"/>
      <c r="SKP22" s="5"/>
      <c r="SKQ22" s="5"/>
      <c r="SKR22" s="5"/>
      <c r="SKS22" s="5"/>
      <c r="SKT22" s="5"/>
      <c r="SKU22" s="5"/>
      <c r="SKV22" s="5"/>
      <c r="SKW22" s="5"/>
      <c r="SKX22" s="5"/>
      <c r="SKY22" s="5"/>
      <c r="SKZ22" s="5"/>
      <c r="SLA22" s="5"/>
      <c r="SLB22" s="5"/>
      <c r="SLC22" s="5"/>
      <c r="SLD22" s="5"/>
      <c r="SLE22" s="5"/>
      <c r="SLF22" s="5"/>
      <c r="SLG22" s="5"/>
      <c r="SLH22" s="5"/>
      <c r="SLI22" s="5"/>
      <c r="SLJ22" s="5"/>
      <c r="SLK22" s="5"/>
      <c r="SLL22" s="5"/>
      <c r="SLM22" s="5"/>
      <c r="SLN22" s="5"/>
      <c r="SLO22" s="5"/>
      <c r="SLP22" s="5"/>
      <c r="SLQ22" s="5"/>
      <c r="SLR22" s="5"/>
      <c r="SLS22" s="5"/>
      <c r="SLT22" s="5"/>
      <c r="SLU22" s="5"/>
      <c r="SLV22" s="5"/>
      <c r="SLW22" s="5"/>
      <c r="SLX22" s="5"/>
      <c r="SLY22" s="5"/>
      <c r="SLZ22" s="5"/>
      <c r="SMA22" s="5"/>
      <c r="SMB22" s="5"/>
      <c r="SMC22" s="5"/>
      <c r="SMD22" s="5"/>
      <c r="SME22" s="5"/>
      <c r="SMF22" s="5"/>
      <c r="SMG22" s="5"/>
      <c r="SMH22" s="5"/>
      <c r="SMI22" s="5"/>
      <c r="SMJ22" s="5"/>
      <c r="SMK22" s="5"/>
      <c r="SML22" s="5"/>
      <c r="SMM22" s="5"/>
      <c r="SMN22" s="5"/>
      <c r="SMO22" s="5"/>
      <c r="SMP22" s="5"/>
      <c r="SMQ22" s="5"/>
      <c r="SMR22" s="5"/>
      <c r="SMS22" s="5"/>
      <c r="SMT22" s="5"/>
      <c r="SMU22" s="5"/>
      <c r="SMV22" s="5"/>
      <c r="SMW22" s="5"/>
      <c r="SMX22" s="5"/>
      <c r="SMY22" s="5"/>
      <c r="SMZ22" s="5"/>
      <c r="SNA22" s="5"/>
      <c r="SNB22" s="5"/>
      <c r="SNC22" s="5"/>
      <c r="SND22" s="5"/>
      <c r="SNE22" s="5"/>
      <c r="SNF22" s="5"/>
      <c r="SNG22" s="5"/>
      <c r="SNH22" s="5"/>
      <c r="SNI22" s="5"/>
      <c r="SNJ22" s="5"/>
      <c r="SNK22" s="5"/>
      <c r="SNL22" s="5"/>
      <c r="SNM22" s="5"/>
      <c r="SNN22" s="5"/>
      <c r="SNO22" s="5"/>
      <c r="SNP22" s="5"/>
      <c r="SNQ22" s="5"/>
      <c r="SNR22" s="5"/>
      <c r="SNS22" s="5"/>
      <c r="SNT22" s="5"/>
      <c r="SNU22" s="5"/>
      <c r="SNV22" s="5"/>
      <c r="SNW22" s="5"/>
      <c r="SNX22" s="5"/>
      <c r="SNY22" s="5"/>
      <c r="SNZ22" s="5"/>
      <c r="SOA22" s="5"/>
      <c r="SOB22" s="5"/>
      <c r="SOC22" s="5"/>
      <c r="SOD22" s="5"/>
      <c r="SOE22" s="5"/>
      <c r="SOF22" s="5"/>
      <c r="SOG22" s="5"/>
      <c r="SOH22" s="5"/>
      <c r="SOI22" s="5"/>
      <c r="SOJ22" s="5"/>
      <c r="SOK22" s="5"/>
      <c r="SOL22" s="5"/>
      <c r="SOM22" s="5"/>
      <c r="SON22" s="5"/>
      <c r="SOO22" s="5"/>
      <c r="SOP22" s="5"/>
      <c r="SOQ22" s="5"/>
      <c r="SOR22" s="5"/>
      <c r="SOS22" s="5"/>
      <c r="SOT22" s="5"/>
      <c r="SOU22" s="5"/>
      <c r="SOV22" s="5"/>
      <c r="SOW22" s="5"/>
      <c r="SOX22" s="5"/>
      <c r="SOY22" s="5"/>
      <c r="SOZ22" s="5"/>
      <c r="SPA22" s="5"/>
      <c r="SPB22" s="5"/>
      <c r="SPC22" s="5"/>
      <c r="SPD22" s="5"/>
      <c r="SPE22" s="5"/>
      <c r="SPF22" s="5"/>
      <c r="SPG22" s="5"/>
      <c r="SPH22" s="5"/>
      <c r="SPI22" s="5"/>
      <c r="SPJ22" s="5"/>
      <c r="SPK22" s="5"/>
      <c r="SPL22" s="5"/>
      <c r="SPM22" s="5"/>
      <c r="SPN22" s="5"/>
      <c r="SPO22" s="5"/>
      <c r="SPP22" s="5"/>
      <c r="SPQ22" s="5"/>
      <c r="SPR22" s="5"/>
      <c r="SPS22" s="5"/>
      <c r="SPT22" s="5"/>
      <c r="SPU22" s="5"/>
      <c r="SPV22" s="5"/>
      <c r="SPW22" s="5"/>
      <c r="SPX22" s="5"/>
      <c r="SPY22" s="5"/>
      <c r="SPZ22" s="5"/>
      <c r="SQA22" s="5"/>
      <c r="SQB22" s="5"/>
      <c r="SQC22" s="5"/>
      <c r="SQD22" s="5"/>
      <c r="SQE22" s="5"/>
      <c r="SQF22" s="5"/>
      <c r="SQG22" s="5"/>
      <c r="SQH22" s="5"/>
      <c r="SQI22" s="5"/>
      <c r="SQJ22" s="5"/>
      <c r="SQK22" s="5"/>
      <c r="SQL22" s="5"/>
      <c r="SQM22" s="5"/>
      <c r="SQN22" s="5"/>
      <c r="SQO22" s="5"/>
      <c r="SQP22" s="5"/>
      <c r="SQQ22" s="5"/>
      <c r="SQR22" s="5"/>
      <c r="SQS22" s="5"/>
      <c r="SQT22" s="5"/>
      <c r="SQU22" s="5"/>
      <c r="SQV22" s="5"/>
      <c r="SQW22" s="5"/>
      <c r="SQX22" s="5"/>
      <c r="SQY22" s="5"/>
      <c r="SQZ22" s="5"/>
      <c r="SRA22" s="5"/>
      <c r="SRB22" s="5"/>
      <c r="SRC22" s="5"/>
      <c r="SRD22" s="5"/>
      <c r="SRE22" s="5"/>
      <c r="SRF22" s="5"/>
      <c r="SRG22" s="5"/>
      <c r="SRH22" s="5"/>
      <c r="SRI22" s="5"/>
      <c r="SRJ22" s="5"/>
      <c r="SRK22" s="5"/>
      <c r="SRL22" s="5"/>
      <c r="SRM22" s="5"/>
      <c r="SRN22" s="5"/>
      <c r="SRO22" s="5"/>
      <c r="SRP22" s="5"/>
      <c r="SRQ22" s="5"/>
      <c r="SRR22" s="5"/>
      <c r="SRS22" s="5"/>
      <c r="SRT22" s="5"/>
      <c r="SRU22" s="5"/>
      <c r="SRV22" s="5"/>
      <c r="SRW22" s="5"/>
      <c r="SRX22" s="5"/>
      <c r="SRY22" s="5"/>
      <c r="SRZ22" s="5"/>
      <c r="SSA22" s="5"/>
      <c r="SSB22" s="5"/>
      <c r="SSC22" s="5"/>
      <c r="SSD22" s="5"/>
      <c r="SSE22" s="5"/>
      <c r="SSF22" s="5"/>
      <c r="SSG22" s="5"/>
      <c r="SSH22" s="5"/>
      <c r="SSI22" s="5"/>
      <c r="SSJ22" s="5"/>
      <c r="SSK22" s="5"/>
      <c r="SSL22" s="5"/>
      <c r="SSM22" s="5"/>
      <c r="SSN22" s="5"/>
      <c r="SSO22" s="5"/>
      <c r="SSP22" s="5"/>
      <c r="SSQ22" s="5"/>
      <c r="SSR22" s="5"/>
      <c r="SSS22" s="5"/>
      <c r="SST22" s="5"/>
      <c r="SSU22" s="5"/>
      <c r="SSV22" s="5"/>
      <c r="SSW22" s="5"/>
      <c r="SSX22" s="5"/>
      <c r="SSY22" s="5"/>
      <c r="SSZ22" s="5"/>
      <c r="STA22" s="5"/>
      <c r="STB22" s="5"/>
      <c r="STC22" s="5"/>
      <c r="STD22" s="5"/>
      <c r="STE22" s="5"/>
      <c r="STF22" s="5"/>
      <c r="STG22" s="5"/>
      <c r="STH22" s="5"/>
      <c r="STI22" s="5"/>
      <c r="STJ22" s="5"/>
      <c r="STK22" s="5"/>
      <c r="STL22" s="5"/>
      <c r="STM22" s="5"/>
      <c r="STN22" s="5"/>
      <c r="STO22" s="5"/>
      <c r="STP22" s="5"/>
      <c r="STQ22" s="5"/>
      <c r="STR22" s="5"/>
      <c r="STS22" s="5"/>
      <c r="STT22" s="5"/>
      <c r="STU22" s="5"/>
      <c r="STV22" s="5"/>
      <c r="STW22" s="5"/>
      <c r="STX22" s="5"/>
      <c r="STY22" s="5"/>
      <c r="STZ22" s="5"/>
      <c r="SUA22" s="5"/>
      <c r="SUB22" s="5"/>
      <c r="SUC22" s="5"/>
      <c r="SUD22" s="5"/>
      <c r="SUE22" s="5"/>
      <c r="SUF22" s="5"/>
      <c r="SUG22" s="5"/>
      <c r="SUH22" s="5"/>
      <c r="SUI22" s="5"/>
      <c r="SUJ22" s="5"/>
      <c r="SUK22" s="5"/>
      <c r="SUL22" s="5"/>
      <c r="SUM22" s="5"/>
      <c r="SUN22" s="5"/>
      <c r="SUO22" s="5"/>
      <c r="SUP22" s="5"/>
      <c r="SUQ22" s="5"/>
      <c r="SUR22" s="5"/>
      <c r="SUS22" s="5"/>
      <c r="SUT22" s="5"/>
      <c r="SUU22" s="5"/>
      <c r="SUV22" s="5"/>
      <c r="SUW22" s="5"/>
      <c r="SUX22" s="5"/>
      <c r="SUY22" s="5"/>
      <c r="SUZ22" s="5"/>
      <c r="SVA22" s="5"/>
      <c r="SVB22" s="5"/>
      <c r="SVC22" s="5"/>
      <c r="SVD22" s="5"/>
      <c r="SVE22" s="5"/>
      <c r="SVF22" s="5"/>
      <c r="SVG22" s="5"/>
      <c r="SVH22" s="5"/>
      <c r="SVI22" s="5"/>
      <c r="SVJ22" s="5"/>
      <c r="SVK22" s="5"/>
      <c r="SVL22" s="5"/>
      <c r="SVM22" s="5"/>
      <c r="SVN22" s="5"/>
      <c r="SVO22" s="5"/>
      <c r="SVP22" s="5"/>
      <c r="SVQ22" s="5"/>
      <c r="SVR22" s="5"/>
      <c r="SVS22" s="5"/>
      <c r="SVT22" s="5"/>
      <c r="SVU22" s="5"/>
      <c r="SVV22" s="5"/>
      <c r="SVW22" s="5"/>
      <c r="SVX22" s="5"/>
      <c r="SVY22" s="5"/>
      <c r="SVZ22" s="5"/>
      <c r="SWA22" s="5"/>
      <c r="SWB22" s="5"/>
      <c r="SWC22" s="5"/>
      <c r="SWD22" s="5"/>
      <c r="SWE22" s="5"/>
      <c r="SWF22" s="5"/>
      <c r="SWG22" s="5"/>
      <c r="SWH22" s="5"/>
      <c r="SWI22" s="5"/>
      <c r="SWJ22" s="5"/>
      <c r="SWK22" s="5"/>
      <c r="SWL22" s="5"/>
      <c r="SWM22" s="5"/>
      <c r="SWN22" s="5"/>
      <c r="SWO22" s="5"/>
      <c r="SWP22" s="5"/>
      <c r="SWQ22" s="5"/>
      <c r="SWR22" s="5"/>
      <c r="SWS22" s="5"/>
      <c r="SWT22" s="5"/>
      <c r="SWU22" s="5"/>
      <c r="SWV22" s="5"/>
      <c r="SWW22" s="5"/>
      <c r="SWX22" s="5"/>
      <c r="SWY22" s="5"/>
      <c r="SWZ22" s="5"/>
      <c r="SXA22" s="5"/>
      <c r="SXB22" s="5"/>
      <c r="SXC22" s="5"/>
      <c r="SXD22" s="5"/>
      <c r="SXE22" s="5"/>
      <c r="SXF22" s="5"/>
      <c r="SXG22" s="5"/>
      <c r="SXH22" s="5"/>
      <c r="SXI22" s="5"/>
      <c r="SXJ22" s="5"/>
      <c r="SXK22" s="5"/>
      <c r="SXL22" s="5"/>
      <c r="SXM22" s="5"/>
      <c r="SXN22" s="5"/>
      <c r="SXO22" s="5"/>
      <c r="SXP22" s="5"/>
      <c r="SXQ22" s="5"/>
      <c r="SXR22" s="5"/>
      <c r="SXS22" s="5"/>
      <c r="SXT22" s="5"/>
      <c r="SXU22" s="5"/>
      <c r="SXV22" s="5"/>
      <c r="SXW22" s="5"/>
      <c r="SXX22" s="5"/>
      <c r="SXY22" s="5"/>
      <c r="SXZ22" s="5"/>
      <c r="SYA22" s="5"/>
      <c r="SYB22" s="5"/>
      <c r="SYC22" s="5"/>
      <c r="SYD22" s="5"/>
      <c r="SYE22" s="5"/>
      <c r="SYF22" s="5"/>
      <c r="SYG22" s="5"/>
      <c r="SYH22" s="5"/>
      <c r="SYI22" s="5"/>
      <c r="SYJ22" s="5"/>
      <c r="SYK22" s="5"/>
      <c r="SYL22" s="5"/>
      <c r="SYM22" s="5"/>
      <c r="SYN22" s="5"/>
      <c r="SYO22" s="5"/>
      <c r="SYP22" s="5"/>
      <c r="SYQ22" s="5"/>
      <c r="SYR22" s="5"/>
      <c r="SYS22" s="5"/>
      <c r="SYT22" s="5"/>
      <c r="SYU22" s="5"/>
      <c r="SYV22" s="5"/>
      <c r="SYW22" s="5"/>
      <c r="SYX22" s="5"/>
      <c r="SYY22" s="5"/>
      <c r="SYZ22" s="5"/>
      <c r="SZA22" s="5"/>
      <c r="SZB22" s="5"/>
      <c r="SZC22" s="5"/>
      <c r="SZD22" s="5"/>
      <c r="SZE22" s="5"/>
      <c r="SZF22" s="5"/>
      <c r="SZG22" s="5"/>
      <c r="SZH22" s="5"/>
      <c r="SZI22" s="5"/>
      <c r="SZJ22" s="5"/>
      <c r="SZK22" s="5"/>
      <c r="SZL22" s="5"/>
      <c r="SZM22" s="5"/>
      <c r="SZN22" s="5"/>
      <c r="SZO22" s="5"/>
      <c r="SZP22" s="5"/>
      <c r="SZQ22" s="5"/>
      <c r="SZR22" s="5"/>
      <c r="SZS22" s="5"/>
      <c r="SZT22" s="5"/>
      <c r="SZU22" s="5"/>
      <c r="SZV22" s="5"/>
      <c r="SZW22" s="5"/>
      <c r="SZX22" s="5"/>
      <c r="SZY22" s="5"/>
      <c r="SZZ22" s="5"/>
      <c r="TAA22" s="5"/>
      <c r="TAB22" s="5"/>
      <c r="TAC22" s="5"/>
      <c r="TAD22" s="5"/>
      <c r="TAE22" s="5"/>
      <c r="TAF22" s="5"/>
      <c r="TAG22" s="5"/>
      <c r="TAH22" s="5"/>
      <c r="TAI22" s="5"/>
      <c r="TAJ22" s="5"/>
      <c r="TAK22" s="5"/>
      <c r="TAL22" s="5"/>
      <c r="TAM22" s="5"/>
      <c r="TAN22" s="5"/>
      <c r="TAO22" s="5"/>
      <c r="TAP22" s="5"/>
      <c r="TAQ22" s="5"/>
      <c r="TAR22" s="5"/>
      <c r="TAS22" s="5"/>
      <c r="TAT22" s="5"/>
      <c r="TAU22" s="5"/>
      <c r="TAV22" s="5"/>
      <c r="TAW22" s="5"/>
      <c r="TAX22" s="5"/>
      <c r="TAY22" s="5"/>
      <c r="TAZ22" s="5"/>
      <c r="TBA22" s="5"/>
      <c r="TBB22" s="5"/>
      <c r="TBC22" s="5"/>
      <c r="TBD22" s="5"/>
      <c r="TBE22" s="5"/>
      <c r="TBF22" s="5"/>
      <c r="TBG22" s="5"/>
      <c r="TBH22" s="5"/>
      <c r="TBI22" s="5"/>
      <c r="TBJ22" s="5"/>
      <c r="TBK22" s="5"/>
      <c r="TBL22" s="5"/>
      <c r="TBM22" s="5"/>
      <c r="TBN22" s="5"/>
      <c r="TBO22" s="5"/>
      <c r="TBP22" s="5"/>
      <c r="TBQ22" s="5"/>
      <c r="TBR22" s="5"/>
      <c r="TBS22" s="5"/>
      <c r="TBT22" s="5"/>
      <c r="TBU22" s="5"/>
      <c r="TBV22" s="5"/>
      <c r="TBW22" s="5"/>
      <c r="TBX22" s="5"/>
      <c r="TBY22" s="5"/>
      <c r="TBZ22" s="5"/>
      <c r="TCA22" s="5"/>
      <c r="TCB22" s="5"/>
      <c r="TCC22" s="5"/>
      <c r="TCD22" s="5"/>
      <c r="TCE22" s="5"/>
      <c r="TCF22" s="5"/>
      <c r="TCG22" s="5"/>
      <c r="TCH22" s="5"/>
      <c r="TCI22" s="5"/>
      <c r="TCJ22" s="5"/>
      <c r="TCK22" s="5"/>
      <c r="TCL22" s="5"/>
      <c r="TCM22" s="5"/>
      <c r="TCN22" s="5"/>
      <c r="TCO22" s="5"/>
      <c r="TCP22" s="5"/>
      <c r="TCQ22" s="5"/>
      <c r="TCR22" s="5"/>
      <c r="TCS22" s="5"/>
      <c r="TCT22" s="5"/>
      <c r="TCU22" s="5"/>
      <c r="TCV22" s="5"/>
      <c r="TCW22" s="5"/>
      <c r="TCX22" s="5"/>
      <c r="TCY22" s="5"/>
      <c r="TCZ22" s="5"/>
      <c r="TDA22" s="5"/>
      <c r="TDB22" s="5"/>
      <c r="TDC22" s="5"/>
      <c r="TDD22" s="5"/>
      <c r="TDE22" s="5"/>
      <c r="TDF22" s="5"/>
      <c r="TDG22" s="5"/>
      <c r="TDH22" s="5"/>
      <c r="TDI22" s="5"/>
      <c r="TDJ22" s="5"/>
      <c r="TDK22" s="5"/>
      <c r="TDL22" s="5"/>
      <c r="TDM22" s="5"/>
      <c r="TDN22" s="5"/>
      <c r="TDO22" s="5"/>
      <c r="TDP22" s="5"/>
      <c r="TDQ22" s="5"/>
      <c r="TDR22" s="5"/>
      <c r="TDS22" s="5"/>
      <c r="TDT22" s="5"/>
      <c r="TDU22" s="5"/>
      <c r="TDV22" s="5"/>
      <c r="TDW22" s="5"/>
      <c r="TDX22" s="5"/>
      <c r="TDY22" s="5"/>
      <c r="TDZ22" s="5"/>
      <c r="TEA22" s="5"/>
      <c r="TEB22" s="5"/>
      <c r="TEC22" s="5"/>
      <c r="TED22" s="5"/>
      <c r="TEE22" s="5"/>
      <c r="TEF22" s="5"/>
      <c r="TEG22" s="5"/>
      <c r="TEH22" s="5"/>
      <c r="TEI22" s="5"/>
      <c r="TEJ22" s="5"/>
      <c r="TEK22" s="5"/>
      <c r="TEL22" s="5"/>
      <c r="TEM22" s="5"/>
      <c r="TEN22" s="5"/>
      <c r="TEO22" s="5"/>
      <c r="TEP22" s="5"/>
      <c r="TEQ22" s="5"/>
      <c r="TER22" s="5"/>
      <c r="TES22" s="5"/>
      <c r="TET22" s="5"/>
      <c r="TEU22" s="5"/>
      <c r="TEV22" s="5"/>
      <c r="TEW22" s="5"/>
      <c r="TEX22" s="5"/>
      <c r="TEY22" s="5"/>
      <c r="TEZ22" s="5"/>
      <c r="TFA22" s="5"/>
      <c r="TFB22" s="5"/>
      <c r="TFC22" s="5"/>
      <c r="TFD22" s="5"/>
      <c r="TFE22" s="5"/>
      <c r="TFF22" s="5"/>
      <c r="TFG22" s="5"/>
      <c r="TFH22" s="5"/>
      <c r="TFI22" s="5"/>
      <c r="TFJ22" s="5"/>
      <c r="TFK22" s="5"/>
      <c r="TFL22" s="5"/>
      <c r="TFM22" s="5"/>
      <c r="TFN22" s="5"/>
      <c r="TFO22" s="5"/>
      <c r="TFP22" s="5"/>
      <c r="TFQ22" s="5"/>
      <c r="TFR22" s="5"/>
      <c r="TFS22" s="5"/>
      <c r="TFT22" s="5"/>
      <c r="TFU22" s="5"/>
      <c r="TFV22" s="5"/>
      <c r="TFW22" s="5"/>
      <c r="TFX22" s="5"/>
      <c r="TFY22" s="5"/>
      <c r="TFZ22" s="5"/>
      <c r="TGA22" s="5"/>
      <c r="TGB22" s="5"/>
      <c r="TGC22" s="5"/>
      <c r="TGD22" s="5"/>
      <c r="TGE22" s="5"/>
      <c r="TGF22" s="5"/>
      <c r="TGG22" s="5"/>
      <c r="TGH22" s="5"/>
      <c r="TGI22" s="5"/>
      <c r="TGJ22" s="5"/>
      <c r="TGK22" s="5"/>
      <c r="TGL22" s="5"/>
      <c r="TGM22" s="5"/>
      <c r="TGN22" s="5"/>
      <c r="TGO22" s="5"/>
      <c r="TGP22" s="5"/>
      <c r="TGQ22" s="5"/>
      <c r="TGR22" s="5"/>
      <c r="TGS22" s="5"/>
      <c r="TGT22" s="5"/>
      <c r="TGU22" s="5"/>
      <c r="TGV22" s="5"/>
      <c r="TGW22" s="5"/>
      <c r="TGX22" s="5"/>
      <c r="TGY22" s="5"/>
      <c r="TGZ22" s="5"/>
      <c r="THA22" s="5"/>
      <c r="THB22" s="5"/>
      <c r="THC22" s="5"/>
      <c r="THD22" s="5"/>
      <c r="THE22" s="5"/>
      <c r="THF22" s="5"/>
      <c r="THG22" s="5"/>
      <c r="THH22" s="5"/>
      <c r="THI22" s="5"/>
      <c r="THJ22" s="5"/>
      <c r="THK22" s="5"/>
      <c r="THL22" s="5"/>
      <c r="THM22" s="5"/>
      <c r="THN22" s="5"/>
      <c r="THO22" s="5"/>
      <c r="THP22" s="5"/>
      <c r="THQ22" s="5"/>
      <c r="THR22" s="5"/>
      <c r="THS22" s="5"/>
      <c r="THT22" s="5"/>
      <c r="THU22" s="5"/>
      <c r="THV22" s="5"/>
      <c r="THW22" s="5"/>
      <c r="THX22" s="5"/>
      <c r="THY22" s="5"/>
      <c r="THZ22" s="5"/>
      <c r="TIA22" s="5"/>
      <c r="TIB22" s="5"/>
      <c r="TIC22" s="5"/>
      <c r="TID22" s="5"/>
      <c r="TIE22" s="5"/>
      <c r="TIF22" s="5"/>
      <c r="TIG22" s="5"/>
      <c r="TIH22" s="5"/>
      <c r="TII22" s="5"/>
      <c r="TIJ22" s="5"/>
      <c r="TIK22" s="5"/>
      <c r="TIL22" s="5"/>
      <c r="TIM22" s="5"/>
      <c r="TIN22" s="5"/>
      <c r="TIO22" s="5"/>
      <c r="TIP22" s="5"/>
      <c r="TIQ22" s="5"/>
      <c r="TIR22" s="5"/>
      <c r="TIS22" s="5"/>
      <c r="TIT22" s="5"/>
      <c r="TIU22" s="5"/>
      <c r="TIV22" s="5"/>
      <c r="TIW22" s="5"/>
      <c r="TIX22" s="5"/>
      <c r="TIY22" s="5"/>
      <c r="TIZ22" s="5"/>
      <c r="TJA22" s="5"/>
      <c r="TJB22" s="5"/>
      <c r="TJC22" s="5"/>
      <c r="TJD22" s="5"/>
      <c r="TJE22" s="5"/>
      <c r="TJF22" s="5"/>
      <c r="TJG22" s="5"/>
      <c r="TJH22" s="5"/>
      <c r="TJI22" s="5"/>
      <c r="TJJ22" s="5"/>
      <c r="TJK22" s="5"/>
      <c r="TJL22" s="5"/>
      <c r="TJM22" s="5"/>
      <c r="TJN22" s="5"/>
      <c r="TJO22" s="5"/>
      <c r="TJP22" s="5"/>
      <c r="TJQ22" s="5"/>
      <c r="TJR22" s="5"/>
      <c r="TJS22" s="5"/>
      <c r="TJT22" s="5"/>
      <c r="TJU22" s="5"/>
      <c r="TJV22" s="5"/>
      <c r="TJW22" s="5"/>
      <c r="TJX22" s="5"/>
      <c r="TJY22" s="5"/>
      <c r="TJZ22" s="5"/>
      <c r="TKA22" s="5"/>
      <c r="TKB22" s="5"/>
      <c r="TKC22" s="5"/>
      <c r="TKD22" s="5"/>
      <c r="TKE22" s="5"/>
      <c r="TKF22" s="5"/>
      <c r="TKG22" s="5"/>
      <c r="TKH22" s="5"/>
      <c r="TKI22" s="5"/>
      <c r="TKJ22" s="5"/>
      <c r="TKK22" s="5"/>
      <c r="TKL22" s="5"/>
      <c r="TKM22" s="5"/>
      <c r="TKN22" s="5"/>
      <c r="TKO22" s="5"/>
      <c r="TKP22" s="5"/>
      <c r="TKQ22" s="5"/>
      <c r="TKR22" s="5"/>
      <c r="TKS22" s="5"/>
      <c r="TKT22" s="5"/>
      <c r="TKU22" s="5"/>
      <c r="TKV22" s="5"/>
      <c r="TKW22" s="5"/>
      <c r="TKX22" s="5"/>
      <c r="TKY22" s="5"/>
      <c r="TKZ22" s="5"/>
      <c r="TLA22" s="5"/>
      <c r="TLB22" s="5"/>
      <c r="TLC22" s="5"/>
      <c r="TLD22" s="5"/>
      <c r="TLE22" s="5"/>
      <c r="TLF22" s="5"/>
      <c r="TLG22" s="5"/>
      <c r="TLH22" s="5"/>
      <c r="TLI22" s="5"/>
      <c r="TLJ22" s="5"/>
      <c r="TLK22" s="5"/>
      <c r="TLL22" s="5"/>
      <c r="TLM22" s="5"/>
      <c r="TLN22" s="5"/>
      <c r="TLO22" s="5"/>
      <c r="TLP22" s="5"/>
      <c r="TLQ22" s="5"/>
      <c r="TLR22" s="5"/>
      <c r="TLS22" s="5"/>
      <c r="TLT22" s="5"/>
      <c r="TLU22" s="5"/>
      <c r="TLV22" s="5"/>
      <c r="TLW22" s="5"/>
      <c r="TLX22" s="5"/>
      <c r="TLY22" s="5"/>
      <c r="TLZ22" s="5"/>
      <c r="TMA22" s="5"/>
      <c r="TMB22" s="5"/>
      <c r="TMC22" s="5"/>
      <c r="TMD22" s="5"/>
      <c r="TME22" s="5"/>
      <c r="TMF22" s="5"/>
      <c r="TMG22" s="5"/>
      <c r="TMH22" s="5"/>
      <c r="TMI22" s="5"/>
      <c r="TMJ22" s="5"/>
      <c r="TMK22" s="5"/>
      <c r="TML22" s="5"/>
      <c r="TMM22" s="5"/>
      <c r="TMN22" s="5"/>
      <c r="TMO22" s="5"/>
      <c r="TMP22" s="5"/>
      <c r="TMQ22" s="5"/>
      <c r="TMR22" s="5"/>
      <c r="TMS22" s="5"/>
      <c r="TMT22" s="5"/>
      <c r="TMU22" s="5"/>
      <c r="TMV22" s="5"/>
      <c r="TMW22" s="5"/>
      <c r="TMX22" s="5"/>
      <c r="TMY22" s="5"/>
      <c r="TMZ22" s="5"/>
      <c r="TNA22" s="5"/>
      <c r="TNB22" s="5"/>
      <c r="TNC22" s="5"/>
      <c r="TND22" s="5"/>
      <c r="TNE22" s="5"/>
      <c r="TNF22" s="5"/>
      <c r="TNG22" s="5"/>
      <c r="TNH22" s="5"/>
      <c r="TNI22" s="5"/>
      <c r="TNJ22" s="5"/>
      <c r="TNK22" s="5"/>
      <c r="TNL22" s="5"/>
      <c r="TNM22" s="5"/>
      <c r="TNN22" s="5"/>
      <c r="TNO22" s="5"/>
      <c r="TNP22" s="5"/>
      <c r="TNQ22" s="5"/>
      <c r="TNR22" s="5"/>
      <c r="TNS22" s="5"/>
      <c r="TNT22" s="5"/>
      <c r="TNU22" s="5"/>
      <c r="TNV22" s="5"/>
      <c r="TNW22" s="5"/>
      <c r="TNX22" s="5"/>
      <c r="TNY22" s="5"/>
      <c r="TNZ22" s="5"/>
      <c r="TOA22" s="5"/>
      <c r="TOB22" s="5"/>
      <c r="TOC22" s="5"/>
      <c r="TOD22" s="5"/>
      <c r="TOE22" s="5"/>
      <c r="TOF22" s="5"/>
      <c r="TOG22" s="5"/>
      <c r="TOH22" s="5"/>
      <c r="TOI22" s="5"/>
      <c r="TOJ22" s="5"/>
      <c r="TOK22" s="5"/>
      <c r="TOL22" s="5"/>
      <c r="TOM22" s="5"/>
      <c r="TON22" s="5"/>
      <c r="TOO22" s="5"/>
      <c r="TOP22" s="5"/>
      <c r="TOQ22" s="5"/>
      <c r="TOR22" s="5"/>
      <c r="TOS22" s="5"/>
      <c r="TOT22" s="5"/>
      <c r="TOU22" s="5"/>
      <c r="TOV22" s="5"/>
      <c r="TOW22" s="5"/>
      <c r="TOX22" s="5"/>
      <c r="TOY22" s="5"/>
      <c r="TOZ22" s="5"/>
      <c r="TPA22" s="5"/>
      <c r="TPB22" s="5"/>
      <c r="TPC22" s="5"/>
      <c r="TPD22" s="5"/>
      <c r="TPE22" s="5"/>
      <c r="TPF22" s="5"/>
      <c r="TPG22" s="5"/>
      <c r="TPH22" s="5"/>
      <c r="TPI22" s="5"/>
      <c r="TPJ22" s="5"/>
      <c r="TPK22" s="5"/>
      <c r="TPL22" s="5"/>
      <c r="TPM22" s="5"/>
      <c r="TPN22" s="5"/>
      <c r="TPO22" s="5"/>
      <c r="TPP22" s="5"/>
      <c r="TPQ22" s="5"/>
      <c r="TPR22" s="5"/>
      <c r="TPS22" s="5"/>
      <c r="TPT22" s="5"/>
      <c r="TPU22" s="5"/>
      <c r="TPV22" s="5"/>
      <c r="TPW22" s="5"/>
      <c r="TPX22" s="5"/>
      <c r="TPY22" s="5"/>
      <c r="TPZ22" s="5"/>
      <c r="TQA22" s="5"/>
      <c r="TQB22" s="5"/>
      <c r="TQC22" s="5"/>
      <c r="TQD22" s="5"/>
      <c r="TQE22" s="5"/>
      <c r="TQF22" s="5"/>
      <c r="TQG22" s="5"/>
      <c r="TQH22" s="5"/>
      <c r="TQI22" s="5"/>
      <c r="TQJ22" s="5"/>
      <c r="TQK22" s="5"/>
      <c r="TQL22" s="5"/>
      <c r="TQM22" s="5"/>
      <c r="TQN22" s="5"/>
      <c r="TQO22" s="5"/>
      <c r="TQP22" s="5"/>
      <c r="TQQ22" s="5"/>
      <c r="TQR22" s="5"/>
      <c r="TQS22" s="5"/>
      <c r="TQT22" s="5"/>
      <c r="TQU22" s="5"/>
      <c r="TQV22" s="5"/>
      <c r="TQW22" s="5"/>
      <c r="TQX22" s="5"/>
      <c r="TQY22" s="5"/>
      <c r="TQZ22" s="5"/>
      <c r="TRA22" s="5"/>
      <c r="TRB22" s="5"/>
      <c r="TRC22" s="5"/>
      <c r="TRD22" s="5"/>
      <c r="TRE22" s="5"/>
      <c r="TRF22" s="5"/>
      <c r="TRG22" s="5"/>
      <c r="TRH22" s="5"/>
      <c r="TRI22" s="5"/>
      <c r="TRJ22" s="5"/>
      <c r="TRK22" s="5"/>
      <c r="TRL22" s="5"/>
      <c r="TRM22" s="5"/>
      <c r="TRN22" s="5"/>
      <c r="TRO22" s="5"/>
      <c r="TRP22" s="5"/>
      <c r="TRQ22" s="5"/>
      <c r="TRR22" s="5"/>
      <c r="TRS22" s="5"/>
      <c r="TRT22" s="5"/>
      <c r="TRU22" s="5"/>
      <c r="TRV22" s="5"/>
      <c r="TRW22" s="5"/>
      <c r="TRX22" s="5"/>
      <c r="TRY22" s="5"/>
      <c r="TRZ22" s="5"/>
      <c r="TSA22" s="5"/>
      <c r="TSB22" s="5"/>
      <c r="TSC22" s="5"/>
      <c r="TSD22" s="5"/>
      <c r="TSE22" s="5"/>
      <c r="TSF22" s="5"/>
      <c r="TSG22" s="5"/>
      <c r="TSH22" s="5"/>
      <c r="TSI22" s="5"/>
      <c r="TSJ22" s="5"/>
      <c r="TSK22" s="5"/>
      <c r="TSL22" s="5"/>
      <c r="TSM22" s="5"/>
      <c r="TSN22" s="5"/>
      <c r="TSO22" s="5"/>
      <c r="TSP22" s="5"/>
      <c r="TSQ22" s="5"/>
      <c r="TSR22" s="5"/>
      <c r="TSS22" s="5"/>
      <c r="TST22" s="5"/>
      <c r="TSU22" s="5"/>
      <c r="TSV22" s="5"/>
      <c r="TSW22" s="5"/>
      <c r="TSX22" s="5"/>
      <c r="TSY22" s="5"/>
      <c r="TSZ22" s="5"/>
      <c r="TTA22" s="5"/>
      <c r="TTB22" s="5"/>
      <c r="TTC22" s="5"/>
      <c r="TTD22" s="5"/>
      <c r="TTE22" s="5"/>
      <c r="TTF22" s="5"/>
      <c r="TTG22" s="5"/>
      <c r="TTH22" s="5"/>
      <c r="TTI22" s="5"/>
      <c r="TTJ22" s="5"/>
      <c r="TTK22" s="5"/>
      <c r="TTL22" s="5"/>
      <c r="TTM22" s="5"/>
      <c r="TTN22" s="5"/>
      <c r="TTO22" s="5"/>
      <c r="TTP22" s="5"/>
      <c r="TTQ22" s="5"/>
      <c r="TTR22" s="5"/>
      <c r="TTS22" s="5"/>
      <c r="TTT22" s="5"/>
      <c r="TTU22" s="5"/>
      <c r="TTV22" s="5"/>
      <c r="TTW22" s="5"/>
      <c r="TTX22" s="5"/>
      <c r="TTY22" s="5"/>
      <c r="TTZ22" s="5"/>
      <c r="TUA22" s="5"/>
      <c r="TUB22" s="5"/>
      <c r="TUC22" s="5"/>
      <c r="TUD22" s="5"/>
      <c r="TUE22" s="5"/>
      <c r="TUF22" s="5"/>
      <c r="TUG22" s="5"/>
      <c r="TUH22" s="5"/>
      <c r="TUI22" s="5"/>
      <c r="TUJ22" s="5"/>
      <c r="TUK22" s="5"/>
      <c r="TUL22" s="5"/>
      <c r="TUM22" s="5"/>
      <c r="TUN22" s="5"/>
      <c r="TUO22" s="5"/>
      <c r="TUP22" s="5"/>
      <c r="TUQ22" s="5"/>
      <c r="TUR22" s="5"/>
      <c r="TUS22" s="5"/>
      <c r="TUT22" s="5"/>
      <c r="TUU22" s="5"/>
      <c r="TUV22" s="5"/>
      <c r="TUW22" s="5"/>
      <c r="TUX22" s="5"/>
      <c r="TUY22" s="5"/>
      <c r="TUZ22" s="5"/>
      <c r="TVA22" s="5"/>
      <c r="TVB22" s="5"/>
      <c r="TVC22" s="5"/>
      <c r="TVD22" s="5"/>
      <c r="TVE22" s="5"/>
      <c r="TVF22" s="5"/>
      <c r="TVG22" s="5"/>
      <c r="TVH22" s="5"/>
      <c r="TVI22" s="5"/>
      <c r="TVJ22" s="5"/>
      <c r="TVK22" s="5"/>
      <c r="TVL22" s="5"/>
      <c r="TVM22" s="5"/>
      <c r="TVN22" s="5"/>
      <c r="TVO22" s="5"/>
      <c r="TVP22" s="5"/>
      <c r="TVQ22" s="5"/>
      <c r="TVR22" s="5"/>
      <c r="TVS22" s="5"/>
      <c r="TVT22" s="5"/>
      <c r="TVU22" s="5"/>
      <c r="TVV22" s="5"/>
      <c r="TVW22" s="5"/>
      <c r="TVX22" s="5"/>
      <c r="TVY22" s="5"/>
      <c r="TVZ22" s="5"/>
      <c r="TWA22" s="5"/>
      <c r="TWB22" s="5"/>
      <c r="TWC22" s="5"/>
      <c r="TWD22" s="5"/>
      <c r="TWE22" s="5"/>
      <c r="TWF22" s="5"/>
      <c r="TWG22" s="5"/>
      <c r="TWH22" s="5"/>
      <c r="TWI22" s="5"/>
      <c r="TWJ22" s="5"/>
      <c r="TWK22" s="5"/>
      <c r="TWL22" s="5"/>
      <c r="TWM22" s="5"/>
      <c r="TWN22" s="5"/>
      <c r="TWO22" s="5"/>
      <c r="TWP22" s="5"/>
      <c r="TWQ22" s="5"/>
      <c r="TWR22" s="5"/>
      <c r="TWS22" s="5"/>
      <c r="TWT22" s="5"/>
      <c r="TWU22" s="5"/>
      <c r="TWV22" s="5"/>
      <c r="TWW22" s="5"/>
      <c r="TWX22" s="5"/>
      <c r="TWY22" s="5"/>
      <c r="TWZ22" s="5"/>
      <c r="TXA22" s="5"/>
      <c r="TXB22" s="5"/>
      <c r="TXC22" s="5"/>
      <c r="TXD22" s="5"/>
      <c r="TXE22" s="5"/>
      <c r="TXF22" s="5"/>
      <c r="TXG22" s="5"/>
      <c r="TXH22" s="5"/>
      <c r="TXI22" s="5"/>
      <c r="TXJ22" s="5"/>
      <c r="TXK22" s="5"/>
      <c r="TXL22" s="5"/>
      <c r="TXM22" s="5"/>
      <c r="TXN22" s="5"/>
      <c r="TXO22" s="5"/>
      <c r="TXP22" s="5"/>
      <c r="TXQ22" s="5"/>
      <c r="TXR22" s="5"/>
      <c r="TXS22" s="5"/>
      <c r="TXT22" s="5"/>
      <c r="TXU22" s="5"/>
      <c r="TXV22" s="5"/>
      <c r="TXW22" s="5"/>
      <c r="TXX22" s="5"/>
      <c r="TXY22" s="5"/>
      <c r="TXZ22" s="5"/>
      <c r="TYA22" s="5"/>
      <c r="TYB22" s="5"/>
      <c r="TYC22" s="5"/>
      <c r="TYD22" s="5"/>
      <c r="TYE22" s="5"/>
      <c r="TYF22" s="5"/>
      <c r="TYG22" s="5"/>
      <c r="TYH22" s="5"/>
      <c r="TYI22" s="5"/>
      <c r="TYJ22" s="5"/>
      <c r="TYK22" s="5"/>
      <c r="TYL22" s="5"/>
      <c r="TYM22" s="5"/>
      <c r="TYN22" s="5"/>
      <c r="TYO22" s="5"/>
      <c r="TYP22" s="5"/>
      <c r="TYQ22" s="5"/>
      <c r="TYR22" s="5"/>
      <c r="TYS22" s="5"/>
      <c r="TYT22" s="5"/>
      <c r="TYU22" s="5"/>
      <c r="TYV22" s="5"/>
      <c r="TYW22" s="5"/>
      <c r="TYX22" s="5"/>
      <c r="TYY22" s="5"/>
      <c r="TYZ22" s="5"/>
      <c r="TZA22" s="5"/>
      <c r="TZB22" s="5"/>
      <c r="TZC22" s="5"/>
      <c r="TZD22" s="5"/>
      <c r="TZE22" s="5"/>
      <c r="TZF22" s="5"/>
      <c r="TZG22" s="5"/>
      <c r="TZH22" s="5"/>
      <c r="TZI22" s="5"/>
      <c r="TZJ22" s="5"/>
      <c r="TZK22" s="5"/>
      <c r="TZL22" s="5"/>
      <c r="TZM22" s="5"/>
      <c r="TZN22" s="5"/>
      <c r="TZO22" s="5"/>
      <c r="TZP22" s="5"/>
      <c r="TZQ22" s="5"/>
      <c r="TZR22" s="5"/>
      <c r="TZS22" s="5"/>
      <c r="TZT22" s="5"/>
      <c r="TZU22" s="5"/>
      <c r="TZV22" s="5"/>
      <c r="TZW22" s="5"/>
      <c r="TZX22" s="5"/>
      <c r="TZY22" s="5"/>
      <c r="TZZ22" s="5"/>
      <c r="UAA22" s="5"/>
      <c r="UAB22" s="5"/>
      <c r="UAC22" s="5"/>
      <c r="UAD22" s="5"/>
      <c r="UAE22" s="5"/>
      <c r="UAF22" s="5"/>
      <c r="UAG22" s="5"/>
      <c r="UAH22" s="5"/>
      <c r="UAI22" s="5"/>
      <c r="UAJ22" s="5"/>
      <c r="UAK22" s="5"/>
      <c r="UAL22" s="5"/>
      <c r="UAM22" s="5"/>
      <c r="UAN22" s="5"/>
      <c r="UAO22" s="5"/>
      <c r="UAP22" s="5"/>
      <c r="UAQ22" s="5"/>
      <c r="UAR22" s="5"/>
      <c r="UAS22" s="5"/>
      <c r="UAT22" s="5"/>
      <c r="UAU22" s="5"/>
      <c r="UAV22" s="5"/>
      <c r="UAW22" s="5"/>
      <c r="UAX22" s="5"/>
      <c r="UAY22" s="5"/>
      <c r="UAZ22" s="5"/>
      <c r="UBA22" s="5"/>
      <c r="UBB22" s="5"/>
      <c r="UBC22" s="5"/>
      <c r="UBD22" s="5"/>
      <c r="UBE22" s="5"/>
      <c r="UBF22" s="5"/>
      <c r="UBG22" s="5"/>
      <c r="UBH22" s="5"/>
      <c r="UBI22" s="5"/>
      <c r="UBJ22" s="5"/>
      <c r="UBK22" s="5"/>
      <c r="UBL22" s="5"/>
      <c r="UBM22" s="5"/>
      <c r="UBN22" s="5"/>
      <c r="UBO22" s="5"/>
      <c r="UBP22" s="5"/>
      <c r="UBQ22" s="5"/>
      <c r="UBR22" s="5"/>
      <c r="UBS22" s="5"/>
      <c r="UBT22" s="5"/>
      <c r="UBU22" s="5"/>
      <c r="UBV22" s="5"/>
      <c r="UBW22" s="5"/>
      <c r="UBX22" s="5"/>
      <c r="UBY22" s="5"/>
      <c r="UBZ22" s="5"/>
      <c r="UCA22" s="5"/>
      <c r="UCB22" s="5"/>
      <c r="UCC22" s="5"/>
      <c r="UCD22" s="5"/>
      <c r="UCE22" s="5"/>
      <c r="UCF22" s="5"/>
      <c r="UCG22" s="5"/>
      <c r="UCH22" s="5"/>
      <c r="UCI22" s="5"/>
      <c r="UCJ22" s="5"/>
      <c r="UCK22" s="5"/>
      <c r="UCL22" s="5"/>
      <c r="UCM22" s="5"/>
      <c r="UCN22" s="5"/>
      <c r="UCO22" s="5"/>
      <c r="UCP22" s="5"/>
      <c r="UCQ22" s="5"/>
      <c r="UCR22" s="5"/>
      <c r="UCS22" s="5"/>
      <c r="UCT22" s="5"/>
      <c r="UCU22" s="5"/>
      <c r="UCV22" s="5"/>
      <c r="UCW22" s="5"/>
      <c r="UCX22" s="5"/>
      <c r="UCY22" s="5"/>
      <c r="UCZ22" s="5"/>
      <c r="UDA22" s="5"/>
      <c r="UDB22" s="5"/>
      <c r="UDC22" s="5"/>
      <c r="UDD22" s="5"/>
      <c r="UDE22" s="5"/>
      <c r="UDF22" s="5"/>
      <c r="UDG22" s="5"/>
      <c r="UDH22" s="5"/>
      <c r="UDI22" s="5"/>
      <c r="UDJ22" s="5"/>
      <c r="UDK22" s="5"/>
      <c r="UDL22" s="5"/>
      <c r="UDM22" s="5"/>
      <c r="UDN22" s="5"/>
      <c r="UDO22" s="5"/>
      <c r="UDP22" s="5"/>
      <c r="UDQ22" s="5"/>
      <c r="UDR22" s="5"/>
      <c r="UDS22" s="5"/>
      <c r="UDT22" s="5"/>
      <c r="UDU22" s="5"/>
      <c r="UDV22" s="5"/>
      <c r="UDW22" s="5"/>
      <c r="UDX22" s="5"/>
      <c r="UDY22" s="5"/>
      <c r="UDZ22" s="5"/>
      <c r="UEA22" s="5"/>
      <c r="UEB22" s="5"/>
      <c r="UEC22" s="5"/>
      <c r="UED22" s="5"/>
      <c r="UEE22" s="5"/>
      <c r="UEF22" s="5"/>
      <c r="UEG22" s="5"/>
      <c r="UEH22" s="5"/>
      <c r="UEI22" s="5"/>
      <c r="UEJ22" s="5"/>
      <c r="UEK22" s="5"/>
      <c r="UEL22" s="5"/>
      <c r="UEM22" s="5"/>
      <c r="UEN22" s="5"/>
      <c r="UEO22" s="5"/>
      <c r="UEP22" s="5"/>
      <c r="UEQ22" s="5"/>
      <c r="UER22" s="5"/>
      <c r="UES22" s="5"/>
      <c r="UET22" s="5"/>
      <c r="UEU22" s="5"/>
      <c r="UEV22" s="5"/>
      <c r="UEW22" s="5"/>
      <c r="UEX22" s="5"/>
      <c r="UEY22" s="5"/>
      <c r="UEZ22" s="5"/>
      <c r="UFA22" s="5"/>
      <c r="UFB22" s="5"/>
      <c r="UFC22" s="5"/>
      <c r="UFD22" s="5"/>
      <c r="UFE22" s="5"/>
      <c r="UFF22" s="5"/>
      <c r="UFG22" s="5"/>
      <c r="UFH22" s="5"/>
      <c r="UFI22" s="5"/>
      <c r="UFJ22" s="5"/>
      <c r="UFK22" s="5"/>
      <c r="UFL22" s="5"/>
      <c r="UFM22" s="5"/>
      <c r="UFN22" s="5"/>
      <c r="UFO22" s="5"/>
      <c r="UFP22" s="5"/>
      <c r="UFQ22" s="5"/>
      <c r="UFR22" s="5"/>
      <c r="UFS22" s="5"/>
      <c r="UFT22" s="5"/>
      <c r="UFU22" s="5"/>
      <c r="UFV22" s="5"/>
      <c r="UFW22" s="5"/>
      <c r="UFX22" s="5"/>
      <c r="UFY22" s="5"/>
      <c r="UFZ22" s="5"/>
      <c r="UGA22" s="5"/>
      <c r="UGB22" s="5"/>
      <c r="UGC22" s="5"/>
      <c r="UGD22" s="5"/>
      <c r="UGE22" s="5"/>
      <c r="UGF22" s="5"/>
      <c r="UGG22" s="5"/>
      <c r="UGH22" s="5"/>
      <c r="UGI22" s="5"/>
      <c r="UGJ22" s="5"/>
      <c r="UGK22" s="5"/>
      <c r="UGL22" s="5"/>
      <c r="UGM22" s="5"/>
      <c r="UGN22" s="5"/>
      <c r="UGO22" s="5"/>
      <c r="UGP22" s="5"/>
      <c r="UGQ22" s="5"/>
      <c r="UGR22" s="5"/>
      <c r="UGS22" s="5"/>
      <c r="UGT22" s="5"/>
      <c r="UGU22" s="5"/>
      <c r="UGV22" s="5"/>
      <c r="UGW22" s="5"/>
      <c r="UGX22" s="5"/>
      <c r="UGY22" s="5"/>
      <c r="UGZ22" s="5"/>
      <c r="UHA22" s="5"/>
      <c r="UHB22" s="5"/>
      <c r="UHC22" s="5"/>
      <c r="UHD22" s="5"/>
      <c r="UHE22" s="5"/>
      <c r="UHF22" s="5"/>
      <c r="UHG22" s="5"/>
      <c r="UHH22" s="5"/>
      <c r="UHI22" s="5"/>
      <c r="UHJ22" s="5"/>
      <c r="UHK22" s="5"/>
      <c r="UHL22" s="5"/>
      <c r="UHM22" s="5"/>
      <c r="UHN22" s="5"/>
      <c r="UHO22" s="5"/>
      <c r="UHP22" s="5"/>
      <c r="UHQ22" s="5"/>
      <c r="UHR22" s="5"/>
      <c r="UHS22" s="5"/>
      <c r="UHT22" s="5"/>
      <c r="UHU22" s="5"/>
      <c r="UHV22" s="5"/>
      <c r="UHW22" s="5"/>
      <c r="UHX22" s="5"/>
      <c r="UHY22" s="5"/>
      <c r="UHZ22" s="5"/>
      <c r="UIA22" s="5"/>
      <c r="UIB22" s="5"/>
      <c r="UIC22" s="5"/>
      <c r="UID22" s="5"/>
      <c r="UIE22" s="5"/>
      <c r="UIF22" s="5"/>
      <c r="UIG22" s="5"/>
      <c r="UIH22" s="5"/>
      <c r="UII22" s="5"/>
      <c r="UIJ22" s="5"/>
      <c r="UIK22" s="5"/>
      <c r="UIL22" s="5"/>
      <c r="UIM22" s="5"/>
      <c r="UIN22" s="5"/>
      <c r="UIO22" s="5"/>
      <c r="UIP22" s="5"/>
      <c r="UIQ22" s="5"/>
      <c r="UIR22" s="5"/>
      <c r="UIS22" s="5"/>
      <c r="UIT22" s="5"/>
      <c r="UIU22" s="5"/>
      <c r="UIV22" s="5"/>
      <c r="UIW22" s="5"/>
      <c r="UIX22" s="5"/>
      <c r="UIY22" s="5"/>
      <c r="UIZ22" s="5"/>
      <c r="UJA22" s="5"/>
      <c r="UJB22" s="5"/>
      <c r="UJC22" s="5"/>
      <c r="UJD22" s="5"/>
      <c r="UJE22" s="5"/>
      <c r="UJF22" s="5"/>
      <c r="UJG22" s="5"/>
      <c r="UJH22" s="5"/>
      <c r="UJI22" s="5"/>
      <c r="UJJ22" s="5"/>
      <c r="UJK22" s="5"/>
      <c r="UJL22" s="5"/>
      <c r="UJM22" s="5"/>
      <c r="UJN22" s="5"/>
      <c r="UJO22" s="5"/>
      <c r="UJP22" s="5"/>
      <c r="UJQ22" s="5"/>
      <c r="UJR22" s="5"/>
      <c r="UJS22" s="5"/>
      <c r="UJT22" s="5"/>
      <c r="UJU22" s="5"/>
      <c r="UJV22" s="5"/>
      <c r="UJW22" s="5"/>
      <c r="UJX22" s="5"/>
      <c r="UJY22" s="5"/>
      <c r="UJZ22" s="5"/>
      <c r="UKA22" s="5"/>
      <c r="UKB22" s="5"/>
      <c r="UKC22" s="5"/>
      <c r="UKD22" s="5"/>
      <c r="UKE22" s="5"/>
      <c r="UKF22" s="5"/>
      <c r="UKG22" s="5"/>
      <c r="UKH22" s="5"/>
      <c r="UKI22" s="5"/>
      <c r="UKJ22" s="5"/>
      <c r="UKK22" s="5"/>
      <c r="UKL22" s="5"/>
      <c r="UKM22" s="5"/>
      <c r="UKN22" s="5"/>
      <c r="UKO22" s="5"/>
      <c r="UKP22" s="5"/>
      <c r="UKQ22" s="5"/>
      <c r="UKR22" s="5"/>
      <c r="UKS22" s="5"/>
      <c r="UKT22" s="5"/>
      <c r="UKU22" s="5"/>
      <c r="UKV22" s="5"/>
      <c r="UKW22" s="5"/>
      <c r="UKX22" s="5"/>
      <c r="UKY22" s="5"/>
      <c r="UKZ22" s="5"/>
      <c r="ULA22" s="5"/>
      <c r="ULB22" s="5"/>
      <c r="ULC22" s="5"/>
      <c r="ULD22" s="5"/>
      <c r="ULE22" s="5"/>
      <c r="ULF22" s="5"/>
      <c r="ULG22" s="5"/>
      <c r="ULH22" s="5"/>
      <c r="ULI22" s="5"/>
      <c r="ULJ22" s="5"/>
      <c r="ULK22" s="5"/>
      <c r="ULL22" s="5"/>
      <c r="ULM22" s="5"/>
      <c r="ULN22" s="5"/>
      <c r="ULO22" s="5"/>
      <c r="ULP22" s="5"/>
      <c r="ULQ22" s="5"/>
      <c r="ULR22" s="5"/>
      <c r="ULS22" s="5"/>
      <c r="ULT22" s="5"/>
      <c r="ULU22" s="5"/>
      <c r="ULV22" s="5"/>
      <c r="ULW22" s="5"/>
      <c r="ULX22" s="5"/>
      <c r="ULY22" s="5"/>
      <c r="ULZ22" s="5"/>
      <c r="UMA22" s="5"/>
      <c r="UMB22" s="5"/>
      <c r="UMC22" s="5"/>
      <c r="UMD22" s="5"/>
      <c r="UME22" s="5"/>
      <c r="UMF22" s="5"/>
      <c r="UMG22" s="5"/>
      <c r="UMH22" s="5"/>
      <c r="UMI22" s="5"/>
      <c r="UMJ22" s="5"/>
      <c r="UMK22" s="5"/>
      <c r="UML22" s="5"/>
      <c r="UMM22" s="5"/>
      <c r="UMN22" s="5"/>
      <c r="UMO22" s="5"/>
      <c r="UMP22" s="5"/>
      <c r="UMQ22" s="5"/>
      <c r="UMR22" s="5"/>
      <c r="UMS22" s="5"/>
      <c r="UMT22" s="5"/>
      <c r="UMU22" s="5"/>
      <c r="UMV22" s="5"/>
      <c r="UMW22" s="5"/>
      <c r="UMX22" s="5"/>
      <c r="UMY22" s="5"/>
      <c r="UMZ22" s="5"/>
      <c r="UNA22" s="5"/>
      <c r="UNB22" s="5"/>
      <c r="UNC22" s="5"/>
      <c r="UND22" s="5"/>
      <c r="UNE22" s="5"/>
      <c r="UNF22" s="5"/>
      <c r="UNG22" s="5"/>
      <c r="UNH22" s="5"/>
      <c r="UNI22" s="5"/>
      <c r="UNJ22" s="5"/>
      <c r="UNK22" s="5"/>
      <c r="UNL22" s="5"/>
      <c r="UNM22" s="5"/>
      <c r="UNN22" s="5"/>
      <c r="UNO22" s="5"/>
      <c r="UNP22" s="5"/>
      <c r="UNQ22" s="5"/>
      <c r="UNR22" s="5"/>
      <c r="UNS22" s="5"/>
      <c r="UNT22" s="5"/>
      <c r="UNU22" s="5"/>
      <c r="UNV22" s="5"/>
      <c r="UNW22" s="5"/>
      <c r="UNX22" s="5"/>
      <c r="UNY22" s="5"/>
      <c r="UNZ22" s="5"/>
      <c r="UOA22" s="5"/>
      <c r="UOB22" s="5"/>
      <c r="UOC22" s="5"/>
      <c r="UOD22" s="5"/>
      <c r="UOE22" s="5"/>
      <c r="UOF22" s="5"/>
      <c r="UOG22" s="5"/>
      <c r="UOH22" s="5"/>
      <c r="UOI22" s="5"/>
      <c r="UOJ22" s="5"/>
      <c r="UOK22" s="5"/>
      <c r="UOL22" s="5"/>
      <c r="UOM22" s="5"/>
      <c r="UON22" s="5"/>
      <c r="UOO22" s="5"/>
      <c r="UOP22" s="5"/>
      <c r="UOQ22" s="5"/>
      <c r="UOR22" s="5"/>
      <c r="UOS22" s="5"/>
      <c r="UOT22" s="5"/>
      <c r="UOU22" s="5"/>
      <c r="UOV22" s="5"/>
      <c r="UOW22" s="5"/>
      <c r="UOX22" s="5"/>
      <c r="UOY22" s="5"/>
      <c r="UOZ22" s="5"/>
      <c r="UPA22" s="5"/>
      <c r="UPB22" s="5"/>
      <c r="UPC22" s="5"/>
      <c r="UPD22" s="5"/>
      <c r="UPE22" s="5"/>
      <c r="UPF22" s="5"/>
      <c r="UPG22" s="5"/>
      <c r="UPH22" s="5"/>
      <c r="UPI22" s="5"/>
      <c r="UPJ22" s="5"/>
      <c r="UPK22" s="5"/>
      <c r="UPL22" s="5"/>
      <c r="UPM22" s="5"/>
      <c r="UPN22" s="5"/>
      <c r="UPO22" s="5"/>
      <c r="UPP22" s="5"/>
      <c r="UPQ22" s="5"/>
      <c r="UPR22" s="5"/>
      <c r="UPS22" s="5"/>
      <c r="UPT22" s="5"/>
      <c r="UPU22" s="5"/>
      <c r="UPV22" s="5"/>
      <c r="UPW22" s="5"/>
      <c r="UPX22" s="5"/>
      <c r="UPY22" s="5"/>
      <c r="UPZ22" s="5"/>
      <c r="UQA22" s="5"/>
      <c r="UQB22" s="5"/>
      <c r="UQC22" s="5"/>
      <c r="UQD22" s="5"/>
      <c r="UQE22" s="5"/>
      <c r="UQF22" s="5"/>
      <c r="UQG22" s="5"/>
      <c r="UQH22" s="5"/>
      <c r="UQI22" s="5"/>
      <c r="UQJ22" s="5"/>
      <c r="UQK22" s="5"/>
      <c r="UQL22" s="5"/>
      <c r="UQM22" s="5"/>
      <c r="UQN22" s="5"/>
      <c r="UQO22" s="5"/>
      <c r="UQP22" s="5"/>
      <c r="UQQ22" s="5"/>
      <c r="UQR22" s="5"/>
      <c r="UQS22" s="5"/>
      <c r="UQT22" s="5"/>
      <c r="UQU22" s="5"/>
      <c r="UQV22" s="5"/>
      <c r="UQW22" s="5"/>
      <c r="UQX22" s="5"/>
      <c r="UQY22" s="5"/>
      <c r="UQZ22" s="5"/>
      <c r="URA22" s="5"/>
      <c r="URB22" s="5"/>
      <c r="URC22" s="5"/>
      <c r="URD22" s="5"/>
      <c r="URE22" s="5"/>
      <c r="URF22" s="5"/>
      <c r="URG22" s="5"/>
      <c r="URH22" s="5"/>
      <c r="URI22" s="5"/>
      <c r="URJ22" s="5"/>
      <c r="URK22" s="5"/>
      <c r="URL22" s="5"/>
      <c r="URM22" s="5"/>
      <c r="URN22" s="5"/>
      <c r="URO22" s="5"/>
      <c r="URP22" s="5"/>
      <c r="URQ22" s="5"/>
      <c r="URR22" s="5"/>
      <c r="URS22" s="5"/>
      <c r="URT22" s="5"/>
      <c r="URU22" s="5"/>
      <c r="URV22" s="5"/>
      <c r="URW22" s="5"/>
      <c r="URX22" s="5"/>
      <c r="URY22" s="5"/>
      <c r="URZ22" s="5"/>
      <c r="USA22" s="5"/>
      <c r="USB22" s="5"/>
      <c r="USC22" s="5"/>
      <c r="USD22" s="5"/>
      <c r="USE22" s="5"/>
      <c r="USF22" s="5"/>
      <c r="USG22" s="5"/>
      <c r="USH22" s="5"/>
      <c r="USI22" s="5"/>
      <c r="USJ22" s="5"/>
      <c r="USK22" s="5"/>
      <c r="USL22" s="5"/>
      <c r="USM22" s="5"/>
      <c r="USN22" s="5"/>
      <c r="USO22" s="5"/>
      <c r="USP22" s="5"/>
      <c r="USQ22" s="5"/>
      <c r="USR22" s="5"/>
      <c r="USS22" s="5"/>
      <c r="UST22" s="5"/>
      <c r="USU22" s="5"/>
      <c r="USV22" s="5"/>
      <c r="USW22" s="5"/>
      <c r="USX22" s="5"/>
      <c r="USY22" s="5"/>
      <c r="USZ22" s="5"/>
      <c r="UTA22" s="5"/>
      <c r="UTB22" s="5"/>
      <c r="UTC22" s="5"/>
      <c r="UTD22" s="5"/>
      <c r="UTE22" s="5"/>
      <c r="UTF22" s="5"/>
      <c r="UTG22" s="5"/>
      <c r="UTH22" s="5"/>
      <c r="UTI22" s="5"/>
      <c r="UTJ22" s="5"/>
      <c r="UTK22" s="5"/>
      <c r="UTL22" s="5"/>
      <c r="UTM22" s="5"/>
      <c r="UTN22" s="5"/>
      <c r="UTO22" s="5"/>
      <c r="UTP22" s="5"/>
      <c r="UTQ22" s="5"/>
      <c r="UTR22" s="5"/>
      <c r="UTS22" s="5"/>
      <c r="UTT22" s="5"/>
      <c r="UTU22" s="5"/>
      <c r="UTV22" s="5"/>
      <c r="UTW22" s="5"/>
      <c r="UTX22" s="5"/>
      <c r="UTY22" s="5"/>
      <c r="UTZ22" s="5"/>
      <c r="UUA22" s="5"/>
      <c r="UUB22" s="5"/>
      <c r="UUC22" s="5"/>
      <c r="UUD22" s="5"/>
      <c r="UUE22" s="5"/>
      <c r="UUF22" s="5"/>
      <c r="UUG22" s="5"/>
      <c r="UUH22" s="5"/>
      <c r="UUI22" s="5"/>
      <c r="UUJ22" s="5"/>
      <c r="UUK22" s="5"/>
      <c r="UUL22" s="5"/>
      <c r="UUM22" s="5"/>
      <c r="UUN22" s="5"/>
      <c r="UUO22" s="5"/>
      <c r="UUP22" s="5"/>
      <c r="UUQ22" s="5"/>
      <c r="UUR22" s="5"/>
      <c r="UUS22" s="5"/>
      <c r="UUT22" s="5"/>
      <c r="UUU22" s="5"/>
      <c r="UUV22" s="5"/>
      <c r="UUW22" s="5"/>
      <c r="UUX22" s="5"/>
      <c r="UUY22" s="5"/>
      <c r="UUZ22" s="5"/>
      <c r="UVA22" s="5"/>
      <c r="UVB22" s="5"/>
      <c r="UVC22" s="5"/>
      <c r="UVD22" s="5"/>
      <c r="UVE22" s="5"/>
      <c r="UVF22" s="5"/>
      <c r="UVG22" s="5"/>
      <c r="UVH22" s="5"/>
      <c r="UVI22" s="5"/>
      <c r="UVJ22" s="5"/>
      <c r="UVK22" s="5"/>
      <c r="UVL22" s="5"/>
      <c r="UVM22" s="5"/>
      <c r="UVN22" s="5"/>
      <c r="UVO22" s="5"/>
      <c r="UVP22" s="5"/>
      <c r="UVQ22" s="5"/>
      <c r="UVR22" s="5"/>
      <c r="UVS22" s="5"/>
      <c r="UVT22" s="5"/>
      <c r="UVU22" s="5"/>
      <c r="UVV22" s="5"/>
      <c r="UVW22" s="5"/>
      <c r="UVX22" s="5"/>
      <c r="UVY22" s="5"/>
      <c r="UVZ22" s="5"/>
      <c r="UWA22" s="5"/>
      <c r="UWB22" s="5"/>
      <c r="UWC22" s="5"/>
      <c r="UWD22" s="5"/>
      <c r="UWE22" s="5"/>
      <c r="UWF22" s="5"/>
      <c r="UWG22" s="5"/>
      <c r="UWH22" s="5"/>
      <c r="UWI22" s="5"/>
      <c r="UWJ22" s="5"/>
      <c r="UWK22" s="5"/>
      <c r="UWL22" s="5"/>
      <c r="UWM22" s="5"/>
      <c r="UWN22" s="5"/>
      <c r="UWO22" s="5"/>
      <c r="UWP22" s="5"/>
      <c r="UWQ22" s="5"/>
      <c r="UWR22" s="5"/>
      <c r="UWS22" s="5"/>
      <c r="UWT22" s="5"/>
      <c r="UWU22" s="5"/>
      <c r="UWV22" s="5"/>
      <c r="UWW22" s="5"/>
      <c r="UWX22" s="5"/>
      <c r="UWY22" s="5"/>
      <c r="UWZ22" s="5"/>
      <c r="UXA22" s="5"/>
      <c r="UXB22" s="5"/>
      <c r="UXC22" s="5"/>
      <c r="UXD22" s="5"/>
      <c r="UXE22" s="5"/>
      <c r="UXF22" s="5"/>
      <c r="UXG22" s="5"/>
      <c r="UXH22" s="5"/>
      <c r="UXI22" s="5"/>
      <c r="UXJ22" s="5"/>
      <c r="UXK22" s="5"/>
      <c r="UXL22" s="5"/>
      <c r="UXM22" s="5"/>
      <c r="UXN22" s="5"/>
      <c r="UXO22" s="5"/>
      <c r="UXP22" s="5"/>
      <c r="UXQ22" s="5"/>
      <c r="UXR22" s="5"/>
      <c r="UXS22" s="5"/>
      <c r="UXT22" s="5"/>
      <c r="UXU22" s="5"/>
      <c r="UXV22" s="5"/>
      <c r="UXW22" s="5"/>
      <c r="UXX22" s="5"/>
      <c r="UXY22" s="5"/>
      <c r="UXZ22" s="5"/>
      <c r="UYA22" s="5"/>
      <c r="UYB22" s="5"/>
      <c r="UYC22" s="5"/>
      <c r="UYD22" s="5"/>
      <c r="UYE22" s="5"/>
      <c r="UYF22" s="5"/>
      <c r="UYG22" s="5"/>
      <c r="UYH22" s="5"/>
      <c r="UYI22" s="5"/>
      <c r="UYJ22" s="5"/>
      <c r="UYK22" s="5"/>
      <c r="UYL22" s="5"/>
      <c r="UYM22" s="5"/>
      <c r="UYN22" s="5"/>
      <c r="UYO22" s="5"/>
      <c r="UYP22" s="5"/>
      <c r="UYQ22" s="5"/>
      <c r="UYR22" s="5"/>
      <c r="UYS22" s="5"/>
      <c r="UYT22" s="5"/>
      <c r="UYU22" s="5"/>
      <c r="UYV22" s="5"/>
      <c r="UYW22" s="5"/>
      <c r="UYX22" s="5"/>
      <c r="UYY22" s="5"/>
      <c r="UYZ22" s="5"/>
      <c r="UZA22" s="5"/>
      <c r="UZB22" s="5"/>
      <c r="UZC22" s="5"/>
      <c r="UZD22" s="5"/>
      <c r="UZE22" s="5"/>
      <c r="UZF22" s="5"/>
      <c r="UZG22" s="5"/>
      <c r="UZH22" s="5"/>
      <c r="UZI22" s="5"/>
      <c r="UZJ22" s="5"/>
      <c r="UZK22" s="5"/>
      <c r="UZL22" s="5"/>
      <c r="UZM22" s="5"/>
      <c r="UZN22" s="5"/>
      <c r="UZO22" s="5"/>
      <c r="UZP22" s="5"/>
      <c r="UZQ22" s="5"/>
      <c r="UZR22" s="5"/>
      <c r="UZS22" s="5"/>
      <c r="UZT22" s="5"/>
      <c r="UZU22" s="5"/>
      <c r="UZV22" s="5"/>
      <c r="UZW22" s="5"/>
      <c r="UZX22" s="5"/>
      <c r="UZY22" s="5"/>
      <c r="UZZ22" s="5"/>
      <c r="VAA22" s="5"/>
      <c r="VAB22" s="5"/>
      <c r="VAC22" s="5"/>
      <c r="VAD22" s="5"/>
      <c r="VAE22" s="5"/>
      <c r="VAF22" s="5"/>
      <c r="VAG22" s="5"/>
      <c r="VAH22" s="5"/>
      <c r="VAI22" s="5"/>
      <c r="VAJ22" s="5"/>
      <c r="VAK22" s="5"/>
      <c r="VAL22" s="5"/>
      <c r="VAM22" s="5"/>
      <c r="VAN22" s="5"/>
      <c r="VAO22" s="5"/>
      <c r="VAP22" s="5"/>
      <c r="VAQ22" s="5"/>
      <c r="VAR22" s="5"/>
      <c r="VAS22" s="5"/>
      <c r="VAT22" s="5"/>
      <c r="VAU22" s="5"/>
      <c r="VAV22" s="5"/>
      <c r="VAW22" s="5"/>
      <c r="VAX22" s="5"/>
      <c r="VAY22" s="5"/>
      <c r="VAZ22" s="5"/>
      <c r="VBA22" s="5"/>
      <c r="VBB22" s="5"/>
      <c r="VBC22" s="5"/>
      <c r="VBD22" s="5"/>
      <c r="VBE22" s="5"/>
      <c r="VBF22" s="5"/>
      <c r="VBG22" s="5"/>
      <c r="VBH22" s="5"/>
      <c r="VBI22" s="5"/>
      <c r="VBJ22" s="5"/>
      <c r="VBK22" s="5"/>
      <c r="VBL22" s="5"/>
      <c r="VBM22" s="5"/>
      <c r="VBN22" s="5"/>
      <c r="VBO22" s="5"/>
      <c r="VBP22" s="5"/>
      <c r="VBQ22" s="5"/>
      <c r="VBR22" s="5"/>
      <c r="VBS22" s="5"/>
      <c r="VBT22" s="5"/>
      <c r="VBU22" s="5"/>
      <c r="VBV22" s="5"/>
      <c r="VBW22" s="5"/>
      <c r="VBX22" s="5"/>
      <c r="VBY22" s="5"/>
      <c r="VBZ22" s="5"/>
      <c r="VCA22" s="5"/>
      <c r="VCB22" s="5"/>
      <c r="VCC22" s="5"/>
      <c r="VCD22" s="5"/>
      <c r="VCE22" s="5"/>
      <c r="VCF22" s="5"/>
      <c r="VCG22" s="5"/>
      <c r="VCH22" s="5"/>
      <c r="VCI22" s="5"/>
      <c r="VCJ22" s="5"/>
      <c r="VCK22" s="5"/>
      <c r="VCL22" s="5"/>
      <c r="VCM22" s="5"/>
      <c r="VCN22" s="5"/>
      <c r="VCO22" s="5"/>
      <c r="VCP22" s="5"/>
      <c r="VCQ22" s="5"/>
      <c r="VCR22" s="5"/>
      <c r="VCS22" s="5"/>
      <c r="VCT22" s="5"/>
      <c r="VCU22" s="5"/>
      <c r="VCV22" s="5"/>
      <c r="VCW22" s="5"/>
      <c r="VCX22" s="5"/>
      <c r="VCY22" s="5"/>
      <c r="VCZ22" s="5"/>
      <c r="VDA22" s="5"/>
      <c r="VDB22" s="5"/>
      <c r="VDC22" s="5"/>
      <c r="VDD22" s="5"/>
      <c r="VDE22" s="5"/>
      <c r="VDF22" s="5"/>
      <c r="VDG22" s="5"/>
      <c r="VDH22" s="5"/>
      <c r="VDI22" s="5"/>
      <c r="VDJ22" s="5"/>
      <c r="VDK22" s="5"/>
      <c r="VDL22" s="5"/>
      <c r="VDM22" s="5"/>
      <c r="VDN22" s="5"/>
      <c r="VDO22" s="5"/>
      <c r="VDP22" s="5"/>
      <c r="VDQ22" s="5"/>
      <c r="VDR22" s="5"/>
      <c r="VDS22" s="5"/>
      <c r="VDT22" s="5"/>
      <c r="VDU22" s="5"/>
      <c r="VDV22" s="5"/>
      <c r="VDW22" s="5"/>
      <c r="VDX22" s="5"/>
      <c r="VDY22" s="5"/>
      <c r="VDZ22" s="5"/>
      <c r="VEA22" s="5"/>
      <c r="VEB22" s="5"/>
      <c r="VEC22" s="5"/>
      <c r="VED22" s="5"/>
      <c r="VEE22" s="5"/>
      <c r="VEF22" s="5"/>
      <c r="VEG22" s="5"/>
      <c r="VEH22" s="5"/>
      <c r="VEI22" s="5"/>
      <c r="VEJ22" s="5"/>
      <c r="VEK22" s="5"/>
      <c r="VEL22" s="5"/>
      <c r="VEM22" s="5"/>
      <c r="VEN22" s="5"/>
      <c r="VEO22" s="5"/>
      <c r="VEP22" s="5"/>
      <c r="VEQ22" s="5"/>
      <c r="VER22" s="5"/>
      <c r="VES22" s="5"/>
      <c r="VET22" s="5"/>
      <c r="VEU22" s="5"/>
      <c r="VEV22" s="5"/>
      <c r="VEW22" s="5"/>
      <c r="VEX22" s="5"/>
      <c r="VEY22" s="5"/>
      <c r="VEZ22" s="5"/>
      <c r="VFA22" s="5"/>
      <c r="VFB22" s="5"/>
      <c r="VFC22" s="5"/>
      <c r="VFD22" s="5"/>
      <c r="VFE22" s="5"/>
      <c r="VFF22" s="5"/>
      <c r="VFG22" s="5"/>
      <c r="VFH22" s="5"/>
      <c r="VFI22" s="5"/>
      <c r="VFJ22" s="5"/>
      <c r="VFK22" s="5"/>
      <c r="VFL22" s="5"/>
      <c r="VFM22" s="5"/>
      <c r="VFN22" s="5"/>
      <c r="VFO22" s="5"/>
      <c r="VFP22" s="5"/>
      <c r="VFQ22" s="5"/>
      <c r="VFR22" s="5"/>
      <c r="VFS22" s="5"/>
      <c r="VFT22" s="5"/>
      <c r="VFU22" s="5"/>
      <c r="VFV22" s="5"/>
      <c r="VFW22" s="5"/>
      <c r="VFX22" s="5"/>
      <c r="VFY22" s="5"/>
      <c r="VFZ22" s="5"/>
      <c r="VGA22" s="5"/>
      <c r="VGB22" s="5"/>
      <c r="VGC22" s="5"/>
      <c r="VGD22" s="5"/>
      <c r="VGE22" s="5"/>
      <c r="VGF22" s="5"/>
      <c r="VGG22" s="5"/>
      <c r="VGH22" s="5"/>
      <c r="VGI22" s="5"/>
      <c r="VGJ22" s="5"/>
      <c r="VGK22" s="5"/>
      <c r="VGL22" s="5"/>
      <c r="VGM22" s="5"/>
      <c r="VGN22" s="5"/>
      <c r="VGO22" s="5"/>
      <c r="VGP22" s="5"/>
      <c r="VGQ22" s="5"/>
      <c r="VGR22" s="5"/>
      <c r="VGS22" s="5"/>
      <c r="VGT22" s="5"/>
      <c r="VGU22" s="5"/>
      <c r="VGV22" s="5"/>
      <c r="VGW22" s="5"/>
      <c r="VGX22" s="5"/>
      <c r="VGY22" s="5"/>
      <c r="VGZ22" s="5"/>
      <c r="VHA22" s="5"/>
      <c r="VHB22" s="5"/>
      <c r="VHC22" s="5"/>
      <c r="VHD22" s="5"/>
      <c r="VHE22" s="5"/>
      <c r="VHF22" s="5"/>
      <c r="VHG22" s="5"/>
      <c r="VHH22" s="5"/>
      <c r="VHI22" s="5"/>
      <c r="VHJ22" s="5"/>
      <c r="VHK22" s="5"/>
      <c r="VHL22" s="5"/>
      <c r="VHM22" s="5"/>
      <c r="VHN22" s="5"/>
      <c r="VHO22" s="5"/>
      <c r="VHP22" s="5"/>
      <c r="VHQ22" s="5"/>
      <c r="VHR22" s="5"/>
      <c r="VHS22" s="5"/>
      <c r="VHT22" s="5"/>
      <c r="VHU22" s="5"/>
      <c r="VHV22" s="5"/>
      <c r="VHW22" s="5"/>
      <c r="VHX22" s="5"/>
      <c r="VHY22" s="5"/>
      <c r="VHZ22" s="5"/>
      <c r="VIA22" s="5"/>
      <c r="VIB22" s="5"/>
      <c r="VIC22" s="5"/>
      <c r="VID22" s="5"/>
      <c r="VIE22" s="5"/>
      <c r="VIF22" s="5"/>
      <c r="VIG22" s="5"/>
      <c r="VIH22" s="5"/>
      <c r="VII22" s="5"/>
      <c r="VIJ22" s="5"/>
      <c r="VIK22" s="5"/>
      <c r="VIL22" s="5"/>
      <c r="VIM22" s="5"/>
      <c r="VIN22" s="5"/>
      <c r="VIO22" s="5"/>
      <c r="VIP22" s="5"/>
      <c r="VIQ22" s="5"/>
      <c r="VIR22" s="5"/>
      <c r="VIS22" s="5"/>
      <c r="VIT22" s="5"/>
      <c r="VIU22" s="5"/>
      <c r="VIV22" s="5"/>
      <c r="VIW22" s="5"/>
      <c r="VIX22" s="5"/>
      <c r="VIY22" s="5"/>
      <c r="VIZ22" s="5"/>
      <c r="VJA22" s="5"/>
      <c r="VJB22" s="5"/>
      <c r="VJC22" s="5"/>
      <c r="VJD22" s="5"/>
      <c r="VJE22" s="5"/>
      <c r="VJF22" s="5"/>
      <c r="VJG22" s="5"/>
      <c r="VJH22" s="5"/>
      <c r="VJI22" s="5"/>
      <c r="VJJ22" s="5"/>
      <c r="VJK22" s="5"/>
      <c r="VJL22" s="5"/>
      <c r="VJM22" s="5"/>
      <c r="VJN22" s="5"/>
      <c r="VJO22" s="5"/>
      <c r="VJP22" s="5"/>
      <c r="VJQ22" s="5"/>
      <c r="VJR22" s="5"/>
      <c r="VJS22" s="5"/>
      <c r="VJT22" s="5"/>
      <c r="VJU22" s="5"/>
      <c r="VJV22" s="5"/>
      <c r="VJW22" s="5"/>
      <c r="VJX22" s="5"/>
      <c r="VJY22" s="5"/>
      <c r="VJZ22" s="5"/>
      <c r="VKA22" s="5"/>
      <c r="VKB22" s="5"/>
      <c r="VKC22" s="5"/>
      <c r="VKD22" s="5"/>
      <c r="VKE22" s="5"/>
      <c r="VKF22" s="5"/>
      <c r="VKG22" s="5"/>
      <c r="VKH22" s="5"/>
      <c r="VKI22" s="5"/>
      <c r="VKJ22" s="5"/>
      <c r="VKK22" s="5"/>
      <c r="VKL22" s="5"/>
      <c r="VKM22" s="5"/>
      <c r="VKN22" s="5"/>
      <c r="VKO22" s="5"/>
      <c r="VKP22" s="5"/>
      <c r="VKQ22" s="5"/>
      <c r="VKR22" s="5"/>
      <c r="VKS22" s="5"/>
      <c r="VKT22" s="5"/>
      <c r="VKU22" s="5"/>
      <c r="VKV22" s="5"/>
      <c r="VKW22" s="5"/>
      <c r="VKX22" s="5"/>
      <c r="VKY22" s="5"/>
      <c r="VKZ22" s="5"/>
      <c r="VLA22" s="5"/>
      <c r="VLB22" s="5"/>
      <c r="VLC22" s="5"/>
      <c r="VLD22" s="5"/>
      <c r="VLE22" s="5"/>
      <c r="VLF22" s="5"/>
      <c r="VLG22" s="5"/>
      <c r="VLH22" s="5"/>
      <c r="VLI22" s="5"/>
      <c r="VLJ22" s="5"/>
      <c r="VLK22" s="5"/>
      <c r="VLL22" s="5"/>
      <c r="VLM22" s="5"/>
      <c r="VLN22" s="5"/>
      <c r="VLO22" s="5"/>
      <c r="VLP22" s="5"/>
      <c r="VLQ22" s="5"/>
      <c r="VLR22" s="5"/>
      <c r="VLS22" s="5"/>
      <c r="VLT22" s="5"/>
      <c r="VLU22" s="5"/>
      <c r="VLV22" s="5"/>
      <c r="VLW22" s="5"/>
      <c r="VLX22" s="5"/>
      <c r="VLY22" s="5"/>
      <c r="VLZ22" s="5"/>
      <c r="VMA22" s="5"/>
      <c r="VMB22" s="5"/>
      <c r="VMC22" s="5"/>
      <c r="VMD22" s="5"/>
      <c r="VME22" s="5"/>
      <c r="VMF22" s="5"/>
      <c r="VMG22" s="5"/>
      <c r="VMH22" s="5"/>
      <c r="VMI22" s="5"/>
      <c r="VMJ22" s="5"/>
      <c r="VMK22" s="5"/>
      <c r="VML22" s="5"/>
      <c r="VMM22" s="5"/>
      <c r="VMN22" s="5"/>
      <c r="VMO22" s="5"/>
      <c r="VMP22" s="5"/>
      <c r="VMQ22" s="5"/>
      <c r="VMR22" s="5"/>
      <c r="VMS22" s="5"/>
      <c r="VMT22" s="5"/>
      <c r="VMU22" s="5"/>
      <c r="VMV22" s="5"/>
      <c r="VMW22" s="5"/>
      <c r="VMX22" s="5"/>
      <c r="VMY22" s="5"/>
      <c r="VMZ22" s="5"/>
      <c r="VNA22" s="5"/>
      <c r="VNB22" s="5"/>
      <c r="VNC22" s="5"/>
      <c r="VND22" s="5"/>
      <c r="VNE22" s="5"/>
      <c r="VNF22" s="5"/>
      <c r="VNG22" s="5"/>
      <c r="VNH22" s="5"/>
      <c r="VNI22" s="5"/>
      <c r="VNJ22" s="5"/>
      <c r="VNK22" s="5"/>
      <c r="VNL22" s="5"/>
      <c r="VNM22" s="5"/>
      <c r="VNN22" s="5"/>
      <c r="VNO22" s="5"/>
      <c r="VNP22" s="5"/>
      <c r="VNQ22" s="5"/>
      <c r="VNR22" s="5"/>
      <c r="VNS22" s="5"/>
      <c r="VNT22" s="5"/>
      <c r="VNU22" s="5"/>
      <c r="VNV22" s="5"/>
      <c r="VNW22" s="5"/>
      <c r="VNX22" s="5"/>
      <c r="VNY22" s="5"/>
      <c r="VNZ22" s="5"/>
      <c r="VOA22" s="5"/>
      <c r="VOB22" s="5"/>
      <c r="VOC22" s="5"/>
      <c r="VOD22" s="5"/>
      <c r="VOE22" s="5"/>
      <c r="VOF22" s="5"/>
      <c r="VOG22" s="5"/>
      <c r="VOH22" s="5"/>
      <c r="VOI22" s="5"/>
      <c r="VOJ22" s="5"/>
      <c r="VOK22" s="5"/>
      <c r="VOL22" s="5"/>
      <c r="VOM22" s="5"/>
      <c r="VON22" s="5"/>
      <c r="VOO22" s="5"/>
      <c r="VOP22" s="5"/>
      <c r="VOQ22" s="5"/>
      <c r="VOR22" s="5"/>
      <c r="VOS22" s="5"/>
      <c r="VOT22" s="5"/>
      <c r="VOU22" s="5"/>
      <c r="VOV22" s="5"/>
      <c r="VOW22" s="5"/>
      <c r="VOX22" s="5"/>
      <c r="VOY22" s="5"/>
      <c r="VOZ22" s="5"/>
      <c r="VPA22" s="5"/>
      <c r="VPB22" s="5"/>
      <c r="VPC22" s="5"/>
      <c r="VPD22" s="5"/>
      <c r="VPE22" s="5"/>
      <c r="VPF22" s="5"/>
      <c r="VPG22" s="5"/>
      <c r="VPH22" s="5"/>
      <c r="VPI22" s="5"/>
      <c r="VPJ22" s="5"/>
      <c r="VPK22" s="5"/>
      <c r="VPL22" s="5"/>
      <c r="VPM22" s="5"/>
      <c r="VPN22" s="5"/>
      <c r="VPO22" s="5"/>
      <c r="VPP22" s="5"/>
      <c r="VPQ22" s="5"/>
      <c r="VPR22" s="5"/>
      <c r="VPS22" s="5"/>
      <c r="VPT22" s="5"/>
      <c r="VPU22" s="5"/>
      <c r="VPV22" s="5"/>
      <c r="VPW22" s="5"/>
      <c r="VPX22" s="5"/>
      <c r="VPY22" s="5"/>
      <c r="VPZ22" s="5"/>
      <c r="VQA22" s="5"/>
      <c r="VQB22" s="5"/>
      <c r="VQC22" s="5"/>
      <c r="VQD22" s="5"/>
      <c r="VQE22" s="5"/>
      <c r="VQF22" s="5"/>
      <c r="VQG22" s="5"/>
      <c r="VQH22" s="5"/>
      <c r="VQI22" s="5"/>
      <c r="VQJ22" s="5"/>
      <c r="VQK22" s="5"/>
      <c r="VQL22" s="5"/>
      <c r="VQM22" s="5"/>
      <c r="VQN22" s="5"/>
      <c r="VQO22" s="5"/>
      <c r="VQP22" s="5"/>
      <c r="VQQ22" s="5"/>
      <c r="VQR22" s="5"/>
      <c r="VQS22" s="5"/>
      <c r="VQT22" s="5"/>
      <c r="VQU22" s="5"/>
      <c r="VQV22" s="5"/>
      <c r="VQW22" s="5"/>
      <c r="VQX22" s="5"/>
      <c r="VQY22" s="5"/>
      <c r="VQZ22" s="5"/>
      <c r="VRA22" s="5"/>
      <c r="VRB22" s="5"/>
      <c r="VRC22" s="5"/>
      <c r="VRD22" s="5"/>
      <c r="VRE22" s="5"/>
      <c r="VRF22" s="5"/>
      <c r="VRG22" s="5"/>
      <c r="VRH22" s="5"/>
      <c r="VRI22" s="5"/>
      <c r="VRJ22" s="5"/>
      <c r="VRK22" s="5"/>
      <c r="VRL22" s="5"/>
      <c r="VRM22" s="5"/>
      <c r="VRN22" s="5"/>
      <c r="VRO22" s="5"/>
      <c r="VRP22" s="5"/>
      <c r="VRQ22" s="5"/>
      <c r="VRR22" s="5"/>
      <c r="VRS22" s="5"/>
      <c r="VRT22" s="5"/>
      <c r="VRU22" s="5"/>
      <c r="VRV22" s="5"/>
      <c r="VRW22" s="5"/>
      <c r="VRX22" s="5"/>
      <c r="VRY22" s="5"/>
      <c r="VRZ22" s="5"/>
      <c r="VSA22" s="5"/>
      <c r="VSB22" s="5"/>
      <c r="VSC22" s="5"/>
      <c r="VSD22" s="5"/>
      <c r="VSE22" s="5"/>
      <c r="VSF22" s="5"/>
      <c r="VSG22" s="5"/>
      <c r="VSH22" s="5"/>
      <c r="VSI22" s="5"/>
      <c r="VSJ22" s="5"/>
      <c r="VSK22" s="5"/>
      <c r="VSL22" s="5"/>
      <c r="VSM22" s="5"/>
      <c r="VSN22" s="5"/>
      <c r="VSO22" s="5"/>
      <c r="VSP22" s="5"/>
      <c r="VSQ22" s="5"/>
      <c r="VSR22" s="5"/>
      <c r="VSS22" s="5"/>
      <c r="VST22" s="5"/>
      <c r="VSU22" s="5"/>
      <c r="VSV22" s="5"/>
      <c r="VSW22" s="5"/>
      <c r="VSX22" s="5"/>
      <c r="VSY22" s="5"/>
      <c r="VSZ22" s="5"/>
      <c r="VTA22" s="5"/>
      <c r="VTB22" s="5"/>
      <c r="VTC22" s="5"/>
      <c r="VTD22" s="5"/>
      <c r="VTE22" s="5"/>
      <c r="VTF22" s="5"/>
      <c r="VTG22" s="5"/>
      <c r="VTH22" s="5"/>
      <c r="VTI22" s="5"/>
      <c r="VTJ22" s="5"/>
      <c r="VTK22" s="5"/>
      <c r="VTL22" s="5"/>
      <c r="VTM22" s="5"/>
      <c r="VTN22" s="5"/>
      <c r="VTO22" s="5"/>
      <c r="VTP22" s="5"/>
      <c r="VTQ22" s="5"/>
      <c r="VTR22" s="5"/>
      <c r="VTS22" s="5"/>
      <c r="VTT22" s="5"/>
      <c r="VTU22" s="5"/>
      <c r="VTV22" s="5"/>
      <c r="VTW22" s="5"/>
      <c r="VTX22" s="5"/>
      <c r="VTY22" s="5"/>
      <c r="VTZ22" s="5"/>
      <c r="VUA22" s="5"/>
      <c r="VUB22" s="5"/>
      <c r="VUC22" s="5"/>
      <c r="VUD22" s="5"/>
      <c r="VUE22" s="5"/>
      <c r="VUF22" s="5"/>
      <c r="VUG22" s="5"/>
      <c r="VUH22" s="5"/>
      <c r="VUI22" s="5"/>
      <c r="VUJ22" s="5"/>
      <c r="VUK22" s="5"/>
      <c r="VUL22" s="5"/>
      <c r="VUM22" s="5"/>
      <c r="VUN22" s="5"/>
      <c r="VUO22" s="5"/>
      <c r="VUP22" s="5"/>
      <c r="VUQ22" s="5"/>
      <c r="VUR22" s="5"/>
      <c r="VUS22" s="5"/>
      <c r="VUT22" s="5"/>
      <c r="VUU22" s="5"/>
      <c r="VUV22" s="5"/>
      <c r="VUW22" s="5"/>
      <c r="VUX22" s="5"/>
      <c r="VUY22" s="5"/>
      <c r="VUZ22" s="5"/>
      <c r="VVA22" s="5"/>
      <c r="VVB22" s="5"/>
      <c r="VVC22" s="5"/>
      <c r="VVD22" s="5"/>
      <c r="VVE22" s="5"/>
      <c r="VVF22" s="5"/>
      <c r="VVG22" s="5"/>
      <c r="VVH22" s="5"/>
      <c r="VVI22" s="5"/>
      <c r="VVJ22" s="5"/>
      <c r="VVK22" s="5"/>
      <c r="VVL22" s="5"/>
      <c r="VVM22" s="5"/>
      <c r="VVN22" s="5"/>
      <c r="VVO22" s="5"/>
      <c r="VVP22" s="5"/>
      <c r="VVQ22" s="5"/>
      <c r="VVR22" s="5"/>
      <c r="VVS22" s="5"/>
      <c r="VVT22" s="5"/>
      <c r="VVU22" s="5"/>
      <c r="VVV22" s="5"/>
      <c r="VVW22" s="5"/>
      <c r="VVX22" s="5"/>
      <c r="VVY22" s="5"/>
      <c r="VVZ22" s="5"/>
      <c r="VWA22" s="5"/>
      <c r="VWB22" s="5"/>
      <c r="VWC22" s="5"/>
      <c r="VWD22" s="5"/>
      <c r="VWE22" s="5"/>
      <c r="VWF22" s="5"/>
      <c r="VWG22" s="5"/>
      <c r="VWH22" s="5"/>
      <c r="VWI22" s="5"/>
      <c r="VWJ22" s="5"/>
      <c r="VWK22" s="5"/>
      <c r="VWL22" s="5"/>
      <c r="VWM22" s="5"/>
      <c r="VWN22" s="5"/>
      <c r="VWO22" s="5"/>
      <c r="VWP22" s="5"/>
      <c r="VWQ22" s="5"/>
      <c r="VWR22" s="5"/>
      <c r="VWS22" s="5"/>
      <c r="VWT22" s="5"/>
      <c r="VWU22" s="5"/>
      <c r="VWV22" s="5"/>
      <c r="VWW22" s="5"/>
      <c r="VWX22" s="5"/>
      <c r="VWY22" s="5"/>
      <c r="VWZ22" s="5"/>
      <c r="VXA22" s="5"/>
      <c r="VXB22" s="5"/>
      <c r="VXC22" s="5"/>
      <c r="VXD22" s="5"/>
      <c r="VXE22" s="5"/>
      <c r="VXF22" s="5"/>
      <c r="VXG22" s="5"/>
      <c r="VXH22" s="5"/>
      <c r="VXI22" s="5"/>
      <c r="VXJ22" s="5"/>
      <c r="VXK22" s="5"/>
      <c r="VXL22" s="5"/>
      <c r="VXM22" s="5"/>
      <c r="VXN22" s="5"/>
      <c r="VXO22" s="5"/>
      <c r="VXP22" s="5"/>
      <c r="VXQ22" s="5"/>
      <c r="VXR22" s="5"/>
      <c r="VXS22" s="5"/>
      <c r="VXT22" s="5"/>
      <c r="VXU22" s="5"/>
      <c r="VXV22" s="5"/>
      <c r="VXW22" s="5"/>
      <c r="VXX22" s="5"/>
      <c r="VXY22" s="5"/>
      <c r="VXZ22" s="5"/>
      <c r="VYA22" s="5"/>
      <c r="VYB22" s="5"/>
      <c r="VYC22" s="5"/>
      <c r="VYD22" s="5"/>
      <c r="VYE22" s="5"/>
      <c r="VYF22" s="5"/>
      <c r="VYG22" s="5"/>
      <c r="VYH22" s="5"/>
      <c r="VYI22" s="5"/>
      <c r="VYJ22" s="5"/>
      <c r="VYK22" s="5"/>
      <c r="VYL22" s="5"/>
      <c r="VYM22" s="5"/>
      <c r="VYN22" s="5"/>
      <c r="VYO22" s="5"/>
      <c r="VYP22" s="5"/>
      <c r="VYQ22" s="5"/>
      <c r="VYR22" s="5"/>
      <c r="VYS22" s="5"/>
      <c r="VYT22" s="5"/>
      <c r="VYU22" s="5"/>
      <c r="VYV22" s="5"/>
      <c r="VYW22" s="5"/>
      <c r="VYX22" s="5"/>
      <c r="VYY22" s="5"/>
      <c r="VYZ22" s="5"/>
      <c r="VZA22" s="5"/>
      <c r="VZB22" s="5"/>
      <c r="VZC22" s="5"/>
      <c r="VZD22" s="5"/>
      <c r="VZE22" s="5"/>
      <c r="VZF22" s="5"/>
      <c r="VZG22" s="5"/>
      <c r="VZH22" s="5"/>
      <c r="VZI22" s="5"/>
      <c r="VZJ22" s="5"/>
      <c r="VZK22" s="5"/>
      <c r="VZL22" s="5"/>
      <c r="VZM22" s="5"/>
      <c r="VZN22" s="5"/>
      <c r="VZO22" s="5"/>
      <c r="VZP22" s="5"/>
      <c r="VZQ22" s="5"/>
      <c r="VZR22" s="5"/>
      <c r="VZS22" s="5"/>
      <c r="VZT22" s="5"/>
      <c r="VZU22" s="5"/>
      <c r="VZV22" s="5"/>
      <c r="VZW22" s="5"/>
      <c r="VZX22" s="5"/>
      <c r="VZY22" s="5"/>
      <c r="VZZ22" s="5"/>
      <c r="WAA22" s="5"/>
      <c r="WAB22" s="5"/>
      <c r="WAC22" s="5"/>
      <c r="WAD22" s="5"/>
      <c r="WAE22" s="5"/>
      <c r="WAF22" s="5"/>
      <c r="WAG22" s="5"/>
      <c r="WAH22" s="5"/>
      <c r="WAI22" s="5"/>
      <c r="WAJ22" s="5"/>
      <c r="WAK22" s="5"/>
      <c r="WAL22" s="5"/>
      <c r="WAM22" s="5"/>
      <c r="WAN22" s="5"/>
      <c r="WAO22" s="5"/>
      <c r="WAP22" s="5"/>
      <c r="WAQ22" s="5"/>
      <c r="WAR22" s="5"/>
      <c r="WAS22" s="5"/>
      <c r="WAT22" s="5"/>
      <c r="WAU22" s="5"/>
      <c r="WAV22" s="5"/>
      <c r="WAW22" s="5"/>
      <c r="WAX22" s="5"/>
      <c r="WAY22" s="5"/>
      <c r="WAZ22" s="5"/>
      <c r="WBA22" s="5"/>
      <c r="WBB22" s="5"/>
      <c r="WBC22" s="5"/>
      <c r="WBD22" s="5"/>
      <c r="WBE22" s="5"/>
      <c r="WBF22" s="5"/>
      <c r="WBG22" s="5"/>
      <c r="WBH22" s="5"/>
      <c r="WBI22" s="5"/>
      <c r="WBJ22" s="5"/>
      <c r="WBK22" s="5"/>
      <c r="WBL22" s="5"/>
      <c r="WBM22" s="5"/>
      <c r="WBN22" s="5"/>
      <c r="WBO22" s="5"/>
      <c r="WBP22" s="5"/>
      <c r="WBQ22" s="5"/>
      <c r="WBR22" s="5"/>
      <c r="WBS22" s="5"/>
      <c r="WBT22" s="5"/>
      <c r="WBU22" s="5"/>
      <c r="WBV22" s="5"/>
      <c r="WBW22" s="5"/>
      <c r="WBX22" s="5"/>
      <c r="WBY22" s="5"/>
      <c r="WBZ22" s="5"/>
      <c r="WCA22" s="5"/>
      <c r="WCB22" s="5"/>
      <c r="WCC22" s="5"/>
      <c r="WCD22" s="5"/>
      <c r="WCE22" s="5"/>
      <c r="WCF22" s="5"/>
      <c r="WCG22" s="5"/>
      <c r="WCH22" s="5"/>
      <c r="WCI22" s="5"/>
      <c r="WCJ22" s="5"/>
      <c r="WCK22" s="5"/>
      <c r="WCL22" s="5"/>
      <c r="WCM22" s="5"/>
      <c r="WCN22" s="5"/>
      <c r="WCO22" s="5"/>
      <c r="WCP22" s="5"/>
      <c r="WCQ22" s="5"/>
      <c r="WCR22" s="5"/>
      <c r="WCS22" s="5"/>
      <c r="WCT22" s="5"/>
      <c r="WCU22" s="5"/>
      <c r="WCV22" s="5"/>
      <c r="WCW22" s="5"/>
      <c r="WCX22" s="5"/>
      <c r="WCY22" s="5"/>
      <c r="WCZ22" s="5"/>
      <c r="WDA22" s="5"/>
      <c r="WDB22" s="5"/>
      <c r="WDC22" s="5"/>
      <c r="WDD22" s="5"/>
      <c r="WDE22" s="5"/>
      <c r="WDF22" s="5"/>
      <c r="WDG22" s="5"/>
      <c r="WDH22" s="5"/>
      <c r="WDI22" s="5"/>
      <c r="WDJ22" s="5"/>
      <c r="WDK22" s="5"/>
      <c r="WDL22" s="5"/>
      <c r="WDM22" s="5"/>
      <c r="WDN22" s="5"/>
      <c r="WDO22" s="5"/>
      <c r="WDP22" s="5"/>
      <c r="WDQ22" s="5"/>
      <c r="WDR22" s="5"/>
      <c r="WDS22" s="5"/>
      <c r="WDT22" s="5"/>
      <c r="WDU22" s="5"/>
      <c r="WDV22" s="5"/>
      <c r="WDW22" s="5"/>
      <c r="WDX22" s="5"/>
      <c r="WDY22" s="5"/>
      <c r="WDZ22" s="5"/>
      <c r="WEA22" s="5"/>
      <c r="WEB22" s="5"/>
      <c r="WEC22" s="5"/>
      <c r="WED22" s="5"/>
      <c r="WEE22" s="5"/>
      <c r="WEF22" s="5"/>
      <c r="WEG22" s="5"/>
      <c r="WEH22" s="5"/>
      <c r="WEI22" s="5"/>
      <c r="WEJ22" s="5"/>
      <c r="WEK22" s="5"/>
      <c r="WEL22" s="5"/>
      <c r="WEM22" s="5"/>
      <c r="WEN22" s="5"/>
      <c r="WEO22" s="5"/>
      <c r="WEP22" s="5"/>
      <c r="WEQ22" s="5"/>
      <c r="WER22" s="5"/>
      <c r="WES22" s="5"/>
      <c r="WET22" s="5"/>
      <c r="WEU22" s="5"/>
      <c r="WEV22" s="5"/>
      <c r="WEW22" s="5"/>
      <c r="WEX22" s="5"/>
      <c r="WEY22" s="5"/>
      <c r="WEZ22" s="5"/>
      <c r="WFA22" s="5"/>
      <c r="WFB22" s="5"/>
      <c r="WFC22" s="5"/>
      <c r="WFD22" s="5"/>
      <c r="WFE22" s="5"/>
      <c r="WFF22" s="5"/>
      <c r="WFG22" s="5"/>
      <c r="WFH22" s="5"/>
      <c r="WFI22" s="5"/>
      <c r="WFJ22" s="5"/>
      <c r="WFK22" s="5"/>
      <c r="WFL22" s="5"/>
      <c r="WFM22" s="5"/>
      <c r="WFN22" s="5"/>
      <c r="WFO22" s="5"/>
      <c r="WFP22" s="5"/>
      <c r="WFQ22" s="5"/>
      <c r="WFR22" s="5"/>
      <c r="WFS22" s="5"/>
      <c r="WFT22" s="5"/>
      <c r="WFU22" s="5"/>
      <c r="WFV22" s="5"/>
      <c r="WFW22" s="5"/>
      <c r="WFX22" s="5"/>
      <c r="WFY22" s="5"/>
      <c r="WFZ22" s="5"/>
      <c r="WGA22" s="5"/>
      <c r="WGB22" s="5"/>
      <c r="WGC22" s="5"/>
      <c r="WGD22" s="5"/>
      <c r="WGE22" s="5"/>
      <c r="WGF22" s="5"/>
      <c r="WGG22" s="5"/>
      <c r="WGH22" s="5"/>
      <c r="WGI22" s="5"/>
      <c r="WGJ22" s="5"/>
      <c r="WGK22" s="5"/>
      <c r="WGL22" s="5"/>
      <c r="WGM22" s="5"/>
      <c r="WGN22" s="5"/>
      <c r="WGO22" s="5"/>
      <c r="WGP22" s="5"/>
      <c r="WGQ22" s="5"/>
      <c r="WGR22" s="5"/>
      <c r="WGS22" s="5"/>
      <c r="WGT22" s="5"/>
      <c r="WGU22" s="5"/>
      <c r="WGV22" s="5"/>
      <c r="WGW22" s="5"/>
      <c r="WGX22" s="5"/>
      <c r="WGY22" s="5"/>
      <c r="WGZ22" s="5"/>
      <c r="WHA22" s="5"/>
      <c r="WHB22" s="5"/>
      <c r="WHC22" s="5"/>
      <c r="WHD22" s="5"/>
      <c r="WHE22" s="5"/>
      <c r="WHF22" s="5"/>
      <c r="WHG22" s="5"/>
      <c r="WHH22" s="5"/>
      <c r="WHI22" s="5"/>
      <c r="WHJ22" s="5"/>
      <c r="WHK22" s="5"/>
      <c r="WHL22" s="5"/>
      <c r="WHM22" s="5"/>
      <c r="WHN22" s="5"/>
      <c r="WHO22" s="5"/>
      <c r="WHP22" s="5"/>
      <c r="WHQ22" s="5"/>
      <c r="WHR22" s="5"/>
      <c r="WHS22" s="5"/>
      <c r="WHT22" s="5"/>
      <c r="WHU22" s="5"/>
      <c r="WHV22" s="5"/>
      <c r="WHW22" s="5"/>
      <c r="WHX22" s="5"/>
      <c r="WHY22" s="5"/>
      <c r="WHZ22" s="5"/>
      <c r="WIA22" s="5"/>
      <c r="WIB22" s="5"/>
      <c r="WIC22" s="5"/>
      <c r="WID22" s="5"/>
      <c r="WIE22" s="5"/>
      <c r="WIF22" s="5"/>
      <c r="WIG22" s="5"/>
      <c r="WIH22" s="5"/>
      <c r="WII22" s="5"/>
      <c r="WIJ22" s="5"/>
      <c r="WIK22" s="5"/>
      <c r="WIL22" s="5"/>
      <c r="WIM22" s="5"/>
      <c r="WIN22" s="5"/>
      <c r="WIO22" s="5"/>
      <c r="WIP22" s="5"/>
      <c r="WIQ22" s="5"/>
      <c r="WIR22" s="5"/>
      <c r="WIS22" s="5"/>
      <c r="WIT22" s="5"/>
      <c r="WIU22" s="5"/>
      <c r="WIV22" s="5"/>
      <c r="WIW22" s="5"/>
      <c r="WIX22" s="5"/>
      <c r="WIY22" s="5"/>
      <c r="WIZ22" s="5"/>
      <c r="WJA22" s="5"/>
      <c r="WJB22" s="5"/>
      <c r="WJC22" s="5"/>
      <c r="WJD22" s="5"/>
      <c r="WJE22" s="5"/>
      <c r="WJF22" s="5"/>
      <c r="WJG22" s="5"/>
      <c r="WJH22" s="5"/>
      <c r="WJI22" s="5"/>
      <c r="WJJ22" s="5"/>
      <c r="WJK22" s="5"/>
      <c r="WJL22" s="5"/>
      <c r="WJM22" s="5"/>
      <c r="WJN22" s="5"/>
      <c r="WJO22" s="5"/>
      <c r="WJP22" s="5"/>
      <c r="WJQ22" s="5"/>
      <c r="WJR22" s="5"/>
      <c r="WJS22" s="5"/>
      <c r="WJT22" s="5"/>
      <c r="WJU22" s="5"/>
      <c r="WJV22" s="5"/>
      <c r="WJW22" s="5"/>
      <c r="WJX22" s="5"/>
      <c r="WJY22" s="5"/>
      <c r="WJZ22" s="5"/>
      <c r="WKA22" s="5"/>
      <c r="WKB22" s="5"/>
      <c r="WKC22" s="5"/>
      <c r="WKD22" s="5"/>
      <c r="WKE22" s="5"/>
      <c r="WKF22" s="5"/>
      <c r="WKG22" s="5"/>
      <c r="WKH22" s="5"/>
      <c r="WKI22" s="5"/>
      <c r="WKJ22" s="5"/>
      <c r="WKK22" s="5"/>
      <c r="WKL22" s="5"/>
      <c r="WKM22" s="5"/>
      <c r="WKN22" s="5"/>
      <c r="WKO22" s="5"/>
      <c r="WKP22" s="5"/>
      <c r="WKQ22" s="5"/>
      <c r="WKR22" s="5"/>
      <c r="WKS22" s="5"/>
      <c r="WKT22" s="5"/>
      <c r="WKU22" s="5"/>
      <c r="WKV22" s="5"/>
      <c r="WKW22" s="5"/>
      <c r="WKX22" s="5"/>
      <c r="WKY22" s="5"/>
      <c r="WKZ22" s="5"/>
      <c r="WLA22" s="5"/>
      <c r="WLB22" s="5"/>
      <c r="WLC22" s="5"/>
      <c r="WLD22" s="5"/>
      <c r="WLE22" s="5"/>
      <c r="WLF22" s="5"/>
      <c r="WLG22" s="5"/>
      <c r="WLH22" s="5"/>
      <c r="WLI22" s="5"/>
      <c r="WLJ22" s="5"/>
      <c r="WLK22" s="5"/>
      <c r="WLL22" s="5"/>
      <c r="WLM22" s="5"/>
      <c r="WLN22" s="5"/>
      <c r="WLO22" s="5"/>
      <c r="WLP22" s="5"/>
      <c r="WLQ22" s="5"/>
      <c r="WLR22" s="5"/>
      <c r="WLS22" s="5"/>
      <c r="WLT22" s="5"/>
      <c r="WLU22" s="5"/>
      <c r="WLV22" s="5"/>
      <c r="WLW22" s="5"/>
      <c r="WLX22" s="5"/>
      <c r="WLY22" s="5"/>
      <c r="WLZ22" s="5"/>
      <c r="WMA22" s="5"/>
      <c r="WMB22" s="5"/>
      <c r="WMC22" s="5"/>
      <c r="WMD22" s="5"/>
      <c r="WME22" s="5"/>
      <c r="WMF22" s="5"/>
      <c r="WMG22" s="5"/>
      <c r="WMH22" s="5"/>
      <c r="WMI22" s="5"/>
      <c r="WMJ22" s="5"/>
      <c r="WMK22" s="5"/>
      <c r="WML22" s="5"/>
      <c r="WMM22" s="5"/>
      <c r="WMN22" s="5"/>
      <c r="WMO22" s="5"/>
      <c r="WMP22" s="5"/>
      <c r="WMQ22" s="5"/>
      <c r="WMR22" s="5"/>
      <c r="WMS22" s="5"/>
      <c r="WMT22" s="5"/>
      <c r="WMU22" s="5"/>
      <c r="WMV22" s="5"/>
      <c r="WMW22" s="5"/>
      <c r="WMX22" s="5"/>
      <c r="WMY22" s="5"/>
      <c r="WMZ22" s="5"/>
      <c r="WNA22" s="5"/>
      <c r="WNB22" s="5"/>
      <c r="WNC22" s="5"/>
      <c r="WND22" s="5"/>
      <c r="WNE22" s="5"/>
      <c r="WNF22" s="5"/>
      <c r="WNG22" s="5"/>
      <c r="WNH22" s="5"/>
      <c r="WNI22" s="5"/>
      <c r="WNJ22" s="5"/>
      <c r="WNK22" s="5"/>
      <c r="WNL22" s="5"/>
      <c r="WNM22" s="5"/>
      <c r="WNN22" s="5"/>
      <c r="WNO22" s="5"/>
      <c r="WNP22" s="5"/>
      <c r="WNQ22" s="5"/>
      <c r="WNR22" s="5"/>
      <c r="WNS22" s="5"/>
      <c r="WNT22" s="5"/>
      <c r="WNU22" s="5"/>
      <c r="WNV22" s="5"/>
      <c r="WNW22" s="5"/>
      <c r="WNX22" s="5"/>
      <c r="WNY22" s="5"/>
      <c r="WNZ22" s="5"/>
      <c r="WOA22" s="5"/>
      <c r="WOB22" s="5"/>
      <c r="WOC22" s="5"/>
      <c r="WOD22" s="5"/>
      <c r="WOE22" s="5"/>
      <c r="WOF22" s="5"/>
      <c r="WOG22" s="5"/>
      <c r="WOH22" s="5"/>
      <c r="WOI22" s="5"/>
      <c r="WOJ22" s="5"/>
      <c r="WOK22" s="5"/>
      <c r="WOL22" s="5"/>
      <c r="WOM22" s="5"/>
      <c r="WON22" s="5"/>
      <c r="WOO22" s="5"/>
      <c r="WOP22" s="5"/>
      <c r="WOQ22" s="5"/>
      <c r="WOR22" s="5"/>
      <c r="WOS22" s="5"/>
      <c r="WOT22" s="5"/>
      <c r="WOU22" s="5"/>
      <c r="WOV22" s="5"/>
      <c r="WOW22" s="5"/>
      <c r="WOX22" s="5"/>
      <c r="WOY22" s="5"/>
      <c r="WOZ22" s="5"/>
      <c r="WPA22" s="5"/>
      <c r="WPB22" s="5"/>
      <c r="WPC22" s="5"/>
      <c r="WPD22" s="5"/>
      <c r="WPE22" s="5"/>
      <c r="WPF22" s="5"/>
      <c r="WPG22" s="5"/>
      <c r="WPH22" s="5"/>
      <c r="WPI22" s="5"/>
      <c r="WPJ22" s="5"/>
      <c r="WPK22" s="5"/>
      <c r="WPL22" s="5"/>
      <c r="WPM22" s="5"/>
      <c r="WPN22" s="5"/>
      <c r="WPO22" s="5"/>
      <c r="WPP22" s="5"/>
      <c r="WPQ22" s="5"/>
      <c r="WPR22" s="5"/>
      <c r="WPS22" s="5"/>
      <c r="WPT22" s="5"/>
      <c r="WPU22" s="5"/>
      <c r="WPV22" s="5"/>
      <c r="WPW22" s="5"/>
      <c r="WPX22" s="5"/>
      <c r="WPY22" s="5"/>
      <c r="WPZ22" s="5"/>
      <c r="WQA22" s="5"/>
      <c r="WQB22" s="5"/>
      <c r="WQC22" s="5"/>
      <c r="WQD22" s="5"/>
      <c r="WQE22" s="5"/>
      <c r="WQF22" s="5"/>
      <c r="WQG22" s="5"/>
      <c r="WQH22" s="5"/>
      <c r="WQI22" s="5"/>
      <c r="WQJ22" s="5"/>
      <c r="WQK22" s="5"/>
      <c r="WQL22" s="5"/>
      <c r="WQM22" s="5"/>
      <c r="WQN22" s="5"/>
      <c r="WQO22" s="5"/>
      <c r="WQP22" s="5"/>
      <c r="WQQ22" s="5"/>
      <c r="WQR22" s="5"/>
      <c r="WQS22" s="5"/>
      <c r="WQT22" s="5"/>
      <c r="WQU22" s="5"/>
      <c r="WQV22" s="5"/>
      <c r="WQW22" s="5"/>
      <c r="WQX22" s="5"/>
      <c r="WQY22" s="5"/>
      <c r="WQZ22" s="5"/>
      <c r="WRA22" s="5"/>
      <c r="WRB22" s="5"/>
      <c r="WRC22" s="5"/>
      <c r="WRD22" s="5"/>
      <c r="WRE22" s="5"/>
      <c r="WRF22" s="5"/>
      <c r="WRG22" s="5"/>
      <c r="WRH22" s="5"/>
      <c r="WRI22" s="5"/>
      <c r="WRJ22" s="5"/>
      <c r="WRK22" s="5"/>
      <c r="WRL22" s="5"/>
      <c r="WRM22" s="5"/>
      <c r="WRN22" s="5"/>
      <c r="WRO22" s="5"/>
      <c r="WRP22" s="5"/>
      <c r="WRQ22" s="5"/>
      <c r="WRR22" s="5"/>
      <c r="WRS22" s="5"/>
      <c r="WRT22" s="5"/>
      <c r="WRU22" s="5"/>
      <c r="WRV22" s="5"/>
      <c r="WRW22" s="5"/>
      <c r="WRX22" s="5"/>
      <c r="WRY22" s="5"/>
      <c r="WRZ22" s="5"/>
      <c r="WSA22" s="5"/>
      <c r="WSB22" s="5"/>
      <c r="WSC22" s="5"/>
      <c r="WSD22" s="5"/>
      <c r="WSE22" s="5"/>
      <c r="WSF22" s="5"/>
      <c r="WSG22" s="5"/>
      <c r="WSH22" s="5"/>
      <c r="WSI22" s="5"/>
      <c r="WSJ22" s="5"/>
      <c r="WSK22" s="5"/>
      <c r="WSL22" s="5"/>
      <c r="WSM22" s="5"/>
      <c r="WSN22" s="5"/>
      <c r="WSO22" s="5"/>
      <c r="WSP22" s="5"/>
      <c r="WSQ22" s="5"/>
      <c r="WSR22" s="5"/>
      <c r="WSS22" s="5"/>
      <c r="WST22" s="5"/>
      <c r="WSU22" s="5"/>
      <c r="WSV22" s="5"/>
      <c r="WSW22" s="5"/>
      <c r="WSX22" s="5"/>
      <c r="WSY22" s="5"/>
      <c r="WSZ22" s="5"/>
      <c r="WTA22" s="5"/>
      <c r="WTB22" s="5"/>
      <c r="WTC22" s="5"/>
      <c r="WTD22" s="5"/>
      <c r="WTE22" s="5"/>
      <c r="WTF22" s="5"/>
      <c r="WTG22" s="5"/>
      <c r="WTH22" s="5"/>
      <c r="WTI22" s="5"/>
      <c r="WTJ22" s="5"/>
      <c r="WTK22" s="5"/>
      <c r="WTL22" s="5"/>
      <c r="WTM22" s="5"/>
      <c r="WTN22" s="5"/>
      <c r="WTO22" s="5"/>
      <c r="WTP22" s="5"/>
      <c r="WTQ22" s="5"/>
      <c r="WTR22" s="5"/>
      <c r="WTS22" s="5"/>
      <c r="WTT22" s="5"/>
      <c r="WTU22" s="5"/>
      <c r="WTV22" s="5"/>
      <c r="WTW22" s="5"/>
      <c r="WTX22" s="5"/>
      <c r="WTY22" s="5"/>
      <c r="WTZ22" s="5"/>
      <c r="WUA22" s="5"/>
      <c r="WUB22" s="5"/>
      <c r="WUC22" s="5"/>
      <c r="WUD22" s="5"/>
      <c r="WUE22" s="5"/>
      <c r="WUF22" s="5"/>
      <c r="WUG22" s="5"/>
      <c r="WUH22" s="5"/>
      <c r="WUI22" s="5"/>
      <c r="WUJ22" s="5"/>
      <c r="WUK22" s="5"/>
      <c r="WUL22" s="5"/>
      <c r="WUM22" s="5"/>
      <c r="WUN22" s="5"/>
      <c r="WUO22" s="5"/>
      <c r="WUP22" s="5"/>
      <c r="WUQ22" s="5"/>
      <c r="WUR22" s="5"/>
      <c r="WUS22" s="5"/>
      <c r="WUT22" s="5"/>
      <c r="WUU22" s="5"/>
      <c r="WUV22" s="5"/>
      <c r="WUW22" s="5"/>
      <c r="WUX22" s="5"/>
      <c r="WUY22" s="5"/>
      <c r="WUZ22" s="5"/>
      <c r="WVA22" s="5"/>
      <c r="WVB22" s="5"/>
      <c r="WVC22" s="5"/>
      <c r="WVD22" s="5"/>
      <c r="WVE22" s="5"/>
      <c r="WVF22" s="5"/>
      <c r="WVG22" s="5"/>
      <c r="WVH22" s="5"/>
      <c r="WVI22" s="5"/>
      <c r="WVJ22" s="5"/>
      <c r="WVK22" s="5"/>
      <c r="WVL22" s="5"/>
      <c r="WVM22" s="5"/>
      <c r="WVN22" s="5"/>
      <c r="WVO22" s="5"/>
      <c r="WVP22" s="5"/>
      <c r="WVQ22" s="5"/>
      <c r="WVR22" s="5"/>
      <c r="WVS22" s="5"/>
      <c r="WVT22" s="5"/>
      <c r="WVU22" s="5"/>
      <c r="WVV22" s="5"/>
      <c r="WVW22" s="5"/>
      <c r="WVX22" s="5"/>
      <c r="WVY22" s="5"/>
      <c r="WVZ22" s="5"/>
      <c r="WWA22" s="5"/>
      <c r="WWB22" s="5"/>
      <c r="WWC22" s="5"/>
      <c r="WWD22" s="5"/>
      <c r="WWE22" s="5"/>
      <c r="WWF22" s="5"/>
      <c r="WWG22" s="5"/>
      <c r="WWH22" s="5"/>
      <c r="WWI22" s="5"/>
      <c r="WWJ22" s="5"/>
      <c r="WWK22" s="5"/>
      <c r="WWL22" s="5"/>
      <c r="WWM22" s="5"/>
      <c r="WWN22" s="5"/>
      <c r="WWO22" s="5"/>
      <c r="WWP22" s="5"/>
      <c r="WWQ22" s="5"/>
      <c r="WWR22" s="5"/>
      <c r="WWS22" s="5"/>
      <c r="WWT22" s="5"/>
      <c r="WWU22" s="5"/>
      <c r="WWV22" s="5"/>
      <c r="WWW22" s="5"/>
      <c r="WWX22" s="5"/>
      <c r="WWY22" s="5"/>
      <c r="WWZ22" s="5"/>
      <c r="WXA22" s="5"/>
      <c r="WXB22" s="5"/>
      <c r="WXC22" s="5"/>
      <c r="WXD22" s="5"/>
      <c r="WXE22" s="5"/>
      <c r="WXF22" s="5"/>
      <c r="WXG22" s="5"/>
      <c r="WXH22" s="5"/>
      <c r="WXI22" s="5"/>
      <c r="WXJ22" s="5"/>
      <c r="WXK22" s="5"/>
      <c r="WXL22" s="5"/>
      <c r="WXM22" s="5"/>
      <c r="WXN22" s="5"/>
      <c r="WXO22" s="5"/>
      <c r="WXP22" s="5"/>
      <c r="WXQ22" s="5"/>
      <c r="WXR22" s="5"/>
      <c r="WXS22" s="5"/>
      <c r="WXT22" s="5"/>
      <c r="WXU22" s="5"/>
      <c r="WXV22" s="5"/>
      <c r="WXW22" s="5"/>
      <c r="WXX22" s="5"/>
      <c r="WXY22" s="5"/>
      <c r="WXZ22" s="5"/>
      <c r="WYA22" s="5"/>
      <c r="WYB22" s="5"/>
      <c r="WYC22" s="5"/>
      <c r="WYD22" s="5"/>
      <c r="WYE22" s="5"/>
      <c r="WYF22" s="5"/>
      <c r="WYG22" s="5"/>
      <c r="WYH22" s="5"/>
      <c r="WYI22" s="5"/>
      <c r="WYJ22" s="5"/>
      <c r="WYK22" s="5"/>
      <c r="WYL22" s="5"/>
      <c r="WYM22" s="5"/>
      <c r="WYN22" s="5"/>
      <c r="WYO22" s="5"/>
      <c r="WYP22" s="5"/>
      <c r="WYQ22" s="5"/>
      <c r="WYR22" s="5"/>
      <c r="WYS22" s="5"/>
      <c r="WYT22" s="5"/>
      <c r="WYU22" s="5"/>
      <c r="WYV22" s="5"/>
      <c r="WYW22" s="5"/>
      <c r="WYX22" s="5"/>
      <c r="WYY22" s="5"/>
      <c r="WYZ22" s="5"/>
      <c r="WZA22" s="5"/>
      <c r="WZB22" s="5"/>
      <c r="WZC22" s="5"/>
      <c r="WZD22" s="5"/>
      <c r="WZE22" s="5"/>
      <c r="WZF22" s="5"/>
      <c r="WZG22" s="5"/>
      <c r="WZH22" s="5"/>
      <c r="WZI22" s="5"/>
      <c r="WZJ22" s="5"/>
      <c r="WZK22" s="5"/>
      <c r="WZL22" s="5"/>
      <c r="WZM22" s="5"/>
      <c r="WZN22" s="5"/>
      <c r="WZO22" s="5"/>
      <c r="WZP22" s="5"/>
      <c r="WZQ22" s="5"/>
      <c r="WZR22" s="5"/>
      <c r="WZS22" s="5"/>
      <c r="WZT22" s="5"/>
      <c r="WZU22" s="5"/>
      <c r="WZV22" s="5"/>
      <c r="WZW22" s="5"/>
      <c r="WZX22" s="5"/>
      <c r="WZY22" s="5"/>
      <c r="WZZ22" s="5"/>
      <c r="XAA22" s="5"/>
      <c r="XAB22" s="5"/>
      <c r="XAC22" s="5"/>
      <c r="XAD22" s="5"/>
      <c r="XAE22" s="5"/>
      <c r="XAF22" s="5"/>
      <c r="XAG22" s="5"/>
      <c r="XAH22" s="5"/>
      <c r="XAI22" s="5"/>
      <c r="XAJ22" s="5"/>
      <c r="XAK22" s="5"/>
      <c r="XAL22" s="5"/>
      <c r="XAM22" s="5"/>
      <c r="XAN22" s="5"/>
      <c r="XAO22" s="5"/>
      <c r="XAP22" s="5"/>
      <c r="XAQ22" s="5"/>
      <c r="XAR22" s="5"/>
      <c r="XAS22" s="5"/>
      <c r="XAT22" s="5"/>
      <c r="XAU22" s="5"/>
      <c r="XAV22" s="5"/>
      <c r="XAW22" s="5"/>
    </row>
    <row r="23" spans="1:16273" ht="20.100000000000001" customHeight="1">
      <c r="A23" s="8" t="s">
        <v>6482</v>
      </c>
      <c r="B23" s="55"/>
      <c r="C23" s="207" t="s">
        <v>6520</v>
      </c>
      <c r="D23" s="208"/>
      <c r="E23" s="109"/>
      <c r="J23" s="41"/>
      <c r="K23" s="41"/>
      <c r="M23" s="42"/>
      <c r="N23" s="42"/>
      <c r="O23" s="43"/>
      <c r="P23" s="43"/>
      <c r="Q23" s="43"/>
      <c r="R23" s="43"/>
      <c r="S23" s="43"/>
      <c r="AA23" s="43" t="s">
        <v>6841</v>
      </c>
      <c r="AB23" s="43" t="s">
        <v>6873</v>
      </c>
    </row>
    <row r="24" spans="1:16273" ht="20.100000000000001" customHeight="1">
      <c r="C24" s="209" t="s">
        <v>6522</v>
      </c>
      <c r="D24" s="210"/>
      <c r="E24" s="109"/>
      <c r="J24" s="41"/>
      <c r="K24" s="42"/>
      <c r="M24" s="42"/>
      <c r="N24" s="42"/>
      <c r="O24" s="43"/>
      <c r="P24" s="43"/>
      <c r="Q24" s="43"/>
      <c r="R24" s="43"/>
      <c r="S24" s="43"/>
      <c r="AA24" s="43" t="s">
        <v>6841</v>
      </c>
      <c r="AB24" s="43" t="s">
        <v>6874</v>
      </c>
    </row>
    <row r="25" spans="1:16273" ht="20.100000000000001" customHeight="1">
      <c r="E25" s="109"/>
      <c r="J25" s="41"/>
      <c r="K25" s="41"/>
      <c r="M25" s="42"/>
      <c r="N25" s="42"/>
      <c r="O25" s="43"/>
      <c r="P25" s="43"/>
      <c r="Q25" s="43"/>
      <c r="R25" s="43"/>
      <c r="S25" s="43"/>
      <c r="AA25" s="43" t="s">
        <v>6841</v>
      </c>
      <c r="AB25" s="43" t="s">
        <v>6875</v>
      </c>
    </row>
    <row r="26" spans="1:16273" ht="15.95" customHeight="1">
      <c r="A26" s="199" t="s">
        <v>6904</v>
      </c>
      <c r="B26" s="83"/>
      <c r="C26" s="207" t="s">
        <v>6903</v>
      </c>
      <c r="D26" s="208"/>
      <c r="E26" s="109"/>
      <c r="J26" s="41"/>
      <c r="K26" s="41"/>
      <c r="M26" s="42"/>
      <c r="N26" s="42"/>
      <c r="O26" s="43"/>
      <c r="P26" s="43"/>
      <c r="Q26" s="43"/>
      <c r="R26" s="43"/>
      <c r="S26" s="43"/>
      <c r="AA26" s="43" t="s">
        <v>6841</v>
      </c>
      <c r="AB26" s="43" t="s">
        <v>6876</v>
      </c>
    </row>
    <row r="27" spans="1:16273" ht="15.95" customHeight="1">
      <c r="A27" s="199"/>
      <c r="B27" s="57"/>
      <c r="C27" s="209" t="s">
        <v>6522</v>
      </c>
      <c r="D27" s="210"/>
      <c r="E27" s="109"/>
      <c r="J27" s="41"/>
      <c r="K27" s="41"/>
      <c r="M27" s="42"/>
      <c r="N27" s="42"/>
      <c r="O27" s="43"/>
      <c r="P27" s="43"/>
      <c r="Q27" s="43"/>
      <c r="R27" s="43"/>
      <c r="S27" s="43"/>
      <c r="AA27" s="43" t="s">
        <v>6841</v>
      </c>
      <c r="AB27" s="43" t="s">
        <v>6877</v>
      </c>
    </row>
    <row r="28" spans="1:16273" ht="15.95" customHeight="1" thickBot="1">
      <c r="A28" s="8"/>
      <c r="B28" s="45"/>
      <c r="C28" s="6"/>
      <c r="D28" s="6"/>
      <c r="E28" s="109"/>
      <c r="J28" s="41"/>
      <c r="K28" s="41"/>
      <c r="M28" s="42"/>
      <c r="N28" s="42"/>
      <c r="O28" s="43"/>
      <c r="P28" s="43"/>
      <c r="Q28" s="43"/>
      <c r="R28" s="43"/>
      <c r="S28" s="43"/>
      <c r="AA28" s="43" t="s">
        <v>553</v>
      </c>
      <c r="AB28" s="43" t="s">
        <v>6878</v>
      </c>
    </row>
    <row r="29" spans="1:16273" ht="15.95" customHeight="1" thickBot="1">
      <c r="A29" s="146" t="s">
        <v>6505</v>
      </c>
      <c r="B29" s="147"/>
      <c r="C29" s="147"/>
      <c r="D29" s="148"/>
      <c r="E29" s="109"/>
      <c r="J29" s="41"/>
      <c r="K29" s="41"/>
      <c r="M29" s="42"/>
      <c r="N29" s="42"/>
      <c r="O29" s="43"/>
      <c r="P29" s="43"/>
      <c r="Q29" s="43"/>
      <c r="R29" s="43"/>
      <c r="S29" s="43"/>
      <c r="AA29" s="43" t="s">
        <v>553</v>
      </c>
      <c r="AB29" s="43" t="s">
        <v>6879</v>
      </c>
    </row>
    <row r="30" spans="1:16273" ht="15.95" customHeight="1">
      <c r="A30" s="51" t="s">
        <v>6506</v>
      </c>
      <c r="B30" s="52" t="s">
        <v>6910</v>
      </c>
      <c r="C30" s="52" t="s">
        <v>6508</v>
      </c>
      <c r="D30" s="53" t="s">
        <v>6509</v>
      </c>
      <c r="E30" s="109"/>
      <c r="J30" s="41"/>
      <c r="K30" s="41"/>
      <c r="M30" s="42"/>
      <c r="N30" s="42"/>
      <c r="O30" s="43"/>
      <c r="P30" s="43"/>
      <c r="Q30" s="43"/>
      <c r="R30" s="43"/>
      <c r="S30" s="43"/>
      <c r="AA30" s="43" t="s">
        <v>553</v>
      </c>
      <c r="AB30" s="43" t="s">
        <v>6880</v>
      </c>
    </row>
    <row r="31" spans="1:16273" ht="15.95" customHeight="1">
      <c r="A31" s="47"/>
      <c r="B31" s="48"/>
      <c r="C31" s="49"/>
      <c r="D31" s="50"/>
      <c r="E31" s="109"/>
      <c r="J31" s="41"/>
      <c r="K31" s="41"/>
      <c r="M31" s="42"/>
      <c r="N31" s="42"/>
      <c r="O31" s="43"/>
      <c r="P31" s="43"/>
      <c r="Q31" s="43"/>
      <c r="R31" s="43"/>
      <c r="S31" s="43"/>
      <c r="AA31" s="43" t="s">
        <v>553</v>
      </c>
      <c r="AB31" s="43" t="s">
        <v>6881</v>
      </c>
    </row>
    <row r="32" spans="1:16273" ht="15.95" customHeight="1">
      <c r="A32" s="143"/>
      <c r="B32" s="144"/>
      <c r="C32" s="145"/>
      <c r="D32" s="145"/>
      <c r="E32" s="109"/>
      <c r="J32" s="41"/>
      <c r="K32" s="41"/>
      <c r="M32" s="42"/>
      <c r="N32" s="42"/>
      <c r="O32" s="43"/>
      <c r="P32" s="43"/>
      <c r="Q32" s="43"/>
      <c r="R32" s="43"/>
      <c r="S32" s="43"/>
      <c r="AA32" s="43" t="s">
        <v>595</v>
      </c>
      <c r="AB32" s="43" t="s">
        <v>6882</v>
      </c>
    </row>
    <row r="33" spans="1:28" ht="15.95" customHeight="1">
      <c r="A33" s="143"/>
      <c r="B33" s="144"/>
      <c r="C33" s="145"/>
      <c r="D33" s="145"/>
      <c r="E33" s="109"/>
      <c r="J33" s="41"/>
      <c r="K33" s="41"/>
      <c r="M33" s="42"/>
      <c r="N33" s="42"/>
      <c r="O33" s="43"/>
      <c r="P33" s="43"/>
      <c r="Q33" s="43"/>
      <c r="R33" s="43"/>
      <c r="S33" s="43"/>
      <c r="AA33" s="43" t="s">
        <v>595</v>
      </c>
      <c r="AB33" s="43" t="s">
        <v>6883</v>
      </c>
    </row>
    <row r="34" spans="1:28" ht="15.95" customHeight="1">
      <c r="A34" s="143"/>
      <c r="B34" s="144"/>
      <c r="C34" s="145"/>
      <c r="D34" s="145"/>
      <c r="E34" s="109"/>
      <c r="J34" s="41"/>
      <c r="K34" s="41"/>
      <c r="M34" s="42"/>
      <c r="N34" s="42"/>
      <c r="O34" s="43"/>
      <c r="P34" s="43"/>
      <c r="Q34" s="43"/>
      <c r="R34" s="43"/>
      <c r="S34" s="43"/>
      <c r="AA34" s="43" t="s">
        <v>595</v>
      </c>
      <c r="AB34" s="43" t="s">
        <v>6884</v>
      </c>
    </row>
    <row r="35" spans="1:28" ht="15.95" customHeight="1">
      <c r="A35" s="143"/>
      <c r="B35" s="144"/>
      <c r="C35" s="145"/>
      <c r="D35" s="145"/>
      <c r="E35" s="109"/>
      <c r="J35" s="41"/>
      <c r="K35" s="41"/>
      <c r="M35" s="42"/>
      <c r="N35" s="42"/>
      <c r="O35" s="43"/>
      <c r="P35" s="43"/>
      <c r="Q35" s="43"/>
      <c r="R35" s="43"/>
      <c r="S35" s="43"/>
      <c r="AA35" s="43" t="s">
        <v>595</v>
      </c>
      <c r="AB35" s="43" t="s">
        <v>6885</v>
      </c>
    </row>
    <row r="36" spans="1:28" ht="15.95" customHeight="1">
      <c r="A36" s="143"/>
      <c r="B36" s="144"/>
      <c r="C36" s="145"/>
      <c r="D36" s="145"/>
      <c r="E36" s="109"/>
      <c r="J36" s="41"/>
      <c r="K36" s="41"/>
      <c r="M36" s="42"/>
      <c r="N36" s="42"/>
      <c r="O36" s="43"/>
      <c r="P36" s="43"/>
      <c r="Q36" s="43"/>
      <c r="R36" s="43"/>
      <c r="S36" s="43"/>
      <c r="AA36" s="43" t="s">
        <v>670</v>
      </c>
      <c r="AB36" s="43" t="s">
        <v>6886</v>
      </c>
    </row>
    <row r="37" spans="1:28" ht="15.95" customHeight="1">
      <c r="A37" s="143"/>
      <c r="B37" s="144"/>
      <c r="C37" s="145"/>
      <c r="D37" s="145"/>
      <c r="E37" s="109"/>
      <c r="J37" s="41"/>
      <c r="K37" s="41"/>
      <c r="M37" s="42"/>
      <c r="N37" s="42"/>
      <c r="O37" s="43"/>
      <c r="P37" s="43"/>
      <c r="Q37" s="43"/>
      <c r="R37" s="43"/>
      <c r="S37" s="43"/>
      <c r="AA37" s="43" t="s">
        <v>670</v>
      </c>
      <c r="AB37" s="43" t="s">
        <v>6887</v>
      </c>
    </row>
    <row r="38" spans="1:28" ht="15.95" customHeight="1">
      <c r="A38" s="143"/>
      <c r="B38" s="144"/>
      <c r="C38" s="145"/>
      <c r="D38" s="145"/>
      <c r="E38" s="109"/>
      <c r="J38" s="41"/>
      <c r="K38" s="41"/>
      <c r="M38" s="42"/>
      <c r="N38" s="42"/>
      <c r="O38" s="43"/>
      <c r="P38" s="43"/>
      <c r="Q38" s="43"/>
      <c r="R38" s="43"/>
      <c r="S38" s="43"/>
      <c r="AA38" s="43" t="s">
        <v>670</v>
      </c>
      <c r="AB38" s="43" t="s">
        <v>6888</v>
      </c>
    </row>
    <row r="39" spans="1:28" ht="15.95" customHeight="1">
      <c r="A39" s="143"/>
      <c r="B39" s="144"/>
      <c r="C39" s="145"/>
      <c r="D39" s="145"/>
      <c r="E39" s="109"/>
      <c r="J39" s="41"/>
      <c r="K39" s="41"/>
      <c r="M39" s="42"/>
      <c r="N39" s="42"/>
      <c r="O39" s="43"/>
      <c r="P39" s="43"/>
      <c r="Q39" s="43"/>
      <c r="R39" s="43"/>
      <c r="S39" s="43"/>
      <c r="AA39" s="43" t="s">
        <v>670</v>
      </c>
      <c r="AB39" s="43" t="s">
        <v>6889</v>
      </c>
    </row>
    <row r="40" spans="1:28" ht="15.95" customHeight="1">
      <c r="A40" s="143"/>
      <c r="B40" s="144"/>
      <c r="C40" s="145"/>
      <c r="D40" s="145"/>
      <c r="E40" s="109"/>
      <c r="J40" s="41"/>
      <c r="K40" s="41"/>
      <c r="M40" s="42"/>
      <c r="N40" s="42"/>
      <c r="O40" s="43"/>
      <c r="P40" s="43"/>
      <c r="Q40" s="43"/>
      <c r="R40" s="43"/>
      <c r="S40" s="43"/>
      <c r="AA40" s="43" t="s">
        <v>670</v>
      </c>
      <c r="AB40" s="43" t="s">
        <v>6890</v>
      </c>
    </row>
    <row r="41" spans="1:28" ht="15.95" customHeight="1">
      <c r="A41" s="143"/>
      <c r="B41" s="144"/>
      <c r="C41" s="145"/>
      <c r="D41" s="145"/>
      <c r="E41" s="109"/>
      <c r="J41" s="41"/>
      <c r="K41" s="41"/>
      <c r="M41" s="42"/>
      <c r="N41" s="42"/>
      <c r="O41" s="43"/>
      <c r="P41" s="43"/>
      <c r="Q41" s="43"/>
      <c r="R41" s="43"/>
      <c r="S41" s="43"/>
      <c r="AA41" s="43" t="s">
        <v>761</v>
      </c>
      <c r="AB41" s="43" t="s">
        <v>6891</v>
      </c>
    </row>
    <row r="42" spans="1:28" ht="15.95" customHeight="1" thickBot="1">
      <c r="A42" s="8"/>
      <c r="B42" s="45"/>
      <c r="C42" s="6"/>
      <c r="D42" s="6"/>
      <c r="E42" s="109"/>
      <c r="J42" s="41"/>
      <c r="K42" s="41"/>
      <c r="M42" s="42"/>
      <c r="N42" s="42"/>
      <c r="O42" s="43"/>
      <c r="P42" s="43"/>
      <c r="Q42" s="43"/>
      <c r="R42" s="43"/>
      <c r="S42" s="43"/>
      <c r="AA42" s="43" t="s">
        <v>761</v>
      </c>
      <c r="AB42" s="43" t="s">
        <v>6892</v>
      </c>
    </row>
    <row r="43" spans="1:28" ht="15.95" customHeight="1" thickBot="1">
      <c r="A43" s="146" t="s">
        <v>6504</v>
      </c>
      <c r="B43" s="147"/>
      <c r="C43" s="147"/>
      <c r="D43" s="148"/>
      <c r="E43" s="109"/>
      <c r="J43" s="41"/>
      <c r="K43" s="41"/>
      <c r="M43" s="42"/>
      <c r="N43" s="42"/>
      <c r="O43" s="43"/>
      <c r="P43" s="43"/>
      <c r="Q43" s="43"/>
      <c r="R43" s="43"/>
      <c r="S43" s="43"/>
      <c r="AA43" s="43" t="s">
        <v>761</v>
      </c>
      <c r="AB43" s="43" t="s">
        <v>6893</v>
      </c>
    </row>
    <row r="44" spans="1:28" ht="15.95" customHeight="1">
      <c r="A44" s="178"/>
      <c r="B44" s="179"/>
      <c r="C44" s="179"/>
      <c r="D44" s="180"/>
      <c r="E44" s="109"/>
      <c r="J44" s="41"/>
      <c r="K44" s="41"/>
      <c r="M44" s="42"/>
      <c r="N44" s="42"/>
      <c r="O44" s="43"/>
      <c r="P44" s="43"/>
      <c r="Q44" s="43"/>
      <c r="R44" s="43"/>
      <c r="S44" s="43"/>
      <c r="AA44" s="43" t="s">
        <v>761</v>
      </c>
      <c r="AB44" s="43" t="s">
        <v>6894</v>
      </c>
    </row>
    <row r="45" spans="1:28" ht="15.95" customHeight="1">
      <c r="A45" s="181"/>
      <c r="B45" s="182"/>
      <c r="C45" s="182"/>
      <c r="D45" s="183"/>
      <c r="E45" s="109"/>
      <c r="J45" s="41"/>
      <c r="K45" s="41"/>
      <c r="M45" s="42"/>
      <c r="N45" s="42"/>
      <c r="O45" s="43"/>
      <c r="P45" s="43"/>
      <c r="Q45" s="43"/>
      <c r="R45" s="43"/>
      <c r="S45" s="43"/>
      <c r="AA45" s="43" t="s">
        <v>761</v>
      </c>
      <c r="AB45" s="43" t="s">
        <v>6895</v>
      </c>
    </row>
    <row r="46" spans="1:28" ht="15.95" customHeight="1">
      <c r="A46" s="181"/>
      <c r="B46" s="182"/>
      <c r="C46" s="182"/>
      <c r="D46" s="183"/>
      <c r="E46" s="109"/>
      <c r="J46" s="41"/>
      <c r="K46" s="41"/>
      <c r="M46" s="42"/>
      <c r="N46" s="42"/>
      <c r="O46" s="43"/>
      <c r="P46" s="43"/>
      <c r="Q46" s="43"/>
      <c r="R46" s="43"/>
      <c r="S46" s="43"/>
      <c r="AA46" s="43" t="s">
        <v>761</v>
      </c>
      <c r="AB46" s="43" t="s">
        <v>6896</v>
      </c>
    </row>
    <row r="47" spans="1:28" ht="15.95" customHeight="1" thickBot="1">
      <c r="A47" s="184"/>
      <c r="B47" s="185"/>
      <c r="C47" s="185"/>
      <c r="D47" s="186"/>
      <c r="E47" s="109"/>
      <c r="J47" s="41"/>
      <c r="K47" s="41"/>
      <c r="M47" s="42"/>
      <c r="N47" s="42"/>
      <c r="O47" s="43"/>
      <c r="P47" s="43"/>
      <c r="Q47" s="43"/>
      <c r="R47" s="43"/>
      <c r="S47" s="43"/>
      <c r="AA47" s="43" t="s">
        <v>761</v>
      </c>
      <c r="AB47" s="43" t="s">
        <v>6897</v>
      </c>
    </row>
    <row r="48" spans="1:28" ht="15.95" customHeight="1" thickBot="1">
      <c r="A48" s="45"/>
      <c r="B48" s="45"/>
      <c r="C48" s="45"/>
      <c r="D48" s="45"/>
      <c r="E48" s="109"/>
      <c r="J48" s="41"/>
      <c r="K48" s="41"/>
      <c r="M48" s="42"/>
      <c r="N48" s="42"/>
      <c r="O48" s="43"/>
      <c r="P48" s="43"/>
      <c r="Q48" s="43"/>
      <c r="R48" s="43"/>
      <c r="S48" s="43"/>
      <c r="AA48" s="43" t="s">
        <v>761</v>
      </c>
      <c r="AB48" s="43" t="s">
        <v>6898</v>
      </c>
    </row>
    <row r="49" spans="1:28" ht="15.95" customHeight="1" thickBot="1">
      <c r="A49" s="204" t="s">
        <v>6843</v>
      </c>
      <c r="B49" s="205"/>
      <c r="C49" s="205"/>
      <c r="D49" s="206"/>
      <c r="E49" s="109"/>
      <c r="J49" s="41"/>
      <c r="K49" s="41"/>
      <c r="M49" s="42"/>
      <c r="N49" s="42"/>
      <c r="O49" s="43"/>
      <c r="P49" s="43"/>
      <c r="Q49" s="43"/>
      <c r="R49" s="43"/>
      <c r="S49" s="43"/>
      <c r="AA49" s="43" t="s">
        <v>761</v>
      </c>
      <c r="AB49" s="43" t="s">
        <v>6899</v>
      </c>
    </row>
    <row r="50" spans="1:28" ht="15.95" customHeight="1" thickBot="1">
      <c r="B50" s="10"/>
      <c r="C50" s="9"/>
      <c r="D50" s="10"/>
      <c r="E50" s="109"/>
      <c r="J50" s="41"/>
      <c r="K50" s="41"/>
      <c r="M50" s="42"/>
      <c r="N50" s="42"/>
      <c r="O50" s="43"/>
      <c r="P50" s="43"/>
      <c r="Q50" s="43"/>
      <c r="R50" s="43"/>
      <c r="S50" s="43"/>
      <c r="AA50" s="43" t="s">
        <v>761</v>
      </c>
      <c r="AB50" s="43" t="s">
        <v>6900</v>
      </c>
    </row>
    <row r="51" spans="1:28" ht="15.95" customHeight="1">
      <c r="A51" s="168" t="s">
        <v>6481</v>
      </c>
      <c r="B51" s="172"/>
      <c r="C51" s="173"/>
      <c r="D51" s="174"/>
      <c r="E51" s="109"/>
      <c r="J51" s="41"/>
      <c r="K51" s="41"/>
      <c r="M51" s="42"/>
      <c r="N51" s="42"/>
      <c r="O51" s="43"/>
      <c r="P51" s="43"/>
      <c r="Q51" s="43"/>
      <c r="R51" s="43"/>
      <c r="S51" s="43"/>
      <c r="AA51" s="43" t="s">
        <v>761</v>
      </c>
      <c r="AB51" s="43" t="s">
        <v>6901</v>
      </c>
    </row>
    <row r="52" spans="1:28" ht="15.95" customHeight="1" thickBot="1">
      <c r="A52" s="169"/>
      <c r="B52" s="175"/>
      <c r="C52" s="176"/>
      <c r="D52" s="177"/>
      <c r="E52" s="109"/>
      <c r="J52" s="41"/>
      <c r="K52" s="41"/>
      <c r="M52" s="42"/>
      <c r="N52" s="42"/>
      <c r="O52" s="43"/>
      <c r="P52" s="43"/>
      <c r="Q52" s="43"/>
      <c r="R52" s="43"/>
      <c r="S52" s="43"/>
      <c r="AA52" s="43" t="s">
        <v>761</v>
      </c>
      <c r="AB52" s="43" t="s">
        <v>6902</v>
      </c>
    </row>
    <row r="53" spans="1:28" ht="15.95" customHeight="1" thickBot="1">
      <c r="A53" s="45"/>
      <c r="B53" s="45"/>
      <c r="C53" s="45"/>
      <c r="D53" s="45"/>
      <c r="E53" s="109"/>
      <c r="J53" s="41"/>
      <c r="K53" s="41"/>
      <c r="M53" s="42"/>
      <c r="N53" s="42"/>
      <c r="O53" s="43"/>
      <c r="P53" s="43"/>
      <c r="Q53" s="43"/>
      <c r="R53" s="43"/>
      <c r="S53" s="43"/>
    </row>
    <row r="54" spans="1:28" ht="15.95" customHeight="1">
      <c r="A54" s="168" t="s">
        <v>6524</v>
      </c>
      <c r="B54" s="197"/>
      <c r="C54" s="45"/>
      <c r="D54" s="45"/>
      <c r="E54" s="109"/>
      <c r="J54" s="41"/>
      <c r="K54" s="41"/>
      <c r="M54" s="42"/>
      <c r="N54" s="42"/>
      <c r="O54" s="43"/>
      <c r="P54" s="43"/>
      <c r="Q54" s="43"/>
      <c r="R54" s="43"/>
      <c r="S54" s="43"/>
    </row>
    <row r="55" spans="1:28" ht="15.95" customHeight="1" thickBot="1">
      <c r="A55" s="169"/>
      <c r="B55" s="198"/>
      <c r="C55" s="45"/>
      <c r="D55" s="45"/>
      <c r="E55" s="109"/>
      <c r="J55" s="41"/>
      <c r="K55" s="41"/>
      <c r="M55" s="42"/>
      <c r="N55" s="42"/>
      <c r="O55" s="43"/>
      <c r="P55" s="43"/>
      <c r="Q55" s="43"/>
      <c r="R55" s="43"/>
      <c r="S55" s="43"/>
    </row>
    <row r="56" spans="1:28" ht="15.95" customHeight="1" thickBot="1">
      <c r="B56" s="10"/>
      <c r="C56" s="9"/>
      <c r="D56" s="10"/>
      <c r="E56" s="109"/>
      <c r="J56" s="41"/>
      <c r="K56" s="41"/>
      <c r="M56" s="42"/>
      <c r="N56" s="42"/>
      <c r="O56" s="43"/>
      <c r="P56" s="43"/>
      <c r="Q56" s="43"/>
      <c r="R56" s="43"/>
      <c r="S56" s="43"/>
    </row>
    <row r="57" spans="1:28" ht="15.95" customHeight="1">
      <c r="A57" s="168" t="s">
        <v>6844</v>
      </c>
      <c r="B57" s="170"/>
      <c r="C57" s="189" t="s">
        <v>6905</v>
      </c>
      <c r="D57" s="190"/>
      <c r="E57" s="109"/>
      <c r="J57" s="41"/>
      <c r="K57" s="41"/>
      <c r="M57" s="42"/>
      <c r="N57" s="42"/>
      <c r="O57" s="43"/>
      <c r="P57" s="43"/>
      <c r="Q57" s="43"/>
      <c r="R57" s="43"/>
      <c r="S57" s="43"/>
    </row>
    <row r="58" spans="1:28" ht="15.95" customHeight="1" thickBot="1">
      <c r="A58" s="169"/>
      <c r="B58" s="171"/>
      <c r="C58" s="187" t="s">
        <v>6523</v>
      </c>
      <c r="D58" s="188"/>
      <c r="E58" s="109"/>
      <c r="J58" s="41"/>
      <c r="K58" s="41"/>
      <c r="M58" s="42"/>
      <c r="N58" s="42"/>
      <c r="O58" s="43"/>
      <c r="P58" s="43"/>
      <c r="Q58" s="43"/>
      <c r="R58" s="43"/>
      <c r="S58" s="43"/>
    </row>
    <row r="59" spans="1:28" ht="15.95" customHeight="1" thickBot="1">
      <c r="B59" s="10"/>
      <c r="C59" s="9"/>
      <c r="D59" s="10"/>
      <c r="E59" s="109"/>
      <c r="J59" s="41"/>
      <c r="K59" s="41"/>
      <c r="M59" s="42"/>
      <c r="N59" s="42"/>
      <c r="O59" s="43"/>
      <c r="P59" s="43"/>
      <c r="Q59" s="43"/>
      <c r="R59" s="43"/>
      <c r="S59" s="43"/>
    </row>
    <row r="60" spans="1:28" ht="15.95" customHeight="1">
      <c r="A60" s="168" t="s">
        <v>6845</v>
      </c>
      <c r="B60" s="170">
        <f>B57</f>
        <v>0</v>
      </c>
      <c r="C60" s="8"/>
      <c r="D60" s="6"/>
      <c r="E60" s="109"/>
      <c r="J60" s="41"/>
      <c r="K60" s="41"/>
      <c r="M60" s="42"/>
      <c r="N60" s="42"/>
      <c r="O60" s="43"/>
      <c r="P60" s="43"/>
      <c r="Q60" s="43"/>
      <c r="R60" s="43"/>
      <c r="S60" s="43"/>
    </row>
    <row r="61" spans="1:28" ht="15.95" customHeight="1" thickBot="1">
      <c r="A61" s="169"/>
      <c r="B61" s="171"/>
      <c r="C61" s="8"/>
      <c r="D61" s="4"/>
      <c r="E61" s="109"/>
      <c r="J61" s="41"/>
      <c r="K61" s="41"/>
      <c r="M61" s="42"/>
      <c r="N61" s="42"/>
      <c r="O61" s="43"/>
      <c r="P61" s="43"/>
      <c r="Q61" s="43"/>
      <c r="R61" s="43"/>
      <c r="S61" s="43"/>
    </row>
    <row r="62" spans="1:28" ht="15.95" customHeight="1" thickBot="1">
      <c r="A62" s="8"/>
      <c r="B62" s="69"/>
      <c r="C62" s="8"/>
      <c r="D62" s="4"/>
      <c r="E62" s="109"/>
      <c r="J62" s="41"/>
      <c r="K62" s="41"/>
      <c r="M62" s="42"/>
      <c r="N62" s="42"/>
      <c r="O62" s="43"/>
      <c r="P62" s="43"/>
      <c r="Q62" s="43"/>
      <c r="R62" s="43"/>
      <c r="S62" s="43"/>
    </row>
    <row r="63" spans="1:28" ht="15.95" customHeight="1">
      <c r="A63" s="168" t="s">
        <v>6917</v>
      </c>
      <c r="B63" s="200"/>
      <c r="C63" s="8"/>
      <c r="D63" s="3"/>
      <c r="E63" s="109"/>
      <c r="J63" s="41"/>
      <c r="K63" s="41"/>
      <c r="M63" s="42"/>
      <c r="N63" s="42"/>
      <c r="O63" s="43"/>
      <c r="P63" s="43"/>
      <c r="Q63" s="43"/>
      <c r="R63" s="43"/>
      <c r="S63" s="43"/>
    </row>
    <row r="64" spans="1:28" ht="15.95" customHeight="1" thickBot="1">
      <c r="A64" s="169"/>
      <c r="B64" s="201"/>
      <c r="C64" s="8"/>
      <c r="D64" s="8"/>
      <c r="E64" s="109"/>
      <c r="J64" s="41"/>
      <c r="K64" s="41"/>
      <c r="M64" s="42"/>
      <c r="N64" s="42"/>
      <c r="O64" s="43"/>
      <c r="P64" s="43"/>
      <c r="Q64" s="43"/>
      <c r="R64" s="43"/>
      <c r="S64" s="43"/>
    </row>
    <row r="65" spans="1:19" ht="15.95" customHeight="1">
      <c r="A65" s="8"/>
      <c r="B65" s="8"/>
      <c r="C65" s="8"/>
      <c r="D65" s="8"/>
      <c r="E65" s="109"/>
      <c r="J65" s="41"/>
      <c r="K65" s="41"/>
      <c r="M65" s="42"/>
      <c r="N65" s="42"/>
      <c r="O65" s="43"/>
      <c r="P65" s="43"/>
      <c r="Q65" s="43"/>
      <c r="R65" s="43"/>
      <c r="S65" s="43"/>
    </row>
    <row r="66" spans="1:19" ht="15.95" customHeight="1">
      <c r="E66" s="109"/>
      <c r="J66" s="41"/>
      <c r="K66" s="41"/>
      <c r="M66" s="42"/>
      <c r="N66" s="42"/>
      <c r="O66" s="43"/>
      <c r="P66" s="43"/>
      <c r="Q66" s="43"/>
      <c r="R66" s="43"/>
      <c r="S66" s="43"/>
    </row>
    <row r="67" spans="1:19" ht="15.95" customHeight="1">
      <c r="E67" s="109"/>
      <c r="J67" s="41"/>
      <c r="K67" s="41"/>
      <c r="M67" s="42"/>
      <c r="N67" s="42"/>
      <c r="O67" s="43"/>
      <c r="P67" s="43"/>
      <c r="Q67" s="43"/>
      <c r="R67" s="43"/>
      <c r="S67" s="43"/>
    </row>
    <row r="68" spans="1:19" ht="15.95" customHeight="1">
      <c r="C68" s="8"/>
      <c r="D68" s="8"/>
      <c r="E68" s="109"/>
      <c r="J68" s="41"/>
      <c r="K68" s="41"/>
      <c r="M68" s="42"/>
      <c r="N68" s="42"/>
      <c r="O68" s="43"/>
      <c r="P68" s="43"/>
      <c r="Q68" s="43"/>
      <c r="R68" s="43"/>
      <c r="S68" s="43"/>
    </row>
    <row r="69" spans="1:19" ht="15.95" customHeight="1">
      <c r="C69" s="8"/>
      <c r="D69" s="8"/>
      <c r="E69" s="109"/>
      <c r="J69" s="41"/>
      <c r="K69" s="41"/>
      <c r="M69" s="42"/>
      <c r="N69" s="42"/>
      <c r="O69" s="43"/>
      <c r="P69" s="43"/>
      <c r="Q69" s="43"/>
      <c r="R69" s="43"/>
      <c r="S69" s="43"/>
    </row>
    <row r="70" spans="1:19" ht="15.95" customHeight="1">
      <c r="C70" s="8"/>
      <c r="D70" s="8"/>
      <c r="E70" s="109"/>
      <c r="J70" s="41"/>
      <c r="K70" s="41"/>
      <c r="M70" s="42"/>
      <c r="N70" s="42"/>
      <c r="O70" s="43"/>
      <c r="P70" s="43"/>
      <c r="Q70" s="43"/>
      <c r="R70" s="43"/>
      <c r="S70" s="43"/>
    </row>
    <row r="71" spans="1:19" ht="15.95" customHeight="1">
      <c r="C71" s="8"/>
      <c r="D71" s="8"/>
      <c r="E71" s="109"/>
      <c r="J71" s="41"/>
      <c r="K71" s="42"/>
      <c r="N71" s="42"/>
      <c r="O71" s="43"/>
      <c r="P71" s="43"/>
      <c r="Q71" s="43"/>
      <c r="R71" s="43"/>
      <c r="S71" s="43"/>
    </row>
    <row r="72" spans="1:19" ht="15.95" customHeight="1">
      <c r="A72" s="8"/>
      <c r="B72" s="8"/>
      <c r="C72" s="8"/>
      <c r="D72" s="8"/>
      <c r="E72" s="109"/>
      <c r="J72" s="41"/>
      <c r="K72" s="41"/>
      <c r="M72" s="42"/>
      <c r="N72" s="42"/>
      <c r="O72" s="43"/>
      <c r="P72" s="43"/>
      <c r="Q72" s="43"/>
      <c r="R72" s="43"/>
      <c r="S72" s="43"/>
    </row>
    <row r="73" spans="1:19" ht="15.95" customHeight="1">
      <c r="A73" s="8"/>
      <c r="B73" s="8"/>
      <c r="C73" s="8"/>
      <c r="D73" s="8"/>
      <c r="E73" s="109"/>
      <c r="J73" s="41"/>
      <c r="K73" s="41"/>
      <c r="M73" s="42"/>
      <c r="N73" s="42"/>
      <c r="O73" s="43"/>
      <c r="P73" s="43"/>
      <c r="Q73" s="43"/>
      <c r="R73" s="43"/>
      <c r="S73" s="43"/>
    </row>
    <row r="74" spans="1:19" ht="15.95" customHeight="1">
      <c r="A74" s="8"/>
      <c r="B74" s="8"/>
      <c r="C74" s="8"/>
      <c r="D74" s="8"/>
      <c r="E74" s="109"/>
      <c r="J74" s="41"/>
      <c r="K74" s="41"/>
      <c r="M74" s="42"/>
      <c r="N74" s="42"/>
      <c r="O74" s="43"/>
      <c r="P74" s="43"/>
      <c r="Q74" s="43"/>
      <c r="R74" s="43"/>
      <c r="S74" s="43"/>
    </row>
    <row r="75" spans="1:19" ht="15.95" customHeight="1">
      <c r="A75" s="8"/>
      <c r="B75" s="8"/>
      <c r="C75" s="8"/>
      <c r="D75" s="8"/>
      <c r="E75" s="109"/>
      <c r="J75" s="41"/>
      <c r="K75" s="41"/>
      <c r="M75" s="42"/>
      <c r="N75" s="42"/>
      <c r="O75" s="43"/>
      <c r="P75" s="43"/>
      <c r="Q75" s="43"/>
      <c r="R75" s="43"/>
      <c r="S75" s="43"/>
    </row>
    <row r="76" spans="1:19" ht="15.95" customHeight="1">
      <c r="A76" s="8"/>
      <c r="B76" s="8"/>
      <c r="C76" s="8"/>
      <c r="D76" s="8"/>
      <c r="E76" s="109"/>
      <c r="J76" s="41"/>
      <c r="K76" s="41"/>
      <c r="M76" s="42"/>
      <c r="N76" s="42"/>
      <c r="O76" s="43"/>
      <c r="P76" s="43"/>
      <c r="Q76" s="43"/>
      <c r="R76" s="43"/>
      <c r="S76" s="43"/>
    </row>
    <row r="77" spans="1:19" ht="15.95" customHeight="1">
      <c r="A77" s="8"/>
      <c r="B77" s="8"/>
      <c r="C77" s="8"/>
      <c r="D77" s="8"/>
      <c r="E77" s="109"/>
      <c r="J77" s="41"/>
      <c r="K77" s="41"/>
      <c r="M77" s="42"/>
      <c r="N77" s="42"/>
      <c r="O77" s="43"/>
      <c r="P77" s="43"/>
      <c r="Q77" s="43"/>
      <c r="R77" s="43"/>
      <c r="S77" s="43"/>
    </row>
    <row r="78" spans="1:19" ht="15.95" customHeight="1">
      <c r="A78" s="8"/>
      <c r="B78" s="8"/>
      <c r="C78" s="8"/>
      <c r="D78" s="8"/>
      <c r="E78" s="109"/>
      <c r="J78" s="41"/>
      <c r="K78" s="41"/>
      <c r="M78" s="42"/>
      <c r="N78" s="42"/>
      <c r="O78" s="43"/>
      <c r="P78" s="43"/>
      <c r="Q78" s="43"/>
      <c r="R78" s="43"/>
      <c r="S78" s="43"/>
    </row>
    <row r="79" spans="1:19" ht="15.95" customHeight="1">
      <c r="A79" s="8"/>
      <c r="B79" s="8"/>
      <c r="C79" s="8"/>
      <c r="D79" s="8"/>
      <c r="E79" s="109"/>
      <c r="J79" s="41"/>
      <c r="K79" s="41"/>
      <c r="M79" s="42"/>
      <c r="N79" s="42"/>
      <c r="O79" s="43"/>
      <c r="P79" s="43"/>
      <c r="Q79" s="43"/>
      <c r="R79" s="43"/>
      <c r="S79" s="43"/>
    </row>
    <row r="80" spans="1:19" ht="15.95" customHeight="1">
      <c r="A80" s="8"/>
      <c r="B80" s="8"/>
      <c r="C80" s="8"/>
      <c r="D80" s="8"/>
      <c r="E80" s="109"/>
      <c r="J80" s="41"/>
      <c r="K80" s="41"/>
      <c r="M80" s="42"/>
      <c r="N80" s="42"/>
      <c r="O80" s="43"/>
      <c r="P80" s="43"/>
      <c r="Q80" s="43"/>
      <c r="R80" s="43"/>
      <c r="S80" s="43"/>
    </row>
    <row r="81" spans="1:19" ht="15.95" customHeight="1">
      <c r="A81" s="8"/>
      <c r="B81" s="8"/>
      <c r="C81" s="8"/>
      <c r="D81" s="8"/>
      <c r="E81" s="109"/>
      <c r="J81" s="41"/>
      <c r="K81" s="41"/>
      <c r="M81" s="42"/>
      <c r="N81" s="42"/>
      <c r="O81" s="43"/>
      <c r="P81" s="43"/>
      <c r="Q81" s="43"/>
      <c r="R81" s="43"/>
      <c r="S81" s="43"/>
    </row>
    <row r="82" spans="1:19" ht="15.95" customHeight="1">
      <c r="A82" s="8"/>
      <c r="B82" s="8"/>
      <c r="C82" s="8"/>
      <c r="D82" s="8"/>
      <c r="E82" s="109"/>
      <c r="J82" s="41"/>
      <c r="K82" s="41"/>
      <c r="M82" s="42"/>
      <c r="N82" s="42"/>
      <c r="O82" s="43"/>
      <c r="P82" s="43"/>
      <c r="Q82" s="43"/>
      <c r="R82" s="43"/>
      <c r="S82" s="43"/>
    </row>
    <row r="83" spans="1:19" ht="15.95" customHeight="1">
      <c r="A83" s="8"/>
      <c r="B83" s="8"/>
      <c r="C83" s="8"/>
      <c r="D83" s="8"/>
      <c r="J83" s="41"/>
      <c r="K83" s="41"/>
      <c r="M83" s="42"/>
      <c r="N83" s="42"/>
      <c r="O83" s="43"/>
      <c r="P83" s="43"/>
      <c r="Q83" s="43"/>
      <c r="R83" s="43"/>
      <c r="S83" s="43"/>
    </row>
    <row r="84" spans="1:19" ht="15.95" customHeight="1">
      <c r="A84" s="8"/>
      <c r="B84" s="8"/>
      <c r="C84" s="8"/>
      <c r="D84" s="8"/>
      <c r="J84" s="41"/>
      <c r="K84" s="41"/>
      <c r="M84" s="42"/>
      <c r="N84" s="42"/>
      <c r="O84" s="43"/>
      <c r="P84" s="43"/>
      <c r="Q84" s="43"/>
      <c r="R84" s="43"/>
      <c r="S84" s="43"/>
    </row>
    <row r="85" spans="1:19" ht="15.95" customHeight="1">
      <c r="A85" s="8"/>
      <c r="B85" s="8"/>
      <c r="C85" s="8"/>
      <c r="D85" s="8"/>
      <c r="J85" s="41"/>
      <c r="K85" s="41"/>
      <c r="M85" s="42"/>
      <c r="N85" s="42"/>
      <c r="O85" s="43"/>
      <c r="P85" s="43"/>
      <c r="Q85" s="43"/>
      <c r="R85" s="43"/>
      <c r="S85" s="43"/>
    </row>
    <row r="86" spans="1:19" ht="15.95" customHeight="1">
      <c r="A86" s="8"/>
      <c r="B86" s="8"/>
      <c r="C86" s="8"/>
      <c r="D86" s="8"/>
      <c r="J86" s="41"/>
      <c r="K86" s="41"/>
      <c r="M86" s="42"/>
      <c r="N86" s="42"/>
      <c r="O86" s="43"/>
      <c r="P86" s="43"/>
      <c r="Q86" s="43"/>
      <c r="R86" s="43"/>
      <c r="S86" s="43"/>
    </row>
    <row r="87" spans="1:19" ht="15.95" customHeight="1">
      <c r="A87" s="8"/>
      <c r="B87" s="8"/>
      <c r="C87" s="8"/>
      <c r="D87" s="8"/>
      <c r="J87" s="41"/>
      <c r="K87" s="41"/>
      <c r="M87" s="42"/>
      <c r="N87" s="42"/>
      <c r="O87" s="43"/>
      <c r="P87" s="43"/>
      <c r="Q87" s="43"/>
      <c r="R87" s="43"/>
      <c r="S87" s="43"/>
    </row>
    <row r="88" spans="1:19" ht="15.95" customHeight="1">
      <c r="A88" s="8"/>
      <c r="B88" s="8"/>
      <c r="C88" s="8"/>
      <c r="D88" s="8"/>
      <c r="J88" s="41"/>
      <c r="K88" s="41"/>
      <c r="M88" s="42"/>
      <c r="N88" s="42"/>
      <c r="O88" s="43"/>
      <c r="P88" s="43"/>
      <c r="Q88" s="43"/>
      <c r="R88" s="43"/>
      <c r="S88" s="43"/>
    </row>
    <row r="89" spans="1:19" ht="15.95" customHeight="1">
      <c r="A89" s="8"/>
      <c r="B89" s="8"/>
      <c r="C89" s="8"/>
      <c r="D89" s="8"/>
      <c r="J89" s="41"/>
      <c r="K89" s="41"/>
      <c r="M89" s="42"/>
      <c r="N89" s="42"/>
      <c r="O89" s="43"/>
      <c r="P89" s="43"/>
      <c r="Q89" s="43"/>
      <c r="R89" s="43"/>
      <c r="S89" s="43"/>
    </row>
    <row r="90" spans="1:19" ht="15.95" customHeight="1">
      <c r="A90" s="8"/>
      <c r="B90" s="8"/>
      <c r="C90" s="8"/>
      <c r="D90" s="8"/>
      <c r="H90" s="43"/>
      <c r="I90" s="43"/>
      <c r="J90" s="41"/>
      <c r="K90" s="41"/>
      <c r="M90" s="42"/>
      <c r="N90" s="42"/>
      <c r="O90" s="43"/>
      <c r="P90" s="43"/>
      <c r="Q90" s="43"/>
      <c r="R90" s="43"/>
      <c r="S90" s="43"/>
    </row>
    <row r="91" spans="1:19" ht="15.95" customHeight="1">
      <c r="A91" s="8"/>
      <c r="B91" s="8"/>
      <c r="C91" s="8"/>
      <c r="D91" s="8"/>
      <c r="J91" s="41"/>
      <c r="K91" s="41"/>
      <c r="M91" s="42"/>
      <c r="N91" s="42"/>
      <c r="O91" s="43"/>
      <c r="P91" s="43"/>
      <c r="Q91" s="43"/>
      <c r="R91" s="43"/>
      <c r="S91" s="43"/>
    </row>
    <row r="92" spans="1:19" ht="15.95" customHeight="1">
      <c r="A92" s="8"/>
      <c r="B92" s="8"/>
      <c r="C92" s="8"/>
      <c r="D92" s="8"/>
      <c r="J92" s="41"/>
      <c r="K92" s="41"/>
      <c r="M92" s="42"/>
      <c r="N92" s="42"/>
      <c r="O92" s="43"/>
      <c r="P92" s="43"/>
      <c r="Q92" s="43"/>
      <c r="R92" s="43"/>
      <c r="S92" s="43"/>
    </row>
    <row r="93" spans="1:19" ht="15.95" customHeight="1">
      <c r="A93" s="8"/>
      <c r="B93" s="8"/>
      <c r="C93" s="8"/>
      <c r="D93" s="8"/>
      <c r="J93" s="41"/>
      <c r="K93" s="41"/>
      <c r="M93" s="42"/>
      <c r="N93" s="42"/>
      <c r="O93" s="43"/>
      <c r="P93" s="43"/>
      <c r="Q93" s="43"/>
      <c r="R93" s="43"/>
      <c r="S93" s="43"/>
    </row>
    <row r="94" spans="1:19" ht="15.95" customHeight="1">
      <c r="A94" s="8"/>
      <c r="B94" s="8"/>
      <c r="C94" s="8"/>
      <c r="D94" s="8"/>
      <c r="J94" s="41"/>
      <c r="K94" s="41"/>
      <c r="M94" s="42"/>
      <c r="N94" s="42"/>
      <c r="O94" s="43"/>
      <c r="P94" s="43"/>
      <c r="Q94" s="43"/>
      <c r="R94" s="43"/>
      <c r="S94" s="43"/>
    </row>
    <row r="95" spans="1:19" ht="15.95" customHeight="1">
      <c r="A95" s="8"/>
      <c r="B95" s="8"/>
      <c r="C95" s="8"/>
      <c r="D95" s="8"/>
      <c r="J95" s="42"/>
      <c r="K95" s="42"/>
      <c r="O95" s="43"/>
      <c r="P95" s="43"/>
      <c r="Q95" s="43"/>
      <c r="R95" s="43"/>
      <c r="S95" s="43"/>
    </row>
    <row r="96" spans="1:19" ht="15.95" customHeight="1">
      <c r="A96" s="8"/>
      <c r="B96" s="8"/>
      <c r="C96" s="8"/>
      <c r="D96" s="8"/>
      <c r="J96" s="41"/>
      <c r="K96" s="42"/>
      <c r="M96" s="42"/>
      <c r="O96" s="43"/>
      <c r="P96" s="43"/>
      <c r="Q96" s="43"/>
      <c r="R96" s="43"/>
      <c r="S96" s="43"/>
    </row>
    <row r="97" spans="1:19" ht="15.95" customHeight="1">
      <c r="A97" s="8"/>
      <c r="B97" s="8"/>
      <c r="C97" s="8"/>
      <c r="D97" s="8"/>
      <c r="J97" s="41"/>
      <c r="K97" s="41"/>
      <c r="M97" s="42"/>
      <c r="N97" s="42"/>
      <c r="O97" s="43"/>
      <c r="P97" s="43"/>
      <c r="Q97" s="43"/>
      <c r="R97" s="43"/>
      <c r="S97" s="43"/>
    </row>
    <row r="98" spans="1:19" ht="15.95" customHeight="1">
      <c r="A98" s="8"/>
      <c r="B98" s="8"/>
      <c r="C98" s="8"/>
      <c r="D98" s="8"/>
      <c r="J98" s="41"/>
      <c r="K98" s="41"/>
      <c r="M98" s="42"/>
      <c r="N98" s="42"/>
      <c r="O98" s="43"/>
      <c r="P98" s="43"/>
      <c r="Q98" s="43"/>
      <c r="R98" s="43"/>
      <c r="S98" s="43"/>
    </row>
    <row r="99" spans="1:19" ht="15.95" customHeight="1">
      <c r="A99" s="8"/>
      <c r="B99" s="8"/>
      <c r="C99" s="8"/>
      <c r="D99" s="8"/>
      <c r="J99" s="41"/>
      <c r="K99" s="41"/>
      <c r="M99" s="42"/>
      <c r="N99" s="42"/>
      <c r="O99" s="43"/>
      <c r="P99" s="43"/>
      <c r="Q99" s="43"/>
      <c r="R99" s="43"/>
      <c r="S99" s="43"/>
    </row>
    <row r="100" spans="1:19" ht="15.95" customHeight="1">
      <c r="A100" s="8"/>
      <c r="B100" s="8"/>
      <c r="C100" s="8"/>
      <c r="D100" s="8"/>
      <c r="J100" s="41"/>
      <c r="K100" s="41"/>
      <c r="M100" s="42"/>
      <c r="N100" s="42"/>
      <c r="O100" s="43"/>
      <c r="P100" s="43"/>
      <c r="Q100" s="43"/>
      <c r="R100" s="43"/>
      <c r="S100" s="43"/>
    </row>
    <row r="101" spans="1:19" ht="15.95" customHeight="1">
      <c r="A101" s="8"/>
      <c r="B101" s="8"/>
      <c r="C101" s="8"/>
      <c r="D101" s="8"/>
      <c r="J101" s="41"/>
      <c r="K101" s="41"/>
      <c r="M101" s="42"/>
      <c r="N101" s="42"/>
      <c r="O101" s="43"/>
      <c r="P101" s="43"/>
      <c r="Q101" s="43"/>
      <c r="R101" s="43"/>
      <c r="S101" s="43"/>
    </row>
    <row r="102" spans="1:19" ht="15.95" customHeight="1">
      <c r="A102" s="8"/>
      <c r="B102" s="8"/>
      <c r="C102" s="8"/>
      <c r="D102" s="8"/>
      <c r="J102" s="41"/>
      <c r="K102" s="41"/>
      <c r="M102" s="42"/>
      <c r="N102" s="42"/>
      <c r="O102" s="43"/>
      <c r="P102" s="43"/>
      <c r="Q102" s="43"/>
      <c r="R102" s="43"/>
      <c r="S102" s="43"/>
    </row>
    <row r="103" spans="1:19" ht="15.95" customHeight="1">
      <c r="A103" s="8"/>
      <c r="B103" s="8"/>
      <c r="C103" s="8"/>
      <c r="D103" s="8"/>
      <c r="J103" s="41"/>
      <c r="K103" s="41"/>
      <c r="M103" s="42"/>
      <c r="N103" s="42"/>
      <c r="O103" s="43"/>
      <c r="P103" s="43"/>
      <c r="Q103" s="43"/>
      <c r="R103" s="43"/>
      <c r="S103" s="43"/>
    </row>
    <row r="104" spans="1:19" ht="15.95" customHeight="1">
      <c r="A104" s="8"/>
      <c r="B104" s="8"/>
      <c r="C104" s="8"/>
      <c r="D104" s="8"/>
      <c r="J104" s="41"/>
      <c r="K104" s="41"/>
      <c r="M104" s="42"/>
      <c r="N104" s="42"/>
      <c r="O104" s="43"/>
      <c r="P104" s="43"/>
      <c r="Q104" s="43"/>
      <c r="R104" s="43"/>
      <c r="S104" s="43"/>
    </row>
    <row r="105" spans="1:19" ht="15.95" customHeight="1">
      <c r="A105" s="8"/>
      <c r="B105" s="8"/>
      <c r="C105" s="8"/>
      <c r="D105" s="8"/>
      <c r="J105" s="41"/>
      <c r="K105" s="41"/>
      <c r="M105" s="42"/>
      <c r="N105" s="42"/>
      <c r="O105" s="43"/>
      <c r="P105" s="43"/>
      <c r="Q105" s="43"/>
      <c r="R105" s="43"/>
      <c r="S105" s="43"/>
    </row>
    <row r="106" spans="1:19" ht="15.95" customHeight="1">
      <c r="A106" s="8"/>
      <c r="B106" s="8"/>
      <c r="C106" s="8"/>
      <c r="D106" s="8"/>
      <c r="J106" s="41"/>
      <c r="K106" s="41"/>
      <c r="M106" s="42"/>
      <c r="N106" s="42"/>
      <c r="O106" s="43"/>
      <c r="P106" s="43"/>
      <c r="Q106" s="43"/>
      <c r="R106" s="43"/>
      <c r="S106" s="43"/>
    </row>
    <row r="107" spans="1:19" ht="15.95" customHeight="1">
      <c r="A107" s="8"/>
      <c r="B107" s="8"/>
      <c r="C107" s="8"/>
      <c r="D107" s="8"/>
      <c r="J107" s="41"/>
      <c r="K107" s="41"/>
      <c r="M107" s="42"/>
      <c r="N107" s="42"/>
      <c r="O107" s="43"/>
      <c r="P107" s="43"/>
      <c r="Q107" s="43"/>
      <c r="R107" s="43"/>
      <c r="S107" s="43"/>
    </row>
    <row r="108" spans="1:19" ht="15.95" customHeight="1">
      <c r="A108" s="8"/>
      <c r="B108" s="8"/>
      <c r="C108" s="8"/>
      <c r="D108" s="8"/>
      <c r="J108" s="41"/>
      <c r="K108" s="41"/>
      <c r="M108" s="42"/>
      <c r="N108" s="42"/>
      <c r="O108" s="43"/>
      <c r="P108" s="43"/>
      <c r="Q108" s="43"/>
      <c r="R108" s="43"/>
      <c r="S108" s="43"/>
    </row>
    <row r="109" spans="1:19" ht="15.95" customHeight="1">
      <c r="A109" s="8"/>
      <c r="B109" s="8"/>
      <c r="C109" s="8"/>
      <c r="D109" s="8"/>
      <c r="J109" s="41"/>
      <c r="K109" s="41"/>
      <c r="M109" s="42"/>
      <c r="N109" s="42"/>
      <c r="O109" s="43"/>
      <c r="P109" s="43"/>
      <c r="Q109" s="43"/>
      <c r="R109" s="43"/>
      <c r="S109" s="43"/>
    </row>
    <row r="110" spans="1:19" ht="15.95" customHeight="1">
      <c r="A110" s="8"/>
      <c r="B110" s="8"/>
      <c r="C110" s="8"/>
      <c r="D110" s="8"/>
      <c r="J110" s="41"/>
      <c r="K110" s="41"/>
      <c r="M110" s="42"/>
      <c r="N110" s="42"/>
      <c r="O110" s="43"/>
      <c r="P110" s="43"/>
      <c r="Q110" s="43"/>
      <c r="R110" s="43"/>
      <c r="S110" s="43"/>
    </row>
    <row r="111" spans="1:19" ht="15.95" customHeight="1">
      <c r="A111" s="8"/>
      <c r="B111" s="8"/>
      <c r="C111" s="8"/>
      <c r="D111" s="8"/>
      <c r="J111" s="41"/>
      <c r="K111" s="41"/>
      <c r="M111" s="42"/>
      <c r="N111" s="42"/>
      <c r="O111" s="43"/>
      <c r="P111" s="43"/>
      <c r="Q111" s="43"/>
      <c r="R111" s="43"/>
      <c r="S111" s="43"/>
    </row>
    <row r="112" spans="1:19" ht="15.95" customHeight="1">
      <c r="A112" s="8"/>
      <c r="B112" s="8"/>
      <c r="C112" s="8"/>
      <c r="D112" s="8"/>
      <c r="J112" s="41"/>
      <c r="K112" s="41"/>
      <c r="N112" s="42"/>
      <c r="O112" s="43"/>
      <c r="P112" s="43"/>
      <c r="Q112" s="43"/>
      <c r="R112" s="43"/>
      <c r="S112" s="43"/>
    </row>
    <row r="113" spans="1:19" ht="15.95" customHeight="1">
      <c r="A113" s="8"/>
      <c r="B113" s="8"/>
      <c r="C113" s="8"/>
      <c r="D113" s="8"/>
      <c r="J113" s="41"/>
      <c r="K113" s="41"/>
      <c r="M113" s="42"/>
      <c r="N113" s="42"/>
      <c r="O113" s="43"/>
      <c r="P113" s="43"/>
      <c r="Q113" s="43"/>
      <c r="R113" s="43"/>
      <c r="S113" s="43"/>
    </row>
    <row r="114" spans="1:19" ht="15.95" customHeight="1">
      <c r="A114" s="8"/>
      <c r="B114" s="8"/>
      <c r="C114" s="8"/>
      <c r="D114" s="8"/>
      <c r="J114" s="41"/>
      <c r="K114" s="41"/>
      <c r="M114" s="42"/>
      <c r="N114" s="42"/>
      <c r="O114" s="43"/>
      <c r="P114" s="43"/>
      <c r="Q114" s="43"/>
      <c r="R114" s="43"/>
      <c r="S114" s="43"/>
    </row>
    <row r="115" spans="1:19" ht="15.95" customHeight="1">
      <c r="A115" s="8"/>
      <c r="B115" s="8"/>
      <c r="C115" s="8"/>
      <c r="D115" s="8"/>
      <c r="J115" s="41"/>
      <c r="K115" s="41"/>
      <c r="M115" s="42"/>
      <c r="N115" s="42"/>
      <c r="O115" s="43"/>
      <c r="P115" s="43"/>
      <c r="Q115" s="43"/>
      <c r="R115" s="43"/>
      <c r="S115" s="43"/>
    </row>
    <row r="116" spans="1:19" ht="15.95" customHeight="1">
      <c r="A116" s="8"/>
      <c r="B116" s="8"/>
      <c r="C116" s="8"/>
      <c r="D116" s="8"/>
      <c r="J116" s="41"/>
      <c r="K116" s="41"/>
      <c r="M116" s="42"/>
      <c r="N116" s="42"/>
      <c r="O116" s="43"/>
      <c r="P116" s="43"/>
      <c r="Q116" s="43"/>
      <c r="R116" s="43"/>
      <c r="S116" s="43"/>
    </row>
    <row r="117" spans="1:19" ht="15.95" customHeight="1">
      <c r="A117" s="8"/>
      <c r="B117" s="8"/>
      <c r="C117" s="8"/>
      <c r="D117" s="8"/>
      <c r="J117" s="41"/>
      <c r="K117" s="41"/>
      <c r="M117" s="42"/>
      <c r="N117" s="42"/>
      <c r="O117" s="43"/>
      <c r="P117" s="43"/>
      <c r="Q117" s="43"/>
      <c r="R117" s="43"/>
      <c r="S117" s="43"/>
    </row>
    <row r="118" spans="1:19" ht="15.95" customHeight="1">
      <c r="A118" s="8"/>
      <c r="B118" s="8"/>
      <c r="C118" s="8"/>
      <c r="D118" s="8"/>
      <c r="H118" s="43"/>
      <c r="I118" s="43"/>
      <c r="J118" s="42"/>
      <c r="K118" s="42"/>
      <c r="M118" s="42"/>
      <c r="N118" s="42"/>
      <c r="O118" s="43"/>
      <c r="P118" s="43"/>
      <c r="Q118" s="43"/>
      <c r="R118" s="43"/>
      <c r="S118" s="43"/>
    </row>
    <row r="119" spans="1:19" ht="15.95" customHeight="1">
      <c r="A119" s="8"/>
      <c r="B119" s="8"/>
      <c r="C119" s="8"/>
      <c r="D119" s="8"/>
      <c r="J119" s="41"/>
      <c r="K119" s="41"/>
      <c r="M119" s="42"/>
      <c r="N119" s="42"/>
      <c r="O119" s="43"/>
      <c r="P119" s="43"/>
      <c r="Q119" s="43"/>
      <c r="R119" s="43"/>
      <c r="S119" s="43"/>
    </row>
    <row r="120" spans="1:19" ht="15.95" customHeight="1">
      <c r="A120" s="8"/>
      <c r="B120" s="8"/>
      <c r="C120" s="8"/>
      <c r="D120" s="8"/>
      <c r="J120" s="41"/>
      <c r="K120" s="41"/>
      <c r="M120" s="42"/>
      <c r="N120" s="42"/>
      <c r="O120" s="43"/>
      <c r="P120" s="43"/>
      <c r="Q120" s="43"/>
      <c r="R120" s="43"/>
      <c r="S120" s="43"/>
    </row>
    <row r="121" spans="1:19" ht="15.95" customHeight="1">
      <c r="A121" s="8"/>
      <c r="B121" s="8"/>
      <c r="C121" s="8"/>
      <c r="D121" s="8"/>
      <c r="J121" s="41"/>
      <c r="K121" s="41"/>
      <c r="M121" s="42"/>
      <c r="N121" s="42"/>
      <c r="O121" s="43"/>
      <c r="P121" s="43"/>
      <c r="Q121" s="43"/>
      <c r="R121" s="43"/>
      <c r="S121" s="43"/>
    </row>
    <row r="122" spans="1:19" ht="15.95" customHeight="1">
      <c r="A122" s="8"/>
      <c r="B122" s="8"/>
      <c r="C122" s="8"/>
      <c r="D122" s="8"/>
      <c r="J122" s="41"/>
      <c r="K122" s="41"/>
      <c r="M122" s="42"/>
      <c r="N122" s="42"/>
      <c r="O122" s="43"/>
      <c r="P122" s="43"/>
      <c r="Q122" s="43"/>
      <c r="R122" s="43"/>
      <c r="S122" s="43"/>
    </row>
    <row r="123" spans="1:19" ht="15.95" customHeight="1">
      <c r="D123" s="8"/>
      <c r="J123" s="41"/>
      <c r="K123" s="41"/>
      <c r="M123" s="42"/>
      <c r="N123" s="42"/>
      <c r="O123" s="43"/>
      <c r="P123" s="43"/>
      <c r="Q123" s="43"/>
      <c r="R123" s="43"/>
      <c r="S123" s="43"/>
    </row>
    <row r="124" spans="1:19" ht="15.95" customHeight="1">
      <c r="J124" s="41"/>
      <c r="K124" s="41"/>
      <c r="M124" s="42"/>
      <c r="N124" s="42"/>
      <c r="O124" s="43"/>
      <c r="P124" s="43"/>
      <c r="Q124" s="43"/>
      <c r="R124" s="43"/>
      <c r="S124" s="43"/>
    </row>
    <row r="125" spans="1:19" ht="15.95" customHeight="1">
      <c r="J125" s="41"/>
      <c r="K125" s="41"/>
      <c r="M125" s="42"/>
      <c r="N125" s="42"/>
      <c r="O125" s="43"/>
      <c r="P125" s="43"/>
      <c r="Q125" s="43"/>
      <c r="R125" s="43"/>
      <c r="S125" s="43"/>
    </row>
    <row r="126" spans="1:19" ht="15.95" customHeight="1">
      <c r="J126" s="41"/>
      <c r="K126" s="41"/>
      <c r="M126" s="42"/>
      <c r="N126" s="42"/>
      <c r="O126" s="43"/>
      <c r="P126" s="43"/>
      <c r="Q126" s="43"/>
      <c r="R126" s="43"/>
      <c r="S126" s="43"/>
    </row>
    <row r="127" spans="1:19" ht="15.95" customHeight="1">
      <c r="J127" s="41"/>
      <c r="K127" s="42"/>
      <c r="O127" s="43"/>
      <c r="P127" s="43"/>
      <c r="Q127" s="43"/>
      <c r="R127" s="43"/>
      <c r="S127" s="43"/>
    </row>
    <row r="128" spans="1:19" ht="15.95" customHeight="1">
      <c r="J128" s="41"/>
      <c r="K128" s="41"/>
      <c r="M128" s="42"/>
      <c r="N128" s="42"/>
      <c r="O128" s="43"/>
      <c r="P128" s="43"/>
      <c r="Q128" s="43"/>
      <c r="R128" s="43"/>
      <c r="S128" s="43"/>
    </row>
    <row r="129" spans="10:19" ht="15.95" customHeight="1">
      <c r="J129" s="41"/>
      <c r="K129" s="41"/>
      <c r="M129" s="42"/>
      <c r="N129" s="42"/>
      <c r="O129" s="43"/>
      <c r="P129" s="43"/>
      <c r="Q129" s="43"/>
      <c r="R129" s="43"/>
      <c r="S129" s="43"/>
    </row>
    <row r="130" spans="10:19" ht="15.95" customHeight="1">
      <c r="J130" s="41"/>
      <c r="K130" s="41"/>
      <c r="M130" s="42"/>
      <c r="N130" s="42"/>
      <c r="O130" s="43"/>
      <c r="P130" s="43"/>
      <c r="Q130" s="43"/>
      <c r="R130" s="43"/>
      <c r="S130" s="43"/>
    </row>
    <row r="131" spans="10:19" ht="15.95" customHeight="1">
      <c r="J131" s="41"/>
      <c r="K131" s="41"/>
      <c r="M131" s="42"/>
      <c r="N131" s="42"/>
      <c r="O131" s="43"/>
      <c r="P131" s="43"/>
      <c r="Q131" s="43"/>
      <c r="R131" s="43"/>
      <c r="S131" s="43"/>
    </row>
    <row r="132" spans="10:19" ht="15.95" customHeight="1">
      <c r="J132" s="41"/>
      <c r="K132" s="41"/>
      <c r="M132" s="42"/>
      <c r="N132" s="42"/>
      <c r="O132" s="43"/>
      <c r="P132" s="43"/>
      <c r="Q132" s="43"/>
      <c r="R132" s="43"/>
      <c r="S132" s="43"/>
    </row>
    <row r="133" spans="10:19" ht="15.95" customHeight="1">
      <c r="J133" s="41"/>
      <c r="K133" s="41"/>
      <c r="M133" s="42"/>
      <c r="N133" s="42"/>
      <c r="O133" s="43"/>
      <c r="P133" s="43"/>
      <c r="Q133" s="43"/>
      <c r="R133" s="43"/>
      <c r="S133" s="43"/>
    </row>
    <row r="134" spans="10:19" ht="15.95" customHeight="1">
      <c r="J134" s="41"/>
      <c r="K134" s="41"/>
      <c r="M134" s="42"/>
      <c r="N134" s="42"/>
      <c r="O134" s="43"/>
      <c r="P134" s="43"/>
      <c r="Q134" s="43"/>
      <c r="R134" s="43"/>
      <c r="S134" s="43"/>
    </row>
    <row r="135" spans="10:19" ht="15.95" customHeight="1">
      <c r="J135" s="41"/>
      <c r="K135" s="41"/>
      <c r="M135" s="42"/>
      <c r="N135" s="42"/>
      <c r="O135" s="43"/>
      <c r="P135" s="43"/>
      <c r="Q135" s="43"/>
      <c r="R135" s="43"/>
      <c r="S135" s="43"/>
    </row>
    <row r="136" spans="10:19" ht="15.95" customHeight="1">
      <c r="J136" s="41"/>
      <c r="K136" s="41"/>
      <c r="M136" s="42"/>
      <c r="N136" s="42"/>
      <c r="O136" s="43"/>
      <c r="P136" s="43"/>
      <c r="Q136" s="43"/>
      <c r="R136" s="43"/>
      <c r="S136" s="43"/>
    </row>
    <row r="137" spans="10:19" ht="15.95" customHeight="1">
      <c r="J137" s="41"/>
      <c r="K137" s="41"/>
      <c r="M137" s="42"/>
      <c r="N137" s="42"/>
      <c r="O137" s="43"/>
      <c r="P137" s="43"/>
      <c r="Q137" s="43"/>
      <c r="R137" s="43"/>
      <c r="S137" s="43"/>
    </row>
    <row r="138" spans="10:19" ht="15.95" customHeight="1">
      <c r="J138" s="41"/>
      <c r="K138" s="41"/>
      <c r="M138" s="42"/>
      <c r="N138" s="42"/>
      <c r="O138" s="43"/>
      <c r="P138" s="43"/>
      <c r="Q138" s="43"/>
      <c r="R138" s="43"/>
      <c r="S138" s="43"/>
    </row>
    <row r="139" spans="10:19" ht="15.95" customHeight="1">
      <c r="J139" s="41"/>
      <c r="K139" s="41"/>
      <c r="M139" s="42"/>
      <c r="N139" s="42"/>
      <c r="O139" s="43"/>
      <c r="P139" s="43"/>
      <c r="Q139" s="43"/>
      <c r="R139" s="43"/>
      <c r="S139" s="43"/>
    </row>
    <row r="140" spans="10:19" ht="15.95" customHeight="1">
      <c r="J140" s="41"/>
      <c r="K140" s="41"/>
      <c r="M140" s="42"/>
      <c r="N140" s="42"/>
      <c r="O140" s="43"/>
      <c r="P140" s="43"/>
      <c r="Q140" s="43"/>
      <c r="R140" s="43"/>
      <c r="S140" s="43"/>
    </row>
    <row r="141" spans="10:19" ht="15.95" customHeight="1">
      <c r="J141" s="41"/>
      <c r="K141" s="41"/>
      <c r="M141" s="42"/>
      <c r="N141" s="42"/>
      <c r="O141" s="43"/>
      <c r="P141" s="43"/>
      <c r="Q141" s="43"/>
      <c r="R141" s="43"/>
      <c r="S141" s="43"/>
    </row>
    <row r="142" spans="10:19" ht="15.95" customHeight="1">
      <c r="J142" s="41"/>
      <c r="K142" s="41"/>
      <c r="M142" s="42"/>
      <c r="N142" s="42"/>
      <c r="O142" s="43"/>
      <c r="P142" s="43"/>
      <c r="Q142" s="43"/>
      <c r="R142" s="43"/>
      <c r="S142" s="43"/>
    </row>
    <row r="143" spans="10:19" ht="15.95" customHeight="1">
      <c r="J143" s="41"/>
      <c r="K143" s="41"/>
      <c r="M143" s="42"/>
      <c r="N143" s="42"/>
      <c r="O143" s="43"/>
      <c r="P143" s="43"/>
      <c r="Q143" s="43"/>
      <c r="R143" s="43"/>
      <c r="S143" s="43"/>
    </row>
    <row r="144" spans="10:19" ht="15.95" customHeight="1">
      <c r="J144" s="41"/>
      <c r="K144" s="41"/>
      <c r="M144" s="42"/>
      <c r="N144" s="42"/>
      <c r="O144" s="43"/>
      <c r="P144" s="43"/>
      <c r="Q144" s="43"/>
      <c r="R144" s="43"/>
      <c r="S144" s="43"/>
    </row>
    <row r="145" spans="1:19" ht="15.95" customHeight="1">
      <c r="J145" s="41"/>
      <c r="K145" s="41"/>
      <c r="M145" s="42"/>
      <c r="N145" s="42"/>
      <c r="O145" s="43"/>
      <c r="P145" s="43"/>
      <c r="Q145" s="43"/>
      <c r="R145" s="43"/>
      <c r="S145" s="43"/>
    </row>
    <row r="146" spans="1:19" ht="15.95" customHeight="1">
      <c r="J146" s="41"/>
      <c r="K146" s="41"/>
      <c r="M146" s="42"/>
      <c r="N146" s="42"/>
      <c r="O146" s="43"/>
      <c r="P146" s="43"/>
      <c r="Q146" s="43"/>
      <c r="R146" s="43"/>
      <c r="S146" s="43"/>
    </row>
    <row r="147" spans="1:19" ht="15.95" customHeight="1">
      <c r="J147" s="41"/>
      <c r="K147" s="41"/>
      <c r="M147" s="42"/>
      <c r="N147" s="42"/>
      <c r="O147" s="43"/>
      <c r="P147" s="43"/>
      <c r="Q147" s="43"/>
      <c r="R147" s="43"/>
      <c r="S147" s="43"/>
    </row>
    <row r="148" spans="1:19" ht="15.95" customHeight="1">
      <c r="J148" s="41"/>
      <c r="K148" s="41"/>
      <c r="M148" s="42"/>
      <c r="N148" s="42"/>
      <c r="O148" s="43"/>
      <c r="P148" s="43"/>
      <c r="Q148" s="43"/>
      <c r="R148" s="43"/>
      <c r="S148" s="43"/>
    </row>
    <row r="149" spans="1:19" ht="15.95" customHeight="1">
      <c r="J149" s="41"/>
      <c r="K149" s="41"/>
      <c r="M149" s="42"/>
      <c r="N149" s="42"/>
      <c r="O149" s="43"/>
      <c r="P149" s="43"/>
      <c r="Q149" s="43"/>
      <c r="R149" s="43"/>
      <c r="S149" s="43"/>
    </row>
    <row r="150" spans="1:19" ht="15.95" customHeight="1">
      <c r="J150" s="41"/>
      <c r="K150" s="41"/>
      <c r="M150" s="42"/>
      <c r="N150" s="42"/>
      <c r="O150" s="43"/>
      <c r="P150" s="43"/>
      <c r="Q150" s="43"/>
      <c r="R150" s="43"/>
      <c r="S150" s="43"/>
    </row>
    <row r="151" spans="1:19" ht="15.95" customHeight="1">
      <c r="J151" s="41"/>
      <c r="K151" s="41"/>
      <c r="M151" s="42"/>
      <c r="N151" s="42"/>
      <c r="O151" s="43"/>
      <c r="P151" s="43"/>
      <c r="Q151" s="43"/>
      <c r="R151" s="43"/>
      <c r="S151" s="43"/>
    </row>
    <row r="152" spans="1:19" ht="15.95" customHeight="1">
      <c r="A152" s="8"/>
      <c r="B152" s="8"/>
      <c r="J152" s="41"/>
      <c r="K152" s="41"/>
      <c r="M152" s="42"/>
      <c r="N152" s="42"/>
      <c r="O152" s="43"/>
      <c r="P152" s="43"/>
      <c r="Q152" s="43"/>
      <c r="R152" s="43"/>
      <c r="S152" s="43"/>
    </row>
    <row r="153" spans="1:19" ht="15.95" customHeight="1">
      <c r="A153" s="8"/>
      <c r="B153" s="8"/>
      <c r="J153" s="41"/>
      <c r="K153" s="41"/>
      <c r="M153" s="42"/>
      <c r="N153" s="42"/>
      <c r="O153" s="43"/>
      <c r="P153" s="43"/>
      <c r="Q153" s="43"/>
      <c r="R153" s="43"/>
      <c r="S153" s="43"/>
    </row>
    <row r="154" spans="1:19" ht="15.95" customHeight="1">
      <c r="A154" s="8"/>
      <c r="B154" s="8"/>
      <c r="J154" s="41"/>
      <c r="K154" s="41"/>
      <c r="M154" s="42"/>
      <c r="N154" s="42"/>
      <c r="O154" s="43"/>
      <c r="P154" s="43"/>
      <c r="Q154" s="43"/>
      <c r="R154" s="43"/>
      <c r="S154" s="43"/>
    </row>
    <row r="155" spans="1:19" ht="15.95" customHeight="1">
      <c r="A155" s="8"/>
      <c r="B155" s="8"/>
      <c r="J155" s="41"/>
      <c r="K155" s="41"/>
      <c r="M155" s="42"/>
      <c r="N155" s="42"/>
      <c r="O155" s="43"/>
      <c r="P155" s="43"/>
      <c r="Q155" s="43"/>
      <c r="R155" s="43"/>
      <c r="S155" s="43"/>
    </row>
    <row r="156" spans="1:19" ht="15.95" customHeight="1">
      <c r="A156" s="8"/>
      <c r="B156" s="46"/>
      <c r="J156" s="41"/>
      <c r="K156" s="41"/>
      <c r="M156" s="42"/>
      <c r="N156" s="42"/>
      <c r="O156" s="43"/>
      <c r="P156" s="43"/>
      <c r="Q156" s="43"/>
      <c r="R156" s="43"/>
      <c r="S156" s="43"/>
    </row>
    <row r="157" spans="1:19" ht="15.95" customHeight="1">
      <c r="A157" s="8"/>
      <c r="B157" s="8"/>
      <c r="J157" s="41"/>
      <c r="K157" s="41"/>
      <c r="M157" s="42"/>
      <c r="N157" s="42"/>
      <c r="O157" s="43"/>
      <c r="P157" s="43"/>
      <c r="Q157" s="43"/>
      <c r="R157" s="43"/>
      <c r="S157" s="43"/>
    </row>
    <row r="158" spans="1:19" ht="15.95" customHeight="1">
      <c r="J158" s="41"/>
      <c r="K158" s="41"/>
      <c r="M158" s="42"/>
      <c r="N158" s="42"/>
      <c r="O158" s="43"/>
      <c r="P158" s="43"/>
      <c r="Q158" s="43"/>
      <c r="R158" s="43"/>
      <c r="S158" s="43"/>
    </row>
    <row r="159" spans="1:19" ht="15.95" customHeight="1">
      <c r="J159" s="41"/>
      <c r="K159" s="41"/>
      <c r="M159" s="42"/>
      <c r="N159" s="42"/>
      <c r="O159" s="43"/>
      <c r="P159" s="43"/>
      <c r="Q159" s="43"/>
      <c r="R159" s="43"/>
      <c r="S159" s="43"/>
    </row>
    <row r="160" spans="1:19" ht="15.95" customHeight="1">
      <c r="J160" s="41"/>
      <c r="K160" s="41"/>
      <c r="M160" s="42"/>
      <c r="N160" s="42"/>
      <c r="O160" s="43"/>
      <c r="P160" s="43"/>
      <c r="Q160" s="43"/>
      <c r="R160" s="43"/>
      <c r="S160" s="43"/>
    </row>
    <row r="161" spans="10:19" ht="15.95" customHeight="1">
      <c r="J161" s="41"/>
      <c r="K161" s="41"/>
      <c r="M161" s="42"/>
      <c r="N161" s="42"/>
      <c r="O161" s="43"/>
      <c r="P161" s="43"/>
      <c r="Q161" s="43"/>
      <c r="R161" s="43"/>
      <c r="S161" s="43"/>
    </row>
    <row r="162" spans="10:19" ht="15.95" customHeight="1">
      <c r="J162" s="41"/>
      <c r="K162" s="41"/>
      <c r="M162" s="42"/>
      <c r="N162" s="42"/>
      <c r="O162" s="43"/>
      <c r="P162" s="43"/>
      <c r="Q162" s="43"/>
      <c r="R162" s="43"/>
      <c r="S162" s="43"/>
    </row>
    <row r="163" spans="10:19" ht="15.95" customHeight="1">
      <c r="J163" s="41"/>
      <c r="K163" s="41"/>
      <c r="M163" s="42"/>
      <c r="N163" s="42"/>
      <c r="O163" s="43"/>
      <c r="P163" s="43"/>
      <c r="Q163" s="43"/>
      <c r="R163" s="43"/>
      <c r="S163" s="43"/>
    </row>
    <row r="164" spans="10:19" ht="15.95" customHeight="1">
      <c r="J164" s="41"/>
      <c r="K164" s="41"/>
      <c r="M164" s="42"/>
      <c r="N164" s="42"/>
      <c r="O164" s="43"/>
      <c r="P164" s="43"/>
      <c r="Q164" s="43"/>
      <c r="R164" s="43"/>
      <c r="S164" s="43"/>
    </row>
    <row r="165" spans="10:19" ht="15.95" customHeight="1">
      <c r="J165" s="41"/>
      <c r="K165" s="41"/>
      <c r="M165" s="42"/>
      <c r="N165" s="42"/>
      <c r="O165" s="43"/>
      <c r="P165" s="43"/>
      <c r="Q165" s="43"/>
      <c r="R165" s="43"/>
      <c r="S165" s="43"/>
    </row>
    <row r="166" spans="10:19" ht="15.95" customHeight="1">
      <c r="J166" s="41"/>
      <c r="K166" s="41"/>
      <c r="M166" s="42"/>
      <c r="N166" s="42"/>
      <c r="O166" s="43"/>
      <c r="P166" s="43"/>
      <c r="Q166" s="43"/>
      <c r="R166" s="43"/>
      <c r="S166" s="43"/>
    </row>
    <row r="167" spans="10:19" ht="15.95" customHeight="1">
      <c r="J167" s="41"/>
      <c r="K167" s="41"/>
      <c r="M167" s="42"/>
      <c r="N167" s="42"/>
      <c r="O167" s="43"/>
      <c r="P167" s="43"/>
      <c r="Q167" s="43"/>
      <c r="R167" s="43"/>
      <c r="S167" s="43"/>
    </row>
    <row r="168" spans="10:19" ht="15.95" customHeight="1">
      <c r="J168" s="41"/>
      <c r="K168" s="41"/>
      <c r="M168" s="42"/>
      <c r="N168" s="42"/>
      <c r="O168" s="43"/>
      <c r="P168" s="43"/>
      <c r="Q168" s="43"/>
      <c r="R168" s="43"/>
      <c r="S168" s="43"/>
    </row>
    <row r="169" spans="10:19" ht="15.95" customHeight="1">
      <c r="J169" s="41"/>
      <c r="K169" s="41"/>
      <c r="M169" s="42"/>
      <c r="N169" s="42"/>
      <c r="O169" s="43"/>
      <c r="P169" s="43"/>
      <c r="Q169" s="43"/>
      <c r="R169" s="43"/>
      <c r="S169" s="43"/>
    </row>
    <row r="170" spans="10:19" ht="15.95" customHeight="1">
      <c r="J170" s="41"/>
      <c r="K170" s="41"/>
      <c r="M170" s="42"/>
      <c r="N170" s="42"/>
      <c r="O170" s="43"/>
      <c r="P170" s="43"/>
      <c r="Q170" s="43"/>
      <c r="R170" s="43"/>
      <c r="S170" s="43"/>
    </row>
    <row r="171" spans="10:19" ht="15.95" customHeight="1">
      <c r="J171" s="41"/>
      <c r="K171" s="41"/>
      <c r="M171" s="42"/>
      <c r="N171" s="42"/>
      <c r="O171" s="43"/>
      <c r="P171" s="43"/>
      <c r="Q171" s="43"/>
      <c r="R171" s="43"/>
      <c r="S171" s="43"/>
    </row>
    <row r="172" spans="10:19" ht="15.95" customHeight="1">
      <c r="J172" s="41"/>
      <c r="K172" s="41"/>
      <c r="M172" s="42"/>
      <c r="N172" s="42"/>
      <c r="O172" s="43"/>
      <c r="P172" s="43"/>
      <c r="Q172" s="43"/>
      <c r="R172" s="43"/>
      <c r="S172" s="43"/>
    </row>
    <row r="173" spans="10:19" ht="15.95" customHeight="1">
      <c r="J173" s="41"/>
      <c r="K173" s="41"/>
      <c r="M173" s="42"/>
      <c r="N173" s="42"/>
      <c r="O173" s="43"/>
      <c r="P173" s="43"/>
      <c r="Q173" s="43"/>
      <c r="R173" s="43"/>
      <c r="S173" s="43"/>
    </row>
    <row r="174" spans="10:19" ht="15.75" customHeight="1">
      <c r="J174" s="41"/>
      <c r="K174" s="41"/>
      <c r="M174" s="42"/>
      <c r="N174" s="42"/>
      <c r="O174" s="43"/>
      <c r="P174" s="43"/>
      <c r="Q174" s="43"/>
      <c r="R174" s="43"/>
      <c r="S174" s="43"/>
    </row>
    <row r="175" spans="10:19" ht="15.75" customHeight="1">
      <c r="J175" s="41"/>
      <c r="K175" s="41"/>
      <c r="M175" s="42"/>
      <c r="N175" s="42"/>
      <c r="O175" s="43"/>
      <c r="P175" s="43"/>
      <c r="Q175" s="43"/>
      <c r="R175" s="43"/>
      <c r="S175" s="43"/>
    </row>
    <row r="176" spans="10:19" ht="15.75" customHeight="1">
      <c r="J176" s="41"/>
      <c r="K176" s="41"/>
      <c r="M176" s="42"/>
      <c r="N176" s="42"/>
      <c r="O176" s="43"/>
      <c r="P176" s="43"/>
      <c r="Q176" s="43"/>
      <c r="R176" s="43"/>
      <c r="S176" s="43"/>
    </row>
    <row r="177" spans="10:19" ht="15.75" customHeight="1">
      <c r="J177" s="41"/>
      <c r="K177" s="41"/>
      <c r="M177" s="42"/>
      <c r="N177" s="42"/>
      <c r="O177" s="43"/>
      <c r="P177" s="43"/>
      <c r="Q177" s="43"/>
      <c r="R177" s="43"/>
      <c r="S177" s="43"/>
    </row>
    <row r="178" spans="10:19" ht="15.75" customHeight="1">
      <c r="J178" s="41"/>
      <c r="K178" s="41"/>
      <c r="M178" s="42"/>
      <c r="N178" s="42"/>
      <c r="O178" s="43"/>
      <c r="P178" s="43"/>
      <c r="Q178" s="43"/>
      <c r="R178" s="43"/>
      <c r="S178" s="43"/>
    </row>
    <row r="179" spans="10:19" ht="15.75" customHeight="1">
      <c r="J179" s="41"/>
      <c r="K179" s="41"/>
      <c r="M179" s="42"/>
      <c r="N179" s="42"/>
      <c r="O179" s="43"/>
      <c r="P179" s="43"/>
      <c r="Q179" s="43"/>
      <c r="R179" s="43"/>
      <c r="S179" s="43"/>
    </row>
    <row r="180" spans="10:19" ht="15.75" customHeight="1">
      <c r="J180" s="41"/>
      <c r="K180" s="41"/>
      <c r="M180" s="42"/>
      <c r="N180" s="42"/>
      <c r="O180" s="43"/>
      <c r="P180" s="43"/>
      <c r="Q180" s="43"/>
      <c r="R180" s="43"/>
      <c r="S180" s="43"/>
    </row>
    <row r="181" spans="10:19" ht="15.75" customHeight="1">
      <c r="J181" s="41"/>
      <c r="K181" s="41"/>
      <c r="M181" s="42"/>
      <c r="N181" s="42"/>
      <c r="O181" s="43"/>
      <c r="P181" s="43"/>
      <c r="Q181" s="43"/>
      <c r="R181" s="43"/>
      <c r="S181" s="43"/>
    </row>
    <row r="182" spans="10:19" ht="15.75" customHeight="1">
      <c r="J182" s="41"/>
      <c r="K182" s="41"/>
      <c r="M182" s="42"/>
      <c r="N182" s="42"/>
      <c r="O182" s="43"/>
      <c r="P182" s="43"/>
      <c r="Q182" s="43"/>
      <c r="R182" s="43"/>
      <c r="S182" s="43"/>
    </row>
    <row r="183" spans="10:19" ht="15.75" customHeight="1">
      <c r="J183" s="41"/>
      <c r="K183" s="41"/>
      <c r="M183" s="42"/>
      <c r="N183" s="42"/>
      <c r="O183" s="43"/>
      <c r="P183" s="43"/>
      <c r="Q183" s="43"/>
      <c r="R183" s="43"/>
      <c r="S183" s="43"/>
    </row>
    <row r="184" spans="10:19" ht="15.75" customHeight="1">
      <c r="J184" s="41"/>
      <c r="K184" s="41"/>
      <c r="M184" s="42"/>
      <c r="N184" s="42"/>
      <c r="O184" s="43"/>
      <c r="P184" s="43"/>
      <c r="Q184" s="43"/>
      <c r="R184" s="43"/>
      <c r="S184" s="43"/>
    </row>
    <row r="185" spans="10:19" ht="15.75" customHeight="1">
      <c r="J185" s="41"/>
      <c r="K185" s="41"/>
      <c r="M185" s="42"/>
      <c r="N185" s="42"/>
      <c r="O185" s="43"/>
      <c r="P185" s="43"/>
      <c r="Q185" s="43"/>
      <c r="R185" s="43"/>
      <c r="S185" s="43"/>
    </row>
    <row r="186" spans="10:19" ht="15.75" customHeight="1">
      <c r="J186" s="41"/>
      <c r="K186" s="41"/>
      <c r="M186" s="42"/>
      <c r="N186" s="42"/>
      <c r="O186" s="43"/>
      <c r="P186" s="43"/>
      <c r="Q186" s="43"/>
      <c r="R186" s="43"/>
      <c r="S186" s="43"/>
    </row>
    <row r="187" spans="10:19" ht="15.75" customHeight="1">
      <c r="J187" s="41"/>
      <c r="K187" s="41"/>
      <c r="M187" s="42"/>
      <c r="N187" s="42"/>
      <c r="O187" s="43"/>
      <c r="P187" s="43"/>
      <c r="Q187" s="43"/>
      <c r="R187" s="43"/>
      <c r="S187" s="43"/>
    </row>
    <row r="188" spans="10:19" ht="15.75" customHeight="1">
      <c r="J188" s="41"/>
      <c r="K188" s="41"/>
      <c r="M188" s="42"/>
      <c r="N188" s="42"/>
      <c r="O188" s="43"/>
      <c r="P188" s="43"/>
      <c r="Q188" s="43"/>
      <c r="R188" s="43"/>
      <c r="S188" s="43"/>
    </row>
    <row r="189" spans="10:19" ht="15.75" customHeight="1">
      <c r="J189" s="41"/>
      <c r="K189" s="41"/>
      <c r="M189" s="42"/>
      <c r="N189" s="42"/>
      <c r="O189" s="43"/>
      <c r="P189" s="43"/>
      <c r="Q189" s="43"/>
      <c r="R189" s="43"/>
      <c r="S189" s="43"/>
    </row>
    <row r="190" spans="10:19" ht="15.75" customHeight="1">
      <c r="J190" s="41"/>
      <c r="K190" s="41"/>
      <c r="M190" s="42"/>
      <c r="N190" s="42"/>
      <c r="O190" s="43"/>
      <c r="P190" s="43"/>
      <c r="Q190" s="43"/>
      <c r="R190" s="43"/>
      <c r="S190" s="43"/>
    </row>
    <row r="191" spans="10:19" ht="15.75" customHeight="1">
      <c r="J191" s="41"/>
      <c r="K191" s="41"/>
      <c r="M191" s="42"/>
      <c r="N191" s="42"/>
      <c r="O191" s="43"/>
      <c r="P191" s="43"/>
      <c r="Q191" s="43"/>
      <c r="R191" s="43"/>
      <c r="S191" s="43"/>
    </row>
    <row r="192" spans="10:19" ht="15.75" customHeight="1">
      <c r="J192" s="41"/>
      <c r="K192" s="41"/>
      <c r="M192" s="42"/>
      <c r="N192" s="42"/>
      <c r="O192" s="43"/>
      <c r="P192" s="43"/>
      <c r="Q192" s="43"/>
      <c r="R192" s="43"/>
      <c r="S192" s="43"/>
    </row>
    <row r="193" spans="5:19" ht="15.75" customHeight="1">
      <c r="J193" s="41"/>
      <c r="K193" s="41"/>
      <c r="M193" s="42"/>
      <c r="N193" s="42"/>
      <c r="O193" s="43"/>
      <c r="P193" s="43"/>
      <c r="Q193" s="43"/>
      <c r="R193" s="43"/>
      <c r="S193" s="43"/>
    </row>
    <row r="194" spans="5:19" ht="15.75" customHeight="1">
      <c r="J194" s="41"/>
      <c r="K194" s="41"/>
      <c r="M194" s="42"/>
      <c r="N194" s="42"/>
      <c r="O194" s="43"/>
      <c r="P194" s="43"/>
      <c r="Q194" s="43"/>
      <c r="R194" s="43"/>
      <c r="S194" s="43"/>
    </row>
    <row r="195" spans="5:19" ht="15.75" customHeight="1">
      <c r="J195" s="41"/>
      <c r="K195" s="41"/>
      <c r="M195" s="42"/>
      <c r="N195" s="42"/>
      <c r="O195" s="43"/>
      <c r="P195" s="43"/>
      <c r="Q195" s="43"/>
      <c r="R195" s="43"/>
      <c r="S195" s="43"/>
    </row>
    <row r="196" spans="5:19" ht="15.75" customHeight="1">
      <c r="J196" s="41"/>
      <c r="K196" s="41"/>
      <c r="M196" s="42"/>
      <c r="N196" s="42"/>
      <c r="O196" s="43"/>
      <c r="P196" s="43"/>
      <c r="Q196" s="43"/>
      <c r="R196" s="43"/>
      <c r="S196" s="43"/>
    </row>
    <row r="197" spans="5:19" ht="15.75" customHeight="1">
      <c r="J197" s="41"/>
      <c r="K197" s="41"/>
      <c r="M197" s="42"/>
      <c r="N197" s="42"/>
      <c r="O197" s="43"/>
      <c r="P197" s="43"/>
      <c r="Q197" s="43"/>
      <c r="R197" s="43"/>
      <c r="S197" s="43"/>
    </row>
    <row r="198" spans="5:19" ht="15.75" customHeight="1">
      <c r="J198" s="41"/>
      <c r="K198" s="41"/>
      <c r="M198" s="42"/>
      <c r="N198" s="42"/>
      <c r="O198" s="43"/>
      <c r="P198" s="43"/>
      <c r="Q198" s="43"/>
      <c r="R198" s="43"/>
      <c r="S198" s="43"/>
    </row>
    <row r="199" spans="5:19" ht="15.75" customHeight="1">
      <c r="J199" s="41"/>
      <c r="K199" s="41"/>
      <c r="M199" s="42"/>
      <c r="N199" s="42"/>
      <c r="O199" s="43"/>
      <c r="P199" s="43"/>
      <c r="Q199" s="43"/>
      <c r="R199" s="43"/>
      <c r="S199" s="43"/>
    </row>
    <row r="200" spans="5:19" ht="15.75" customHeight="1">
      <c r="J200" s="41"/>
      <c r="K200" s="41"/>
      <c r="M200" s="42"/>
      <c r="N200" s="42"/>
      <c r="O200" s="43"/>
      <c r="P200" s="43"/>
      <c r="Q200" s="43"/>
      <c r="R200" s="43"/>
      <c r="S200" s="43"/>
    </row>
    <row r="201" spans="5:19" ht="15.75" customHeight="1">
      <c r="J201" s="41"/>
      <c r="K201" s="41"/>
      <c r="M201" s="42"/>
      <c r="N201" s="42"/>
      <c r="O201" s="43"/>
      <c r="P201" s="43"/>
      <c r="Q201" s="43"/>
      <c r="R201" s="43"/>
      <c r="S201" s="43"/>
    </row>
    <row r="202" spans="5:19" ht="15.75" customHeight="1">
      <c r="J202" s="41"/>
      <c r="K202" s="41"/>
      <c r="M202" s="42"/>
      <c r="N202" s="42"/>
      <c r="O202" s="43"/>
      <c r="P202" s="43"/>
      <c r="Q202" s="43"/>
      <c r="R202" s="43"/>
      <c r="S202" s="43"/>
    </row>
    <row r="203" spans="5:19" ht="15.75" customHeight="1">
      <c r="J203" s="41"/>
      <c r="K203" s="41"/>
      <c r="M203" s="42"/>
      <c r="N203" s="42"/>
      <c r="O203" s="43"/>
      <c r="P203" s="43"/>
      <c r="Q203" s="43"/>
      <c r="R203" s="43"/>
      <c r="S203" s="43"/>
    </row>
    <row r="204" spans="5:19" ht="15.75" customHeight="1">
      <c r="E204" s="58" t="s">
        <v>6510</v>
      </c>
      <c r="J204" s="41"/>
      <c r="K204" s="41"/>
      <c r="M204" s="42"/>
      <c r="N204" s="42"/>
      <c r="O204" s="43"/>
      <c r="P204" s="43"/>
      <c r="Q204" s="43"/>
      <c r="R204" s="43"/>
      <c r="S204" s="43"/>
    </row>
    <row r="205" spans="5:19" ht="15.75" customHeight="1">
      <c r="E205" s="58" t="s">
        <v>6511</v>
      </c>
      <c r="J205" s="41"/>
      <c r="K205" s="41"/>
      <c r="M205" s="42"/>
      <c r="N205" s="42"/>
      <c r="O205" s="43"/>
      <c r="P205" s="43"/>
      <c r="Q205" s="43"/>
      <c r="R205" s="43"/>
      <c r="S205" s="43"/>
    </row>
    <row r="206" spans="5:19" ht="15.75" customHeight="1">
      <c r="E206" s="58" t="s">
        <v>6512</v>
      </c>
      <c r="J206" s="41"/>
      <c r="K206" s="41"/>
      <c r="M206" s="42"/>
      <c r="N206" s="42"/>
      <c r="O206" s="43"/>
      <c r="P206" s="43"/>
      <c r="Q206" s="43"/>
      <c r="R206" s="43"/>
      <c r="S206" s="43"/>
    </row>
    <row r="207" spans="5:19" ht="15.75" customHeight="1">
      <c r="E207" s="58" t="s">
        <v>6513</v>
      </c>
      <c r="J207" s="41"/>
      <c r="K207" s="41"/>
      <c r="M207" s="42"/>
      <c r="N207" s="42"/>
      <c r="O207" s="43"/>
      <c r="P207" s="43"/>
      <c r="Q207" s="43"/>
      <c r="R207" s="43"/>
      <c r="S207" s="43"/>
    </row>
    <row r="208" spans="5:19" ht="15.75" customHeight="1">
      <c r="E208" s="58"/>
      <c r="J208" s="41"/>
      <c r="K208" s="41"/>
      <c r="M208" s="42"/>
      <c r="N208" s="42"/>
      <c r="O208" s="43"/>
      <c r="P208" s="43"/>
      <c r="Q208" s="43"/>
      <c r="R208" s="43"/>
      <c r="S208" s="43"/>
    </row>
    <row r="209" spans="5:19" ht="15.75" customHeight="1">
      <c r="E209" s="58"/>
      <c r="J209" s="41"/>
      <c r="K209" s="41"/>
      <c r="M209" s="42"/>
      <c r="N209" s="42"/>
      <c r="O209" s="43"/>
      <c r="P209" s="43"/>
      <c r="Q209" s="43"/>
      <c r="R209" s="43"/>
      <c r="S209" s="43"/>
    </row>
    <row r="210" spans="5:19" ht="15.75" customHeight="1">
      <c r="E210" s="58"/>
      <c r="J210" s="41"/>
      <c r="K210" s="41"/>
      <c r="M210" s="42"/>
      <c r="N210" s="42"/>
      <c r="O210" s="43"/>
      <c r="P210" s="43"/>
      <c r="Q210" s="43"/>
      <c r="R210" s="43"/>
      <c r="S210" s="43"/>
    </row>
    <row r="211" spans="5:19" ht="15.75" customHeight="1">
      <c r="E211" s="58"/>
      <c r="J211" s="41"/>
      <c r="K211" s="41"/>
      <c r="M211" s="42"/>
      <c r="N211" s="42"/>
      <c r="O211" s="43"/>
      <c r="P211" s="43"/>
      <c r="Q211" s="43"/>
      <c r="R211" s="43"/>
      <c r="S211" s="43"/>
    </row>
    <row r="212" spans="5:19" ht="15.75" customHeight="1">
      <c r="E212" s="58"/>
      <c r="J212" s="41"/>
      <c r="K212" s="41"/>
      <c r="M212" s="42"/>
      <c r="N212" s="42"/>
      <c r="O212" s="43"/>
      <c r="P212" s="43"/>
      <c r="Q212" s="43"/>
      <c r="R212" s="43"/>
      <c r="S212" s="43"/>
    </row>
    <row r="213" spans="5:19" ht="15.75" customHeight="1">
      <c r="E213" s="58" t="s">
        <v>6516</v>
      </c>
      <c r="J213" s="41"/>
      <c r="K213" s="42"/>
      <c r="N213" s="42"/>
      <c r="O213" s="43"/>
      <c r="P213" s="43"/>
      <c r="Q213" s="43"/>
      <c r="R213" s="43"/>
      <c r="S213" s="43"/>
    </row>
    <row r="214" spans="5:19" ht="15.75" customHeight="1">
      <c r="E214" s="58" t="s">
        <v>6519</v>
      </c>
      <c r="J214" s="41"/>
      <c r="K214" s="41"/>
      <c r="M214" s="42"/>
      <c r="N214" s="42"/>
      <c r="O214" s="43"/>
      <c r="P214" s="43"/>
      <c r="Q214" s="43"/>
      <c r="R214" s="43"/>
      <c r="S214" s="43"/>
    </row>
    <row r="215" spans="5:19" ht="15.75" customHeight="1">
      <c r="E215" s="58" t="s">
        <v>6521</v>
      </c>
      <c r="J215" s="41"/>
      <c r="K215" s="41"/>
      <c r="M215" s="42"/>
      <c r="N215" s="42"/>
      <c r="O215" s="43"/>
      <c r="P215" s="43"/>
      <c r="Q215" s="43"/>
      <c r="R215" s="43"/>
      <c r="S215" s="43"/>
    </row>
    <row r="216" spans="5:19" ht="15.75" customHeight="1">
      <c r="E216" s="58" t="s">
        <v>6515</v>
      </c>
      <c r="J216" s="41"/>
      <c r="K216" s="41"/>
      <c r="M216" s="42"/>
      <c r="N216" s="42"/>
      <c r="O216" s="43"/>
      <c r="P216" s="43"/>
      <c r="Q216" s="43"/>
      <c r="R216" s="43"/>
      <c r="S216" s="43"/>
    </row>
    <row r="217" spans="5:19" ht="15.75" customHeight="1">
      <c r="E217" s="58" t="s">
        <v>6517</v>
      </c>
      <c r="J217" s="41"/>
      <c r="K217" s="41"/>
      <c r="M217" s="42"/>
      <c r="N217" s="42"/>
      <c r="O217" s="43"/>
      <c r="P217" s="43"/>
      <c r="Q217" s="43"/>
      <c r="R217" s="43"/>
      <c r="S217" s="43"/>
    </row>
    <row r="218" spans="5:19" ht="15.75" customHeight="1">
      <c r="E218" s="58" t="s">
        <v>6518</v>
      </c>
      <c r="J218" s="41"/>
      <c r="K218" s="41"/>
      <c r="M218" s="42"/>
      <c r="N218" s="42"/>
      <c r="O218" s="43"/>
      <c r="P218" s="43"/>
      <c r="Q218" s="43"/>
      <c r="R218" s="43"/>
      <c r="S218" s="43"/>
    </row>
    <row r="219" spans="5:19" ht="15.75" customHeight="1">
      <c r="E219" s="58"/>
      <c r="J219" s="41"/>
      <c r="K219" s="41"/>
      <c r="M219" s="42"/>
      <c r="N219" s="42"/>
      <c r="O219" s="43"/>
      <c r="P219" s="43"/>
      <c r="Q219" s="43"/>
      <c r="R219" s="43"/>
      <c r="S219" s="43"/>
    </row>
    <row r="220" spans="5:19" ht="15.75" customHeight="1">
      <c r="J220" s="41"/>
      <c r="K220" s="41"/>
      <c r="M220" s="42"/>
      <c r="N220" s="42"/>
      <c r="O220" s="43"/>
      <c r="P220" s="43"/>
      <c r="Q220" s="43"/>
      <c r="R220" s="43"/>
      <c r="S220" s="43"/>
    </row>
    <row r="221" spans="5:19" ht="15.75" customHeight="1">
      <c r="J221" s="41"/>
      <c r="K221" s="41"/>
      <c r="M221" s="42"/>
      <c r="N221" s="42"/>
      <c r="O221" s="43"/>
      <c r="P221" s="43"/>
      <c r="Q221" s="43"/>
      <c r="R221" s="43"/>
      <c r="S221" s="43"/>
    </row>
    <row r="222" spans="5:19" ht="15.75" customHeight="1">
      <c r="J222" s="41"/>
      <c r="K222" s="41"/>
      <c r="M222" s="42"/>
      <c r="N222" s="42"/>
      <c r="O222" s="43"/>
      <c r="P222" s="43"/>
      <c r="Q222" s="43"/>
      <c r="R222" s="43"/>
      <c r="S222" s="43"/>
    </row>
    <row r="223" spans="5:19" ht="15.75" customHeight="1">
      <c r="J223" s="41"/>
      <c r="K223" s="41"/>
      <c r="M223" s="42"/>
      <c r="N223" s="42"/>
      <c r="O223" s="43"/>
      <c r="P223" s="43"/>
      <c r="Q223" s="43"/>
      <c r="R223" s="43"/>
      <c r="S223" s="43"/>
    </row>
    <row r="224" spans="5:19" ht="15.75" customHeight="1">
      <c r="J224" s="41"/>
      <c r="K224" s="41"/>
      <c r="N224" s="42"/>
      <c r="O224" s="43"/>
      <c r="P224" s="43"/>
      <c r="Q224" s="43"/>
      <c r="R224" s="43"/>
      <c r="S224" s="43"/>
    </row>
    <row r="225" spans="10:19" ht="15.75" customHeight="1">
      <c r="J225" s="41"/>
      <c r="K225" s="41"/>
      <c r="M225" s="42"/>
      <c r="N225" s="42"/>
      <c r="O225" s="43"/>
      <c r="P225" s="43"/>
      <c r="Q225" s="43"/>
      <c r="R225" s="43"/>
      <c r="S225" s="43"/>
    </row>
    <row r="226" spans="10:19" ht="15.75" customHeight="1">
      <c r="J226" s="41"/>
      <c r="K226" s="42"/>
      <c r="M226" s="42"/>
      <c r="O226" s="43"/>
      <c r="P226" s="43"/>
      <c r="Q226" s="43"/>
      <c r="R226" s="43"/>
      <c r="S226" s="43"/>
    </row>
    <row r="227" spans="10:19" ht="15.75" customHeight="1">
      <c r="J227" s="41"/>
      <c r="K227" s="41"/>
      <c r="M227" s="42"/>
      <c r="N227" s="42"/>
      <c r="O227" s="43"/>
      <c r="P227" s="43"/>
      <c r="Q227" s="43"/>
      <c r="R227" s="43"/>
      <c r="S227" s="43"/>
    </row>
    <row r="228" spans="10:19" ht="15.75" customHeight="1">
      <c r="J228" s="41"/>
      <c r="K228" s="41"/>
      <c r="M228" s="42"/>
      <c r="N228" s="42"/>
      <c r="O228" s="43"/>
      <c r="P228" s="43"/>
      <c r="Q228" s="43"/>
      <c r="R228" s="43"/>
      <c r="S228" s="43"/>
    </row>
    <row r="229" spans="10:19" ht="15.75" customHeight="1">
      <c r="J229" s="41"/>
      <c r="K229" s="41"/>
      <c r="M229" s="42"/>
      <c r="N229" s="42"/>
      <c r="O229" s="43"/>
      <c r="P229" s="43"/>
      <c r="Q229" s="43"/>
      <c r="R229" s="43"/>
      <c r="S229" s="43"/>
    </row>
    <row r="230" spans="10:19" ht="15.75" customHeight="1">
      <c r="J230" s="41"/>
      <c r="K230" s="41"/>
      <c r="M230" s="42"/>
      <c r="N230" s="42"/>
      <c r="O230" s="43"/>
      <c r="P230" s="43"/>
      <c r="Q230" s="43"/>
      <c r="R230" s="43"/>
      <c r="S230" s="43"/>
    </row>
    <row r="231" spans="10:19" ht="15.75" customHeight="1">
      <c r="J231" s="41"/>
      <c r="K231" s="41"/>
      <c r="M231" s="42"/>
      <c r="N231" s="42"/>
      <c r="O231" s="43"/>
      <c r="P231" s="43"/>
      <c r="Q231" s="43"/>
      <c r="R231" s="43"/>
      <c r="S231" s="43"/>
    </row>
    <row r="232" spans="10:19" ht="15.75" customHeight="1">
      <c r="J232" s="41"/>
      <c r="K232" s="41"/>
      <c r="M232" s="42"/>
      <c r="N232" s="42"/>
      <c r="O232" s="43"/>
      <c r="P232" s="43"/>
      <c r="Q232" s="43"/>
      <c r="R232" s="43"/>
      <c r="S232" s="43"/>
    </row>
    <row r="233" spans="10:19" ht="15.75" customHeight="1">
      <c r="J233" s="41"/>
      <c r="K233" s="41"/>
      <c r="M233" s="42"/>
      <c r="N233" s="42"/>
      <c r="O233" s="43"/>
      <c r="P233" s="43"/>
      <c r="Q233" s="43"/>
      <c r="R233" s="43"/>
      <c r="S233" s="43"/>
    </row>
    <row r="234" spans="10:19" ht="15.75" customHeight="1">
      <c r="J234" s="41"/>
      <c r="K234" s="41"/>
      <c r="M234" s="42"/>
      <c r="N234" s="42"/>
      <c r="O234" s="43"/>
      <c r="P234" s="43"/>
      <c r="Q234" s="43"/>
      <c r="R234" s="43"/>
      <c r="S234" s="43"/>
    </row>
    <row r="235" spans="10:19" ht="15.75" customHeight="1">
      <c r="J235" s="41"/>
      <c r="K235" s="41"/>
      <c r="M235" s="42"/>
      <c r="N235" s="42"/>
      <c r="O235" s="43"/>
      <c r="P235" s="43"/>
      <c r="Q235" s="43"/>
      <c r="R235" s="43"/>
      <c r="S235" s="43"/>
    </row>
    <row r="236" spans="10:19" ht="15.75" customHeight="1">
      <c r="J236" s="41"/>
      <c r="K236" s="41"/>
      <c r="M236" s="42"/>
      <c r="N236" s="42"/>
      <c r="O236" s="43"/>
      <c r="P236" s="43"/>
      <c r="Q236" s="43"/>
      <c r="R236" s="43"/>
      <c r="S236" s="43"/>
    </row>
    <row r="237" spans="10:19" ht="15.75" customHeight="1">
      <c r="J237" s="41"/>
      <c r="K237" s="41"/>
      <c r="M237" s="42"/>
      <c r="N237" s="42"/>
      <c r="O237" s="43"/>
      <c r="P237" s="43"/>
      <c r="Q237" s="43"/>
      <c r="R237" s="43"/>
      <c r="S237" s="43"/>
    </row>
    <row r="238" spans="10:19" ht="15.75" customHeight="1">
      <c r="J238" s="41"/>
      <c r="K238" s="41"/>
      <c r="M238" s="42"/>
      <c r="N238" s="42"/>
      <c r="O238" s="43"/>
      <c r="P238" s="43"/>
      <c r="Q238" s="43"/>
      <c r="R238" s="43"/>
      <c r="S238" s="43"/>
    </row>
    <row r="239" spans="10:19" ht="15.75" customHeight="1">
      <c r="J239" s="41"/>
      <c r="K239" s="41"/>
      <c r="M239" s="42"/>
      <c r="N239" s="42"/>
      <c r="O239" s="43"/>
      <c r="P239" s="43"/>
      <c r="Q239" s="43"/>
      <c r="R239" s="43"/>
      <c r="S239" s="43"/>
    </row>
    <row r="240" spans="10:19" ht="15.75" customHeight="1">
      <c r="J240" s="41"/>
      <c r="K240" s="41"/>
      <c r="M240" s="42"/>
      <c r="O240" s="43"/>
      <c r="P240" s="43"/>
      <c r="Q240" s="43"/>
      <c r="R240" s="43"/>
      <c r="S240" s="43"/>
    </row>
    <row r="241" spans="10:19" ht="15.75" customHeight="1">
      <c r="J241" s="41"/>
      <c r="K241" s="41"/>
      <c r="M241" s="42"/>
      <c r="N241" s="42"/>
      <c r="O241" s="43"/>
      <c r="P241" s="43"/>
      <c r="Q241" s="43"/>
      <c r="R241" s="43"/>
      <c r="S241" s="43"/>
    </row>
    <row r="242" spans="10:19" ht="15.75" customHeight="1">
      <c r="J242" s="41"/>
      <c r="K242" s="41"/>
      <c r="M242" s="42"/>
      <c r="N242" s="42"/>
      <c r="O242" s="43"/>
      <c r="P242" s="43"/>
      <c r="Q242" s="43"/>
      <c r="R242" s="43"/>
      <c r="S242" s="43"/>
    </row>
    <row r="243" spans="10:19" ht="15.75" customHeight="1">
      <c r="J243" s="41"/>
      <c r="K243" s="41"/>
      <c r="M243" s="42"/>
      <c r="N243" s="42"/>
      <c r="O243" s="43"/>
      <c r="P243" s="43"/>
      <c r="Q243" s="43"/>
      <c r="R243" s="43"/>
      <c r="S243" s="43"/>
    </row>
    <row r="244" spans="10:19" ht="15.75" customHeight="1">
      <c r="J244" s="41"/>
      <c r="K244" s="41"/>
      <c r="M244" s="42"/>
      <c r="N244" s="42"/>
      <c r="O244" s="43"/>
      <c r="P244" s="43"/>
      <c r="Q244" s="43"/>
      <c r="R244" s="43"/>
      <c r="S244" s="43"/>
    </row>
    <row r="245" spans="10:19" ht="15.75" customHeight="1">
      <c r="J245" s="41"/>
      <c r="K245" s="41"/>
      <c r="M245" s="42"/>
      <c r="N245" s="42"/>
      <c r="O245" s="43"/>
      <c r="P245" s="43"/>
      <c r="Q245" s="43"/>
      <c r="R245" s="43"/>
      <c r="S245" s="43"/>
    </row>
    <row r="246" spans="10:19" ht="15.75" customHeight="1">
      <c r="J246" s="41"/>
      <c r="K246" s="41"/>
      <c r="M246" s="42"/>
      <c r="N246" s="42"/>
      <c r="O246" s="43"/>
      <c r="P246" s="43"/>
      <c r="Q246" s="43"/>
      <c r="R246" s="43"/>
      <c r="S246" s="43"/>
    </row>
    <row r="247" spans="10:19" ht="15.75" customHeight="1">
      <c r="J247" s="41"/>
      <c r="K247" s="41"/>
      <c r="M247" s="42"/>
      <c r="N247" s="42"/>
      <c r="O247" s="43"/>
      <c r="P247" s="43"/>
      <c r="Q247" s="43"/>
      <c r="R247" s="43"/>
      <c r="S247" s="43"/>
    </row>
    <row r="248" spans="10:19" ht="15.75" customHeight="1">
      <c r="J248" s="41"/>
      <c r="K248" s="41"/>
      <c r="M248" s="42"/>
      <c r="N248" s="42"/>
      <c r="O248" s="43"/>
      <c r="P248" s="43"/>
      <c r="Q248" s="43"/>
      <c r="R248" s="43"/>
      <c r="S248" s="43"/>
    </row>
    <row r="249" spans="10:19" ht="15.75" customHeight="1">
      <c r="J249" s="41"/>
      <c r="K249" s="41"/>
      <c r="M249" s="42"/>
      <c r="N249" s="42"/>
      <c r="O249" s="43"/>
      <c r="P249" s="43"/>
      <c r="Q249" s="43"/>
      <c r="R249" s="43"/>
      <c r="S249" s="43"/>
    </row>
    <row r="250" spans="10:19" ht="15.75" customHeight="1">
      <c r="J250" s="41"/>
      <c r="K250" s="41"/>
      <c r="M250" s="42"/>
      <c r="N250" s="42"/>
      <c r="O250" s="43"/>
      <c r="P250" s="43"/>
      <c r="Q250" s="43"/>
      <c r="R250" s="43"/>
      <c r="S250" s="43"/>
    </row>
    <row r="251" spans="10:19" ht="15.75" customHeight="1">
      <c r="J251" s="41"/>
      <c r="K251" s="41"/>
      <c r="M251" s="42"/>
      <c r="N251" s="42"/>
      <c r="O251" s="43"/>
      <c r="P251" s="43"/>
      <c r="Q251" s="43"/>
      <c r="R251" s="43"/>
      <c r="S251" s="43"/>
    </row>
    <row r="252" spans="10:19" ht="15.75" customHeight="1">
      <c r="J252" s="41"/>
      <c r="K252" s="41"/>
      <c r="M252" s="42"/>
      <c r="N252" s="42"/>
      <c r="O252" s="43"/>
      <c r="P252" s="43"/>
      <c r="Q252" s="43"/>
      <c r="R252" s="43"/>
      <c r="S252" s="43"/>
    </row>
    <row r="253" spans="10:19" ht="15.75" customHeight="1">
      <c r="J253" s="41"/>
      <c r="K253" s="41"/>
      <c r="M253" s="42"/>
      <c r="N253" s="42"/>
      <c r="O253" s="43"/>
      <c r="P253" s="43"/>
      <c r="Q253" s="43"/>
      <c r="R253" s="43"/>
      <c r="S253" s="43"/>
    </row>
    <row r="254" spans="10:19" ht="15.75" customHeight="1">
      <c r="J254" s="41"/>
      <c r="K254" s="41"/>
      <c r="M254" s="42"/>
      <c r="N254" s="42"/>
      <c r="O254" s="43"/>
      <c r="P254" s="43"/>
      <c r="Q254" s="43"/>
      <c r="R254" s="43"/>
      <c r="S254" s="43"/>
    </row>
    <row r="255" spans="10:19" ht="15.75" customHeight="1">
      <c r="J255" s="41"/>
      <c r="K255" s="41"/>
      <c r="M255" s="42"/>
      <c r="N255" s="42"/>
      <c r="O255" s="43"/>
      <c r="P255" s="43"/>
      <c r="Q255" s="43"/>
      <c r="R255" s="43"/>
      <c r="S255" s="43"/>
    </row>
    <row r="256" spans="10:19" ht="15.75" customHeight="1">
      <c r="J256" s="41"/>
      <c r="K256" s="41"/>
      <c r="M256" s="42"/>
      <c r="N256" s="42"/>
      <c r="O256" s="43"/>
      <c r="P256" s="43"/>
      <c r="Q256" s="43"/>
      <c r="R256" s="43"/>
      <c r="S256" s="43"/>
    </row>
    <row r="257" spans="10:19" ht="15.75" customHeight="1">
      <c r="J257" s="41"/>
      <c r="K257" s="41"/>
      <c r="M257" s="42"/>
      <c r="N257" s="42"/>
      <c r="O257" s="43"/>
      <c r="P257" s="43"/>
      <c r="Q257" s="43"/>
      <c r="R257" s="43"/>
      <c r="S257" s="43"/>
    </row>
    <row r="258" spans="10:19" ht="15.75" customHeight="1">
      <c r="J258" s="41"/>
      <c r="K258" s="41"/>
      <c r="M258" s="42"/>
      <c r="N258" s="42"/>
      <c r="O258" s="43"/>
      <c r="P258" s="43"/>
      <c r="Q258" s="43"/>
      <c r="R258" s="43"/>
      <c r="S258" s="43"/>
    </row>
    <row r="259" spans="10:19" ht="15.75" customHeight="1">
      <c r="J259" s="41"/>
      <c r="K259" s="41"/>
      <c r="M259" s="42"/>
      <c r="N259" s="42"/>
      <c r="O259" s="43"/>
      <c r="P259" s="43"/>
      <c r="Q259" s="43"/>
      <c r="R259" s="43"/>
      <c r="S259" s="43"/>
    </row>
    <row r="260" spans="10:19" ht="15.75" customHeight="1">
      <c r="J260" s="41"/>
      <c r="K260" s="41"/>
      <c r="M260" s="42"/>
      <c r="N260" s="42"/>
      <c r="O260" s="43"/>
      <c r="P260" s="43"/>
      <c r="Q260" s="43"/>
      <c r="R260" s="43"/>
      <c r="S260" s="43"/>
    </row>
    <row r="261" spans="10:19" ht="15.75" customHeight="1">
      <c r="J261" s="41"/>
      <c r="K261" s="41"/>
      <c r="M261" s="42"/>
      <c r="N261" s="42"/>
      <c r="O261" s="43"/>
      <c r="P261" s="43"/>
      <c r="Q261" s="43"/>
      <c r="R261" s="43"/>
      <c r="S261" s="43"/>
    </row>
    <row r="262" spans="10:19" ht="15.75" customHeight="1">
      <c r="J262" s="41"/>
      <c r="K262" s="41"/>
      <c r="M262" s="42"/>
      <c r="N262" s="42"/>
      <c r="O262" s="43"/>
      <c r="P262" s="43"/>
      <c r="Q262" s="43"/>
      <c r="R262" s="43"/>
      <c r="S262" s="43"/>
    </row>
    <row r="263" spans="10:19" ht="15.75" customHeight="1">
      <c r="J263" s="41"/>
      <c r="K263" s="41"/>
      <c r="M263" s="42"/>
      <c r="N263" s="42"/>
      <c r="O263" s="43"/>
      <c r="P263" s="43"/>
      <c r="Q263" s="43"/>
      <c r="R263" s="43"/>
      <c r="S263" s="43"/>
    </row>
    <row r="264" spans="10:19" ht="15.75" customHeight="1">
      <c r="J264" s="41"/>
      <c r="K264" s="41"/>
      <c r="M264" s="42"/>
      <c r="N264" s="42"/>
      <c r="O264" s="43"/>
      <c r="P264" s="43"/>
      <c r="Q264" s="43"/>
      <c r="R264" s="43"/>
      <c r="S264" s="43"/>
    </row>
    <row r="265" spans="10:19" ht="15.75" customHeight="1">
      <c r="J265" s="41"/>
      <c r="K265" s="41"/>
      <c r="M265" s="42"/>
      <c r="N265" s="42"/>
      <c r="O265" s="43"/>
      <c r="P265" s="43"/>
      <c r="Q265" s="43"/>
      <c r="R265" s="43"/>
      <c r="S265" s="43"/>
    </row>
    <row r="266" spans="10:19" ht="15.75" customHeight="1">
      <c r="J266" s="41"/>
      <c r="K266" s="41"/>
      <c r="M266" s="42"/>
      <c r="N266" s="42"/>
      <c r="O266" s="43"/>
      <c r="P266" s="43"/>
      <c r="Q266" s="43"/>
      <c r="R266" s="43"/>
      <c r="S266" s="43"/>
    </row>
    <row r="267" spans="10:19" ht="15.75" customHeight="1">
      <c r="J267" s="41"/>
      <c r="K267" s="41"/>
      <c r="M267" s="42"/>
      <c r="N267" s="42"/>
      <c r="O267" s="43"/>
      <c r="P267" s="43"/>
      <c r="Q267" s="43"/>
      <c r="R267" s="43"/>
      <c r="S267" s="43"/>
    </row>
    <row r="268" spans="10:19" ht="15.75" customHeight="1">
      <c r="J268" s="41"/>
      <c r="K268" s="41"/>
      <c r="M268" s="42"/>
      <c r="N268" s="42"/>
      <c r="O268" s="43"/>
      <c r="P268" s="43"/>
      <c r="Q268" s="43"/>
      <c r="R268" s="43"/>
      <c r="S268" s="43"/>
    </row>
    <row r="269" spans="10:19" ht="15.75" customHeight="1">
      <c r="J269" s="41"/>
      <c r="K269" s="41"/>
      <c r="M269" s="42"/>
      <c r="N269" s="42"/>
      <c r="O269" s="43"/>
      <c r="P269" s="43"/>
      <c r="Q269" s="43"/>
      <c r="R269" s="43"/>
      <c r="S269" s="43"/>
    </row>
    <row r="270" spans="10:19" ht="15.75" customHeight="1">
      <c r="J270" s="41"/>
      <c r="K270" s="41"/>
      <c r="M270" s="42"/>
      <c r="N270" s="42"/>
      <c r="O270" s="43"/>
      <c r="P270" s="43"/>
      <c r="Q270" s="43"/>
      <c r="R270" s="43"/>
      <c r="S270" s="43"/>
    </row>
    <row r="271" spans="10:19" ht="15.75" customHeight="1">
      <c r="J271" s="41"/>
      <c r="K271" s="41"/>
      <c r="M271" s="42"/>
      <c r="N271" s="42"/>
      <c r="O271" s="43"/>
      <c r="P271" s="43"/>
      <c r="Q271" s="43"/>
      <c r="R271" s="43"/>
      <c r="S271" s="43"/>
    </row>
    <row r="272" spans="10:19" ht="15.75" customHeight="1">
      <c r="J272" s="41"/>
      <c r="K272" s="41"/>
      <c r="M272" s="42"/>
      <c r="N272" s="42"/>
      <c r="O272" s="43"/>
      <c r="P272" s="43"/>
      <c r="Q272" s="43"/>
      <c r="R272" s="43"/>
      <c r="S272" s="43"/>
    </row>
    <row r="273" spans="8:19" ht="15.75" customHeight="1">
      <c r="J273" s="41"/>
      <c r="K273" s="41"/>
      <c r="M273" s="42"/>
      <c r="N273" s="42"/>
      <c r="O273" s="43"/>
      <c r="P273" s="43"/>
      <c r="Q273" s="43"/>
      <c r="R273" s="43"/>
      <c r="S273" s="43"/>
    </row>
    <row r="274" spans="8:19" ht="15.75" customHeight="1">
      <c r="J274" s="41"/>
      <c r="K274" s="41"/>
      <c r="M274" s="42"/>
      <c r="N274" s="42"/>
      <c r="O274" s="43"/>
      <c r="P274" s="43"/>
      <c r="Q274" s="43"/>
      <c r="R274" s="43"/>
      <c r="S274" s="43"/>
    </row>
    <row r="275" spans="8:19" ht="15.75" customHeight="1">
      <c r="J275" s="41"/>
      <c r="K275" s="41"/>
      <c r="M275" s="42"/>
      <c r="N275" s="42"/>
      <c r="O275" s="43"/>
      <c r="P275" s="43"/>
      <c r="Q275" s="43"/>
      <c r="R275" s="43"/>
      <c r="S275" s="43"/>
    </row>
    <row r="276" spans="8:19" ht="15.75" customHeight="1">
      <c r="J276" s="41"/>
      <c r="K276" s="41"/>
      <c r="M276" s="42"/>
      <c r="N276" s="42"/>
      <c r="O276" s="43"/>
      <c r="P276" s="43"/>
      <c r="Q276" s="43"/>
      <c r="R276" s="43"/>
      <c r="S276" s="43"/>
    </row>
    <row r="277" spans="8:19" ht="15.75" customHeight="1">
      <c r="J277" s="41"/>
      <c r="K277" s="41"/>
      <c r="M277" s="42"/>
      <c r="N277" s="42"/>
      <c r="O277" s="43"/>
      <c r="P277" s="43"/>
      <c r="Q277" s="43"/>
      <c r="R277" s="43"/>
      <c r="S277" s="43"/>
    </row>
    <row r="278" spans="8:19" ht="15.75" customHeight="1">
      <c r="J278" s="41"/>
      <c r="K278" s="42"/>
      <c r="M278" s="42"/>
      <c r="N278" s="42"/>
      <c r="O278" s="43"/>
      <c r="P278" s="43"/>
      <c r="Q278" s="43"/>
      <c r="R278" s="43"/>
      <c r="S278" s="43"/>
    </row>
    <row r="279" spans="8:19" ht="15.75" customHeight="1">
      <c r="J279" s="41"/>
      <c r="K279" s="41"/>
      <c r="M279" s="42"/>
      <c r="N279" s="42"/>
      <c r="O279" s="43"/>
      <c r="P279" s="43"/>
      <c r="Q279" s="43"/>
      <c r="R279" s="43"/>
      <c r="S279" s="43"/>
    </row>
    <row r="280" spans="8:19" ht="15.75" customHeight="1">
      <c r="J280" s="41"/>
      <c r="K280" s="41"/>
      <c r="M280" s="42"/>
      <c r="N280" s="42"/>
      <c r="O280" s="43"/>
      <c r="P280" s="43"/>
      <c r="Q280" s="43"/>
      <c r="R280" s="43"/>
      <c r="S280" s="43"/>
    </row>
    <row r="281" spans="8:19" ht="15.75" customHeight="1">
      <c r="J281" s="41"/>
      <c r="K281" s="41"/>
      <c r="M281" s="42"/>
      <c r="N281" s="42"/>
      <c r="O281" s="43"/>
      <c r="P281" s="43"/>
      <c r="Q281" s="43"/>
      <c r="R281" s="43"/>
      <c r="S281" s="43"/>
    </row>
    <row r="282" spans="8:19" ht="15.75" customHeight="1">
      <c r="J282" s="41"/>
      <c r="K282" s="41"/>
      <c r="M282" s="42"/>
      <c r="N282" s="42"/>
      <c r="O282" s="43"/>
      <c r="P282" s="43"/>
      <c r="Q282" s="43"/>
      <c r="R282" s="43"/>
      <c r="S282" s="43"/>
    </row>
    <row r="283" spans="8:19" ht="15.75" customHeight="1">
      <c r="H283" s="36"/>
      <c r="I283" s="36"/>
      <c r="J283" s="42"/>
      <c r="K283" s="42"/>
      <c r="M283" s="42"/>
      <c r="N283" s="42"/>
      <c r="O283" s="43"/>
      <c r="P283" s="43"/>
      <c r="Q283" s="43"/>
      <c r="R283" s="43"/>
      <c r="S283" s="43"/>
    </row>
    <row r="284" spans="8:19" ht="15.75" customHeight="1">
      <c r="J284" s="41"/>
      <c r="K284" s="41"/>
      <c r="M284" s="42"/>
      <c r="N284" s="42"/>
      <c r="O284" s="43"/>
      <c r="P284" s="43"/>
      <c r="Q284" s="43"/>
      <c r="R284" s="43"/>
      <c r="S284" s="43"/>
    </row>
    <row r="285" spans="8:19" ht="15.75" customHeight="1">
      <c r="J285" s="41"/>
      <c r="K285" s="41"/>
      <c r="M285" s="42"/>
      <c r="N285" s="42"/>
      <c r="O285" s="43"/>
      <c r="P285" s="43"/>
      <c r="Q285" s="43"/>
      <c r="R285" s="43"/>
      <c r="S285" s="43"/>
    </row>
    <row r="286" spans="8:19" ht="15.75" customHeight="1">
      <c r="J286" s="41"/>
      <c r="K286" s="41"/>
      <c r="M286" s="42"/>
      <c r="N286" s="42"/>
      <c r="O286" s="43"/>
      <c r="P286" s="43"/>
      <c r="Q286" s="43"/>
      <c r="R286" s="43"/>
      <c r="S286" s="43"/>
    </row>
    <row r="287" spans="8:19" ht="15.75" customHeight="1">
      <c r="J287" s="41"/>
      <c r="K287" s="41"/>
      <c r="M287" s="42"/>
      <c r="N287" s="42"/>
      <c r="O287" s="43"/>
      <c r="P287" s="43"/>
      <c r="Q287" s="43"/>
      <c r="R287" s="43"/>
      <c r="S287" s="43"/>
    </row>
    <row r="288" spans="8:19" ht="15.75" customHeight="1">
      <c r="J288" s="41"/>
      <c r="K288" s="41"/>
      <c r="M288" s="42"/>
      <c r="N288" s="42"/>
      <c r="O288" s="43"/>
      <c r="P288" s="43"/>
      <c r="Q288" s="43"/>
      <c r="R288" s="43"/>
      <c r="S288" s="43"/>
    </row>
    <row r="289" spans="10:19" ht="15.75" customHeight="1">
      <c r="J289" s="41"/>
      <c r="K289" s="41"/>
      <c r="M289" s="42"/>
      <c r="N289" s="42"/>
      <c r="O289" s="43"/>
      <c r="P289" s="43"/>
      <c r="Q289" s="43"/>
      <c r="R289" s="43"/>
      <c r="S289" s="43"/>
    </row>
    <row r="290" spans="10:19" ht="15.75" customHeight="1">
      <c r="J290" s="41"/>
      <c r="K290" s="41"/>
      <c r="M290" s="42"/>
      <c r="N290" s="42"/>
      <c r="O290" s="43"/>
      <c r="P290" s="43"/>
      <c r="Q290" s="43"/>
      <c r="R290" s="43"/>
      <c r="S290" s="43"/>
    </row>
    <row r="291" spans="10:19" ht="15.75" customHeight="1">
      <c r="J291" s="41"/>
      <c r="K291" s="41"/>
      <c r="M291" s="42"/>
      <c r="N291" s="42"/>
      <c r="O291" s="43"/>
      <c r="P291" s="43"/>
      <c r="Q291" s="43"/>
      <c r="R291" s="43"/>
      <c r="S291" s="43"/>
    </row>
    <row r="292" spans="10:19" ht="15.75" customHeight="1">
      <c r="J292" s="41"/>
      <c r="K292" s="41"/>
      <c r="M292" s="42"/>
      <c r="N292" s="42"/>
      <c r="O292" s="43"/>
      <c r="P292" s="43"/>
      <c r="Q292" s="43"/>
      <c r="R292" s="43"/>
      <c r="S292" s="43"/>
    </row>
    <row r="293" spans="10:19" ht="15.75" customHeight="1">
      <c r="J293" s="41"/>
      <c r="K293" s="41"/>
      <c r="M293" s="42"/>
      <c r="N293" s="42"/>
      <c r="O293" s="43"/>
      <c r="P293" s="43"/>
      <c r="Q293" s="43"/>
      <c r="R293" s="43"/>
      <c r="S293" s="43"/>
    </row>
    <row r="294" spans="10:19" ht="15.75" customHeight="1">
      <c r="J294" s="41"/>
      <c r="K294" s="41"/>
      <c r="M294" s="42"/>
      <c r="N294" s="42"/>
      <c r="O294" s="43"/>
      <c r="P294" s="43"/>
      <c r="Q294" s="43"/>
      <c r="R294" s="43"/>
      <c r="S294" s="43"/>
    </row>
    <row r="295" spans="10:19" ht="15.75" customHeight="1">
      <c r="J295" s="41"/>
      <c r="K295" s="41"/>
      <c r="M295" s="42"/>
      <c r="N295" s="42"/>
      <c r="O295" s="43"/>
      <c r="P295" s="43"/>
      <c r="Q295" s="43"/>
      <c r="R295" s="43"/>
      <c r="S295" s="43"/>
    </row>
    <row r="296" spans="10:19" ht="15.75" customHeight="1">
      <c r="J296" s="41"/>
      <c r="K296" s="41"/>
      <c r="M296" s="42"/>
      <c r="N296" s="42"/>
      <c r="O296" s="43"/>
      <c r="P296" s="43"/>
      <c r="Q296" s="43"/>
      <c r="R296" s="43"/>
      <c r="S296" s="43"/>
    </row>
    <row r="297" spans="10:19" ht="15.75" customHeight="1">
      <c r="J297" s="41"/>
      <c r="K297" s="41"/>
      <c r="M297" s="42"/>
      <c r="N297" s="42"/>
      <c r="O297" s="43"/>
      <c r="P297" s="43"/>
      <c r="Q297" s="43"/>
      <c r="R297" s="43"/>
      <c r="S297" s="43"/>
    </row>
    <row r="298" spans="10:19" ht="15.75" customHeight="1">
      <c r="J298" s="41"/>
      <c r="K298" s="41"/>
      <c r="M298" s="42"/>
      <c r="N298" s="42"/>
      <c r="O298" s="43"/>
      <c r="P298" s="43"/>
      <c r="Q298" s="43"/>
      <c r="R298" s="43"/>
      <c r="S298" s="43"/>
    </row>
    <row r="299" spans="10:19" ht="15.75" customHeight="1">
      <c r="J299" s="41"/>
      <c r="K299" s="41"/>
      <c r="M299" s="42"/>
      <c r="N299" s="42"/>
      <c r="O299" s="43"/>
      <c r="P299" s="43"/>
      <c r="Q299" s="43"/>
      <c r="R299" s="43"/>
      <c r="S299" s="43"/>
    </row>
    <row r="300" spans="10:19" ht="15.75" customHeight="1">
      <c r="J300" s="41"/>
      <c r="K300" s="41"/>
      <c r="M300" s="42"/>
      <c r="N300" s="42"/>
      <c r="O300" s="43"/>
      <c r="P300" s="43"/>
      <c r="Q300" s="43"/>
      <c r="R300" s="43"/>
      <c r="S300" s="43"/>
    </row>
    <row r="301" spans="10:19" ht="15.75" customHeight="1">
      <c r="J301" s="41"/>
      <c r="K301" s="41"/>
      <c r="M301" s="42"/>
      <c r="N301" s="42"/>
      <c r="O301" s="43"/>
      <c r="P301" s="43"/>
      <c r="Q301" s="43"/>
      <c r="R301" s="43"/>
      <c r="S301" s="43"/>
    </row>
    <row r="302" spans="10:19" ht="15.75" customHeight="1">
      <c r="J302" s="41"/>
      <c r="K302" s="41"/>
      <c r="M302" s="42"/>
      <c r="N302" s="42"/>
      <c r="O302" s="43"/>
      <c r="P302" s="43"/>
      <c r="Q302" s="43"/>
      <c r="R302" s="43"/>
      <c r="S302" s="43"/>
    </row>
    <row r="303" spans="10:19" ht="15.75" customHeight="1">
      <c r="J303" s="41"/>
      <c r="K303" s="41"/>
      <c r="M303" s="42"/>
      <c r="N303" s="42"/>
      <c r="O303" s="43"/>
      <c r="P303" s="43"/>
      <c r="Q303" s="43"/>
      <c r="R303" s="43"/>
      <c r="S303" s="43"/>
    </row>
    <row r="304" spans="10:19" ht="15.75" customHeight="1">
      <c r="J304" s="41"/>
      <c r="K304" s="41"/>
      <c r="M304" s="42"/>
      <c r="N304" s="42"/>
      <c r="O304" s="43"/>
      <c r="P304" s="43"/>
      <c r="Q304" s="43"/>
      <c r="R304" s="43"/>
      <c r="S304" s="43"/>
    </row>
    <row r="305" spans="8:19" ht="15.75" customHeight="1">
      <c r="J305" s="41"/>
      <c r="K305" s="41"/>
      <c r="M305" s="42"/>
      <c r="N305" s="42"/>
      <c r="O305" s="43"/>
      <c r="P305" s="43"/>
      <c r="Q305" s="43"/>
      <c r="R305" s="43"/>
      <c r="S305" s="43"/>
    </row>
    <row r="306" spans="8:19" ht="15.75" customHeight="1">
      <c r="J306" s="41"/>
      <c r="K306" s="41"/>
      <c r="M306" s="42"/>
      <c r="N306" s="42"/>
      <c r="O306" s="43"/>
      <c r="P306" s="43"/>
      <c r="Q306" s="43"/>
      <c r="R306" s="43"/>
      <c r="S306" s="43"/>
    </row>
    <row r="307" spans="8:19" ht="15.75" customHeight="1">
      <c r="J307" s="41"/>
      <c r="K307" s="41"/>
      <c r="M307" s="42"/>
      <c r="N307" s="42"/>
      <c r="O307" s="43"/>
      <c r="P307" s="43"/>
      <c r="Q307" s="43"/>
      <c r="R307" s="43"/>
      <c r="S307" s="43"/>
    </row>
    <row r="308" spans="8:19" ht="15.75" customHeight="1">
      <c r="J308" s="41"/>
      <c r="K308" s="41"/>
      <c r="M308" s="42"/>
      <c r="N308" s="42"/>
      <c r="O308" s="43"/>
      <c r="P308" s="43"/>
      <c r="Q308" s="43"/>
      <c r="R308" s="43"/>
      <c r="S308" s="43"/>
    </row>
    <row r="309" spans="8:19" ht="15.75" customHeight="1">
      <c r="J309" s="41"/>
      <c r="K309" s="41"/>
      <c r="M309" s="42"/>
      <c r="N309" s="42"/>
      <c r="O309" s="43"/>
      <c r="P309" s="43"/>
      <c r="Q309" s="43"/>
      <c r="R309" s="43"/>
      <c r="S309" s="43"/>
    </row>
    <row r="310" spans="8:19" ht="15.75" customHeight="1">
      <c r="J310" s="41"/>
      <c r="K310" s="41"/>
      <c r="M310" s="42"/>
      <c r="N310" s="42"/>
      <c r="O310" s="43"/>
      <c r="P310" s="43"/>
      <c r="Q310" s="43"/>
      <c r="R310" s="43"/>
      <c r="S310" s="43"/>
    </row>
    <row r="311" spans="8:19" ht="15.75" customHeight="1">
      <c r="J311" s="41"/>
      <c r="K311" s="41"/>
      <c r="M311" s="42"/>
      <c r="N311" s="42"/>
      <c r="O311" s="43"/>
      <c r="P311" s="43"/>
      <c r="Q311" s="43"/>
      <c r="R311" s="43"/>
      <c r="S311" s="43"/>
    </row>
    <row r="312" spans="8:19" ht="15.75" customHeight="1">
      <c r="J312" s="41"/>
      <c r="K312" s="41"/>
      <c r="M312" s="42"/>
      <c r="N312" s="42"/>
      <c r="O312" s="43"/>
      <c r="P312" s="43"/>
      <c r="Q312" s="43"/>
      <c r="R312" s="43"/>
      <c r="S312" s="43"/>
    </row>
    <row r="313" spans="8:19" ht="15.75" customHeight="1">
      <c r="J313" s="41"/>
      <c r="K313" s="41"/>
      <c r="M313" s="42"/>
      <c r="N313" s="42"/>
      <c r="O313" s="43"/>
      <c r="P313" s="43"/>
      <c r="Q313" s="43"/>
      <c r="R313" s="43"/>
      <c r="S313" s="43"/>
    </row>
    <row r="314" spans="8:19" ht="15.75" customHeight="1">
      <c r="J314" s="41"/>
      <c r="K314" s="41"/>
      <c r="M314" s="42"/>
      <c r="N314" s="42"/>
      <c r="O314" s="43"/>
      <c r="P314" s="43"/>
      <c r="Q314" s="43"/>
      <c r="R314" s="43"/>
      <c r="S314" s="43"/>
    </row>
    <row r="315" spans="8:19" ht="15.75" customHeight="1">
      <c r="J315" s="41"/>
      <c r="K315" s="41"/>
      <c r="M315" s="42"/>
      <c r="N315" s="42"/>
      <c r="O315" s="43"/>
      <c r="P315" s="43"/>
      <c r="Q315" s="43"/>
      <c r="R315" s="43"/>
      <c r="S315" s="43"/>
    </row>
    <row r="316" spans="8:19" ht="15.75" customHeight="1">
      <c r="J316" s="41"/>
      <c r="K316" s="41"/>
      <c r="M316" s="42"/>
      <c r="N316" s="42"/>
      <c r="O316" s="43"/>
      <c r="P316" s="43"/>
      <c r="Q316" s="43"/>
      <c r="R316" s="43"/>
      <c r="S316" s="43"/>
    </row>
    <row r="317" spans="8:19" ht="15.75" customHeight="1">
      <c r="H317" s="43"/>
      <c r="I317" s="43"/>
      <c r="J317" s="41"/>
      <c r="K317" s="42"/>
      <c r="N317" s="42"/>
      <c r="O317" s="43"/>
      <c r="P317" s="43"/>
      <c r="Q317" s="43"/>
      <c r="R317" s="43"/>
      <c r="S317" s="43"/>
    </row>
    <row r="318" spans="8:19" ht="15.75" customHeight="1">
      <c r="J318" s="41"/>
      <c r="K318" s="41"/>
      <c r="M318" s="42"/>
      <c r="N318" s="42"/>
      <c r="O318" s="43"/>
      <c r="P318" s="43"/>
      <c r="Q318" s="43"/>
      <c r="R318" s="43"/>
      <c r="S318" s="43"/>
    </row>
    <row r="319" spans="8:19" ht="15.75" customHeight="1">
      <c r="J319" s="41"/>
      <c r="K319" s="41"/>
      <c r="M319" s="42"/>
      <c r="N319" s="42"/>
      <c r="O319" s="43"/>
      <c r="P319" s="43"/>
      <c r="Q319" s="43"/>
      <c r="R319" s="43"/>
      <c r="S319" s="43"/>
    </row>
    <row r="320" spans="8:19" ht="15.75" customHeight="1">
      <c r="J320" s="41"/>
      <c r="K320" s="41"/>
      <c r="M320" s="42"/>
      <c r="N320" s="42"/>
      <c r="O320" s="43"/>
      <c r="P320" s="43"/>
      <c r="Q320" s="43"/>
      <c r="R320" s="43"/>
      <c r="S320" s="43"/>
    </row>
    <row r="321" spans="10:19" ht="15.75" customHeight="1">
      <c r="J321" s="41"/>
      <c r="K321" s="41"/>
      <c r="M321" s="42"/>
      <c r="N321" s="42"/>
      <c r="O321" s="43"/>
      <c r="P321" s="43"/>
      <c r="Q321" s="43"/>
      <c r="R321" s="43"/>
      <c r="S321" s="43"/>
    </row>
    <row r="322" spans="10:19" ht="15.75" customHeight="1">
      <c r="J322" s="41"/>
      <c r="K322" s="41"/>
      <c r="M322" s="42"/>
      <c r="N322" s="42"/>
      <c r="O322" s="43"/>
      <c r="P322" s="43"/>
      <c r="Q322" s="43"/>
      <c r="R322" s="43"/>
      <c r="S322" s="43"/>
    </row>
    <row r="323" spans="10:19" ht="15.75" customHeight="1">
      <c r="J323" s="41"/>
      <c r="K323" s="41"/>
      <c r="M323" s="42"/>
      <c r="N323" s="42"/>
      <c r="O323" s="43"/>
      <c r="P323" s="43"/>
      <c r="Q323" s="43"/>
      <c r="R323" s="43"/>
      <c r="S323" s="43"/>
    </row>
    <row r="324" spans="10:19" ht="15.75" customHeight="1">
      <c r="J324" s="41"/>
      <c r="K324" s="41"/>
      <c r="M324" s="42"/>
      <c r="N324" s="42"/>
      <c r="O324" s="43"/>
      <c r="P324" s="43"/>
      <c r="Q324" s="43"/>
      <c r="R324" s="43"/>
      <c r="S324" s="43"/>
    </row>
    <row r="325" spans="10:19" ht="15.75" customHeight="1">
      <c r="J325" s="41"/>
      <c r="K325" s="41"/>
      <c r="M325" s="42"/>
      <c r="N325" s="42"/>
      <c r="O325" s="43"/>
      <c r="P325" s="43"/>
      <c r="Q325" s="43"/>
      <c r="R325" s="43"/>
      <c r="S325" s="43"/>
    </row>
    <row r="326" spans="10:19" ht="15.75" customHeight="1">
      <c r="J326" s="41"/>
      <c r="K326" s="41"/>
      <c r="N326" s="42"/>
      <c r="O326" s="43"/>
      <c r="P326" s="43"/>
      <c r="Q326" s="43"/>
      <c r="R326" s="43"/>
      <c r="S326" s="43"/>
    </row>
    <row r="327" spans="10:19" ht="15.75" customHeight="1">
      <c r="J327" s="41"/>
      <c r="K327" s="41"/>
      <c r="M327" s="42"/>
      <c r="N327" s="42"/>
      <c r="O327" s="43"/>
      <c r="P327" s="43"/>
      <c r="Q327" s="43"/>
      <c r="R327" s="43"/>
      <c r="S327" s="43"/>
    </row>
    <row r="328" spans="10:19" ht="15.75" customHeight="1">
      <c r="J328" s="41"/>
      <c r="K328" s="41"/>
      <c r="M328" s="42"/>
      <c r="N328" s="42"/>
      <c r="O328" s="43"/>
      <c r="P328" s="43"/>
      <c r="Q328" s="43"/>
      <c r="R328" s="43"/>
      <c r="S328" s="43"/>
    </row>
    <row r="329" spans="10:19" ht="15.75" customHeight="1">
      <c r="J329" s="41"/>
      <c r="K329" s="41"/>
      <c r="M329" s="42"/>
      <c r="N329" s="42"/>
      <c r="O329" s="43"/>
      <c r="P329" s="43"/>
      <c r="Q329" s="43"/>
      <c r="R329" s="43"/>
      <c r="S329" s="43"/>
    </row>
    <row r="330" spans="10:19" ht="15.75" customHeight="1">
      <c r="J330" s="41"/>
      <c r="K330" s="41"/>
      <c r="M330" s="42"/>
      <c r="N330" s="42"/>
      <c r="O330" s="43"/>
      <c r="P330" s="43"/>
      <c r="Q330" s="43"/>
      <c r="R330" s="43"/>
      <c r="S330" s="43"/>
    </row>
    <row r="331" spans="10:19" ht="15.75" customHeight="1">
      <c r="J331" s="41"/>
      <c r="K331" s="41"/>
      <c r="M331" s="42"/>
      <c r="N331" s="42"/>
      <c r="O331" s="43"/>
      <c r="P331" s="43"/>
      <c r="Q331" s="43"/>
      <c r="R331" s="43"/>
      <c r="S331" s="43"/>
    </row>
    <row r="332" spans="10:19" ht="15.75" customHeight="1">
      <c r="J332" s="41"/>
      <c r="K332" s="41"/>
      <c r="M332" s="42"/>
      <c r="N332" s="42"/>
      <c r="O332" s="43"/>
      <c r="P332" s="43"/>
      <c r="Q332" s="43"/>
      <c r="R332" s="43"/>
      <c r="S332" s="43"/>
    </row>
    <row r="333" spans="10:19" ht="15.75" customHeight="1">
      <c r="J333" s="41"/>
      <c r="K333" s="41"/>
      <c r="M333" s="42"/>
      <c r="N333" s="42"/>
      <c r="O333" s="43"/>
      <c r="P333" s="43"/>
      <c r="Q333" s="43"/>
      <c r="R333" s="43"/>
      <c r="S333" s="43"/>
    </row>
    <row r="334" spans="10:19" ht="15.75" customHeight="1">
      <c r="J334" s="41"/>
      <c r="K334" s="41"/>
      <c r="M334" s="42"/>
      <c r="N334" s="42"/>
      <c r="O334" s="43"/>
      <c r="P334" s="43"/>
      <c r="Q334" s="43"/>
      <c r="R334" s="43"/>
      <c r="S334" s="43"/>
    </row>
    <row r="335" spans="10:19" ht="15.75" customHeight="1">
      <c r="J335" s="41"/>
      <c r="K335" s="41"/>
      <c r="M335" s="42"/>
      <c r="N335" s="42"/>
      <c r="O335" s="43"/>
      <c r="P335" s="43"/>
      <c r="Q335" s="43"/>
      <c r="R335" s="43"/>
      <c r="S335" s="43"/>
    </row>
    <row r="336" spans="10:19" ht="15.75" customHeight="1">
      <c r="J336" s="41"/>
      <c r="K336" s="41"/>
      <c r="M336" s="42"/>
      <c r="N336" s="42"/>
      <c r="O336" s="43"/>
      <c r="P336" s="43"/>
      <c r="Q336" s="43"/>
      <c r="R336" s="43"/>
      <c r="S336" s="43"/>
    </row>
    <row r="337" spans="8:19" ht="15.75" customHeight="1">
      <c r="J337" s="41"/>
      <c r="K337" s="41"/>
      <c r="M337" s="42"/>
      <c r="N337" s="42"/>
      <c r="O337" s="43"/>
      <c r="P337" s="43"/>
      <c r="Q337" s="43"/>
      <c r="R337" s="43"/>
      <c r="S337" s="43"/>
    </row>
    <row r="338" spans="8:19" ht="15.75" customHeight="1">
      <c r="J338" s="41"/>
      <c r="K338" s="41"/>
      <c r="M338" s="42"/>
      <c r="N338" s="42"/>
      <c r="O338" s="43"/>
      <c r="P338" s="43"/>
      <c r="Q338" s="43"/>
      <c r="R338" s="43"/>
      <c r="S338" s="43"/>
    </row>
    <row r="339" spans="8:19" ht="15.75" customHeight="1">
      <c r="J339" s="41"/>
      <c r="K339" s="41"/>
      <c r="M339" s="42"/>
      <c r="N339" s="42"/>
      <c r="O339" s="43"/>
      <c r="P339" s="43"/>
      <c r="Q339" s="43"/>
      <c r="R339" s="43"/>
      <c r="S339" s="43"/>
    </row>
    <row r="340" spans="8:19" ht="15.75" customHeight="1">
      <c r="J340" s="41"/>
      <c r="K340" s="41"/>
      <c r="M340" s="42"/>
      <c r="N340" s="42"/>
      <c r="O340" s="43"/>
      <c r="P340" s="43"/>
      <c r="Q340" s="43"/>
      <c r="R340" s="43"/>
      <c r="S340" s="43"/>
    </row>
    <row r="341" spans="8:19" ht="15.75" customHeight="1">
      <c r="J341" s="41"/>
      <c r="K341" s="41"/>
      <c r="M341" s="42"/>
      <c r="N341" s="42"/>
      <c r="O341" s="43"/>
      <c r="P341" s="43"/>
      <c r="Q341" s="43"/>
      <c r="R341" s="43"/>
      <c r="S341" s="43"/>
    </row>
    <row r="342" spans="8:19" ht="15.75" customHeight="1">
      <c r="J342" s="41"/>
      <c r="K342" s="41"/>
      <c r="M342" s="42"/>
      <c r="N342" s="42"/>
      <c r="O342" s="43"/>
      <c r="P342" s="43"/>
      <c r="Q342" s="43"/>
      <c r="R342" s="43"/>
      <c r="S342" s="43"/>
    </row>
    <row r="343" spans="8:19" ht="15.75" customHeight="1">
      <c r="J343" s="41"/>
      <c r="K343" s="41"/>
      <c r="M343" s="42"/>
      <c r="N343" s="42"/>
      <c r="O343" s="43"/>
      <c r="P343" s="43"/>
      <c r="Q343" s="43"/>
      <c r="R343" s="43"/>
      <c r="S343" s="43"/>
    </row>
    <row r="344" spans="8:19" ht="15.75" customHeight="1">
      <c r="J344" s="41"/>
      <c r="K344" s="41"/>
      <c r="M344" s="42"/>
      <c r="N344" s="42"/>
      <c r="O344" s="43"/>
      <c r="P344" s="43"/>
      <c r="Q344" s="43"/>
      <c r="R344" s="43"/>
      <c r="S344" s="43"/>
    </row>
    <row r="345" spans="8:19" ht="15.75" customHeight="1">
      <c r="H345" s="43"/>
      <c r="I345" s="43"/>
      <c r="J345" s="41"/>
      <c r="K345" s="41"/>
      <c r="M345" s="42"/>
      <c r="N345" s="42"/>
      <c r="O345" s="43"/>
      <c r="P345" s="43"/>
      <c r="Q345" s="43"/>
      <c r="R345" s="43"/>
      <c r="S345" s="43"/>
    </row>
    <row r="346" spans="8:19" ht="15.75" customHeight="1">
      <c r="J346" s="41"/>
      <c r="K346" s="41"/>
      <c r="M346" s="42"/>
      <c r="N346" s="42"/>
      <c r="O346" s="43"/>
      <c r="P346" s="43"/>
      <c r="Q346" s="43"/>
      <c r="R346" s="43"/>
      <c r="S346" s="43"/>
    </row>
    <row r="347" spans="8:19" ht="15.75" customHeight="1">
      <c r="H347" s="43"/>
      <c r="I347" s="43"/>
      <c r="J347" s="39"/>
      <c r="K347" s="39"/>
      <c r="M347" s="42"/>
      <c r="N347" s="42"/>
      <c r="O347" s="43"/>
      <c r="P347" s="43"/>
      <c r="Q347" s="43"/>
      <c r="R347" s="43"/>
      <c r="S347" s="43"/>
    </row>
    <row r="348" spans="8:19" ht="15.75" customHeight="1">
      <c r="J348" s="41"/>
      <c r="K348" s="41"/>
      <c r="M348" s="42"/>
      <c r="N348" s="42"/>
      <c r="O348" s="43"/>
      <c r="P348" s="43"/>
      <c r="Q348" s="43"/>
      <c r="R348" s="43"/>
      <c r="S348" s="43"/>
    </row>
    <row r="349" spans="8:19" ht="15.75" customHeight="1">
      <c r="J349" s="41"/>
      <c r="K349" s="41"/>
      <c r="M349" s="42"/>
      <c r="N349" s="42"/>
      <c r="O349" s="43"/>
      <c r="P349" s="43"/>
      <c r="Q349" s="43"/>
      <c r="R349" s="43"/>
      <c r="S349" s="43"/>
    </row>
    <row r="350" spans="8:19" ht="15.75" customHeight="1">
      <c r="J350" s="41"/>
      <c r="K350" s="42"/>
      <c r="M350" s="42"/>
      <c r="N350" s="42"/>
      <c r="O350" s="43"/>
      <c r="P350" s="43"/>
      <c r="Q350" s="43"/>
      <c r="R350" s="43"/>
      <c r="S350" s="43"/>
    </row>
    <row r="351" spans="8:19" ht="15.75" customHeight="1">
      <c r="J351" s="41"/>
      <c r="K351" s="41"/>
      <c r="M351" s="42"/>
      <c r="N351" s="42"/>
      <c r="O351" s="43"/>
      <c r="P351" s="43"/>
      <c r="Q351" s="43"/>
      <c r="R351" s="43"/>
      <c r="S351" s="43"/>
    </row>
    <row r="352" spans="8:19" ht="15.75" customHeight="1">
      <c r="J352" s="41"/>
      <c r="K352" s="41"/>
      <c r="M352" s="42"/>
      <c r="N352" s="42"/>
      <c r="O352" s="43"/>
      <c r="P352" s="43"/>
      <c r="Q352" s="43"/>
      <c r="R352" s="43"/>
      <c r="S352" s="43"/>
    </row>
    <row r="353" spans="10:19" ht="15.75" customHeight="1">
      <c r="J353" s="41"/>
      <c r="K353" s="41"/>
      <c r="M353" s="42"/>
      <c r="N353" s="42"/>
      <c r="O353" s="43"/>
      <c r="P353" s="43"/>
      <c r="Q353" s="43"/>
      <c r="R353" s="43"/>
      <c r="S353" s="43"/>
    </row>
    <row r="354" spans="10:19" ht="15.75" customHeight="1">
      <c r="J354" s="41"/>
      <c r="K354" s="41"/>
      <c r="M354" s="42"/>
      <c r="N354" s="42"/>
      <c r="O354" s="43"/>
      <c r="P354" s="43"/>
      <c r="Q354" s="43"/>
      <c r="R354" s="43"/>
      <c r="S354" s="43"/>
    </row>
    <row r="355" spans="10:19" ht="15.75" customHeight="1">
      <c r="J355" s="41"/>
      <c r="K355" s="41"/>
      <c r="M355" s="42"/>
      <c r="N355" s="42"/>
      <c r="O355" s="43"/>
      <c r="P355" s="43"/>
      <c r="Q355" s="43"/>
      <c r="R355" s="43"/>
      <c r="S355" s="43"/>
    </row>
    <row r="356" spans="10:19" ht="15.75" customHeight="1">
      <c r="J356" s="41"/>
      <c r="K356" s="41"/>
      <c r="M356" s="42"/>
      <c r="N356" s="42"/>
      <c r="O356" s="43"/>
      <c r="P356" s="43"/>
      <c r="Q356" s="43"/>
      <c r="R356" s="43"/>
      <c r="S356" s="43"/>
    </row>
    <row r="357" spans="10:19" ht="15.75" customHeight="1">
      <c r="J357" s="41"/>
      <c r="K357" s="41"/>
      <c r="M357" s="42"/>
      <c r="N357" s="42"/>
      <c r="O357" s="43"/>
      <c r="P357" s="43"/>
      <c r="Q357" s="43"/>
      <c r="R357" s="43"/>
      <c r="S357" s="43"/>
    </row>
    <row r="358" spans="10:19" ht="15.75" customHeight="1">
      <c r="J358" s="41"/>
      <c r="K358" s="41"/>
      <c r="M358" s="42"/>
      <c r="N358" s="42"/>
      <c r="O358" s="43"/>
      <c r="P358" s="43"/>
      <c r="Q358" s="43"/>
      <c r="R358" s="43"/>
      <c r="S358" s="43"/>
    </row>
    <row r="359" spans="10:19" ht="15.75" customHeight="1">
      <c r="J359" s="41"/>
      <c r="K359" s="41"/>
      <c r="M359" s="42"/>
      <c r="N359" s="42"/>
      <c r="O359" s="43"/>
      <c r="P359" s="43"/>
      <c r="Q359" s="43"/>
      <c r="R359" s="43"/>
      <c r="S359" s="43"/>
    </row>
    <row r="360" spans="10:19" ht="15.75" customHeight="1">
      <c r="J360" s="41"/>
      <c r="K360" s="41"/>
      <c r="M360" s="42"/>
      <c r="N360" s="42"/>
      <c r="O360" s="43"/>
      <c r="P360" s="43"/>
      <c r="Q360" s="43"/>
      <c r="R360" s="43"/>
      <c r="S360" s="43"/>
    </row>
    <row r="361" spans="10:19" ht="15.75" customHeight="1">
      <c r="J361" s="41"/>
      <c r="K361" s="41"/>
      <c r="M361" s="42"/>
      <c r="N361" s="42"/>
      <c r="O361" s="43"/>
      <c r="P361" s="43"/>
      <c r="Q361" s="43"/>
      <c r="R361" s="43"/>
      <c r="S361" s="43"/>
    </row>
    <row r="362" spans="10:19" ht="15.75" customHeight="1">
      <c r="J362" s="41"/>
      <c r="K362" s="41"/>
      <c r="M362" s="42"/>
      <c r="N362" s="42"/>
      <c r="O362" s="43"/>
      <c r="P362" s="43"/>
      <c r="Q362" s="43"/>
      <c r="R362" s="43"/>
      <c r="S362" s="43"/>
    </row>
    <row r="363" spans="10:19" ht="15.75" customHeight="1">
      <c r="J363" s="41"/>
      <c r="K363" s="42"/>
      <c r="N363" s="42"/>
      <c r="O363" s="43"/>
      <c r="P363" s="43"/>
      <c r="Q363" s="43"/>
      <c r="R363" s="43"/>
      <c r="S363" s="43"/>
    </row>
    <row r="364" spans="10:19" ht="15.75" customHeight="1">
      <c r="J364" s="41"/>
      <c r="K364" s="41"/>
      <c r="M364" s="42"/>
      <c r="N364" s="42"/>
      <c r="O364" s="43"/>
      <c r="P364" s="43"/>
      <c r="Q364" s="43"/>
      <c r="R364" s="43"/>
      <c r="S364" s="43"/>
    </row>
    <row r="365" spans="10:19" ht="15.75" customHeight="1">
      <c r="J365" s="41"/>
      <c r="K365" s="41"/>
      <c r="M365" s="42"/>
      <c r="N365" s="42"/>
      <c r="O365" s="43"/>
      <c r="P365" s="43"/>
      <c r="Q365" s="43"/>
      <c r="R365" s="43"/>
      <c r="S365" s="43"/>
    </row>
    <row r="366" spans="10:19" ht="15.75" customHeight="1">
      <c r="J366" s="41"/>
      <c r="K366" s="41"/>
      <c r="M366" s="42"/>
      <c r="N366" s="42"/>
      <c r="O366" s="43"/>
      <c r="P366" s="43"/>
      <c r="Q366" s="43"/>
      <c r="R366" s="43"/>
      <c r="S366" s="43"/>
    </row>
    <row r="367" spans="10:19" ht="15.75" customHeight="1">
      <c r="J367" s="41"/>
      <c r="K367" s="41"/>
      <c r="M367" s="42"/>
      <c r="N367" s="42"/>
      <c r="O367" s="43"/>
      <c r="P367" s="43"/>
      <c r="Q367" s="43"/>
      <c r="R367" s="43"/>
      <c r="S367" s="43"/>
    </row>
    <row r="368" spans="10:19" ht="15.75" customHeight="1">
      <c r="J368" s="41"/>
      <c r="K368" s="41"/>
      <c r="M368" s="42"/>
      <c r="N368" s="42"/>
      <c r="O368" s="43"/>
      <c r="P368" s="43"/>
      <c r="Q368" s="43"/>
      <c r="R368" s="43"/>
      <c r="S368" s="43"/>
    </row>
    <row r="369" spans="10:19" ht="15.75" customHeight="1">
      <c r="J369" s="41"/>
      <c r="K369" s="41"/>
      <c r="M369" s="42"/>
      <c r="N369" s="42"/>
      <c r="O369" s="43"/>
      <c r="P369" s="43"/>
      <c r="Q369" s="43"/>
      <c r="R369" s="43"/>
      <c r="S369" s="43"/>
    </row>
    <row r="370" spans="10:19" ht="15.75" customHeight="1">
      <c r="J370" s="41"/>
      <c r="K370" s="41"/>
      <c r="M370" s="42"/>
      <c r="N370" s="42"/>
      <c r="O370" s="43"/>
      <c r="P370" s="43"/>
      <c r="Q370" s="43"/>
      <c r="R370" s="43"/>
      <c r="S370" s="43"/>
    </row>
    <row r="371" spans="10:19" ht="15.75" customHeight="1">
      <c r="J371" s="41"/>
      <c r="K371" s="41"/>
      <c r="M371" s="42"/>
      <c r="N371" s="42"/>
      <c r="O371" s="43"/>
      <c r="P371" s="43"/>
      <c r="Q371" s="43"/>
      <c r="R371" s="43"/>
      <c r="S371" s="43"/>
    </row>
    <row r="372" spans="10:19" ht="15.75" customHeight="1">
      <c r="J372" s="41"/>
      <c r="K372" s="41"/>
      <c r="M372" s="42"/>
      <c r="N372" s="42"/>
      <c r="O372" s="43"/>
      <c r="P372" s="43"/>
      <c r="Q372" s="43"/>
      <c r="R372" s="43"/>
      <c r="S372" s="43"/>
    </row>
    <row r="373" spans="10:19" ht="15.75" customHeight="1">
      <c r="J373" s="41"/>
      <c r="K373" s="41"/>
      <c r="M373" s="42"/>
      <c r="N373" s="42"/>
      <c r="O373" s="43"/>
      <c r="P373" s="43"/>
      <c r="Q373" s="43"/>
      <c r="R373" s="43"/>
      <c r="S373" s="43"/>
    </row>
    <row r="374" spans="10:19" ht="15.75" customHeight="1">
      <c r="J374" s="41"/>
      <c r="K374" s="41"/>
      <c r="M374" s="42"/>
      <c r="N374" s="42"/>
      <c r="O374" s="43"/>
      <c r="P374" s="43"/>
      <c r="Q374" s="43"/>
      <c r="R374" s="43"/>
      <c r="S374" s="43"/>
    </row>
    <row r="375" spans="10:19" ht="15.75" customHeight="1">
      <c r="J375" s="41"/>
      <c r="K375" s="41"/>
      <c r="M375" s="42"/>
      <c r="N375" s="42"/>
      <c r="O375" s="43"/>
      <c r="P375" s="43"/>
      <c r="Q375" s="43"/>
      <c r="R375" s="43"/>
      <c r="S375" s="43"/>
    </row>
    <row r="376" spans="10:19" ht="15.75" customHeight="1">
      <c r="J376" s="41"/>
      <c r="K376" s="41"/>
      <c r="M376" s="42"/>
      <c r="N376" s="42"/>
      <c r="O376" s="43"/>
      <c r="P376" s="43"/>
      <c r="Q376" s="43"/>
      <c r="R376" s="43"/>
      <c r="S376" s="43"/>
    </row>
    <row r="377" spans="10:19" ht="15.75" customHeight="1">
      <c r="J377" s="41"/>
      <c r="K377" s="41"/>
      <c r="M377" s="42"/>
      <c r="N377" s="42"/>
      <c r="O377" s="43"/>
      <c r="P377" s="43"/>
      <c r="Q377" s="43"/>
      <c r="R377" s="43"/>
      <c r="S377" s="43"/>
    </row>
    <row r="378" spans="10:19" ht="15.75" customHeight="1">
      <c r="J378" s="41"/>
      <c r="K378" s="41"/>
      <c r="M378" s="42"/>
      <c r="N378" s="42"/>
      <c r="O378" s="43"/>
      <c r="P378" s="43"/>
      <c r="Q378" s="43"/>
      <c r="R378" s="43"/>
      <c r="S378" s="43"/>
    </row>
    <row r="379" spans="10:19" ht="15.75" customHeight="1">
      <c r="J379" s="41"/>
      <c r="K379" s="41"/>
      <c r="M379" s="42"/>
      <c r="N379" s="42"/>
      <c r="O379" s="43"/>
      <c r="P379" s="43"/>
      <c r="Q379" s="43"/>
      <c r="R379" s="43"/>
      <c r="S379" s="43"/>
    </row>
    <row r="380" spans="10:19" ht="15.75" customHeight="1">
      <c r="J380" s="41"/>
      <c r="K380" s="41"/>
      <c r="M380" s="42"/>
      <c r="N380" s="42"/>
      <c r="O380" s="43"/>
      <c r="P380" s="43"/>
      <c r="Q380" s="43"/>
      <c r="R380" s="43"/>
      <c r="S380" s="43"/>
    </row>
    <row r="381" spans="10:19" ht="15.75" customHeight="1">
      <c r="J381" s="41"/>
      <c r="K381" s="41"/>
      <c r="M381" s="42"/>
      <c r="N381" s="42"/>
      <c r="O381" s="43"/>
      <c r="P381" s="43"/>
      <c r="Q381" s="43"/>
      <c r="R381" s="43"/>
      <c r="S381" s="43"/>
    </row>
    <row r="382" spans="10:19" ht="15.75" customHeight="1">
      <c r="J382" s="41"/>
      <c r="K382" s="41"/>
      <c r="M382" s="42"/>
      <c r="N382" s="42"/>
      <c r="O382" s="43"/>
      <c r="P382" s="43"/>
      <c r="Q382" s="43"/>
      <c r="R382" s="43"/>
      <c r="S382" s="43"/>
    </row>
    <row r="383" spans="10:19" ht="15.75" customHeight="1">
      <c r="J383" s="41"/>
      <c r="K383" s="41"/>
      <c r="M383" s="42"/>
      <c r="N383" s="42"/>
      <c r="O383" s="43"/>
      <c r="P383" s="43"/>
      <c r="Q383" s="43"/>
      <c r="R383" s="43"/>
      <c r="S383" s="43"/>
    </row>
    <row r="384" spans="10:19" ht="15.75" customHeight="1">
      <c r="J384" s="41"/>
      <c r="K384" s="41"/>
      <c r="M384" s="42"/>
      <c r="N384" s="42"/>
      <c r="O384" s="43"/>
      <c r="P384" s="43"/>
      <c r="Q384" s="43"/>
      <c r="R384" s="43"/>
      <c r="S384" s="43"/>
    </row>
    <row r="385" spans="10:19" ht="15.75" customHeight="1">
      <c r="J385" s="41"/>
      <c r="K385" s="41"/>
      <c r="M385" s="42"/>
      <c r="N385" s="42"/>
      <c r="O385" s="43"/>
      <c r="P385" s="43"/>
      <c r="Q385" s="43"/>
      <c r="R385" s="43"/>
      <c r="S385" s="43"/>
    </row>
    <row r="386" spans="10:19" ht="15.75" customHeight="1">
      <c r="J386" s="41"/>
      <c r="K386" s="41"/>
      <c r="M386" s="42"/>
      <c r="N386" s="42"/>
      <c r="O386" s="43"/>
      <c r="P386" s="43"/>
      <c r="Q386" s="43"/>
      <c r="R386" s="43"/>
      <c r="S386" s="43"/>
    </row>
    <row r="387" spans="10:19" ht="15.75" customHeight="1">
      <c r="J387" s="41"/>
      <c r="K387" s="41"/>
      <c r="M387" s="42"/>
      <c r="N387" s="42"/>
      <c r="O387" s="43"/>
      <c r="P387" s="43"/>
      <c r="Q387" s="43"/>
      <c r="R387" s="43"/>
      <c r="S387" s="43"/>
    </row>
    <row r="388" spans="10:19" ht="15.75" customHeight="1">
      <c r="J388" s="41"/>
      <c r="K388" s="41"/>
      <c r="M388" s="42"/>
      <c r="N388" s="42"/>
      <c r="O388" s="43"/>
      <c r="P388" s="43"/>
      <c r="Q388" s="43"/>
      <c r="R388" s="43"/>
      <c r="S388" s="43"/>
    </row>
    <row r="389" spans="10:19" ht="15.75" customHeight="1">
      <c r="J389" s="41"/>
      <c r="K389" s="42"/>
      <c r="M389" s="42"/>
      <c r="N389" s="42"/>
      <c r="O389" s="43"/>
      <c r="P389" s="43"/>
      <c r="Q389" s="43"/>
      <c r="R389" s="43"/>
      <c r="S389" s="43"/>
    </row>
    <row r="390" spans="10:19" ht="15.75" customHeight="1">
      <c r="J390" s="41"/>
      <c r="K390" s="41"/>
      <c r="M390" s="42"/>
      <c r="N390" s="42"/>
      <c r="O390" s="43"/>
      <c r="P390" s="43"/>
      <c r="Q390" s="43"/>
      <c r="R390" s="43"/>
      <c r="S390" s="43"/>
    </row>
    <row r="391" spans="10:19" ht="15.75" customHeight="1">
      <c r="J391" s="41"/>
      <c r="K391" s="41"/>
      <c r="M391" s="42"/>
      <c r="N391" s="42"/>
      <c r="O391" s="43"/>
      <c r="P391" s="43"/>
      <c r="Q391" s="43"/>
      <c r="R391" s="43"/>
      <c r="S391" s="43"/>
    </row>
    <row r="392" spans="10:19" ht="15.75" customHeight="1">
      <c r="J392" s="41"/>
      <c r="K392" s="41"/>
      <c r="M392" s="42"/>
      <c r="N392" s="42"/>
      <c r="O392" s="43"/>
      <c r="P392" s="43"/>
      <c r="Q392" s="43"/>
      <c r="R392" s="43"/>
      <c r="S392" s="43"/>
    </row>
    <row r="393" spans="10:19" ht="15.75" customHeight="1">
      <c r="J393" s="41"/>
      <c r="K393" s="41"/>
      <c r="M393" s="42"/>
      <c r="N393" s="42"/>
      <c r="O393" s="43"/>
      <c r="P393" s="43"/>
      <c r="Q393" s="43"/>
      <c r="R393" s="43"/>
      <c r="S393" s="43"/>
    </row>
    <row r="394" spans="10:19" ht="15.75" customHeight="1">
      <c r="J394" s="41"/>
      <c r="K394" s="41"/>
      <c r="M394" s="42"/>
      <c r="N394" s="42"/>
      <c r="O394" s="43"/>
      <c r="P394" s="43"/>
      <c r="Q394" s="43"/>
      <c r="R394" s="43"/>
      <c r="S394" s="43"/>
    </row>
    <row r="395" spans="10:19" ht="15.75" customHeight="1">
      <c r="J395" s="41"/>
      <c r="K395" s="41"/>
      <c r="M395" s="42"/>
      <c r="N395" s="42"/>
      <c r="O395" s="43"/>
      <c r="P395" s="43"/>
      <c r="Q395" s="43"/>
      <c r="R395" s="43"/>
      <c r="S395" s="43"/>
    </row>
    <row r="396" spans="10:19" ht="15.75" customHeight="1">
      <c r="J396" s="41"/>
      <c r="K396" s="41"/>
      <c r="M396" s="42"/>
      <c r="N396" s="42"/>
      <c r="O396" s="43"/>
      <c r="P396" s="43"/>
      <c r="Q396" s="43"/>
      <c r="R396" s="43"/>
      <c r="S396" s="43"/>
    </row>
    <row r="397" spans="10:19" ht="15.75" customHeight="1">
      <c r="J397" s="41"/>
      <c r="K397" s="41"/>
      <c r="M397" s="42"/>
      <c r="N397" s="42"/>
      <c r="O397" s="43"/>
      <c r="P397" s="43"/>
      <c r="Q397" s="43"/>
      <c r="R397" s="43"/>
      <c r="S397" s="43"/>
    </row>
    <row r="398" spans="10:19" ht="15.75" customHeight="1">
      <c r="J398" s="41"/>
      <c r="K398" s="41"/>
      <c r="M398" s="42"/>
      <c r="N398" s="42"/>
      <c r="O398" s="43"/>
      <c r="P398" s="43"/>
      <c r="Q398" s="43"/>
      <c r="R398" s="43"/>
      <c r="S398" s="43"/>
    </row>
    <row r="399" spans="10:19" ht="15.75" customHeight="1">
      <c r="J399" s="41"/>
      <c r="K399" s="41"/>
      <c r="M399" s="42"/>
      <c r="N399" s="42"/>
      <c r="O399" s="43"/>
      <c r="P399" s="43"/>
      <c r="Q399" s="43"/>
      <c r="R399" s="43"/>
      <c r="S399" s="43"/>
    </row>
    <row r="400" spans="10:19" ht="15.75" customHeight="1">
      <c r="J400" s="41"/>
      <c r="K400" s="41"/>
      <c r="M400" s="42"/>
      <c r="N400" s="42"/>
      <c r="O400" s="43"/>
      <c r="P400" s="43"/>
      <c r="Q400" s="43"/>
      <c r="R400" s="43"/>
      <c r="S400" s="43"/>
    </row>
    <row r="401" spans="10:19" ht="15.75" customHeight="1">
      <c r="J401" s="41"/>
      <c r="K401" s="41"/>
      <c r="M401" s="42"/>
      <c r="N401" s="42"/>
      <c r="O401" s="43"/>
      <c r="P401" s="43"/>
      <c r="Q401" s="43"/>
      <c r="R401" s="43"/>
      <c r="S401" s="43"/>
    </row>
    <row r="402" spans="10:19" ht="15.75" customHeight="1">
      <c r="J402" s="41"/>
      <c r="K402" s="41"/>
      <c r="M402" s="42"/>
      <c r="N402" s="42"/>
      <c r="O402" s="43"/>
      <c r="P402" s="43"/>
      <c r="Q402" s="43"/>
      <c r="R402" s="43"/>
      <c r="S402" s="43"/>
    </row>
    <row r="403" spans="10:19" ht="15.75" customHeight="1">
      <c r="J403" s="41"/>
      <c r="K403" s="41"/>
      <c r="M403" s="42"/>
      <c r="N403" s="42"/>
      <c r="O403" s="43"/>
      <c r="P403" s="43"/>
      <c r="Q403" s="43"/>
      <c r="R403" s="43"/>
      <c r="S403" s="43"/>
    </row>
    <row r="404" spans="10:19" ht="15.75" customHeight="1">
      <c r="J404" s="41"/>
      <c r="K404" s="41"/>
      <c r="M404" s="42"/>
      <c r="N404" s="42"/>
      <c r="O404" s="43"/>
      <c r="P404" s="43"/>
      <c r="Q404" s="43"/>
      <c r="R404" s="43"/>
      <c r="S404" s="43"/>
    </row>
    <row r="405" spans="10:19" ht="15.75" customHeight="1">
      <c r="J405" s="41"/>
      <c r="K405" s="41"/>
      <c r="M405" s="42"/>
      <c r="N405" s="42"/>
      <c r="O405" s="43"/>
      <c r="P405" s="43"/>
      <c r="Q405" s="43"/>
      <c r="R405" s="43"/>
      <c r="S405" s="43"/>
    </row>
    <row r="406" spans="10:19" ht="15.75" customHeight="1">
      <c r="J406" s="41"/>
      <c r="K406" s="41"/>
      <c r="M406" s="42"/>
      <c r="N406" s="42"/>
      <c r="O406" s="43"/>
      <c r="P406" s="43"/>
      <c r="Q406" s="43"/>
      <c r="R406" s="43"/>
      <c r="S406" s="43"/>
    </row>
    <row r="407" spans="10:19" ht="15.75" customHeight="1">
      <c r="J407" s="41"/>
      <c r="K407" s="41"/>
      <c r="M407" s="42"/>
      <c r="N407" s="42"/>
      <c r="O407" s="43"/>
      <c r="P407" s="43"/>
      <c r="Q407" s="43"/>
      <c r="R407" s="43"/>
      <c r="S407" s="43"/>
    </row>
    <row r="408" spans="10:19" ht="15.75" customHeight="1">
      <c r="J408" s="41"/>
      <c r="K408" s="41"/>
      <c r="M408" s="42"/>
      <c r="N408" s="42"/>
      <c r="O408" s="43"/>
      <c r="P408" s="43"/>
      <c r="Q408" s="43"/>
      <c r="R408" s="43"/>
      <c r="S408" s="43"/>
    </row>
    <row r="409" spans="10:19" ht="15.75" customHeight="1">
      <c r="J409" s="41"/>
      <c r="K409" s="41"/>
      <c r="M409" s="42"/>
      <c r="N409" s="42"/>
      <c r="O409" s="43"/>
      <c r="P409" s="43"/>
      <c r="Q409" s="43"/>
      <c r="R409" s="43"/>
      <c r="S409" s="43"/>
    </row>
    <row r="410" spans="10:19" ht="15.75" customHeight="1">
      <c r="J410" s="41"/>
      <c r="K410" s="41"/>
      <c r="M410" s="42"/>
      <c r="N410" s="42"/>
      <c r="O410" s="43"/>
      <c r="P410" s="43"/>
      <c r="Q410" s="43"/>
      <c r="R410" s="43"/>
      <c r="S410" s="43"/>
    </row>
    <row r="411" spans="10:19" ht="15.75" customHeight="1">
      <c r="J411" s="41"/>
      <c r="K411" s="41"/>
      <c r="M411" s="42"/>
      <c r="N411" s="42"/>
      <c r="O411" s="43"/>
      <c r="P411" s="43"/>
      <c r="Q411" s="43"/>
      <c r="R411" s="43"/>
      <c r="S411" s="43"/>
    </row>
    <row r="412" spans="10:19" ht="15.75" customHeight="1">
      <c r="J412" s="41"/>
      <c r="K412" s="41"/>
      <c r="M412" s="42"/>
      <c r="N412" s="42"/>
      <c r="O412" s="43"/>
      <c r="P412" s="43"/>
      <c r="Q412" s="43"/>
      <c r="R412" s="43"/>
      <c r="S412" s="43"/>
    </row>
    <row r="413" spans="10:19" ht="15.75" customHeight="1">
      <c r="J413" s="41"/>
      <c r="K413" s="41"/>
      <c r="M413" s="42"/>
      <c r="N413" s="42"/>
      <c r="O413" s="43"/>
      <c r="P413" s="43"/>
      <c r="Q413" s="43"/>
      <c r="R413" s="43"/>
      <c r="S413" s="43"/>
    </row>
    <row r="414" spans="10:19" ht="15.75" customHeight="1">
      <c r="J414" s="41"/>
      <c r="K414" s="41"/>
      <c r="M414" s="42"/>
      <c r="N414" s="42"/>
      <c r="O414" s="43"/>
      <c r="P414" s="43"/>
      <c r="Q414" s="43"/>
      <c r="R414" s="43"/>
      <c r="S414" s="43"/>
    </row>
    <row r="415" spans="10:19" ht="15.75" customHeight="1">
      <c r="J415" s="41"/>
      <c r="K415" s="41"/>
      <c r="M415" s="42"/>
      <c r="N415" s="42"/>
      <c r="O415" s="43"/>
      <c r="P415" s="43"/>
      <c r="Q415" s="43"/>
      <c r="R415" s="43"/>
      <c r="S415" s="43"/>
    </row>
    <row r="416" spans="10:19" ht="15.75" customHeight="1">
      <c r="J416" s="41"/>
      <c r="K416" s="41"/>
      <c r="M416" s="42"/>
      <c r="N416" s="42"/>
      <c r="O416" s="43"/>
      <c r="P416" s="43"/>
      <c r="Q416" s="43"/>
      <c r="R416" s="43"/>
      <c r="S416" s="43"/>
    </row>
    <row r="417" spans="10:19" ht="15.75" customHeight="1">
      <c r="J417" s="41"/>
      <c r="K417" s="41"/>
      <c r="M417" s="42"/>
      <c r="N417" s="42"/>
      <c r="O417" s="43"/>
      <c r="P417" s="43"/>
      <c r="Q417" s="43"/>
      <c r="R417" s="43"/>
      <c r="S417" s="43"/>
    </row>
    <row r="418" spans="10:19" ht="15.75" customHeight="1">
      <c r="J418" s="41"/>
      <c r="K418" s="41"/>
      <c r="M418" s="42"/>
      <c r="N418" s="42"/>
      <c r="O418" s="43"/>
      <c r="P418" s="43"/>
      <c r="Q418" s="43"/>
      <c r="R418" s="43"/>
      <c r="S418" s="43"/>
    </row>
    <row r="419" spans="10:19" ht="15.75" customHeight="1">
      <c r="J419" s="41"/>
      <c r="K419" s="41"/>
      <c r="M419" s="42"/>
      <c r="N419" s="42"/>
      <c r="O419" s="43"/>
      <c r="P419" s="43"/>
      <c r="Q419" s="43"/>
      <c r="R419" s="43"/>
      <c r="S419" s="43"/>
    </row>
    <row r="420" spans="10:19" ht="15.75" customHeight="1">
      <c r="J420" s="41"/>
      <c r="K420" s="42"/>
      <c r="N420" s="42"/>
      <c r="O420" s="43"/>
      <c r="P420" s="43"/>
      <c r="Q420" s="43"/>
      <c r="R420" s="43"/>
      <c r="S420" s="43"/>
    </row>
    <row r="421" spans="10:19" ht="15.75" customHeight="1">
      <c r="J421" s="41"/>
      <c r="K421" s="41"/>
      <c r="M421" s="42"/>
      <c r="N421" s="42"/>
      <c r="O421" s="43"/>
      <c r="P421" s="43"/>
      <c r="Q421" s="43"/>
      <c r="R421" s="43"/>
      <c r="S421" s="43"/>
    </row>
    <row r="422" spans="10:19" ht="15.75" customHeight="1">
      <c r="J422" s="41"/>
      <c r="K422" s="41"/>
      <c r="M422" s="42"/>
      <c r="N422" s="42"/>
      <c r="O422" s="43"/>
      <c r="P422" s="43"/>
      <c r="Q422" s="43"/>
      <c r="R422" s="43"/>
      <c r="S422" s="43"/>
    </row>
    <row r="423" spans="10:19" ht="15.75" customHeight="1">
      <c r="J423" s="41"/>
      <c r="K423" s="41"/>
      <c r="M423" s="42"/>
      <c r="N423" s="42"/>
      <c r="O423" s="43"/>
      <c r="P423" s="43"/>
      <c r="Q423" s="43"/>
      <c r="R423" s="43"/>
      <c r="S423" s="43"/>
    </row>
    <row r="424" spans="10:19" ht="15.75" customHeight="1">
      <c r="J424" s="41"/>
      <c r="K424" s="41"/>
      <c r="M424" s="42"/>
      <c r="N424" s="42"/>
      <c r="O424" s="43"/>
      <c r="P424" s="43"/>
      <c r="Q424" s="43"/>
      <c r="R424" s="43"/>
      <c r="S424" s="43"/>
    </row>
    <row r="425" spans="10:19" ht="15.75" customHeight="1">
      <c r="J425" s="41"/>
      <c r="K425" s="41"/>
      <c r="M425" s="42"/>
      <c r="N425" s="42"/>
      <c r="O425" s="43"/>
      <c r="P425" s="43"/>
      <c r="Q425" s="43"/>
      <c r="R425" s="43"/>
      <c r="S425" s="43"/>
    </row>
    <row r="426" spans="10:19" ht="15.75" customHeight="1">
      <c r="J426" s="41"/>
      <c r="K426" s="41"/>
      <c r="M426" s="42"/>
      <c r="N426" s="42"/>
      <c r="O426" s="43"/>
      <c r="P426" s="43"/>
      <c r="Q426" s="43"/>
      <c r="R426" s="43"/>
      <c r="S426" s="43"/>
    </row>
    <row r="427" spans="10:19" ht="15.75" customHeight="1">
      <c r="J427" s="41"/>
      <c r="K427" s="41"/>
      <c r="M427" s="42"/>
      <c r="O427" s="43"/>
      <c r="P427" s="43"/>
      <c r="Q427" s="43"/>
      <c r="R427" s="43"/>
      <c r="S427" s="43"/>
    </row>
    <row r="428" spans="10:19" ht="15.75" customHeight="1">
      <c r="J428" s="41"/>
      <c r="K428" s="41"/>
      <c r="M428" s="42"/>
      <c r="N428" s="42"/>
      <c r="O428" s="43"/>
      <c r="P428" s="43"/>
      <c r="Q428" s="43"/>
      <c r="R428" s="43"/>
      <c r="S428" s="43"/>
    </row>
    <row r="429" spans="10:19" ht="15.75" customHeight="1">
      <c r="J429" s="41"/>
      <c r="K429" s="41"/>
      <c r="M429" s="42"/>
      <c r="N429" s="42"/>
      <c r="O429" s="43"/>
      <c r="P429" s="43"/>
      <c r="Q429" s="43"/>
      <c r="R429" s="43"/>
      <c r="S429" s="43"/>
    </row>
    <row r="430" spans="10:19" ht="15.75" customHeight="1">
      <c r="J430" s="41"/>
      <c r="K430" s="41"/>
      <c r="M430" s="42"/>
      <c r="N430" s="42"/>
      <c r="O430" s="43"/>
      <c r="P430" s="43"/>
      <c r="Q430" s="43"/>
      <c r="R430" s="43"/>
      <c r="S430" s="43"/>
    </row>
    <row r="431" spans="10:19" ht="15.75" customHeight="1">
      <c r="J431" s="41"/>
      <c r="K431" s="41"/>
      <c r="M431" s="42"/>
      <c r="N431" s="42"/>
      <c r="O431" s="43"/>
      <c r="P431" s="43"/>
      <c r="Q431" s="43"/>
      <c r="R431" s="43"/>
      <c r="S431" s="43"/>
    </row>
    <row r="432" spans="10:19" ht="15.75" customHeight="1">
      <c r="J432" s="41"/>
      <c r="K432" s="41"/>
      <c r="M432" s="42"/>
      <c r="N432" s="42"/>
      <c r="O432" s="43"/>
      <c r="P432" s="43"/>
      <c r="Q432" s="43"/>
      <c r="R432" s="43"/>
      <c r="S432" s="43"/>
    </row>
    <row r="433" spans="10:19" ht="15.75" customHeight="1">
      <c r="J433" s="41"/>
      <c r="K433" s="41"/>
      <c r="M433" s="42"/>
      <c r="N433" s="42"/>
      <c r="O433" s="43"/>
      <c r="P433" s="43"/>
      <c r="Q433" s="43"/>
      <c r="R433" s="43"/>
      <c r="S433" s="43"/>
    </row>
    <row r="434" spans="10:19" ht="15.75" customHeight="1">
      <c r="J434" s="41"/>
      <c r="K434" s="41"/>
      <c r="M434" s="42"/>
      <c r="N434" s="42"/>
      <c r="O434" s="43"/>
      <c r="P434" s="43"/>
      <c r="Q434" s="43"/>
      <c r="R434" s="43"/>
      <c r="S434" s="43"/>
    </row>
    <row r="435" spans="10:19" ht="15.75" customHeight="1">
      <c r="J435" s="41"/>
      <c r="K435" s="41"/>
      <c r="M435" s="42"/>
      <c r="N435" s="42"/>
      <c r="O435" s="43"/>
      <c r="P435" s="43"/>
      <c r="Q435" s="43"/>
      <c r="R435" s="43"/>
      <c r="S435" s="43"/>
    </row>
    <row r="436" spans="10:19" ht="15.75" customHeight="1">
      <c r="J436" s="41"/>
      <c r="K436" s="41"/>
      <c r="M436" s="42"/>
      <c r="N436" s="42"/>
      <c r="O436" s="43"/>
      <c r="P436" s="43"/>
      <c r="Q436" s="43"/>
      <c r="R436" s="43"/>
      <c r="S436" s="43"/>
    </row>
    <row r="437" spans="10:19" ht="15.75" customHeight="1">
      <c r="J437" s="41"/>
      <c r="K437" s="41"/>
      <c r="M437" s="42"/>
      <c r="N437" s="42"/>
      <c r="O437" s="43"/>
      <c r="P437" s="43"/>
      <c r="Q437" s="43"/>
      <c r="R437" s="43"/>
      <c r="S437" s="43"/>
    </row>
    <row r="438" spans="10:19" ht="15.75" customHeight="1">
      <c r="J438" s="41"/>
      <c r="K438" s="41"/>
      <c r="M438" s="42"/>
      <c r="N438" s="42"/>
      <c r="O438" s="43"/>
      <c r="P438" s="43"/>
      <c r="Q438" s="43"/>
      <c r="R438" s="43"/>
      <c r="S438" s="43"/>
    </row>
    <row r="439" spans="10:19" ht="15.75" customHeight="1">
      <c r="J439" s="41"/>
      <c r="K439" s="41"/>
      <c r="M439" s="42"/>
      <c r="N439" s="42"/>
      <c r="O439" s="43"/>
      <c r="P439" s="43"/>
      <c r="Q439" s="43"/>
      <c r="R439" s="43"/>
      <c r="S439" s="43"/>
    </row>
    <row r="440" spans="10:19" ht="15.75" customHeight="1">
      <c r="J440" s="41"/>
      <c r="K440" s="41"/>
      <c r="M440" s="42"/>
      <c r="N440" s="42"/>
      <c r="O440" s="43"/>
      <c r="P440" s="43"/>
      <c r="Q440" s="43"/>
      <c r="R440" s="43"/>
      <c r="S440" s="43"/>
    </row>
    <row r="441" spans="10:19" ht="15.75" customHeight="1">
      <c r="J441" s="41"/>
      <c r="K441" s="41"/>
      <c r="M441" s="42"/>
      <c r="N441" s="42"/>
      <c r="O441" s="43"/>
      <c r="P441" s="43"/>
      <c r="Q441" s="43"/>
      <c r="R441" s="43"/>
      <c r="S441" s="43"/>
    </row>
    <row r="442" spans="10:19" ht="15.75" customHeight="1">
      <c r="J442" s="41"/>
      <c r="K442" s="41"/>
      <c r="M442" s="42"/>
      <c r="N442" s="42"/>
      <c r="O442" s="43"/>
      <c r="P442" s="43"/>
      <c r="Q442" s="43"/>
      <c r="R442" s="43"/>
      <c r="S442" s="43"/>
    </row>
    <row r="443" spans="10:19" ht="15.75" customHeight="1">
      <c r="J443" s="41"/>
      <c r="K443" s="41"/>
      <c r="M443" s="42"/>
      <c r="N443" s="42"/>
      <c r="O443" s="43"/>
      <c r="P443" s="43"/>
      <c r="Q443" s="43"/>
      <c r="R443" s="43"/>
      <c r="S443" s="43"/>
    </row>
    <row r="444" spans="10:19" ht="15.75" customHeight="1">
      <c r="J444" s="41"/>
      <c r="K444" s="41"/>
      <c r="M444" s="42"/>
      <c r="N444" s="42"/>
      <c r="O444" s="43"/>
      <c r="P444" s="43"/>
      <c r="Q444" s="43"/>
      <c r="R444" s="43"/>
      <c r="S444" s="43"/>
    </row>
    <row r="445" spans="10:19" ht="15.75" customHeight="1">
      <c r="J445" s="41"/>
      <c r="K445" s="41"/>
      <c r="M445" s="42"/>
      <c r="N445" s="42"/>
      <c r="O445" s="43"/>
      <c r="P445" s="43"/>
      <c r="Q445" s="43"/>
      <c r="R445" s="43"/>
      <c r="S445" s="43"/>
    </row>
    <row r="446" spans="10:19" ht="15.75" customHeight="1">
      <c r="J446" s="41"/>
      <c r="K446" s="41"/>
      <c r="M446" s="42"/>
      <c r="N446" s="42"/>
      <c r="O446" s="43"/>
      <c r="P446" s="43"/>
      <c r="Q446" s="43"/>
      <c r="R446" s="43"/>
      <c r="S446" s="43"/>
    </row>
    <row r="447" spans="10:19" ht="15.75" customHeight="1">
      <c r="J447" s="41"/>
      <c r="K447" s="41"/>
      <c r="M447" s="42"/>
      <c r="N447" s="42"/>
      <c r="O447" s="43"/>
      <c r="P447" s="43"/>
      <c r="Q447" s="43"/>
      <c r="R447" s="43"/>
      <c r="S447" s="43"/>
    </row>
    <row r="448" spans="10:19" ht="15.75" customHeight="1">
      <c r="J448" s="41"/>
      <c r="K448" s="41"/>
      <c r="M448" s="42"/>
      <c r="N448" s="42"/>
      <c r="O448" s="43"/>
      <c r="P448" s="43"/>
      <c r="Q448" s="43"/>
      <c r="R448" s="43"/>
      <c r="S448" s="43"/>
    </row>
    <row r="449" spans="10:19" ht="15.75" customHeight="1">
      <c r="J449" s="41"/>
      <c r="K449" s="41"/>
      <c r="M449" s="42"/>
      <c r="N449" s="42"/>
      <c r="O449" s="43"/>
      <c r="P449" s="43"/>
      <c r="Q449" s="43"/>
      <c r="R449" s="43"/>
      <c r="S449" s="43"/>
    </row>
    <row r="450" spans="10:19" ht="15.75" customHeight="1">
      <c r="J450" s="41"/>
      <c r="K450" s="41"/>
      <c r="M450" s="42"/>
      <c r="N450" s="42"/>
      <c r="O450" s="43"/>
      <c r="P450" s="43"/>
      <c r="Q450" s="43"/>
      <c r="R450" s="43"/>
      <c r="S450" s="43"/>
    </row>
    <row r="451" spans="10:19" ht="15.75" customHeight="1">
      <c r="J451" s="41"/>
      <c r="K451" s="41"/>
      <c r="M451" s="42"/>
      <c r="N451" s="42"/>
      <c r="O451" s="43"/>
      <c r="P451" s="43"/>
      <c r="Q451" s="43"/>
      <c r="R451" s="43"/>
      <c r="S451" s="43"/>
    </row>
    <row r="452" spans="10:19" ht="15.75" customHeight="1">
      <c r="J452" s="41"/>
      <c r="K452" s="41"/>
      <c r="M452" s="42"/>
      <c r="N452" s="42"/>
      <c r="O452" s="43"/>
      <c r="P452" s="43"/>
      <c r="Q452" s="43"/>
      <c r="R452" s="43"/>
      <c r="S452" s="43"/>
    </row>
    <row r="453" spans="10:19" ht="15.75" customHeight="1">
      <c r="J453" s="41"/>
      <c r="K453" s="41"/>
      <c r="M453" s="42"/>
      <c r="N453" s="42"/>
      <c r="O453" s="43"/>
      <c r="P453" s="43"/>
      <c r="Q453" s="43"/>
      <c r="R453" s="43"/>
      <c r="S453" s="43"/>
    </row>
    <row r="454" spans="10:19" ht="15.75" customHeight="1">
      <c r="J454" s="41"/>
      <c r="K454" s="41"/>
      <c r="M454" s="42"/>
      <c r="N454" s="42"/>
      <c r="O454" s="43"/>
      <c r="P454" s="43"/>
      <c r="Q454" s="43"/>
      <c r="R454" s="43"/>
      <c r="S454" s="43"/>
    </row>
    <row r="455" spans="10:19" ht="15.75" customHeight="1">
      <c r="J455" s="41"/>
      <c r="K455" s="41"/>
      <c r="M455" s="42"/>
      <c r="N455" s="42"/>
      <c r="O455" s="43"/>
      <c r="P455" s="43"/>
      <c r="Q455" s="43"/>
      <c r="R455" s="43"/>
      <c r="S455" s="43"/>
    </row>
    <row r="456" spans="10:19" ht="15.75" customHeight="1">
      <c r="J456" s="41"/>
      <c r="K456" s="41"/>
      <c r="M456" s="42"/>
      <c r="N456" s="42"/>
      <c r="O456" s="43"/>
      <c r="P456" s="43"/>
      <c r="Q456" s="43"/>
      <c r="R456" s="43"/>
      <c r="S456" s="43"/>
    </row>
    <row r="457" spans="10:19" ht="15.75" customHeight="1">
      <c r="J457" s="41"/>
      <c r="K457" s="41"/>
      <c r="M457" s="42"/>
      <c r="N457" s="42"/>
      <c r="O457" s="43"/>
      <c r="P457" s="43"/>
      <c r="Q457" s="43"/>
      <c r="R457" s="43"/>
      <c r="S457" s="43"/>
    </row>
    <row r="458" spans="10:19" ht="15.75" customHeight="1">
      <c r="J458" s="41"/>
      <c r="K458" s="41"/>
      <c r="M458" s="42"/>
      <c r="N458" s="42"/>
      <c r="O458" s="43"/>
      <c r="P458" s="43"/>
      <c r="Q458" s="43"/>
      <c r="R458" s="43"/>
      <c r="S458" s="43"/>
    </row>
    <row r="459" spans="10:19" ht="15.75" customHeight="1">
      <c r="J459" s="41"/>
      <c r="K459" s="41"/>
      <c r="M459" s="42"/>
      <c r="N459" s="42"/>
      <c r="O459" s="43"/>
      <c r="P459" s="43"/>
      <c r="Q459" s="43"/>
      <c r="R459" s="43"/>
      <c r="S459" s="43"/>
    </row>
    <row r="460" spans="10:19" ht="15.75" customHeight="1">
      <c r="J460" s="41"/>
      <c r="K460" s="41"/>
      <c r="M460" s="42"/>
      <c r="N460" s="42"/>
      <c r="O460" s="43"/>
      <c r="P460" s="43"/>
      <c r="Q460" s="43"/>
      <c r="R460" s="43"/>
      <c r="S460" s="43"/>
    </row>
    <row r="461" spans="10:19" ht="15.75" customHeight="1">
      <c r="J461" s="41"/>
      <c r="K461" s="41"/>
      <c r="M461" s="42"/>
      <c r="N461" s="42"/>
      <c r="O461" s="43"/>
      <c r="P461" s="43"/>
      <c r="Q461" s="43"/>
      <c r="R461" s="43"/>
      <c r="S461" s="43"/>
    </row>
    <row r="462" spans="10:19" ht="15.75" customHeight="1">
      <c r="J462" s="41"/>
      <c r="K462" s="41"/>
      <c r="M462" s="42"/>
      <c r="N462" s="42"/>
      <c r="O462" s="43"/>
      <c r="P462" s="43"/>
      <c r="Q462" s="43"/>
      <c r="R462" s="43"/>
      <c r="S462" s="43"/>
    </row>
    <row r="463" spans="10:19" ht="15.75" customHeight="1">
      <c r="J463" s="41"/>
      <c r="K463" s="41"/>
      <c r="M463" s="42"/>
      <c r="N463" s="42"/>
      <c r="O463" s="43"/>
      <c r="P463" s="43"/>
      <c r="Q463" s="43"/>
      <c r="R463" s="43"/>
      <c r="S463" s="43"/>
    </row>
    <row r="464" spans="10:19" ht="15.75" customHeight="1">
      <c r="J464" s="41"/>
      <c r="K464" s="41"/>
      <c r="M464" s="42"/>
      <c r="N464" s="42"/>
      <c r="O464" s="43"/>
      <c r="P464" s="43"/>
      <c r="Q464" s="43"/>
      <c r="R464" s="43"/>
      <c r="S464" s="43"/>
    </row>
    <row r="465" spans="10:19" ht="15.75" customHeight="1">
      <c r="J465" s="41"/>
      <c r="K465" s="41"/>
      <c r="M465" s="42"/>
      <c r="N465" s="42"/>
      <c r="O465" s="43"/>
      <c r="P465" s="43"/>
      <c r="Q465" s="43"/>
      <c r="R465" s="43"/>
      <c r="S465" s="43"/>
    </row>
    <row r="466" spans="10:19" ht="15.75" customHeight="1">
      <c r="J466" s="41"/>
      <c r="K466" s="41"/>
      <c r="M466" s="42"/>
      <c r="N466" s="42"/>
      <c r="O466" s="43"/>
      <c r="P466" s="43"/>
      <c r="Q466" s="43"/>
      <c r="R466" s="43"/>
      <c r="S466" s="43"/>
    </row>
    <row r="467" spans="10:19" ht="15.75" customHeight="1">
      <c r="J467" s="41"/>
      <c r="K467" s="42"/>
      <c r="M467" s="42"/>
      <c r="O467" s="43"/>
      <c r="P467" s="43"/>
      <c r="Q467" s="43"/>
      <c r="R467" s="43"/>
      <c r="S467" s="43"/>
    </row>
    <row r="468" spans="10:19" ht="15.75" customHeight="1">
      <c r="J468" s="41"/>
      <c r="K468" s="41"/>
      <c r="M468" s="42"/>
      <c r="N468" s="42"/>
      <c r="O468" s="43"/>
      <c r="P468" s="43"/>
      <c r="Q468" s="43"/>
      <c r="R468" s="43"/>
      <c r="S468" s="43"/>
    </row>
    <row r="469" spans="10:19" ht="15.75" customHeight="1">
      <c r="J469" s="41"/>
      <c r="K469" s="41"/>
      <c r="M469" s="42"/>
      <c r="N469" s="42"/>
      <c r="O469" s="43"/>
      <c r="P469" s="43"/>
      <c r="Q469" s="43"/>
      <c r="R469" s="43"/>
      <c r="S469" s="43"/>
    </row>
    <row r="470" spans="10:19" ht="15.75" customHeight="1">
      <c r="J470" s="41"/>
      <c r="K470" s="41"/>
      <c r="M470" s="42"/>
      <c r="N470" s="42"/>
      <c r="O470" s="43"/>
      <c r="P470" s="43"/>
      <c r="Q470" s="43"/>
      <c r="R470" s="43"/>
      <c r="S470" s="43"/>
    </row>
    <row r="471" spans="10:19" ht="15.75" customHeight="1">
      <c r="J471" s="41"/>
      <c r="K471" s="41"/>
      <c r="M471" s="42"/>
      <c r="N471" s="42"/>
      <c r="O471" s="43"/>
      <c r="P471" s="43"/>
      <c r="Q471" s="43"/>
      <c r="R471" s="43"/>
      <c r="S471" s="43"/>
    </row>
    <row r="472" spans="10:19" ht="15.75" customHeight="1">
      <c r="J472" s="41"/>
      <c r="K472" s="41"/>
      <c r="M472" s="42"/>
      <c r="N472" s="42"/>
      <c r="O472" s="43"/>
      <c r="P472" s="43"/>
      <c r="Q472" s="43"/>
      <c r="R472" s="43"/>
      <c r="S472" s="43"/>
    </row>
    <row r="473" spans="10:19" ht="15.75" customHeight="1">
      <c r="J473" s="41"/>
      <c r="K473" s="41"/>
      <c r="M473" s="42"/>
      <c r="N473" s="42"/>
      <c r="O473" s="43"/>
      <c r="P473" s="43"/>
      <c r="Q473" s="43"/>
      <c r="R473" s="43"/>
      <c r="S473" s="43"/>
    </row>
    <row r="474" spans="10:19" ht="15.75" customHeight="1">
      <c r="J474" s="41"/>
      <c r="K474" s="41"/>
      <c r="M474" s="42"/>
      <c r="N474" s="42"/>
      <c r="O474" s="43"/>
      <c r="P474" s="43"/>
      <c r="Q474" s="43"/>
      <c r="R474" s="43"/>
      <c r="S474" s="43"/>
    </row>
    <row r="475" spans="10:19" ht="15.75" customHeight="1">
      <c r="J475" s="41"/>
      <c r="K475" s="41"/>
      <c r="M475" s="42"/>
      <c r="N475" s="42"/>
      <c r="O475" s="43"/>
      <c r="P475" s="43"/>
      <c r="Q475" s="43"/>
      <c r="R475" s="43"/>
      <c r="S475" s="43"/>
    </row>
    <row r="476" spans="10:19" ht="15.75" customHeight="1">
      <c r="J476" s="41"/>
      <c r="K476" s="41"/>
      <c r="M476" s="42"/>
      <c r="N476" s="42"/>
      <c r="O476" s="43"/>
      <c r="P476" s="43"/>
      <c r="Q476" s="43"/>
      <c r="R476" s="43"/>
      <c r="S476" s="43"/>
    </row>
    <row r="477" spans="10:19" ht="15.75" customHeight="1">
      <c r="J477" s="41"/>
      <c r="K477" s="41"/>
      <c r="M477" s="42"/>
      <c r="N477" s="42"/>
      <c r="O477" s="43"/>
      <c r="P477" s="43"/>
      <c r="Q477" s="43"/>
      <c r="R477" s="43"/>
      <c r="S477" s="43"/>
    </row>
    <row r="478" spans="10:19" ht="15.75" customHeight="1">
      <c r="J478" s="41"/>
      <c r="K478" s="41"/>
      <c r="M478" s="42"/>
      <c r="N478" s="42"/>
      <c r="O478" s="43"/>
      <c r="P478" s="43"/>
      <c r="Q478" s="43"/>
      <c r="R478" s="43"/>
      <c r="S478" s="43"/>
    </row>
    <row r="479" spans="10:19" ht="15.75" customHeight="1">
      <c r="J479" s="41"/>
      <c r="K479" s="41"/>
      <c r="M479" s="42"/>
      <c r="N479" s="42"/>
      <c r="O479" s="43"/>
      <c r="P479" s="43"/>
      <c r="Q479" s="43"/>
      <c r="R479" s="43"/>
      <c r="S479" s="43"/>
    </row>
    <row r="480" spans="10:19" ht="15.75" customHeight="1">
      <c r="J480" s="41"/>
      <c r="K480" s="41"/>
      <c r="M480" s="42"/>
      <c r="N480" s="42"/>
      <c r="O480" s="43"/>
      <c r="P480" s="43"/>
      <c r="Q480" s="43"/>
      <c r="R480" s="43"/>
      <c r="S480" s="43"/>
    </row>
    <row r="481" spans="10:19" ht="15.75" customHeight="1">
      <c r="J481" s="41"/>
      <c r="K481" s="41"/>
      <c r="M481" s="42"/>
      <c r="N481" s="42"/>
      <c r="O481" s="43"/>
      <c r="P481" s="43"/>
      <c r="Q481" s="43"/>
      <c r="R481" s="43"/>
      <c r="S481" s="43"/>
    </row>
    <row r="482" spans="10:19" ht="15.75" customHeight="1">
      <c r="J482" s="41"/>
      <c r="K482" s="41"/>
      <c r="M482" s="42"/>
      <c r="N482" s="42"/>
      <c r="O482" s="43"/>
      <c r="P482" s="43"/>
      <c r="Q482" s="43"/>
      <c r="R482" s="43"/>
      <c r="S482" s="43"/>
    </row>
    <row r="483" spans="10:19" ht="15.75" customHeight="1">
      <c r="J483" s="41"/>
      <c r="K483" s="41"/>
      <c r="M483" s="42"/>
      <c r="N483" s="42"/>
      <c r="O483" s="43"/>
      <c r="P483" s="43"/>
      <c r="Q483" s="43"/>
      <c r="R483" s="43"/>
      <c r="S483" s="43"/>
    </row>
    <row r="484" spans="10:19" ht="15.75" customHeight="1">
      <c r="J484" s="41"/>
      <c r="K484" s="41"/>
      <c r="M484" s="42"/>
      <c r="N484" s="42"/>
      <c r="O484" s="43"/>
      <c r="P484" s="43"/>
      <c r="Q484" s="43"/>
      <c r="R484" s="43"/>
      <c r="S484" s="43"/>
    </row>
    <row r="485" spans="10:19" ht="15.75" customHeight="1">
      <c r="J485" s="41"/>
      <c r="K485" s="41"/>
      <c r="M485" s="42"/>
      <c r="N485" s="42"/>
      <c r="O485" s="43"/>
      <c r="P485" s="43"/>
      <c r="Q485" s="43"/>
      <c r="R485" s="43"/>
      <c r="S485" s="43"/>
    </row>
    <row r="486" spans="10:19" ht="15.75" customHeight="1">
      <c r="J486" s="41"/>
      <c r="K486" s="41"/>
      <c r="M486" s="42"/>
      <c r="N486" s="42"/>
      <c r="O486" s="43"/>
      <c r="P486" s="43"/>
      <c r="Q486" s="43"/>
      <c r="R486" s="43"/>
      <c r="S486" s="43"/>
    </row>
    <row r="487" spans="10:19" ht="15.75" customHeight="1">
      <c r="J487" s="41"/>
      <c r="K487" s="41"/>
      <c r="M487" s="42"/>
      <c r="N487" s="42"/>
      <c r="O487" s="43"/>
      <c r="P487" s="43"/>
      <c r="Q487" s="43"/>
      <c r="R487" s="43"/>
      <c r="S487" s="43"/>
    </row>
    <row r="488" spans="10:19" ht="15.75" customHeight="1">
      <c r="J488" s="41"/>
      <c r="K488" s="41"/>
      <c r="M488" s="42"/>
      <c r="N488" s="42"/>
      <c r="O488" s="43"/>
      <c r="P488" s="43"/>
      <c r="Q488" s="43"/>
      <c r="R488" s="43"/>
      <c r="S488" s="43"/>
    </row>
    <row r="489" spans="10:19" ht="15.75" customHeight="1">
      <c r="J489" s="41"/>
      <c r="K489" s="41"/>
      <c r="M489" s="42"/>
      <c r="N489" s="42"/>
      <c r="O489" s="43"/>
      <c r="P489" s="43"/>
      <c r="Q489" s="43"/>
      <c r="R489" s="43"/>
      <c r="S489" s="43"/>
    </row>
    <row r="490" spans="10:19" ht="15.75" customHeight="1">
      <c r="J490" s="41"/>
      <c r="K490" s="41"/>
      <c r="M490" s="42"/>
      <c r="N490" s="42"/>
      <c r="O490" s="43"/>
      <c r="P490" s="43"/>
      <c r="Q490" s="43"/>
      <c r="R490" s="43"/>
      <c r="S490" s="43"/>
    </row>
    <row r="491" spans="10:19" ht="15.75" customHeight="1">
      <c r="J491" s="41"/>
      <c r="K491" s="41"/>
      <c r="M491" s="42"/>
      <c r="N491" s="42"/>
      <c r="O491" s="43"/>
      <c r="P491" s="43"/>
      <c r="Q491" s="43"/>
      <c r="R491" s="43"/>
      <c r="S491" s="43"/>
    </row>
    <row r="492" spans="10:19" ht="15.75" customHeight="1">
      <c r="J492" s="41"/>
      <c r="K492" s="41"/>
      <c r="M492" s="42"/>
      <c r="N492" s="42"/>
      <c r="O492" s="43"/>
      <c r="P492" s="43"/>
      <c r="Q492" s="43"/>
      <c r="R492" s="43"/>
      <c r="S492" s="43"/>
    </row>
    <row r="493" spans="10:19" ht="15.75" customHeight="1">
      <c r="J493" s="41"/>
      <c r="K493" s="41"/>
      <c r="M493" s="42"/>
      <c r="N493" s="42"/>
      <c r="O493" s="43"/>
      <c r="P493" s="43"/>
      <c r="Q493" s="43"/>
      <c r="R493" s="43"/>
      <c r="S493" s="43"/>
    </row>
    <row r="494" spans="10:19" ht="15.75" customHeight="1">
      <c r="J494" s="41"/>
      <c r="K494" s="41"/>
      <c r="M494" s="42"/>
      <c r="N494" s="42"/>
      <c r="O494" s="43"/>
      <c r="P494" s="43"/>
      <c r="Q494" s="43"/>
      <c r="R494" s="43"/>
      <c r="S494" s="43"/>
    </row>
    <row r="495" spans="10:19" ht="15.75" customHeight="1">
      <c r="J495" s="41"/>
      <c r="K495" s="41"/>
      <c r="M495" s="42"/>
      <c r="N495" s="42"/>
      <c r="O495" s="43"/>
      <c r="P495" s="43"/>
      <c r="Q495" s="43"/>
      <c r="R495" s="43"/>
      <c r="S495" s="43"/>
    </row>
    <row r="496" spans="10:19" ht="15.75" customHeight="1">
      <c r="J496" s="41"/>
      <c r="K496" s="41"/>
      <c r="M496" s="42"/>
      <c r="N496" s="42"/>
      <c r="O496" s="43"/>
      <c r="P496" s="43"/>
      <c r="Q496" s="43"/>
      <c r="R496" s="43"/>
      <c r="S496" s="43"/>
    </row>
    <row r="497" spans="10:19" ht="15.75" customHeight="1">
      <c r="J497" s="41"/>
      <c r="K497" s="41"/>
      <c r="M497" s="42"/>
      <c r="N497" s="42"/>
      <c r="O497" s="43"/>
      <c r="P497" s="43"/>
      <c r="Q497" s="43"/>
      <c r="R497" s="43"/>
      <c r="S497" s="43"/>
    </row>
    <row r="498" spans="10:19" ht="15.75" customHeight="1">
      <c r="J498" s="41"/>
      <c r="K498" s="41"/>
      <c r="M498" s="42"/>
      <c r="N498" s="42"/>
      <c r="O498" s="43"/>
      <c r="P498" s="43"/>
      <c r="Q498" s="43"/>
      <c r="R498" s="43"/>
      <c r="S498" s="43"/>
    </row>
    <row r="499" spans="10:19" ht="15.75" customHeight="1">
      <c r="J499" s="41"/>
      <c r="K499" s="41"/>
      <c r="M499" s="42"/>
      <c r="N499" s="42"/>
      <c r="O499" s="43"/>
      <c r="P499" s="43"/>
      <c r="Q499" s="43"/>
      <c r="R499" s="43"/>
      <c r="S499" s="43"/>
    </row>
    <row r="500" spans="10:19" ht="15.75" customHeight="1">
      <c r="J500" s="41"/>
      <c r="K500" s="41"/>
      <c r="M500" s="42"/>
      <c r="N500" s="42"/>
      <c r="O500" s="43"/>
      <c r="P500" s="43"/>
      <c r="Q500" s="43"/>
      <c r="R500" s="43"/>
      <c r="S500" s="43"/>
    </row>
    <row r="501" spans="10:19" ht="15.75" customHeight="1">
      <c r="J501" s="41"/>
      <c r="K501" s="41"/>
      <c r="M501" s="42"/>
      <c r="N501" s="42"/>
      <c r="O501" s="43"/>
      <c r="P501" s="43"/>
      <c r="Q501" s="43"/>
      <c r="R501" s="43"/>
      <c r="S501" s="43"/>
    </row>
    <row r="502" spans="10:19" ht="15.75" customHeight="1">
      <c r="J502" s="41"/>
      <c r="K502" s="41"/>
      <c r="M502" s="42"/>
      <c r="N502" s="42"/>
      <c r="O502" s="43"/>
      <c r="P502" s="43"/>
      <c r="Q502" s="43"/>
      <c r="R502" s="43"/>
      <c r="S502" s="43"/>
    </row>
    <row r="503" spans="10:19" ht="15.75" customHeight="1">
      <c r="J503" s="41"/>
      <c r="K503" s="41"/>
      <c r="M503" s="42"/>
      <c r="N503" s="42"/>
      <c r="O503" s="43"/>
      <c r="P503" s="43"/>
      <c r="Q503" s="43"/>
      <c r="R503" s="43"/>
      <c r="S503" s="43"/>
    </row>
    <row r="504" spans="10:19" ht="15.75" customHeight="1">
      <c r="J504" s="41"/>
      <c r="K504" s="41"/>
      <c r="M504" s="42"/>
      <c r="N504" s="42"/>
      <c r="O504" s="43"/>
      <c r="P504" s="43"/>
      <c r="Q504" s="43"/>
      <c r="R504" s="43"/>
      <c r="S504" s="43"/>
    </row>
    <row r="505" spans="10:19" ht="15.75" customHeight="1">
      <c r="J505" s="41"/>
      <c r="K505" s="41"/>
      <c r="M505" s="42"/>
      <c r="N505" s="42"/>
      <c r="O505" s="43"/>
      <c r="P505" s="43"/>
      <c r="Q505" s="43"/>
      <c r="R505" s="43"/>
      <c r="S505" s="43"/>
    </row>
    <row r="506" spans="10:19" ht="15.75" customHeight="1">
      <c r="J506" s="41"/>
      <c r="K506" s="41"/>
      <c r="M506" s="42"/>
      <c r="N506" s="42"/>
      <c r="O506" s="43"/>
      <c r="P506" s="43"/>
      <c r="Q506" s="43"/>
      <c r="R506" s="43"/>
      <c r="S506" s="43"/>
    </row>
    <row r="507" spans="10:19" ht="15.75" customHeight="1">
      <c r="J507" s="41"/>
      <c r="K507" s="41"/>
      <c r="M507" s="42"/>
      <c r="N507" s="42"/>
      <c r="O507" s="43"/>
      <c r="P507" s="43"/>
      <c r="Q507" s="43"/>
      <c r="R507" s="43"/>
      <c r="S507" s="43"/>
    </row>
    <row r="508" spans="10:19" ht="15.75" customHeight="1">
      <c r="J508" s="41"/>
      <c r="K508" s="41"/>
      <c r="M508" s="42"/>
      <c r="N508" s="42"/>
      <c r="O508" s="43"/>
      <c r="P508" s="43"/>
      <c r="Q508" s="43"/>
      <c r="R508" s="43"/>
      <c r="S508" s="43"/>
    </row>
    <row r="509" spans="10:19" ht="15.75" customHeight="1">
      <c r="J509" s="41"/>
      <c r="K509" s="41"/>
      <c r="M509" s="42"/>
      <c r="N509" s="42"/>
      <c r="O509" s="43"/>
      <c r="P509" s="43"/>
      <c r="Q509" s="43"/>
      <c r="R509" s="43"/>
      <c r="S509" s="43"/>
    </row>
    <row r="510" spans="10:19" ht="15.75" customHeight="1">
      <c r="J510" s="41"/>
      <c r="K510" s="41"/>
      <c r="M510" s="42"/>
      <c r="N510" s="42"/>
      <c r="O510" s="43"/>
      <c r="P510" s="43"/>
      <c r="Q510" s="43"/>
      <c r="R510" s="43"/>
      <c r="S510" s="43"/>
    </row>
    <row r="511" spans="10:19" ht="15.75" customHeight="1">
      <c r="J511" s="41"/>
      <c r="K511" s="41"/>
      <c r="M511" s="42"/>
      <c r="N511" s="42"/>
      <c r="O511" s="43"/>
      <c r="P511" s="43"/>
      <c r="Q511" s="43"/>
      <c r="R511" s="43"/>
      <c r="S511" s="43"/>
    </row>
    <row r="512" spans="10:19" ht="15.75" customHeight="1">
      <c r="J512" s="41"/>
      <c r="K512" s="41"/>
      <c r="M512" s="42"/>
      <c r="N512" s="42"/>
      <c r="O512" s="43"/>
      <c r="P512" s="43"/>
      <c r="Q512" s="43"/>
      <c r="R512" s="43"/>
      <c r="S512" s="43"/>
    </row>
    <row r="513" spans="10:19" ht="15.75" customHeight="1">
      <c r="J513" s="41"/>
      <c r="K513" s="41"/>
      <c r="M513" s="42"/>
      <c r="N513" s="42"/>
      <c r="O513" s="43"/>
      <c r="P513" s="43"/>
      <c r="Q513" s="43"/>
      <c r="R513" s="43"/>
      <c r="S513" s="43"/>
    </row>
    <row r="514" spans="10:19" ht="15.75" customHeight="1">
      <c r="J514" s="41"/>
      <c r="K514" s="41"/>
      <c r="M514" s="42"/>
      <c r="N514" s="42"/>
      <c r="O514" s="43"/>
      <c r="P514" s="43"/>
      <c r="Q514" s="43"/>
      <c r="R514" s="43"/>
      <c r="S514" s="43"/>
    </row>
    <row r="515" spans="10:19" ht="15.75" customHeight="1">
      <c r="J515" s="41"/>
      <c r="K515" s="41"/>
      <c r="M515" s="42"/>
      <c r="N515" s="42"/>
      <c r="O515" s="43"/>
      <c r="P515" s="43"/>
      <c r="Q515" s="43"/>
      <c r="R515" s="43"/>
      <c r="S515" s="43"/>
    </row>
    <row r="516" spans="10:19" ht="15.75" customHeight="1">
      <c r="J516" s="41"/>
      <c r="K516" s="41"/>
      <c r="M516" s="42"/>
      <c r="N516" s="42"/>
      <c r="O516" s="43"/>
      <c r="P516" s="43"/>
      <c r="Q516" s="43"/>
      <c r="R516" s="43"/>
      <c r="S516" s="43"/>
    </row>
    <row r="517" spans="10:19" ht="15.75" customHeight="1">
      <c r="J517" s="41"/>
      <c r="K517" s="41"/>
      <c r="M517" s="42"/>
      <c r="N517" s="42"/>
      <c r="O517" s="43"/>
      <c r="P517" s="43"/>
      <c r="Q517" s="43"/>
      <c r="R517" s="43"/>
      <c r="S517" s="43"/>
    </row>
    <row r="518" spans="10:19" ht="15.75" customHeight="1">
      <c r="J518" s="41"/>
      <c r="K518" s="41"/>
      <c r="M518" s="42"/>
      <c r="N518" s="42"/>
      <c r="O518" s="43"/>
      <c r="P518" s="43"/>
      <c r="Q518" s="43"/>
      <c r="R518" s="43"/>
      <c r="S518" s="43"/>
    </row>
    <row r="519" spans="10:19" ht="15.75" customHeight="1">
      <c r="J519" s="41"/>
      <c r="K519" s="42"/>
      <c r="M519" s="42"/>
      <c r="N519" s="42"/>
      <c r="O519" s="43"/>
      <c r="P519" s="43"/>
      <c r="Q519" s="43"/>
      <c r="R519" s="43"/>
      <c r="S519" s="43"/>
    </row>
    <row r="520" spans="10:19" ht="15.75" customHeight="1">
      <c r="J520" s="41"/>
      <c r="K520" s="41"/>
      <c r="M520" s="42"/>
      <c r="N520" s="42"/>
      <c r="O520" s="43"/>
      <c r="P520" s="43"/>
      <c r="Q520" s="43"/>
      <c r="R520" s="43"/>
      <c r="S520" s="43"/>
    </row>
    <row r="521" spans="10:19" ht="15.75" customHeight="1">
      <c r="J521" s="41"/>
      <c r="K521" s="41"/>
      <c r="M521" s="42"/>
      <c r="N521" s="42"/>
      <c r="O521" s="43"/>
      <c r="P521" s="43"/>
      <c r="Q521" s="43"/>
      <c r="R521" s="43"/>
      <c r="S521" s="43"/>
    </row>
    <row r="522" spans="10:19" ht="15.75" customHeight="1">
      <c r="J522" s="41"/>
      <c r="K522" s="41"/>
      <c r="M522" s="42"/>
      <c r="N522" s="42"/>
      <c r="O522" s="43"/>
      <c r="P522" s="43"/>
      <c r="Q522" s="43"/>
      <c r="R522" s="43"/>
      <c r="S522" s="43"/>
    </row>
    <row r="523" spans="10:19" ht="15.75" customHeight="1">
      <c r="J523" s="41"/>
      <c r="K523" s="41"/>
      <c r="M523" s="42"/>
      <c r="N523" s="42"/>
      <c r="O523" s="43"/>
      <c r="P523" s="43"/>
      <c r="Q523" s="43"/>
      <c r="R523" s="43"/>
      <c r="S523" s="43"/>
    </row>
    <row r="524" spans="10:19" ht="15.75" customHeight="1">
      <c r="J524" s="41"/>
      <c r="K524" s="41"/>
      <c r="M524" s="42"/>
      <c r="N524" s="42"/>
      <c r="O524" s="43"/>
      <c r="P524" s="43"/>
      <c r="Q524" s="43"/>
      <c r="R524" s="43"/>
      <c r="S524" s="43"/>
    </row>
    <row r="525" spans="10:19" ht="15.75" customHeight="1">
      <c r="J525" s="41"/>
      <c r="K525" s="41"/>
      <c r="M525" s="42"/>
      <c r="N525" s="42"/>
      <c r="O525" s="43"/>
      <c r="P525" s="43"/>
      <c r="Q525" s="43"/>
      <c r="R525" s="43"/>
      <c r="S525" s="43"/>
    </row>
    <row r="526" spans="10:19" ht="15.75" customHeight="1">
      <c r="J526" s="41"/>
      <c r="K526" s="41"/>
      <c r="M526" s="42"/>
      <c r="N526" s="42"/>
      <c r="O526" s="43"/>
      <c r="P526" s="43"/>
      <c r="Q526" s="43"/>
      <c r="R526" s="43"/>
      <c r="S526" s="43"/>
    </row>
    <row r="527" spans="10:19" ht="15.75" customHeight="1">
      <c r="J527" s="41"/>
      <c r="K527" s="41"/>
      <c r="M527" s="42"/>
      <c r="N527" s="42"/>
      <c r="O527" s="43"/>
      <c r="P527" s="43"/>
      <c r="Q527" s="43"/>
      <c r="R527" s="43"/>
      <c r="S527" s="43"/>
    </row>
    <row r="528" spans="10:19" ht="15.75" customHeight="1">
      <c r="J528" s="41"/>
      <c r="K528" s="41"/>
      <c r="M528" s="42"/>
      <c r="N528" s="42"/>
      <c r="O528" s="43"/>
      <c r="P528" s="43"/>
      <c r="Q528" s="43"/>
      <c r="R528" s="43"/>
      <c r="S528" s="43"/>
    </row>
    <row r="529" spans="10:19" ht="15.75" customHeight="1">
      <c r="J529" s="41"/>
      <c r="K529" s="41"/>
      <c r="M529" s="42"/>
      <c r="N529" s="42"/>
      <c r="O529" s="43"/>
      <c r="P529" s="43"/>
      <c r="Q529" s="43"/>
      <c r="R529" s="43"/>
      <c r="S529" s="43"/>
    </row>
    <row r="530" spans="10:19" ht="15.75" customHeight="1">
      <c r="J530" s="41"/>
      <c r="K530" s="41"/>
      <c r="M530" s="42"/>
      <c r="N530" s="42"/>
      <c r="O530" s="43"/>
      <c r="P530" s="43"/>
      <c r="Q530" s="43"/>
      <c r="R530" s="43"/>
      <c r="S530" s="43"/>
    </row>
    <row r="531" spans="10:19" ht="15.75" customHeight="1">
      <c r="J531" s="41"/>
      <c r="K531" s="41"/>
      <c r="M531" s="42"/>
      <c r="N531" s="42"/>
      <c r="O531" s="43"/>
      <c r="P531" s="43"/>
      <c r="Q531" s="43"/>
      <c r="R531" s="43"/>
      <c r="S531" s="43"/>
    </row>
    <row r="532" spans="10:19" ht="15.75" customHeight="1">
      <c r="J532" s="41"/>
      <c r="K532" s="41"/>
      <c r="M532" s="42"/>
      <c r="N532" s="42"/>
      <c r="O532" s="43"/>
      <c r="P532" s="43"/>
      <c r="Q532" s="43"/>
      <c r="R532" s="43"/>
      <c r="S532" s="43"/>
    </row>
    <row r="533" spans="10:19" ht="15.75" customHeight="1">
      <c r="J533" s="41"/>
      <c r="K533" s="41"/>
      <c r="M533" s="42"/>
      <c r="N533" s="42"/>
      <c r="O533" s="43"/>
      <c r="P533" s="43"/>
      <c r="Q533" s="43"/>
      <c r="R533" s="43"/>
      <c r="S533" s="43"/>
    </row>
    <row r="534" spans="10:19" ht="15.75" customHeight="1">
      <c r="J534" s="41"/>
      <c r="K534" s="41"/>
      <c r="M534" s="42"/>
      <c r="N534" s="42"/>
      <c r="O534" s="43"/>
      <c r="P534" s="43"/>
      <c r="Q534" s="43"/>
      <c r="R534" s="43"/>
      <c r="S534" s="43"/>
    </row>
    <row r="535" spans="10:19" ht="15.75" customHeight="1">
      <c r="J535" s="41"/>
      <c r="K535" s="41"/>
      <c r="M535" s="42"/>
      <c r="N535" s="42"/>
      <c r="O535" s="43"/>
      <c r="P535" s="43"/>
      <c r="Q535" s="43"/>
      <c r="R535" s="43"/>
      <c r="S535" s="43"/>
    </row>
    <row r="536" spans="10:19" ht="15.75" customHeight="1">
      <c r="J536" s="41"/>
      <c r="K536" s="41"/>
      <c r="M536" s="42"/>
      <c r="N536" s="42"/>
      <c r="O536" s="43"/>
      <c r="P536" s="43"/>
      <c r="Q536" s="43"/>
      <c r="R536" s="43"/>
      <c r="S536" s="43"/>
    </row>
    <row r="537" spans="10:19" ht="15.75" customHeight="1">
      <c r="J537" s="41"/>
      <c r="K537" s="41"/>
      <c r="M537" s="42"/>
      <c r="N537" s="42"/>
      <c r="O537" s="43"/>
      <c r="P537" s="43"/>
      <c r="Q537" s="43"/>
      <c r="R537" s="43"/>
      <c r="S537" s="43"/>
    </row>
    <row r="538" spans="10:19" ht="15.75" customHeight="1">
      <c r="J538" s="41"/>
      <c r="K538" s="41"/>
      <c r="M538" s="42"/>
      <c r="N538" s="42"/>
      <c r="O538" s="43"/>
      <c r="P538" s="43"/>
      <c r="Q538" s="43"/>
      <c r="R538" s="43"/>
      <c r="S538" s="43"/>
    </row>
    <row r="539" spans="10:19" ht="15.75" customHeight="1">
      <c r="J539" s="41"/>
      <c r="K539" s="41"/>
      <c r="M539" s="42"/>
      <c r="N539" s="42"/>
      <c r="O539" s="43"/>
      <c r="P539" s="43"/>
      <c r="Q539" s="43"/>
      <c r="R539" s="43"/>
      <c r="S539" s="43"/>
    </row>
    <row r="540" spans="10:19" ht="15.75" customHeight="1">
      <c r="J540" s="41"/>
      <c r="K540" s="41"/>
      <c r="M540" s="42"/>
      <c r="N540" s="42"/>
      <c r="O540" s="43"/>
      <c r="P540" s="43"/>
      <c r="Q540" s="43"/>
      <c r="R540" s="43"/>
      <c r="S540" s="43"/>
    </row>
    <row r="541" spans="10:19" ht="15.75" customHeight="1">
      <c r="J541" s="41"/>
      <c r="K541" s="41"/>
      <c r="M541" s="42"/>
      <c r="N541" s="42"/>
      <c r="O541" s="43"/>
      <c r="P541" s="43"/>
      <c r="Q541" s="43"/>
      <c r="R541" s="43"/>
      <c r="S541" s="43"/>
    </row>
    <row r="542" spans="10:19" ht="15.75" customHeight="1">
      <c r="J542" s="41"/>
      <c r="K542" s="41"/>
      <c r="M542" s="42"/>
      <c r="N542" s="42"/>
      <c r="O542" s="43"/>
      <c r="P542" s="43"/>
      <c r="Q542" s="43"/>
      <c r="R542" s="43"/>
      <c r="S542" s="43"/>
    </row>
    <row r="543" spans="10:19" ht="15.75" customHeight="1">
      <c r="J543" s="41"/>
      <c r="K543" s="41"/>
      <c r="M543" s="42"/>
      <c r="N543" s="42"/>
      <c r="O543" s="43"/>
      <c r="P543" s="43"/>
      <c r="Q543" s="43"/>
      <c r="R543" s="43"/>
      <c r="S543" s="43"/>
    </row>
    <row r="544" spans="10:19" ht="15.75" customHeight="1">
      <c r="J544" s="41"/>
      <c r="K544" s="41"/>
      <c r="M544" s="42"/>
      <c r="N544" s="42"/>
      <c r="O544" s="43"/>
      <c r="P544" s="43"/>
      <c r="Q544" s="43"/>
      <c r="R544" s="43"/>
      <c r="S544" s="43"/>
    </row>
    <row r="545" spans="10:19" ht="15.75" customHeight="1">
      <c r="J545" s="41"/>
      <c r="K545" s="41"/>
      <c r="M545" s="42"/>
      <c r="N545" s="42"/>
      <c r="O545" s="43"/>
      <c r="P545" s="43"/>
      <c r="Q545" s="43"/>
      <c r="R545" s="43"/>
      <c r="S545" s="43"/>
    </row>
    <row r="546" spans="10:19" ht="15.75" customHeight="1">
      <c r="J546" s="41"/>
      <c r="K546" s="41"/>
      <c r="M546" s="42"/>
      <c r="N546" s="42"/>
      <c r="O546" s="43"/>
      <c r="P546" s="43"/>
      <c r="Q546" s="43"/>
      <c r="R546" s="43"/>
      <c r="S546" s="43"/>
    </row>
    <row r="547" spans="10:19" ht="15.75" customHeight="1">
      <c r="J547" s="41"/>
      <c r="K547" s="41"/>
      <c r="M547" s="42"/>
      <c r="N547" s="42"/>
      <c r="O547" s="43"/>
      <c r="P547" s="43"/>
      <c r="Q547" s="43"/>
      <c r="R547" s="43"/>
      <c r="S547" s="43"/>
    </row>
    <row r="548" spans="10:19" ht="15.75" customHeight="1">
      <c r="J548" s="41"/>
      <c r="K548" s="41"/>
      <c r="M548" s="42"/>
      <c r="N548" s="42"/>
      <c r="O548" s="43"/>
      <c r="P548" s="43"/>
      <c r="Q548" s="43"/>
      <c r="R548" s="43"/>
      <c r="S548" s="43"/>
    </row>
    <row r="549" spans="10:19" ht="15.75" customHeight="1">
      <c r="J549" s="41"/>
      <c r="K549" s="41"/>
      <c r="M549" s="42"/>
      <c r="N549" s="42"/>
      <c r="O549" s="43"/>
      <c r="P549" s="43"/>
      <c r="Q549" s="43"/>
      <c r="R549" s="43"/>
      <c r="S549" s="43"/>
    </row>
    <row r="550" spans="10:19" ht="15.75" customHeight="1">
      <c r="J550" s="41"/>
      <c r="K550" s="41"/>
      <c r="M550" s="42"/>
      <c r="N550" s="42"/>
      <c r="O550" s="43"/>
      <c r="P550" s="43"/>
      <c r="Q550" s="43"/>
      <c r="R550" s="43"/>
      <c r="S550" s="43"/>
    </row>
    <row r="551" spans="10:19" ht="15.75" customHeight="1">
      <c r="J551" s="41"/>
      <c r="K551" s="41"/>
      <c r="M551" s="42"/>
      <c r="N551" s="42"/>
      <c r="O551" s="43"/>
      <c r="P551" s="43"/>
      <c r="Q551" s="43"/>
      <c r="R551" s="43"/>
      <c r="S551" s="43"/>
    </row>
    <row r="552" spans="10:19" ht="15.75" customHeight="1">
      <c r="J552" s="41"/>
      <c r="K552" s="41"/>
      <c r="M552" s="42"/>
      <c r="N552" s="42"/>
      <c r="O552" s="43"/>
      <c r="P552" s="43"/>
      <c r="Q552" s="43"/>
      <c r="R552" s="43"/>
      <c r="S552" s="43"/>
    </row>
    <row r="553" spans="10:19" ht="15.75" customHeight="1">
      <c r="J553" s="41"/>
      <c r="K553" s="41"/>
      <c r="M553" s="42"/>
      <c r="N553" s="42"/>
      <c r="O553" s="43"/>
      <c r="P553" s="43"/>
      <c r="Q553" s="43"/>
      <c r="R553" s="43"/>
      <c r="S553" s="43"/>
    </row>
    <row r="554" spans="10:19" ht="15.75" customHeight="1">
      <c r="J554" s="41"/>
      <c r="K554" s="41"/>
      <c r="M554" s="42"/>
      <c r="N554" s="42"/>
      <c r="O554" s="43"/>
      <c r="P554" s="43"/>
      <c r="Q554" s="43"/>
      <c r="R554" s="43"/>
      <c r="S554" s="43"/>
    </row>
    <row r="555" spans="10:19" ht="15.75" customHeight="1">
      <c r="J555" s="41"/>
      <c r="K555" s="41"/>
      <c r="M555" s="42"/>
      <c r="N555" s="42"/>
      <c r="O555" s="43"/>
      <c r="P555" s="43"/>
      <c r="Q555" s="43"/>
      <c r="R555" s="43"/>
      <c r="S555" s="43"/>
    </row>
    <row r="556" spans="10:19" ht="15.75" customHeight="1">
      <c r="J556" s="41"/>
      <c r="K556" s="41"/>
      <c r="M556" s="42"/>
      <c r="N556" s="42"/>
      <c r="O556" s="43"/>
      <c r="P556" s="43"/>
      <c r="Q556" s="43"/>
      <c r="R556" s="43"/>
      <c r="S556" s="43"/>
    </row>
    <row r="557" spans="10:19" ht="15.75" customHeight="1">
      <c r="J557" s="41"/>
      <c r="K557" s="41"/>
      <c r="M557" s="42"/>
      <c r="N557" s="42"/>
      <c r="O557" s="43"/>
      <c r="P557" s="43"/>
      <c r="Q557" s="43"/>
      <c r="R557" s="43"/>
      <c r="S557" s="43"/>
    </row>
    <row r="558" spans="10:19" ht="15.75" customHeight="1">
      <c r="J558" s="41"/>
      <c r="K558" s="41"/>
      <c r="M558" s="42"/>
      <c r="N558" s="42"/>
      <c r="O558" s="43"/>
      <c r="P558" s="43"/>
      <c r="Q558" s="43"/>
      <c r="R558" s="43"/>
      <c r="S558" s="43"/>
    </row>
    <row r="559" spans="10:19" ht="15.75" customHeight="1">
      <c r="J559" s="41"/>
      <c r="K559" s="41"/>
      <c r="M559" s="42"/>
      <c r="N559" s="42"/>
      <c r="O559" s="43"/>
      <c r="P559" s="43"/>
      <c r="Q559" s="43"/>
      <c r="R559" s="43"/>
      <c r="S559" s="43"/>
    </row>
    <row r="560" spans="10:19" ht="15.75" customHeight="1">
      <c r="J560" s="41"/>
      <c r="K560" s="41"/>
      <c r="M560" s="42"/>
      <c r="N560" s="42"/>
      <c r="O560" s="43"/>
      <c r="P560" s="43"/>
      <c r="Q560" s="43"/>
      <c r="R560" s="43"/>
      <c r="S560" s="43"/>
    </row>
    <row r="561" spans="10:19" ht="15.75" customHeight="1">
      <c r="J561" s="41"/>
      <c r="K561" s="41"/>
      <c r="M561" s="42"/>
      <c r="N561" s="42"/>
      <c r="O561" s="43"/>
      <c r="P561" s="43"/>
      <c r="Q561" s="43"/>
      <c r="R561" s="43"/>
      <c r="S561" s="43"/>
    </row>
    <row r="562" spans="10:19" ht="15.75" customHeight="1">
      <c r="J562" s="41"/>
      <c r="K562" s="41"/>
      <c r="M562" s="42"/>
      <c r="N562" s="42"/>
      <c r="O562" s="43"/>
      <c r="P562" s="43"/>
      <c r="Q562" s="43"/>
      <c r="R562" s="43"/>
      <c r="S562" s="43"/>
    </row>
    <row r="563" spans="10:19" ht="15.75" customHeight="1">
      <c r="J563" s="41"/>
      <c r="K563" s="41"/>
      <c r="M563" s="42"/>
      <c r="N563" s="42"/>
      <c r="O563" s="43"/>
      <c r="P563" s="43"/>
      <c r="Q563" s="43"/>
      <c r="R563" s="43"/>
      <c r="S563" s="43"/>
    </row>
    <row r="564" spans="10:19" ht="15.75" customHeight="1">
      <c r="J564" s="41"/>
      <c r="K564" s="41"/>
      <c r="M564" s="42"/>
      <c r="N564" s="42"/>
      <c r="O564" s="43"/>
      <c r="P564" s="43"/>
      <c r="Q564" s="43"/>
      <c r="R564" s="43"/>
      <c r="S564" s="43"/>
    </row>
    <row r="565" spans="10:19" ht="15.75" customHeight="1">
      <c r="J565" s="41"/>
      <c r="K565" s="41"/>
      <c r="M565" s="42"/>
      <c r="N565" s="42"/>
      <c r="O565" s="43"/>
      <c r="P565" s="43"/>
      <c r="Q565" s="43"/>
      <c r="R565" s="43"/>
      <c r="S565" s="43"/>
    </row>
    <row r="566" spans="10:19" ht="15.75" customHeight="1">
      <c r="J566" s="41"/>
      <c r="K566" s="41"/>
      <c r="M566" s="42"/>
      <c r="N566" s="42"/>
      <c r="O566" s="43"/>
      <c r="P566" s="43"/>
      <c r="Q566" s="43"/>
      <c r="R566" s="43"/>
      <c r="S566" s="43"/>
    </row>
    <row r="567" spans="10:19" ht="15.75" customHeight="1">
      <c r="J567" s="41"/>
      <c r="K567" s="41"/>
      <c r="M567" s="42"/>
      <c r="N567" s="42"/>
      <c r="O567" s="43"/>
      <c r="P567" s="43"/>
      <c r="Q567" s="43"/>
      <c r="R567" s="43"/>
      <c r="S567" s="43"/>
    </row>
    <row r="568" spans="10:19" ht="15.75" customHeight="1">
      <c r="J568" s="41"/>
      <c r="K568" s="41"/>
      <c r="M568" s="42"/>
      <c r="N568" s="42"/>
      <c r="O568" s="43"/>
      <c r="P568" s="43"/>
      <c r="Q568" s="43"/>
      <c r="R568" s="43"/>
      <c r="S568" s="43"/>
    </row>
    <row r="569" spans="10:19" ht="15.75" customHeight="1">
      <c r="J569" s="41"/>
      <c r="K569" s="41"/>
      <c r="M569" s="42"/>
      <c r="N569" s="42"/>
      <c r="O569" s="43"/>
      <c r="P569" s="43"/>
      <c r="Q569" s="43"/>
      <c r="R569" s="43"/>
      <c r="S569" s="43"/>
    </row>
    <row r="570" spans="10:19" ht="15.75" customHeight="1">
      <c r="J570" s="41"/>
      <c r="K570" s="41"/>
      <c r="M570" s="42"/>
      <c r="N570" s="42"/>
      <c r="O570" s="43"/>
      <c r="P570" s="43"/>
      <c r="Q570" s="43"/>
      <c r="R570" s="43"/>
      <c r="S570" s="43"/>
    </row>
    <row r="571" spans="10:19" ht="15.75" customHeight="1">
      <c r="J571" s="41"/>
      <c r="K571" s="41"/>
      <c r="M571" s="42"/>
      <c r="N571" s="42"/>
      <c r="O571" s="43"/>
      <c r="P571" s="43"/>
      <c r="Q571" s="43"/>
      <c r="R571" s="43"/>
      <c r="S571" s="43"/>
    </row>
    <row r="572" spans="10:19" ht="15.75" customHeight="1">
      <c r="J572" s="41"/>
      <c r="K572" s="41"/>
      <c r="M572" s="42"/>
      <c r="N572" s="42"/>
      <c r="O572" s="43"/>
      <c r="P572" s="43"/>
      <c r="Q572" s="43"/>
      <c r="R572" s="43"/>
      <c r="S572" s="43"/>
    </row>
    <row r="573" spans="10:19" ht="15.75" customHeight="1">
      <c r="J573" s="41"/>
      <c r="K573" s="41"/>
      <c r="M573" s="42"/>
      <c r="N573" s="42"/>
      <c r="O573" s="43"/>
      <c r="P573" s="43"/>
      <c r="Q573" s="43"/>
      <c r="R573" s="43"/>
      <c r="S573" s="43"/>
    </row>
    <row r="574" spans="10:19" ht="15.75" customHeight="1">
      <c r="J574" s="41"/>
      <c r="K574" s="41"/>
      <c r="M574" s="42"/>
      <c r="N574" s="42"/>
      <c r="O574" s="43"/>
      <c r="P574" s="43"/>
      <c r="Q574" s="43"/>
      <c r="R574" s="43"/>
      <c r="S574" s="43"/>
    </row>
    <row r="575" spans="10:19" ht="15.75" customHeight="1">
      <c r="J575" s="41"/>
      <c r="K575" s="41"/>
      <c r="M575" s="42"/>
      <c r="O575" s="43"/>
      <c r="P575" s="43"/>
      <c r="Q575" s="43"/>
      <c r="R575" s="43"/>
      <c r="S575" s="43"/>
    </row>
    <row r="576" spans="10:19" ht="15.75" customHeight="1">
      <c r="J576" s="41"/>
      <c r="K576" s="42"/>
      <c r="M576" s="42"/>
      <c r="N576" s="42"/>
      <c r="O576" s="43"/>
      <c r="P576" s="43"/>
      <c r="Q576" s="43"/>
      <c r="R576" s="43"/>
      <c r="S576" s="43"/>
    </row>
    <row r="577" spans="10:19" ht="15.75" customHeight="1">
      <c r="J577" s="41"/>
      <c r="K577" s="41"/>
      <c r="M577" s="42"/>
      <c r="N577" s="42"/>
      <c r="O577" s="43"/>
      <c r="P577" s="43"/>
      <c r="Q577" s="43"/>
      <c r="R577" s="43"/>
      <c r="S577" s="43"/>
    </row>
    <row r="578" spans="10:19" ht="15.75" customHeight="1">
      <c r="J578" s="41"/>
      <c r="K578" s="41"/>
      <c r="M578" s="42"/>
      <c r="N578" s="42"/>
      <c r="O578" s="43"/>
      <c r="P578" s="43"/>
      <c r="Q578" s="43"/>
      <c r="R578" s="43"/>
      <c r="S578" s="43"/>
    </row>
    <row r="579" spans="10:19" ht="15.75" customHeight="1">
      <c r="J579" s="41"/>
      <c r="K579" s="41"/>
      <c r="M579" s="42"/>
      <c r="N579" s="42"/>
      <c r="O579" s="43"/>
      <c r="P579" s="43"/>
      <c r="Q579" s="43"/>
      <c r="R579" s="43"/>
      <c r="S579" s="43"/>
    </row>
    <row r="580" spans="10:19" ht="15.75" customHeight="1">
      <c r="J580" s="41"/>
      <c r="K580" s="41"/>
      <c r="M580" s="42"/>
      <c r="N580" s="42"/>
      <c r="O580" s="43"/>
      <c r="P580" s="43"/>
      <c r="Q580" s="43"/>
      <c r="R580" s="43"/>
      <c r="S580" s="43"/>
    </row>
    <row r="581" spans="10:19" ht="15.75" customHeight="1">
      <c r="J581" s="41"/>
      <c r="K581" s="41"/>
      <c r="M581" s="42"/>
      <c r="N581" s="42"/>
      <c r="O581" s="43"/>
      <c r="P581" s="43"/>
      <c r="Q581" s="43"/>
      <c r="R581" s="43"/>
      <c r="S581" s="43"/>
    </row>
    <row r="582" spans="10:19" ht="15.75" customHeight="1">
      <c r="J582" s="41"/>
      <c r="K582" s="41"/>
      <c r="M582" s="42"/>
      <c r="N582" s="42"/>
      <c r="O582" s="43"/>
      <c r="P582" s="43"/>
      <c r="Q582" s="43"/>
      <c r="R582" s="43"/>
      <c r="S582" s="43"/>
    </row>
    <row r="583" spans="10:19" ht="15.75" customHeight="1">
      <c r="J583" s="41"/>
      <c r="K583" s="41"/>
      <c r="M583" s="42"/>
      <c r="N583" s="42"/>
      <c r="O583" s="43"/>
      <c r="P583" s="43"/>
      <c r="Q583" s="43"/>
      <c r="R583" s="43"/>
      <c r="S583" s="43"/>
    </row>
    <row r="584" spans="10:19" ht="15.75" customHeight="1">
      <c r="J584" s="41"/>
      <c r="K584" s="41"/>
      <c r="M584" s="42"/>
      <c r="N584" s="42"/>
      <c r="O584" s="43"/>
      <c r="P584" s="43"/>
      <c r="Q584" s="43"/>
      <c r="R584" s="43"/>
      <c r="S584" s="43"/>
    </row>
    <row r="585" spans="10:19" ht="15.75" customHeight="1">
      <c r="J585" s="41"/>
      <c r="K585" s="41"/>
      <c r="M585" s="42"/>
      <c r="N585" s="42"/>
      <c r="O585" s="43"/>
      <c r="P585" s="43"/>
      <c r="Q585" s="43"/>
      <c r="R585" s="43"/>
      <c r="S585" s="43"/>
    </row>
    <row r="586" spans="10:19" ht="15.75" customHeight="1">
      <c r="J586" s="41"/>
      <c r="K586" s="41"/>
      <c r="M586" s="42"/>
      <c r="N586" s="42"/>
      <c r="O586" s="43"/>
      <c r="P586" s="43"/>
      <c r="Q586" s="43"/>
      <c r="R586" s="43"/>
      <c r="S586" s="43"/>
    </row>
    <row r="587" spans="10:19" ht="15.75" customHeight="1">
      <c r="J587" s="41"/>
      <c r="K587" s="41"/>
      <c r="M587" s="42"/>
      <c r="N587" s="42"/>
      <c r="O587" s="43"/>
      <c r="P587" s="43"/>
      <c r="Q587" s="43"/>
      <c r="R587" s="43"/>
      <c r="S587" s="43"/>
    </row>
    <row r="588" spans="10:19" ht="15.75" customHeight="1">
      <c r="J588" s="41"/>
      <c r="K588" s="41"/>
      <c r="M588" s="42"/>
      <c r="N588" s="42"/>
      <c r="O588" s="43"/>
      <c r="P588" s="43"/>
      <c r="Q588" s="43"/>
      <c r="R588" s="43"/>
      <c r="S588" s="43"/>
    </row>
    <row r="589" spans="10:19" ht="15.75" customHeight="1">
      <c r="J589" s="41"/>
      <c r="K589" s="41"/>
      <c r="M589" s="42"/>
      <c r="N589" s="42"/>
      <c r="O589" s="43"/>
      <c r="P589" s="43"/>
      <c r="Q589" s="43"/>
      <c r="R589" s="43"/>
      <c r="S589" s="43"/>
    </row>
    <row r="590" spans="10:19" ht="15.75" customHeight="1">
      <c r="J590" s="41"/>
      <c r="K590" s="41"/>
      <c r="M590" s="42"/>
      <c r="N590" s="42"/>
      <c r="O590" s="43"/>
      <c r="P590" s="43"/>
      <c r="Q590" s="43"/>
      <c r="R590" s="43"/>
      <c r="S590" s="43"/>
    </row>
    <row r="591" spans="10:19" ht="15.75" customHeight="1">
      <c r="J591" s="41"/>
      <c r="K591" s="41"/>
      <c r="M591" s="42"/>
      <c r="N591" s="42"/>
      <c r="O591" s="43"/>
      <c r="P591" s="43"/>
      <c r="Q591" s="43"/>
      <c r="R591" s="43"/>
      <c r="S591" s="43"/>
    </row>
    <row r="592" spans="10:19" ht="15.75" customHeight="1">
      <c r="J592" s="41"/>
      <c r="K592" s="41"/>
      <c r="M592" s="42"/>
      <c r="N592" s="42"/>
      <c r="O592" s="43"/>
      <c r="P592" s="43"/>
      <c r="Q592" s="43"/>
      <c r="R592" s="43"/>
      <c r="S592" s="43"/>
    </row>
    <row r="593" spans="10:19" ht="15.75" customHeight="1">
      <c r="J593" s="41"/>
      <c r="K593" s="41"/>
      <c r="M593" s="42"/>
      <c r="N593" s="42"/>
      <c r="O593" s="43"/>
      <c r="P593" s="43"/>
      <c r="Q593" s="43"/>
      <c r="R593" s="43"/>
      <c r="S593" s="43"/>
    </row>
    <row r="594" spans="10:19" ht="15.75" customHeight="1">
      <c r="J594" s="41"/>
      <c r="K594" s="41"/>
      <c r="M594" s="42"/>
      <c r="N594" s="42"/>
      <c r="O594" s="43"/>
      <c r="P594" s="43"/>
      <c r="Q594" s="43"/>
      <c r="R594" s="43"/>
      <c r="S594" s="43"/>
    </row>
    <row r="595" spans="10:19" ht="15.75" customHeight="1">
      <c r="J595" s="41"/>
      <c r="K595" s="41"/>
      <c r="M595" s="42"/>
      <c r="N595" s="42"/>
      <c r="O595" s="43"/>
      <c r="P595" s="43"/>
      <c r="Q595" s="43"/>
      <c r="R595" s="43"/>
      <c r="S595" s="43"/>
    </row>
    <row r="596" spans="10:19" ht="15.75" customHeight="1">
      <c r="J596" s="41"/>
      <c r="K596" s="41"/>
      <c r="M596" s="42"/>
      <c r="N596" s="42"/>
      <c r="O596" s="43"/>
      <c r="P596" s="43"/>
      <c r="Q596" s="43"/>
      <c r="R596" s="43"/>
      <c r="S596" s="43"/>
    </row>
    <row r="597" spans="10:19" ht="15.75" customHeight="1">
      <c r="J597" s="41"/>
      <c r="K597" s="41"/>
      <c r="M597" s="42"/>
      <c r="N597" s="42"/>
      <c r="O597" s="43"/>
      <c r="P597" s="43"/>
      <c r="Q597" s="43"/>
      <c r="R597" s="43"/>
      <c r="S597" s="43"/>
    </row>
    <row r="598" spans="10:19" ht="15.75" customHeight="1">
      <c r="J598" s="41"/>
      <c r="K598" s="41"/>
      <c r="M598" s="42"/>
      <c r="N598" s="42"/>
      <c r="O598" s="43"/>
      <c r="P598" s="43"/>
      <c r="Q598" s="43"/>
      <c r="R598" s="43"/>
      <c r="S598" s="43"/>
    </row>
    <row r="599" spans="10:19" ht="15.75" customHeight="1">
      <c r="J599" s="41"/>
      <c r="K599" s="41"/>
      <c r="M599" s="42"/>
      <c r="N599" s="42"/>
      <c r="O599" s="43"/>
      <c r="P599" s="43"/>
      <c r="Q599" s="43"/>
      <c r="R599" s="43"/>
      <c r="S599" s="43"/>
    </row>
    <row r="600" spans="10:19" ht="15.75" customHeight="1">
      <c r="J600" s="41"/>
      <c r="K600" s="41"/>
      <c r="M600" s="42"/>
      <c r="N600" s="42"/>
      <c r="O600" s="43"/>
      <c r="P600" s="43"/>
      <c r="Q600" s="43"/>
      <c r="R600" s="43"/>
      <c r="S600" s="43"/>
    </row>
    <row r="601" spans="10:19" ht="15.75" customHeight="1">
      <c r="J601" s="41"/>
      <c r="K601" s="41"/>
      <c r="M601" s="42"/>
      <c r="N601" s="42"/>
      <c r="O601" s="43"/>
      <c r="P601" s="43"/>
      <c r="Q601" s="43"/>
      <c r="R601" s="43"/>
      <c r="S601" s="43"/>
    </row>
    <row r="602" spans="10:19" ht="15.75" customHeight="1">
      <c r="J602" s="41"/>
      <c r="K602" s="41"/>
      <c r="M602" s="42"/>
      <c r="N602" s="42"/>
      <c r="O602" s="43"/>
      <c r="P602" s="43"/>
      <c r="Q602" s="43"/>
      <c r="R602" s="43"/>
      <c r="S602" s="43"/>
    </row>
    <row r="603" spans="10:19" ht="15.75" customHeight="1">
      <c r="J603" s="41"/>
      <c r="K603" s="41"/>
      <c r="M603" s="42"/>
      <c r="N603" s="42"/>
      <c r="O603" s="43"/>
      <c r="P603" s="43"/>
      <c r="Q603" s="43"/>
      <c r="R603" s="43"/>
      <c r="S603" s="43"/>
    </row>
    <row r="604" spans="10:19" ht="15.75" customHeight="1">
      <c r="J604" s="41"/>
      <c r="K604" s="41"/>
      <c r="M604" s="42"/>
      <c r="N604" s="42"/>
      <c r="O604" s="43"/>
      <c r="P604" s="43"/>
      <c r="Q604" s="43"/>
      <c r="R604" s="43"/>
      <c r="S604" s="43"/>
    </row>
    <row r="605" spans="10:19" ht="15.75" customHeight="1">
      <c r="J605" s="41"/>
      <c r="K605" s="41"/>
      <c r="M605" s="42"/>
      <c r="N605" s="42"/>
      <c r="O605" s="43"/>
      <c r="P605" s="43"/>
      <c r="Q605" s="43"/>
      <c r="R605" s="43"/>
      <c r="S605" s="43"/>
    </row>
    <row r="606" spans="10:19" ht="15.75" customHeight="1">
      <c r="J606" s="41"/>
      <c r="K606" s="41"/>
      <c r="M606" s="42"/>
      <c r="N606" s="42"/>
      <c r="O606" s="43"/>
      <c r="P606" s="43"/>
      <c r="Q606" s="43"/>
      <c r="R606" s="43"/>
      <c r="S606" s="43"/>
    </row>
    <row r="607" spans="10:19" ht="15.75" customHeight="1">
      <c r="J607" s="41"/>
      <c r="K607" s="41"/>
      <c r="M607" s="42"/>
      <c r="N607" s="42"/>
      <c r="O607" s="43"/>
      <c r="P607" s="43"/>
      <c r="Q607" s="43"/>
      <c r="R607" s="43"/>
      <c r="S607" s="43"/>
    </row>
    <row r="608" spans="10:19" ht="15.75" customHeight="1">
      <c r="J608" s="41"/>
      <c r="K608" s="41"/>
      <c r="M608" s="42"/>
      <c r="N608" s="42"/>
      <c r="O608" s="43"/>
      <c r="P608" s="43"/>
      <c r="Q608" s="43"/>
      <c r="R608" s="43"/>
      <c r="S608" s="43"/>
    </row>
    <row r="609" spans="10:19" ht="15.75" customHeight="1">
      <c r="J609" s="41"/>
      <c r="K609" s="41"/>
      <c r="M609" s="42"/>
      <c r="N609" s="42"/>
      <c r="O609" s="43"/>
      <c r="P609" s="43"/>
      <c r="Q609" s="43"/>
      <c r="R609" s="43"/>
      <c r="S609" s="43"/>
    </row>
    <row r="610" spans="10:19" ht="15.75" customHeight="1">
      <c r="J610" s="41"/>
      <c r="K610" s="41"/>
      <c r="M610" s="42"/>
      <c r="N610" s="42"/>
      <c r="O610" s="43"/>
      <c r="P610" s="43"/>
      <c r="Q610" s="43"/>
      <c r="R610" s="43"/>
      <c r="S610" s="43"/>
    </row>
    <row r="611" spans="10:19" ht="15.75" customHeight="1">
      <c r="J611" s="41"/>
      <c r="K611" s="41"/>
      <c r="M611" s="42"/>
      <c r="N611" s="42"/>
      <c r="O611" s="43"/>
      <c r="P611" s="43"/>
      <c r="Q611" s="43"/>
      <c r="R611" s="43"/>
      <c r="S611" s="43"/>
    </row>
    <row r="612" spans="10:19" ht="15.75" customHeight="1">
      <c r="J612" s="41"/>
      <c r="K612" s="41"/>
      <c r="M612" s="42"/>
      <c r="N612" s="42"/>
      <c r="O612" s="43"/>
      <c r="P612" s="43"/>
      <c r="Q612" s="43"/>
      <c r="R612" s="43"/>
      <c r="S612" s="43"/>
    </row>
    <row r="613" spans="10:19" ht="15.75" customHeight="1">
      <c r="J613" s="41"/>
      <c r="K613" s="41"/>
      <c r="M613" s="42"/>
      <c r="N613" s="42"/>
      <c r="O613" s="43"/>
      <c r="P613" s="43"/>
      <c r="Q613" s="43"/>
      <c r="R613" s="43"/>
      <c r="S613" s="43"/>
    </row>
    <row r="614" spans="10:19" ht="15.75" customHeight="1">
      <c r="J614" s="41"/>
      <c r="K614" s="41"/>
      <c r="M614" s="42"/>
      <c r="N614" s="42"/>
      <c r="O614" s="43"/>
      <c r="P614" s="43"/>
      <c r="Q614" s="43"/>
      <c r="R614" s="43"/>
      <c r="S614" s="43"/>
    </row>
    <row r="615" spans="10:19" ht="15.75" customHeight="1">
      <c r="J615" s="41"/>
      <c r="K615" s="41"/>
      <c r="M615" s="42"/>
      <c r="N615" s="42"/>
      <c r="O615" s="43"/>
      <c r="P615" s="43"/>
      <c r="Q615" s="43"/>
      <c r="R615" s="43"/>
      <c r="S615" s="43"/>
    </row>
    <row r="616" spans="10:19" ht="15.75" customHeight="1">
      <c r="J616" s="41"/>
      <c r="K616" s="41"/>
      <c r="M616" s="42"/>
      <c r="N616" s="42"/>
      <c r="O616" s="43"/>
      <c r="P616" s="43"/>
      <c r="Q616" s="43"/>
      <c r="R616" s="43"/>
      <c r="S616" s="43"/>
    </row>
    <row r="617" spans="10:19" ht="15.75" customHeight="1">
      <c r="J617" s="41"/>
      <c r="K617" s="41"/>
      <c r="M617" s="42"/>
      <c r="N617" s="42"/>
      <c r="O617" s="43"/>
      <c r="P617" s="43"/>
      <c r="Q617" s="43"/>
      <c r="R617" s="43"/>
      <c r="S617" s="43"/>
    </row>
    <row r="618" spans="10:19" ht="15.75" customHeight="1">
      <c r="J618" s="41"/>
      <c r="K618" s="41"/>
      <c r="M618" s="42"/>
      <c r="N618" s="42"/>
      <c r="O618" s="43"/>
      <c r="P618" s="43"/>
      <c r="Q618" s="43"/>
      <c r="R618" s="43"/>
      <c r="S618" s="43"/>
    </row>
    <row r="619" spans="10:19" ht="15.75" customHeight="1">
      <c r="J619" s="41"/>
      <c r="K619" s="41"/>
      <c r="M619" s="42"/>
      <c r="N619" s="42"/>
      <c r="O619" s="43"/>
      <c r="P619" s="43"/>
      <c r="Q619" s="43"/>
      <c r="R619" s="43"/>
      <c r="S619" s="43"/>
    </row>
    <row r="620" spans="10:19" ht="15.75" customHeight="1">
      <c r="J620" s="41"/>
      <c r="K620" s="41"/>
      <c r="M620" s="42"/>
      <c r="N620" s="42"/>
      <c r="O620" s="43"/>
      <c r="P620" s="43"/>
      <c r="Q620" s="43"/>
      <c r="R620" s="43"/>
      <c r="S620" s="43"/>
    </row>
    <row r="621" spans="10:19" ht="15.75" customHeight="1">
      <c r="J621" s="41"/>
      <c r="K621" s="41"/>
      <c r="M621" s="42"/>
      <c r="N621" s="42"/>
      <c r="O621" s="43"/>
      <c r="P621" s="43"/>
      <c r="Q621" s="43"/>
      <c r="R621" s="43"/>
      <c r="S621" s="43"/>
    </row>
    <row r="622" spans="10:19" ht="15.75" customHeight="1">
      <c r="J622" s="41"/>
      <c r="K622" s="41"/>
      <c r="M622" s="42"/>
      <c r="N622" s="42"/>
      <c r="O622" s="43"/>
      <c r="P622" s="43"/>
      <c r="Q622" s="43"/>
      <c r="R622" s="43"/>
      <c r="S622" s="43"/>
    </row>
    <row r="623" spans="10:19" ht="15.75" customHeight="1">
      <c r="J623" s="41"/>
      <c r="K623" s="41"/>
      <c r="M623" s="42"/>
      <c r="N623" s="42"/>
      <c r="O623" s="43"/>
      <c r="P623" s="43"/>
      <c r="Q623" s="43"/>
      <c r="R623" s="43"/>
      <c r="S623" s="43"/>
    </row>
    <row r="624" spans="10:19" ht="15.75" customHeight="1">
      <c r="J624" s="41"/>
      <c r="K624" s="41"/>
      <c r="M624" s="42"/>
      <c r="N624" s="42"/>
      <c r="O624" s="43"/>
      <c r="P624" s="43"/>
      <c r="Q624" s="43"/>
      <c r="R624" s="43"/>
      <c r="S624" s="43"/>
    </row>
    <row r="625" spans="10:19" ht="15.75" customHeight="1">
      <c r="J625" s="41"/>
      <c r="K625" s="41"/>
      <c r="M625" s="42"/>
      <c r="N625" s="42"/>
      <c r="O625" s="43"/>
      <c r="P625" s="43"/>
      <c r="Q625" s="43"/>
      <c r="R625" s="43"/>
      <c r="S625" s="43"/>
    </row>
    <row r="626" spans="10:19" ht="15.75" customHeight="1">
      <c r="J626" s="41"/>
      <c r="K626" s="41"/>
      <c r="M626" s="42"/>
      <c r="N626" s="42"/>
      <c r="O626" s="43"/>
      <c r="P626" s="43"/>
      <c r="Q626" s="43"/>
      <c r="R626" s="43"/>
      <c r="S626" s="43"/>
    </row>
    <row r="627" spans="10:19" ht="15.75" customHeight="1">
      <c r="J627" s="41"/>
      <c r="K627" s="41"/>
      <c r="M627" s="42"/>
      <c r="N627" s="42"/>
      <c r="O627" s="43"/>
      <c r="P627" s="43"/>
      <c r="Q627" s="43"/>
      <c r="R627" s="43"/>
      <c r="S627" s="43"/>
    </row>
    <row r="628" spans="10:19" ht="15.75" customHeight="1">
      <c r="J628" s="41"/>
      <c r="K628" s="41"/>
      <c r="M628" s="42"/>
      <c r="N628" s="42"/>
      <c r="O628" s="43"/>
      <c r="P628" s="43"/>
      <c r="Q628" s="43"/>
      <c r="R628" s="43"/>
      <c r="S628" s="43"/>
    </row>
    <row r="629" spans="10:19" ht="15.75" customHeight="1">
      <c r="J629" s="41"/>
      <c r="K629" s="41"/>
      <c r="M629" s="42"/>
      <c r="N629" s="42"/>
      <c r="O629" s="43"/>
      <c r="P629" s="43"/>
      <c r="Q629" s="43"/>
      <c r="R629" s="43"/>
      <c r="S629" s="43"/>
    </row>
    <row r="630" spans="10:19" ht="15.75" customHeight="1">
      <c r="J630" s="41"/>
      <c r="K630" s="41"/>
      <c r="M630" s="42"/>
      <c r="N630" s="42"/>
      <c r="O630" s="43"/>
      <c r="P630" s="43"/>
      <c r="Q630" s="43"/>
      <c r="R630" s="43"/>
      <c r="S630" s="43"/>
    </row>
    <row r="631" spans="10:19" ht="15.75" customHeight="1">
      <c r="J631" s="41"/>
      <c r="K631" s="41"/>
      <c r="M631" s="42"/>
      <c r="N631" s="42"/>
      <c r="O631" s="43"/>
      <c r="P631" s="43"/>
      <c r="Q631" s="43"/>
      <c r="R631" s="43"/>
      <c r="S631" s="43"/>
    </row>
    <row r="632" spans="10:19" ht="15.75" customHeight="1">
      <c r="J632" s="41"/>
      <c r="K632" s="41"/>
      <c r="M632" s="42"/>
      <c r="N632" s="42"/>
      <c r="O632" s="43"/>
      <c r="P632" s="43"/>
      <c r="Q632" s="43"/>
      <c r="R632" s="43"/>
      <c r="S632" s="43"/>
    </row>
    <row r="633" spans="10:19" ht="15.75" customHeight="1">
      <c r="J633" s="41"/>
      <c r="K633" s="41"/>
      <c r="M633" s="42"/>
      <c r="N633" s="42"/>
      <c r="O633" s="43"/>
      <c r="P633" s="43"/>
      <c r="Q633" s="43"/>
      <c r="R633" s="43"/>
      <c r="S633" s="43"/>
    </row>
    <row r="634" spans="10:19" ht="15.75" customHeight="1">
      <c r="J634" s="41"/>
      <c r="K634" s="41"/>
      <c r="M634" s="42"/>
      <c r="N634" s="42"/>
      <c r="O634" s="43"/>
      <c r="P634" s="43"/>
      <c r="Q634" s="43"/>
      <c r="R634" s="43"/>
      <c r="S634" s="43"/>
    </row>
    <row r="635" spans="10:19" ht="15.75" customHeight="1">
      <c r="J635" s="41"/>
      <c r="K635" s="41"/>
      <c r="M635" s="42"/>
      <c r="N635" s="42"/>
      <c r="O635" s="43"/>
      <c r="P635" s="43"/>
      <c r="Q635" s="43"/>
      <c r="R635" s="43"/>
      <c r="S635" s="43"/>
    </row>
    <row r="636" spans="10:19" ht="15.75" customHeight="1">
      <c r="J636" s="41"/>
      <c r="K636" s="41"/>
      <c r="M636" s="42"/>
      <c r="N636" s="42"/>
      <c r="O636" s="43"/>
      <c r="P636" s="43"/>
      <c r="Q636" s="43"/>
      <c r="R636" s="43"/>
      <c r="S636" s="43"/>
    </row>
    <row r="637" spans="10:19" ht="15.75" customHeight="1">
      <c r="J637" s="41"/>
      <c r="K637" s="41"/>
      <c r="M637" s="42"/>
      <c r="N637" s="42"/>
      <c r="O637" s="43"/>
      <c r="P637" s="43"/>
      <c r="Q637" s="43"/>
      <c r="R637" s="43"/>
      <c r="S637" s="43"/>
    </row>
    <row r="638" spans="10:19" ht="15.75" customHeight="1">
      <c r="J638" s="41"/>
      <c r="K638" s="41"/>
      <c r="M638" s="42"/>
      <c r="N638" s="42"/>
      <c r="O638" s="43"/>
      <c r="P638" s="43"/>
      <c r="Q638" s="43"/>
      <c r="R638" s="43"/>
      <c r="S638" s="43"/>
    </row>
    <row r="639" spans="10:19" ht="15.75" customHeight="1">
      <c r="J639" s="42"/>
      <c r="K639" s="42"/>
      <c r="O639" s="43"/>
      <c r="P639" s="43"/>
      <c r="Q639" s="43"/>
      <c r="R639" s="43"/>
      <c r="S639" s="43"/>
    </row>
    <row r="640" spans="10:19" ht="15.75" customHeight="1">
      <c r="J640" s="41"/>
      <c r="K640" s="41"/>
      <c r="M640" s="42"/>
      <c r="N640" s="42"/>
      <c r="O640" s="43"/>
      <c r="P640" s="43"/>
      <c r="Q640" s="43"/>
      <c r="R640" s="43"/>
      <c r="S640" s="43"/>
    </row>
    <row r="641" spans="10:19" ht="15.75" customHeight="1">
      <c r="J641" s="41"/>
      <c r="K641" s="41"/>
      <c r="M641" s="42"/>
      <c r="N641" s="42"/>
      <c r="O641" s="43"/>
      <c r="P641" s="43"/>
      <c r="Q641" s="43"/>
      <c r="R641" s="43"/>
      <c r="S641" s="43"/>
    </row>
    <row r="642" spans="10:19" ht="15.75" customHeight="1">
      <c r="J642" s="41"/>
      <c r="K642" s="41"/>
      <c r="M642" s="42"/>
      <c r="N642" s="42"/>
      <c r="O642" s="43"/>
      <c r="P642" s="43"/>
      <c r="Q642" s="43"/>
      <c r="R642" s="43"/>
      <c r="S642" s="43"/>
    </row>
    <row r="643" spans="10:19" ht="15.75" customHeight="1">
      <c r="J643" s="41"/>
      <c r="K643" s="41"/>
      <c r="M643" s="42"/>
      <c r="N643" s="42"/>
      <c r="O643" s="43"/>
      <c r="P643" s="43"/>
      <c r="Q643" s="43"/>
      <c r="R643" s="43"/>
      <c r="S643" s="43"/>
    </row>
    <row r="644" spans="10:19" ht="15.75" customHeight="1">
      <c r="J644" s="41"/>
      <c r="K644" s="41"/>
      <c r="M644" s="42"/>
      <c r="N644" s="42"/>
      <c r="O644" s="43"/>
      <c r="P644" s="43"/>
      <c r="Q644" s="43"/>
      <c r="R644" s="43"/>
      <c r="S644" s="43"/>
    </row>
    <row r="645" spans="10:19" ht="15.75" customHeight="1">
      <c r="J645" s="41"/>
      <c r="K645" s="41"/>
      <c r="M645" s="42"/>
      <c r="N645" s="42"/>
      <c r="O645" s="43"/>
      <c r="P645" s="43"/>
      <c r="Q645" s="43"/>
      <c r="R645" s="43"/>
      <c r="S645" s="43"/>
    </row>
    <row r="646" spans="10:19" ht="15.75" customHeight="1">
      <c r="J646" s="41"/>
      <c r="K646" s="41"/>
      <c r="M646" s="42"/>
      <c r="N646" s="42"/>
      <c r="O646" s="43"/>
      <c r="P646" s="43"/>
      <c r="Q646" s="43"/>
      <c r="R646" s="43"/>
      <c r="S646" s="43"/>
    </row>
    <row r="647" spans="10:19" ht="15.75" customHeight="1">
      <c r="J647" s="41"/>
      <c r="K647" s="41"/>
      <c r="M647" s="42"/>
      <c r="N647" s="42"/>
      <c r="O647" s="43"/>
      <c r="P647" s="43"/>
      <c r="Q647" s="43"/>
      <c r="R647" s="43"/>
      <c r="S647" s="43"/>
    </row>
    <row r="648" spans="10:19" ht="15.75" customHeight="1">
      <c r="J648" s="41"/>
      <c r="K648" s="41"/>
      <c r="M648" s="42"/>
      <c r="N648" s="42"/>
      <c r="O648" s="43"/>
      <c r="P648" s="43"/>
      <c r="Q648" s="43"/>
      <c r="R648" s="43"/>
      <c r="S648" s="43"/>
    </row>
    <row r="649" spans="10:19" ht="15.75" customHeight="1">
      <c r="J649" s="41"/>
      <c r="K649" s="41"/>
      <c r="M649" s="42"/>
      <c r="N649" s="42"/>
      <c r="O649" s="43"/>
      <c r="P649" s="43"/>
      <c r="Q649" s="43"/>
      <c r="R649" s="43"/>
      <c r="S649" s="43"/>
    </row>
    <row r="650" spans="10:19" ht="15.75" customHeight="1">
      <c r="J650" s="41"/>
      <c r="K650" s="41"/>
      <c r="M650" s="42"/>
      <c r="N650" s="42"/>
      <c r="O650" s="43"/>
      <c r="P650" s="43"/>
      <c r="Q650" s="43"/>
      <c r="R650" s="43"/>
      <c r="S650" s="43"/>
    </row>
    <row r="651" spans="10:19" ht="15.75" customHeight="1">
      <c r="J651" s="41"/>
      <c r="K651" s="41"/>
      <c r="M651" s="42"/>
      <c r="N651" s="42"/>
      <c r="O651" s="43"/>
      <c r="P651" s="43"/>
      <c r="Q651" s="43"/>
      <c r="R651" s="43"/>
      <c r="S651" s="43"/>
    </row>
    <row r="652" spans="10:19" ht="15.75" customHeight="1">
      <c r="J652" s="41"/>
      <c r="K652" s="41"/>
      <c r="M652" s="42"/>
      <c r="N652" s="42"/>
      <c r="O652" s="43"/>
      <c r="P652" s="43"/>
      <c r="Q652" s="43"/>
      <c r="R652" s="43"/>
      <c r="S652" s="43"/>
    </row>
    <row r="653" spans="10:19" ht="15.75" customHeight="1">
      <c r="J653" s="41"/>
      <c r="K653" s="41"/>
      <c r="M653" s="42"/>
      <c r="N653" s="42"/>
      <c r="O653" s="43"/>
      <c r="P653" s="43"/>
      <c r="Q653" s="43"/>
      <c r="R653" s="43"/>
      <c r="S653" s="43"/>
    </row>
    <row r="654" spans="10:19" ht="15.75" customHeight="1">
      <c r="J654" s="41"/>
      <c r="K654" s="41"/>
      <c r="M654" s="42"/>
      <c r="N654" s="42"/>
      <c r="O654" s="43"/>
      <c r="P654" s="43"/>
      <c r="Q654" s="43"/>
      <c r="R654" s="43"/>
      <c r="S654" s="43"/>
    </row>
    <row r="655" spans="10:19" ht="15.75" customHeight="1">
      <c r="J655" s="41"/>
      <c r="K655" s="41"/>
      <c r="M655" s="42"/>
      <c r="N655" s="42"/>
      <c r="O655" s="43"/>
      <c r="P655" s="43"/>
      <c r="Q655" s="43"/>
      <c r="R655" s="43"/>
      <c r="S655" s="43"/>
    </row>
    <row r="656" spans="10:19" ht="15.75" customHeight="1">
      <c r="J656" s="41"/>
      <c r="K656" s="41"/>
      <c r="M656" s="42"/>
      <c r="N656" s="42"/>
      <c r="O656" s="43"/>
      <c r="P656" s="43"/>
      <c r="Q656" s="43"/>
      <c r="R656" s="43"/>
      <c r="S656" s="43"/>
    </row>
    <row r="657" spans="10:19" ht="15.75" customHeight="1">
      <c r="J657" s="41"/>
      <c r="K657" s="41"/>
      <c r="M657" s="42"/>
      <c r="N657" s="42"/>
      <c r="O657" s="43"/>
      <c r="P657" s="43"/>
      <c r="Q657" s="43"/>
      <c r="R657" s="43"/>
      <c r="S657" s="43"/>
    </row>
    <row r="658" spans="10:19" ht="15.75" customHeight="1">
      <c r="J658" s="41"/>
      <c r="K658" s="41"/>
      <c r="M658" s="42"/>
      <c r="N658" s="42"/>
      <c r="O658" s="43"/>
      <c r="P658" s="43"/>
      <c r="Q658" s="43"/>
      <c r="R658" s="43"/>
      <c r="S658" s="43"/>
    </row>
    <row r="659" spans="10:19" ht="15.75" customHeight="1">
      <c r="J659" s="41"/>
      <c r="K659" s="41"/>
      <c r="N659" s="42"/>
      <c r="O659" s="43"/>
      <c r="P659" s="43"/>
      <c r="Q659" s="43"/>
      <c r="R659" s="43"/>
      <c r="S659" s="43"/>
    </row>
    <row r="660" spans="10:19" ht="15.75" customHeight="1">
      <c r="J660" s="41"/>
      <c r="K660" s="41"/>
      <c r="M660" s="42"/>
      <c r="N660" s="42"/>
      <c r="O660" s="43"/>
      <c r="P660" s="43"/>
      <c r="Q660" s="43"/>
      <c r="R660" s="43"/>
      <c r="S660" s="43"/>
    </row>
    <row r="661" spans="10:19" ht="15.75" customHeight="1">
      <c r="J661" s="41"/>
      <c r="K661" s="41"/>
      <c r="M661" s="42"/>
      <c r="N661" s="42"/>
      <c r="O661" s="43"/>
      <c r="P661" s="43"/>
      <c r="Q661" s="43"/>
      <c r="R661" s="43"/>
      <c r="S661" s="43"/>
    </row>
    <row r="662" spans="10:19" ht="15.75" customHeight="1">
      <c r="J662" s="41"/>
      <c r="K662" s="41"/>
      <c r="M662" s="42"/>
      <c r="N662" s="42"/>
      <c r="O662" s="43"/>
      <c r="P662" s="43"/>
      <c r="Q662" s="43"/>
      <c r="R662" s="43"/>
      <c r="S662" s="43"/>
    </row>
    <row r="663" spans="10:19" ht="15.75" customHeight="1">
      <c r="J663" s="41"/>
      <c r="K663" s="41"/>
      <c r="M663" s="42"/>
      <c r="N663" s="42"/>
      <c r="O663" s="43"/>
      <c r="P663" s="43"/>
      <c r="Q663" s="43"/>
      <c r="R663" s="43"/>
      <c r="S663" s="43"/>
    </row>
    <row r="664" spans="10:19" ht="15.75" customHeight="1">
      <c r="J664" s="41"/>
      <c r="K664" s="41"/>
      <c r="M664" s="42"/>
      <c r="N664" s="42"/>
      <c r="O664" s="43"/>
      <c r="P664" s="43"/>
      <c r="Q664" s="43"/>
      <c r="R664" s="43"/>
      <c r="S664" s="43"/>
    </row>
    <row r="665" spans="10:19" ht="15.75" customHeight="1">
      <c r="J665" s="41"/>
      <c r="K665" s="42"/>
      <c r="N665" s="42"/>
      <c r="O665" s="43"/>
      <c r="P665" s="43"/>
      <c r="Q665" s="43"/>
      <c r="R665" s="43"/>
      <c r="S665" s="43"/>
    </row>
    <row r="666" spans="10:19" ht="15.75" customHeight="1">
      <c r="J666" s="41"/>
      <c r="K666" s="41"/>
      <c r="M666" s="42"/>
      <c r="N666" s="42"/>
      <c r="O666" s="43"/>
      <c r="P666" s="43"/>
      <c r="Q666" s="43"/>
      <c r="R666" s="43"/>
      <c r="S666" s="43"/>
    </row>
    <row r="667" spans="10:19" ht="15.75" customHeight="1">
      <c r="J667" s="41"/>
      <c r="K667" s="41"/>
      <c r="M667" s="42"/>
      <c r="N667" s="42"/>
      <c r="O667" s="43"/>
      <c r="P667" s="43"/>
      <c r="Q667" s="43"/>
      <c r="R667" s="43"/>
      <c r="S667" s="43"/>
    </row>
    <row r="668" spans="10:19" ht="15.75" customHeight="1">
      <c r="J668" s="41"/>
      <c r="K668" s="41"/>
      <c r="M668" s="42"/>
      <c r="N668" s="42"/>
      <c r="O668" s="43"/>
      <c r="P668" s="43"/>
      <c r="Q668" s="43"/>
      <c r="R668" s="43"/>
      <c r="S668" s="43"/>
    </row>
    <row r="669" spans="10:19" ht="15.75" customHeight="1">
      <c r="J669" s="41"/>
      <c r="K669" s="41"/>
      <c r="M669" s="42"/>
      <c r="N669" s="42"/>
      <c r="O669" s="43"/>
      <c r="P669" s="43"/>
      <c r="Q669" s="43"/>
      <c r="R669" s="43"/>
      <c r="S669" s="43"/>
    </row>
    <row r="670" spans="10:19" ht="15.75" customHeight="1">
      <c r="J670" s="41"/>
      <c r="K670" s="41"/>
      <c r="M670" s="42"/>
      <c r="N670" s="42"/>
      <c r="O670" s="43"/>
      <c r="P670" s="43"/>
      <c r="Q670" s="43"/>
      <c r="R670" s="43"/>
      <c r="S670" s="43"/>
    </row>
    <row r="671" spans="10:19" ht="15.75" customHeight="1">
      <c r="J671" s="41"/>
      <c r="K671" s="41"/>
      <c r="M671" s="42"/>
      <c r="N671" s="42"/>
      <c r="O671" s="43"/>
      <c r="P671" s="43"/>
      <c r="Q671" s="43"/>
      <c r="R671" s="43"/>
      <c r="S671" s="43"/>
    </row>
    <row r="672" spans="10:19" ht="15.75" customHeight="1">
      <c r="J672" s="41"/>
      <c r="K672" s="41"/>
      <c r="M672" s="42"/>
      <c r="N672" s="42"/>
      <c r="O672" s="43"/>
      <c r="P672" s="43"/>
      <c r="Q672" s="43"/>
      <c r="R672" s="43"/>
      <c r="S672" s="43"/>
    </row>
    <row r="673" spans="10:19" ht="15.75" customHeight="1">
      <c r="J673" s="41"/>
      <c r="K673" s="41"/>
      <c r="M673" s="42"/>
      <c r="N673" s="42"/>
      <c r="O673" s="43"/>
      <c r="P673" s="43"/>
      <c r="Q673" s="43"/>
      <c r="R673" s="43"/>
      <c r="S673" s="43"/>
    </row>
    <row r="674" spans="10:19" ht="15.75" customHeight="1">
      <c r="J674" s="41"/>
      <c r="K674" s="41"/>
      <c r="M674" s="42"/>
      <c r="N674" s="42"/>
      <c r="O674" s="43"/>
      <c r="P674" s="43"/>
      <c r="Q674" s="43"/>
      <c r="R674" s="43"/>
      <c r="S674" s="43"/>
    </row>
    <row r="675" spans="10:19" ht="15.75" customHeight="1">
      <c r="J675" s="41"/>
      <c r="K675" s="41"/>
      <c r="M675" s="42"/>
      <c r="N675" s="42"/>
      <c r="O675" s="43"/>
      <c r="P675" s="43"/>
      <c r="Q675" s="43"/>
      <c r="R675" s="43"/>
      <c r="S675" s="43"/>
    </row>
    <row r="676" spans="10:19" ht="15.75" customHeight="1">
      <c r="J676" s="41"/>
      <c r="K676" s="41"/>
      <c r="M676" s="42"/>
      <c r="N676" s="42"/>
      <c r="O676" s="43"/>
      <c r="P676" s="43"/>
      <c r="Q676" s="43"/>
      <c r="R676" s="43"/>
      <c r="S676" s="43"/>
    </row>
    <row r="677" spans="10:19" ht="15.75" customHeight="1">
      <c r="J677" s="41"/>
      <c r="K677" s="41"/>
      <c r="M677" s="42"/>
      <c r="N677" s="42"/>
      <c r="O677" s="43"/>
      <c r="P677" s="43"/>
      <c r="Q677" s="43"/>
      <c r="R677" s="43"/>
      <c r="S677" s="43"/>
    </row>
    <row r="678" spans="10:19" ht="15.75" customHeight="1">
      <c r="J678" s="41"/>
      <c r="K678" s="41"/>
      <c r="M678" s="42"/>
      <c r="N678" s="42"/>
      <c r="O678" s="43"/>
      <c r="P678" s="43"/>
      <c r="Q678" s="43"/>
      <c r="R678" s="43"/>
      <c r="S678" s="43"/>
    </row>
    <row r="679" spans="10:19" ht="15.75" customHeight="1">
      <c r="J679" s="41"/>
      <c r="K679" s="41"/>
      <c r="M679" s="42"/>
      <c r="N679" s="42"/>
      <c r="O679" s="43"/>
      <c r="P679" s="43"/>
      <c r="Q679" s="43"/>
      <c r="R679" s="43"/>
      <c r="S679" s="43"/>
    </row>
    <row r="680" spans="10:19" ht="15.75" customHeight="1">
      <c r="J680" s="41"/>
      <c r="K680" s="41"/>
      <c r="M680" s="42"/>
      <c r="N680" s="42"/>
      <c r="O680" s="43"/>
      <c r="P680" s="43"/>
      <c r="Q680" s="43"/>
      <c r="R680" s="43"/>
      <c r="S680" s="43"/>
    </row>
    <row r="681" spans="10:19" ht="15.75" customHeight="1">
      <c r="J681" s="41"/>
      <c r="K681" s="41"/>
      <c r="M681" s="42"/>
      <c r="N681" s="42"/>
      <c r="O681" s="43"/>
      <c r="P681" s="43"/>
      <c r="Q681" s="43"/>
      <c r="R681" s="43"/>
      <c r="S681" s="43"/>
    </row>
    <row r="682" spans="10:19" ht="15.75" customHeight="1">
      <c r="J682" s="41"/>
      <c r="K682" s="41"/>
      <c r="M682" s="42"/>
      <c r="N682" s="42"/>
      <c r="O682" s="43"/>
      <c r="P682" s="43"/>
      <c r="Q682" s="43"/>
      <c r="R682" s="43"/>
      <c r="S682" s="43"/>
    </row>
    <row r="683" spans="10:19" ht="15.75" customHeight="1">
      <c r="J683" s="41"/>
      <c r="K683" s="41"/>
      <c r="M683" s="42"/>
      <c r="N683" s="42"/>
      <c r="O683" s="43"/>
      <c r="P683" s="43"/>
      <c r="Q683" s="43"/>
      <c r="R683" s="43"/>
      <c r="S683" s="43"/>
    </row>
    <row r="684" spans="10:19" ht="15.75" customHeight="1">
      <c r="J684" s="41"/>
      <c r="K684" s="41"/>
      <c r="M684" s="42"/>
      <c r="N684" s="42"/>
      <c r="O684" s="43"/>
      <c r="P684" s="43"/>
      <c r="Q684" s="43"/>
      <c r="R684" s="43"/>
      <c r="S684" s="43"/>
    </row>
    <row r="685" spans="10:19" ht="15.75" customHeight="1">
      <c r="J685" s="41"/>
      <c r="K685" s="41"/>
      <c r="M685" s="42"/>
      <c r="N685" s="42"/>
      <c r="O685" s="43"/>
      <c r="P685" s="43"/>
      <c r="Q685" s="43"/>
      <c r="R685" s="43"/>
      <c r="S685" s="43"/>
    </row>
    <row r="686" spans="10:19" ht="15.75" customHeight="1">
      <c r="J686" s="41"/>
      <c r="K686" s="41"/>
      <c r="M686" s="42"/>
      <c r="N686" s="42"/>
      <c r="O686" s="43"/>
      <c r="P686" s="43"/>
      <c r="Q686" s="43"/>
      <c r="R686" s="43"/>
      <c r="S686" s="43"/>
    </row>
    <row r="687" spans="10:19" ht="15.75" customHeight="1">
      <c r="J687" s="41"/>
      <c r="K687" s="41"/>
      <c r="M687" s="42"/>
      <c r="N687" s="42"/>
      <c r="O687" s="43"/>
      <c r="P687" s="43"/>
      <c r="Q687" s="43"/>
      <c r="R687" s="43"/>
      <c r="S687" s="43"/>
    </row>
    <row r="688" spans="10:19" ht="15.75" customHeight="1">
      <c r="J688" s="41"/>
      <c r="K688" s="41"/>
      <c r="M688" s="42"/>
      <c r="N688" s="42"/>
      <c r="O688" s="43"/>
      <c r="P688" s="43"/>
      <c r="Q688" s="43"/>
      <c r="R688" s="43"/>
      <c r="S688" s="43"/>
    </row>
    <row r="689" spans="10:19" ht="15.75" customHeight="1">
      <c r="J689" s="41"/>
      <c r="K689" s="41"/>
      <c r="M689" s="42"/>
      <c r="N689" s="42"/>
      <c r="O689" s="43"/>
      <c r="P689" s="43"/>
      <c r="Q689" s="43"/>
      <c r="R689" s="43"/>
      <c r="S689" s="43"/>
    </row>
    <row r="690" spans="10:19" ht="15.75" customHeight="1">
      <c r="J690" s="41"/>
      <c r="K690" s="41"/>
      <c r="M690" s="42"/>
      <c r="N690" s="42"/>
      <c r="O690" s="43"/>
      <c r="P690" s="43"/>
      <c r="Q690" s="43"/>
      <c r="R690" s="43"/>
      <c r="S690" s="43"/>
    </row>
    <row r="691" spans="10:19" ht="15.75" customHeight="1">
      <c r="J691" s="41"/>
      <c r="K691" s="41"/>
      <c r="M691" s="42"/>
      <c r="N691" s="42"/>
      <c r="O691" s="43"/>
      <c r="P691" s="43"/>
      <c r="Q691" s="43"/>
      <c r="R691" s="43"/>
      <c r="S691" s="43"/>
    </row>
    <row r="692" spans="10:19" ht="15.75" customHeight="1">
      <c r="J692" s="41"/>
      <c r="K692" s="41"/>
      <c r="M692" s="42"/>
      <c r="N692" s="42"/>
      <c r="O692" s="43"/>
      <c r="P692" s="43"/>
      <c r="Q692" s="43"/>
      <c r="R692" s="43"/>
      <c r="S692" s="43"/>
    </row>
    <row r="693" spans="10:19" ht="15.75" customHeight="1">
      <c r="J693" s="42"/>
      <c r="K693" s="42"/>
      <c r="O693" s="43"/>
      <c r="P693" s="43"/>
      <c r="Q693" s="43"/>
      <c r="R693" s="43"/>
      <c r="S693" s="43"/>
    </row>
    <row r="694" spans="10:19" ht="15.75" customHeight="1">
      <c r="J694" s="41"/>
      <c r="K694" s="41"/>
      <c r="M694" s="42"/>
      <c r="N694" s="42"/>
      <c r="O694" s="43"/>
      <c r="P694" s="43"/>
      <c r="Q694" s="43"/>
      <c r="R694" s="43"/>
      <c r="S694" s="43"/>
    </row>
    <row r="695" spans="10:19" ht="15.75" customHeight="1">
      <c r="J695" s="41"/>
      <c r="K695" s="41"/>
      <c r="M695" s="42"/>
      <c r="N695" s="42"/>
      <c r="O695" s="43"/>
      <c r="P695" s="43"/>
      <c r="Q695" s="43"/>
      <c r="R695" s="43"/>
      <c r="S695" s="43"/>
    </row>
    <row r="696" spans="10:19" ht="15.75" customHeight="1">
      <c r="J696" s="41"/>
      <c r="K696" s="42"/>
      <c r="N696" s="42"/>
      <c r="O696" s="43"/>
      <c r="P696" s="43"/>
      <c r="Q696" s="43"/>
      <c r="R696" s="43"/>
      <c r="S696" s="43"/>
    </row>
    <row r="697" spans="10:19" ht="15.75" customHeight="1">
      <c r="J697" s="41"/>
      <c r="K697" s="41"/>
      <c r="M697" s="42"/>
      <c r="N697" s="42"/>
      <c r="O697" s="43"/>
      <c r="P697" s="43"/>
      <c r="Q697" s="43"/>
      <c r="R697" s="43"/>
      <c r="S697" s="43"/>
    </row>
    <row r="698" spans="10:19" ht="15.75" customHeight="1">
      <c r="J698" s="41"/>
      <c r="K698" s="41"/>
      <c r="M698" s="42"/>
      <c r="N698" s="42"/>
      <c r="O698" s="43"/>
      <c r="P698" s="43"/>
      <c r="Q698" s="43"/>
      <c r="R698" s="43"/>
      <c r="S698" s="43"/>
    </row>
    <row r="699" spans="10:19" ht="15.75" customHeight="1">
      <c r="J699" s="41"/>
      <c r="K699" s="41"/>
      <c r="M699" s="42"/>
      <c r="N699" s="42"/>
      <c r="O699" s="43"/>
      <c r="P699" s="43"/>
      <c r="Q699" s="43"/>
      <c r="R699" s="43"/>
      <c r="S699" s="43"/>
    </row>
    <row r="700" spans="10:19" ht="15.75" customHeight="1">
      <c r="J700" s="41"/>
      <c r="K700" s="41"/>
      <c r="M700" s="42"/>
      <c r="N700" s="42"/>
      <c r="O700" s="43"/>
      <c r="P700" s="43"/>
      <c r="Q700" s="43"/>
      <c r="R700" s="43"/>
      <c r="S700" s="43"/>
    </row>
    <row r="701" spans="10:19" ht="15.75" customHeight="1">
      <c r="J701" s="41"/>
      <c r="K701" s="41"/>
      <c r="M701" s="42"/>
      <c r="N701" s="42"/>
      <c r="O701" s="43"/>
      <c r="P701" s="43"/>
      <c r="Q701" s="43"/>
      <c r="R701" s="43"/>
      <c r="S701" s="43"/>
    </row>
    <row r="702" spans="10:19" ht="15.75" customHeight="1">
      <c r="J702" s="41"/>
      <c r="K702" s="41"/>
      <c r="M702" s="42"/>
      <c r="N702" s="42"/>
      <c r="O702" s="43"/>
      <c r="P702" s="43"/>
      <c r="Q702" s="43"/>
      <c r="R702" s="43"/>
      <c r="S702" s="43"/>
    </row>
    <row r="703" spans="10:19" ht="15.75" customHeight="1">
      <c r="J703" s="41"/>
      <c r="K703" s="41"/>
      <c r="M703" s="42"/>
      <c r="N703" s="42"/>
      <c r="O703" s="43"/>
      <c r="P703" s="43"/>
      <c r="Q703" s="43"/>
      <c r="R703" s="43"/>
      <c r="S703" s="43"/>
    </row>
    <row r="704" spans="10:19" ht="15.75" customHeight="1">
      <c r="J704" s="41"/>
      <c r="K704" s="41"/>
      <c r="M704" s="42"/>
      <c r="N704" s="42"/>
      <c r="O704" s="43"/>
      <c r="P704" s="43"/>
      <c r="Q704" s="43"/>
      <c r="R704" s="43"/>
      <c r="S704" s="43"/>
    </row>
    <row r="705" spans="10:19" ht="15.75" customHeight="1">
      <c r="J705" s="41"/>
      <c r="K705" s="41"/>
      <c r="M705" s="42"/>
      <c r="N705" s="42"/>
      <c r="O705" s="43"/>
      <c r="P705" s="43"/>
      <c r="Q705" s="43"/>
      <c r="R705" s="43"/>
      <c r="S705" s="43"/>
    </row>
    <row r="706" spans="10:19" ht="15.75" customHeight="1">
      <c r="J706" s="41"/>
      <c r="K706" s="41"/>
      <c r="M706" s="42"/>
      <c r="N706" s="42"/>
      <c r="O706" s="43"/>
      <c r="P706" s="43"/>
      <c r="Q706" s="43"/>
      <c r="R706" s="43"/>
      <c r="S706" s="43"/>
    </row>
    <row r="707" spans="10:19" ht="15.75" customHeight="1">
      <c r="J707" s="41"/>
      <c r="K707" s="41"/>
      <c r="M707" s="42"/>
      <c r="N707" s="42"/>
      <c r="O707" s="43"/>
      <c r="P707" s="43"/>
      <c r="Q707" s="43"/>
      <c r="R707" s="43"/>
      <c r="S707" s="43"/>
    </row>
    <row r="708" spans="10:19" ht="15.75" customHeight="1">
      <c r="J708" s="41"/>
      <c r="K708" s="41"/>
      <c r="M708" s="42"/>
      <c r="N708" s="42"/>
      <c r="O708" s="43"/>
      <c r="P708" s="43"/>
      <c r="Q708" s="43"/>
      <c r="R708" s="43"/>
      <c r="S708" s="43"/>
    </row>
    <row r="709" spans="10:19" ht="15.75" customHeight="1">
      <c r="J709" s="41"/>
      <c r="K709" s="41"/>
      <c r="M709" s="42"/>
      <c r="N709" s="42"/>
      <c r="O709" s="43"/>
      <c r="P709" s="43"/>
      <c r="Q709" s="43"/>
      <c r="R709" s="43"/>
      <c r="S709" s="43"/>
    </row>
    <row r="710" spans="10:19" ht="15.75" customHeight="1">
      <c r="J710" s="41"/>
      <c r="K710" s="41"/>
      <c r="M710" s="42"/>
      <c r="N710" s="42"/>
      <c r="O710" s="43"/>
      <c r="P710" s="43"/>
      <c r="Q710" s="43"/>
      <c r="R710" s="43"/>
      <c r="S710" s="43"/>
    </row>
    <row r="711" spans="10:19" ht="15.75" customHeight="1">
      <c r="J711" s="41"/>
      <c r="K711" s="41"/>
      <c r="M711" s="42"/>
      <c r="N711" s="42"/>
      <c r="O711" s="43"/>
      <c r="P711" s="43"/>
      <c r="Q711" s="43"/>
      <c r="R711" s="43"/>
      <c r="S711" s="43"/>
    </row>
    <row r="712" spans="10:19" ht="15.75" customHeight="1">
      <c r="J712" s="41"/>
      <c r="K712" s="41"/>
      <c r="M712" s="42"/>
      <c r="N712" s="42"/>
      <c r="O712" s="43"/>
      <c r="P712" s="43"/>
      <c r="Q712" s="43"/>
      <c r="R712" s="43"/>
      <c r="S712" s="43"/>
    </row>
    <row r="713" spans="10:19" ht="15.75" customHeight="1">
      <c r="J713" s="41"/>
      <c r="K713" s="41"/>
      <c r="M713" s="42"/>
      <c r="N713" s="42"/>
      <c r="O713" s="43"/>
      <c r="P713" s="43"/>
      <c r="Q713" s="43"/>
      <c r="R713" s="43"/>
      <c r="S713" s="43"/>
    </row>
    <row r="714" spans="10:19" ht="15.75" customHeight="1">
      <c r="J714" s="41"/>
      <c r="K714" s="41"/>
      <c r="M714" s="42"/>
      <c r="N714" s="42"/>
      <c r="O714" s="43"/>
      <c r="P714" s="43"/>
      <c r="Q714" s="43"/>
      <c r="R714" s="43"/>
      <c r="S714" s="43"/>
    </row>
    <row r="715" spans="10:19" ht="15.75" customHeight="1">
      <c r="J715" s="41"/>
      <c r="K715" s="41"/>
      <c r="M715" s="42"/>
      <c r="N715" s="42"/>
      <c r="O715" s="43"/>
      <c r="P715" s="43"/>
      <c r="Q715" s="43"/>
      <c r="R715" s="43"/>
      <c r="S715" s="43"/>
    </row>
    <row r="716" spans="10:19" ht="15.75" customHeight="1">
      <c r="J716" s="41"/>
      <c r="K716" s="41"/>
      <c r="M716" s="42"/>
      <c r="N716" s="42"/>
      <c r="O716" s="43"/>
      <c r="P716" s="43"/>
      <c r="Q716" s="43"/>
      <c r="R716" s="43"/>
      <c r="S716" s="43"/>
    </row>
    <row r="717" spans="10:19" ht="15.75" customHeight="1">
      <c r="J717" s="41"/>
      <c r="K717" s="41"/>
      <c r="M717" s="42"/>
      <c r="N717" s="42"/>
      <c r="O717" s="43"/>
      <c r="P717" s="43"/>
      <c r="Q717" s="43"/>
      <c r="R717" s="43"/>
      <c r="S717" s="43"/>
    </row>
    <row r="718" spans="10:19" ht="15.75" customHeight="1">
      <c r="J718" s="41"/>
      <c r="K718" s="41"/>
      <c r="M718" s="42"/>
      <c r="N718" s="42"/>
      <c r="O718" s="43"/>
      <c r="P718" s="43"/>
      <c r="Q718" s="43"/>
      <c r="R718" s="43"/>
      <c r="S718" s="43"/>
    </row>
    <row r="719" spans="10:19" ht="15.75" customHeight="1">
      <c r="J719" s="41"/>
      <c r="K719" s="41"/>
      <c r="M719" s="42"/>
      <c r="N719" s="42"/>
      <c r="O719" s="43"/>
      <c r="P719" s="43"/>
      <c r="Q719" s="43"/>
      <c r="R719" s="43"/>
      <c r="S719" s="43"/>
    </row>
    <row r="720" spans="10:19" ht="15.75" customHeight="1">
      <c r="J720" s="41"/>
      <c r="K720" s="41"/>
      <c r="M720" s="42"/>
      <c r="N720" s="42"/>
      <c r="O720" s="43"/>
      <c r="P720" s="43"/>
      <c r="Q720" s="43"/>
      <c r="R720" s="43"/>
      <c r="S720" s="43"/>
    </row>
    <row r="721" spans="10:19" ht="15.75" customHeight="1">
      <c r="J721" s="41"/>
      <c r="K721" s="41"/>
      <c r="M721" s="42"/>
      <c r="N721" s="42"/>
      <c r="O721" s="43"/>
      <c r="P721" s="43"/>
      <c r="Q721" s="43"/>
      <c r="R721" s="43"/>
      <c r="S721" s="43"/>
    </row>
    <row r="722" spans="10:19" ht="15.75" customHeight="1">
      <c r="J722" s="41"/>
      <c r="K722" s="41"/>
      <c r="M722" s="42"/>
      <c r="N722" s="42"/>
      <c r="O722" s="43"/>
      <c r="P722" s="43"/>
      <c r="Q722" s="43"/>
      <c r="R722" s="43"/>
      <c r="S722" s="43"/>
    </row>
    <row r="723" spans="10:19" ht="15.75" customHeight="1">
      <c r="J723" s="41"/>
      <c r="K723" s="41"/>
      <c r="M723" s="42"/>
      <c r="N723" s="42"/>
      <c r="O723" s="43"/>
      <c r="P723" s="43"/>
      <c r="Q723" s="43"/>
      <c r="R723" s="43"/>
      <c r="S723" s="43"/>
    </row>
    <row r="724" spans="10:19" ht="15.75" customHeight="1">
      <c r="J724" s="41"/>
      <c r="K724" s="41"/>
      <c r="M724" s="42"/>
      <c r="N724" s="42"/>
      <c r="O724" s="43"/>
      <c r="P724" s="43"/>
      <c r="Q724" s="43"/>
      <c r="R724" s="43"/>
      <c r="S724" s="43"/>
    </row>
    <row r="725" spans="10:19" ht="15.75" customHeight="1">
      <c r="J725" s="41"/>
      <c r="K725" s="41"/>
      <c r="M725" s="42"/>
      <c r="N725" s="42"/>
      <c r="O725" s="43"/>
      <c r="P725" s="43"/>
      <c r="Q725" s="43"/>
      <c r="R725" s="43"/>
      <c r="S725" s="43"/>
    </row>
    <row r="726" spans="10:19" ht="15.75" customHeight="1">
      <c r="J726" s="41"/>
      <c r="K726" s="41"/>
      <c r="M726" s="42"/>
      <c r="N726" s="42"/>
      <c r="O726" s="43"/>
      <c r="P726" s="43"/>
      <c r="Q726" s="43"/>
      <c r="R726" s="43"/>
      <c r="S726" s="43"/>
    </row>
    <row r="727" spans="10:19" ht="15.75" customHeight="1">
      <c r="J727" s="41"/>
      <c r="K727" s="41"/>
      <c r="M727" s="42"/>
      <c r="N727" s="42"/>
      <c r="O727" s="43"/>
      <c r="P727" s="43"/>
      <c r="Q727" s="43"/>
      <c r="R727" s="43"/>
      <c r="S727" s="43"/>
    </row>
    <row r="728" spans="10:19" ht="15.75" customHeight="1">
      <c r="J728" s="41"/>
      <c r="K728" s="41"/>
      <c r="M728" s="42"/>
      <c r="N728" s="42"/>
      <c r="O728" s="43"/>
      <c r="P728" s="43"/>
      <c r="Q728" s="43"/>
      <c r="R728" s="43"/>
      <c r="S728" s="43"/>
    </row>
    <row r="729" spans="10:19" ht="15.75" customHeight="1">
      <c r="J729" s="41"/>
      <c r="K729" s="41"/>
      <c r="M729" s="42"/>
      <c r="N729" s="42"/>
      <c r="O729" s="43"/>
      <c r="P729" s="43"/>
      <c r="Q729" s="43"/>
      <c r="R729" s="43"/>
      <c r="S729" s="43"/>
    </row>
    <row r="730" spans="10:19" ht="15.75" customHeight="1">
      <c r="J730" s="41"/>
      <c r="K730" s="41"/>
      <c r="M730" s="42"/>
      <c r="N730" s="42"/>
      <c r="O730" s="43"/>
      <c r="P730" s="43"/>
      <c r="Q730" s="43"/>
      <c r="R730" s="43"/>
      <c r="S730" s="43"/>
    </row>
    <row r="731" spans="10:19" ht="15.75" customHeight="1">
      <c r="J731" s="41"/>
      <c r="K731" s="41"/>
      <c r="M731" s="42"/>
      <c r="N731" s="42"/>
      <c r="O731" s="43"/>
      <c r="P731" s="43"/>
      <c r="Q731" s="43"/>
      <c r="R731" s="43"/>
      <c r="S731" s="43"/>
    </row>
    <row r="732" spans="10:19" ht="15.75" customHeight="1">
      <c r="J732" s="41"/>
      <c r="K732" s="41"/>
      <c r="M732" s="42"/>
      <c r="N732" s="42"/>
      <c r="O732" s="43"/>
      <c r="P732" s="43"/>
      <c r="Q732" s="43"/>
      <c r="R732" s="43"/>
      <c r="S732" s="43"/>
    </row>
    <row r="733" spans="10:19" ht="15.75" customHeight="1">
      <c r="J733" s="41"/>
      <c r="K733" s="41"/>
      <c r="M733" s="42"/>
      <c r="N733" s="42"/>
      <c r="O733" s="43"/>
      <c r="P733" s="43"/>
      <c r="Q733" s="43"/>
      <c r="R733" s="43"/>
      <c r="S733" s="43"/>
    </row>
    <row r="734" spans="10:19" ht="15.75" customHeight="1">
      <c r="J734" s="41"/>
      <c r="K734" s="41"/>
      <c r="M734" s="42"/>
      <c r="N734" s="42"/>
      <c r="O734" s="43"/>
      <c r="P734" s="43"/>
      <c r="Q734" s="43"/>
      <c r="R734" s="43"/>
      <c r="S734" s="43"/>
    </row>
    <row r="735" spans="10:19" ht="15.75" customHeight="1">
      <c r="J735" s="41"/>
      <c r="K735" s="41"/>
      <c r="M735" s="42"/>
      <c r="N735" s="42"/>
      <c r="O735" s="43"/>
      <c r="P735" s="43"/>
      <c r="Q735" s="43"/>
      <c r="R735" s="43"/>
      <c r="S735" s="43"/>
    </row>
    <row r="736" spans="10:19" ht="15.75" customHeight="1">
      <c r="J736" s="41"/>
      <c r="K736" s="41"/>
      <c r="M736" s="42"/>
      <c r="N736" s="42"/>
      <c r="O736" s="43"/>
      <c r="P736" s="43"/>
      <c r="Q736" s="43"/>
      <c r="R736" s="43"/>
      <c r="S736" s="43"/>
    </row>
    <row r="737" spans="10:19" ht="15.75" customHeight="1">
      <c r="J737" s="41"/>
      <c r="K737" s="41"/>
      <c r="M737" s="42"/>
      <c r="N737" s="42"/>
      <c r="O737" s="43"/>
      <c r="P737" s="43"/>
      <c r="Q737" s="43"/>
      <c r="R737" s="43"/>
      <c r="S737" s="43"/>
    </row>
    <row r="738" spans="10:19" ht="15.75" customHeight="1">
      <c r="J738" s="41"/>
      <c r="K738" s="41"/>
      <c r="M738" s="42"/>
      <c r="N738" s="42"/>
      <c r="O738" s="43"/>
      <c r="P738" s="43"/>
      <c r="Q738" s="43"/>
      <c r="R738" s="43"/>
      <c r="S738" s="43"/>
    </row>
    <row r="739" spans="10:19" ht="15.75" customHeight="1">
      <c r="J739" s="41"/>
      <c r="K739" s="41"/>
      <c r="M739" s="42"/>
      <c r="N739" s="42"/>
      <c r="O739" s="43"/>
      <c r="P739" s="43"/>
      <c r="Q739" s="43"/>
      <c r="R739" s="43"/>
      <c r="S739" s="43"/>
    </row>
    <row r="740" spans="10:19" ht="15.75" customHeight="1">
      <c r="J740" s="41"/>
      <c r="K740" s="41"/>
      <c r="M740" s="42"/>
      <c r="N740" s="42"/>
      <c r="O740" s="43"/>
      <c r="P740" s="43"/>
      <c r="Q740" s="43"/>
      <c r="R740" s="43"/>
      <c r="S740" s="43"/>
    </row>
    <row r="741" spans="10:19" ht="15.75" customHeight="1">
      <c r="J741" s="41"/>
      <c r="K741" s="41"/>
      <c r="M741" s="42"/>
      <c r="N741" s="42"/>
      <c r="O741" s="43"/>
      <c r="P741" s="43"/>
      <c r="Q741" s="43"/>
      <c r="R741" s="43"/>
      <c r="S741" s="43"/>
    </row>
    <row r="742" spans="10:19" ht="15.75" customHeight="1">
      <c r="J742" s="41"/>
      <c r="K742" s="41"/>
      <c r="M742" s="42"/>
      <c r="N742" s="42"/>
      <c r="O742" s="43"/>
      <c r="P742" s="43"/>
      <c r="Q742" s="43"/>
      <c r="R742" s="43"/>
      <c r="S742" s="43"/>
    </row>
    <row r="743" spans="10:19" ht="15.75" customHeight="1">
      <c r="J743" s="41"/>
      <c r="K743" s="41"/>
      <c r="M743" s="42"/>
      <c r="N743" s="42"/>
      <c r="O743" s="43"/>
      <c r="P743" s="43"/>
      <c r="Q743" s="43"/>
      <c r="R743" s="43"/>
      <c r="S743" s="43"/>
    </row>
    <row r="744" spans="10:19" ht="15.75" customHeight="1">
      <c r="J744" s="41"/>
      <c r="K744" s="41"/>
      <c r="M744" s="42"/>
      <c r="N744" s="42"/>
      <c r="O744" s="43"/>
      <c r="P744" s="43"/>
      <c r="Q744" s="43"/>
      <c r="R744" s="43"/>
      <c r="S744" s="43"/>
    </row>
    <row r="745" spans="10:19" ht="15.75" customHeight="1">
      <c r="J745" s="41"/>
      <c r="K745" s="41"/>
      <c r="M745" s="42"/>
      <c r="N745" s="42"/>
      <c r="O745" s="43"/>
      <c r="P745" s="43"/>
      <c r="Q745" s="43"/>
      <c r="R745" s="43"/>
      <c r="S745" s="43"/>
    </row>
    <row r="746" spans="10:19" ht="15.75" customHeight="1">
      <c r="J746" s="41"/>
      <c r="K746" s="41"/>
      <c r="M746" s="42"/>
      <c r="N746" s="42"/>
      <c r="O746" s="43"/>
      <c r="P746" s="43"/>
      <c r="Q746" s="43"/>
      <c r="R746" s="43"/>
      <c r="S746" s="43"/>
    </row>
    <row r="747" spans="10:19" ht="15.75" customHeight="1">
      <c r="J747" s="41"/>
      <c r="K747" s="41"/>
      <c r="M747" s="42"/>
      <c r="N747" s="42"/>
      <c r="O747" s="43"/>
      <c r="P747" s="43"/>
      <c r="Q747" s="43"/>
      <c r="R747" s="43"/>
      <c r="S747" s="43"/>
    </row>
    <row r="748" spans="10:19" ht="15.75" customHeight="1">
      <c r="J748" s="41"/>
      <c r="K748" s="41"/>
      <c r="M748" s="42"/>
      <c r="N748" s="42"/>
      <c r="O748" s="43"/>
      <c r="P748" s="43"/>
      <c r="Q748" s="43"/>
      <c r="R748" s="43"/>
      <c r="S748" s="43"/>
    </row>
    <row r="749" spans="10:19" ht="15.75" customHeight="1">
      <c r="J749" s="41"/>
      <c r="K749" s="41"/>
      <c r="M749" s="42"/>
      <c r="N749" s="42"/>
      <c r="O749" s="43"/>
      <c r="P749" s="43"/>
      <c r="Q749" s="43"/>
      <c r="R749" s="43"/>
      <c r="S749" s="43"/>
    </row>
    <row r="750" spans="10:19" ht="15.75" customHeight="1">
      <c r="J750" s="41"/>
      <c r="K750" s="41"/>
      <c r="M750" s="42"/>
      <c r="N750" s="42"/>
      <c r="O750" s="43"/>
      <c r="P750" s="43"/>
      <c r="Q750" s="43"/>
      <c r="R750" s="43"/>
      <c r="S750" s="43"/>
    </row>
    <row r="751" spans="10:19" ht="15.75" customHeight="1">
      <c r="J751" s="41"/>
      <c r="K751" s="41"/>
      <c r="M751" s="42"/>
      <c r="N751" s="42"/>
      <c r="O751" s="43"/>
      <c r="P751" s="43"/>
      <c r="Q751" s="43"/>
      <c r="R751" s="43"/>
      <c r="S751" s="43"/>
    </row>
    <row r="752" spans="10:19" ht="15.75" customHeight="1">
      <c r="J752" s="41"/>
      <c r="K752" s="41"/>
      <c r="M752" s="42"/>
      <c r="N752" s="42"/>
      <c r="O752" s="43"/>
      <c r="P752" s="43"/>
      <c r="Q752" s="43"/>
      <c r="R752" s="43"/>
      <c r="S752" s="43"/>
    </row>
    <row r="753" spans="10:19" ht="15.75" customHeight="1">
      <c r="J753" s="41"/>
      <c r="K753" s="41"/>
      <c r="M753" s="42"/>
      <c r="N753" s="42"/>
      <c r="O753" s="43"/>
      <c r="P753" s="43"/>
      <c r="Q753" s="43"/>
      <c r="R753" s="43"/>
      <c r="S753" s="43"/>
    </row>
    <row r="754" spans="10:19" ht="15.75" customHeight="1">
      <c r="J754" s="41"/>
      <c r="K754" s="41"/>
      <c r="M754" s="42"/>
      <c r="N754" s="42"/>
      <c r="O754" s="43"/>
      <c r="P754" s="43"/>
      <c r="Q754" s="43"/>
      <c r="R754" s="43"/>
      <c r="S754" s="43"/>
    </row>
    <row r="755" spans="10:19" ht="15.75" customHeight="1">
      <c r="J755" s="41"/>
      <c r="K755" s="41"/>
      <c r="M755" s="42"/>
      <c r="N755" s="42"/>
      <c r="O755" s="43"/>
      <c r="P755" s="43"/>
      <c r="Q755" s="43"/>
      <c r="R755" s="43"/>
      <c r="S755" s="43"/>
    </row>
    <row r="756" spans="10:19" ht="15.75" customHeight="1">
      <c r="J756" s="41"/>
      <c r="K756" s="41"/>
      <c r="M756" s="42"/>
      <c r="N756" s="42"/>
      <c r="O756" s="43"/>
      <c r="P756" s="43"/>
      <c r="Q756" s="43"/>
      <c r="R756" s="43"/>
      <c r="S756" s="43"/>
    </row>
    <row r="757" spans="10:19" ht="15.75" customHeight="1">
      <c r="J757" s="41"/>
      <c r="K757" s="41"/>
      <c r="M757" s="42"/>
      <c r="O757" s="43"/>
      <c r="P757" s="43"/>
      <c r="Q757" s="43"/>
      <c r="R757" s="43"/>
      <c r="S757" s="43"/>
    </row>
    <row r="758" spans="10:19" ht="15.75" customHeight="1">
      <c r="J758" s="41"/>
      <c r="K758" s="41"/>
      <c r="M758" s="42"/>
      <c r="N758" s="42"/>
      <c r="O758" s="43"/>
      <c r="P758" s="43"/>
      <c r="Q758" s="43"/>
      <c r="R758" s="43"/>
      <c r="S758" s="43"/>
    </row>
    <row r="759" spans="10:19" ht="15.75" customHeight="1">
      <c r="J759" s="41"/>
      <c r="K759" s="41"/>
      <c r="M759" s="42"/>
      <c r="N759" s="42"/>
      <c r="O759" s="43"/>
      <c r="P759" s="43"/>
      <c r="Q759" s="43"/>
      <c r="R759" s="43"/>
      <c r="S759" s="43"/>
    </row>
    <row r="760" spans="10:19" ht="15.75" customHeight="1">
      <c r="J760" s="41"/>
      <c r="K760" s="41"/>
      <c r="M760" s="42"/>
      <c r="N760" s="42"/>
      <c r="O760" s="43"/>
      <c r="P760" s="43"/>
      <c r="Q760" s="43"/>
      <c r="R760" s="43"/>
      <c r="S760" s="43"/>
    </row>
    <row r="761" spans="10:19" ht="15.75" customHeight="1">
      <c r="J761" s="41"/>
      <c r="K761" s="41"/>
      <c r="M761" s="42"/>
      <c r="N761" s="42"/>
      <c r="O761" s="43"/>
      <c r="P761" s="43"/>
      <c r="Q761" s="43"/>
      <c r="R761" s="43"/>
      <c r="S761" s="43"/>
    </row>
    <row r="762" spans="10:19" ht="15.75" customHeight="1">
      <c r="J762" s="41"/>
      <c r="K762" s="41"/>
      <c r="M762" s="42"/>
      <c r="N762" s="42"/>
      <c r="O762" s="43"/>
      <c r="P762" s="43"/>
      <c r="Q762" s="43"/>
      <c r="R762" s="43"/>
      <c r="S762" s="43"/>
    </row>
    <row r="763" spans="10:19" ht="15.75" customHeight="1">
      <c r="J763" s="41"/>
      <c r="K763" s="41"/>
      <c r="M763" s="42"/>
      <c r="N763" s="42"/>
      <c r="O763" s="43"/>
      <c r="P763" s="43"/>
      <c r="Q763" s="43"/>
      <c r="R763" s="43"/>
      <c r="S763" s="43"/>
    </row>
    <row r="764" spans="10:19" ht="15.75" customHeight="1">
      <c r="J764" s="41"/>
      <c r="K764" s="41"/>
      <c r="M764" s="42"/>
      <c r="N764" s="42"/>
      <c r="O764" s="43"/>
      <c r="P764" s="43"/>
      <c r="Q764" s="43"/>
      <c r="R764" s="43"/>
      <c r="S764" s="43"/>
    </row>
    <row r="765" spans="10:19" ht="15.75" customHeight="1">
      <c r="J765" s="41"/>
      <c r="K765" s="41"/>
      <c r="M765" s="42"/>
      <c r="N765" s="42"/>
      <c r="O765" s="43"/>
      <c r="P765" s="43"/>
      <c r="Q765" s="43"/>
      <c r="R765" s="43"/>
      <c r="S765" s="43"/>
    </row>
    <row r="766" spans="10:19" ht="15.75" customHeight="1">
      <c r="J766" s="41"/>
      <c r="K766" s="41"/>
      <c r="M766" s="42"/>
      <c r="N766" s="42"/>
      <c r="O766" s="43"/>
      <c r="P766" s="43"/>
      <c r="Q766" s="43"/>
      <c r="R766" s="43"/>
      <c r="S766" s="43"/>
    </row>
    <row r="767" spans="10:19" ht="15.75" customHeight="1">
      <c r="J767" s="41"/>
      <c r="K767" s="41"/>
      <c r="M767" s="42"/>
      <c r="N767" s="42"/>
      <c r="O767" s="43"/>
      <c r="P767" s="43"/>
      <c r="Q767" s="43"/>
      <c r="R767" s="43"/>
      <c r="S767" s="43"/>
    </row>
    <row r="768" spans="10:19" ht="15.75" customHeight="1">
      <c r="J768" s="41"/>
      <c r="K768" s="41"/>
      <c r="M768" s="42"/>
      <c r="N768" s="42"/>
      <c r="O768" s="43"/>
      <c r="P768" s="43"/>
      <c r="Q768" s="43"/>
      <c r="R768" s="43"/>
      <c r="S768" s="43"/>
    </row>
    <row r="769" spans="10:19" ht="15.75" customHeight="1">
      <c r="J769" s="41"/>
      <c r="K769" s="41"/>
      <c r="M769" s="42"/>
      <c r="N769" s="42"/>
      <c r="O769" s="43"/>
      <c r="P769" s="43"/>
      <c r="Q769" s="43"/>
      <c r="R769" s="43"/>
      <c r="S769" s="43"/>
    </row>
    <row r="770" spans="10:19" ht="15.75" customHeight="1">
      <c r="J770" s="41"/>
      <c r="K770" s="41"/>
      <c r="M770" s="42"/>
      <c r="N770" s="42"/>
      <c r="O770" s="43"/>
      <c r="P770" s="43"/>
      <c r="Q770" s="43"/>
      <c r="R770" s="43"/>
      <c r="S770" s="43"/>
    </row>
    <row r="771" spans="10:19" ht="15.75" customHeight="1">
      <c r="J771" s="41"/>
      <c r="K771" s="41"/>
      <c r="M771" s="42"/>
      <c r="N771" s="42"/>
      <c r="O771" s="43"/>
      <c r="P771" s="43"/>
      <c r="Q771" s="43"/>
      <c r="R771" s="43"/>
      <c r="S771" s="43"/>
    </row>
    <row r="772" spans="10:19" ht="15.75" customHeight="1">
      <c r="J772" s="41"/>
      <c r="K772" s="41"/>
      <c r="M772" s="42"/>
      <c r="N772" s="42"/>
      <c r="O772" s="43"/>
      <c r="P772" s="43"/>
      <c r="Q772" s="43"/>
      <c r="R772" s="43"/>
      <c r="S772" s="43"/>
    </row>
    <row r="773" spans="10:19" ht="15.75" customHeight="1">
      <c r="J773" s="41"/>
      <c r="K773" s="42"/>
      <c r="M773" s="42"/>
      <c r="O773" s="43"/>
      <c r="P773" s="43"/>
      <c r="Q773" s="43"/>
      <c r="R773" s="43"/>
      <c r="S773" s="43"/>
    </row>
    <row r="774" spans="10:19" ht="15.75" customHeight="1">
      <c r="J774" s="41"/>
      <c r="K774" s="41"/>
      <c r="M774" s="42"/>
      <c r="N774" s="42"/>
      <c r="O774" s="43"/>
      <c r="P774" s="43"/>
      <c r="Q774" s="43"/>
      <c r="R774" s="43"/>
      <c r="S774" s="43"/>
    </row>
    <row r="775" spans="10:19" ht="15.75" customHeight="1">
      <c r="J775" s="41"/>
      <c r="K775" s="41"/>
      <c r="M775" s="42"/>
      <c r="N775" s="42"/>
      <c r="O775" s="43"/>
      <c r="P775" s="43"/>
      <c r="Q775" s="43"/>
      <c r="R775" s="43"/>
      <c r="S775" s="43"/>
    </row>
    <row r="776" spans="10:19" ht="15.75" customHeight="1">
      <c r="J776" s="41"/>
      <c r="K776" s="41"/>
      <c r="M776" s="42"/>
      <c r="N776" s="42"/>
      <c r="O776" s="43"/>
      <c r="P776" s="43"/>
      <c r="Q776" s="43"/>
      <c r="R776" s="43"/>
      <c r="S776" s="43"/>
    </row>
    <row r="777" spans="10:19" ht="15.75" customHeight="1">
      <c r="J777" s="41"/>
      <c r="K777" s="41"/>
      <c r="M777" s="42"/>
      <c r="N777" s="42"/>
      <c r="O777" s="43"/>
      <c r="P777" s="43"/>
      <c r="Q777" s="43"/>
      <c r="R777" s="43"/>
      <c r="S777" s="43"/>
    </row>
    <row r="778" spans="10:19" ht="15.75" customHeight="1">
      <c r="J778" s="41"/>
      <c r="K778" s="41"/>
      <c r="M778" s="42"/>
      <c r="N778" s="42"/>
      <c r="O778" s="43"/>
      <c r="P778" s="43"/>
      <c r="Q778" s="43"/>
      <c r="R778" s="43"/>
      <c r="S778" s="43"/>
    </row>
    <row r="779" spans="10:19" ht="15.75" customHeight="1">
      <c r="J779" s="41"/>
      <c r="K779" s="41"/>
      <c r="M779" s="42"/>
      <c r="N779" s="42"/>
      <c r="O779" s="43"/>
      <c r="P779" s="43"/>
      <c r="Q779" s="43"/>
      <c r="R779" s="43"/>
      <c r="S779" s="43"/>
    </row>
    <row r="780" spans="10:19" ht="15.75" customHeight="1">
      <c r="J780" s="41"/>
      <c r="K780" s="41"/>
      <c r="M780" s="42"/>
      <c r="N780" s="42"/>
      <c r="O780" s="43"/>
      <c r="P780" s="43"/>
      <c r="Q780" s="43"/>
      <c r="R780" s="43"/>
      <c r="S780" s="43"/>
    </row>
    <row r="781" spans="10:19" ht="15.75" customHeight="1">
      <c r="J781" s="41"/>
      <c r="K781" s="41"/>
      <c r="M781" s="42"/>
      <c r="N781" s="42"/>
      <c r="O781" s="43"/>
      <c r="P781" s="43"/>
      <c r="Q781" s="43"/>
      <c r="R781" s="43"/>
      <c r="S781" s="43"/>
    </row>
    <row r="782" spans="10:19" ht="15.75" customHeight="1">
      <c r="J782" s="41"/>
      <c r="K782" s="41"/>
      <c r="M782" s="42"/>
      <c r="N782" s="42"/>
      <c r="O782" s="43"/>
      <c r="P782" s="43"/>
      <c r="Q782" s="43"/>
      <c r="R782" s="43"/>
      <c r="S782" s="43"/>
    </row>
    <row r="783" spans="10:19" ht="15.75" customHeight="1">
      <c r="J783" s="41"/>
      <c r="K783" s="41"/>
      <c r="M783" s="42"/>
      <c r="N783" s="42"/>
      <c r="O783" s="43"/>
      <c r="P783" s="43"/>
      <c r="Q783" s="43"/>
      <c r="R783" s="43"/>
      <c r="S783" s="43"/>
    </row>
    <row r="784" spans="10:19" ht="15.75" customHeight="1">
      <c r="J784" s="41"/>
      <c r="K784" s="41"/>
      <c r="M784" s="42"/>
      <c r="N784" s="42"/>
      <c r="O784" s="43"/>
      <c r="P784" s="43"/>
      <c r="Q784" s="43"/>
      <c r="R784" s="43"/>
      <c r="S784" s="43"/>
    </row>
    <row r="785" spans="10:19" ht="15.75" customHeight="1">
      <c r="J785" s="41"/>
      <c r="K785" s="41"/>
      <c r="M785" s="42"/>
      <c r="N785" s="42"/>
      <c r="O785" s="43"/>
      <c r="P785" s="43"/>
      <c r="Q785" s="43"/>
      <c r="R785" s="43"/>
      <c r="S785" s="43"/>
    </row>
    <row r="786" spans="10:19" ht="15.75" customHeight="1">
      <c r="J786" s="41"/>
      <c r="K786" s="41"/>
      <c r="M786" s="42"/>
      <c r="N786" s="42"/>
      <c r="O786" s="43"/>
      <c r="P786" s="43"/>
      <c r="Q786" s="43"/>
      <c r="R786" s="43"/>
      <c r="S786" s="43"/>
    </row>
    <row r="787" spans="10:19" ht="15.75" customHeight="1">
      <c r="J787" s="41"/>
      <c r="K787" s="41"/>
      <c r="M787" s="42"/>
      <c r="N787" s="42"/>
      <c r="O787" s="43"/>
      <c r="P787" s="43"/>
      <c r="Q787" s="43"/>
      <c r="R787" s="43"/>
      <c r="S787" s="43"/>
    </row>
    <row r="788" spans="10:19" ht="15.75" customHeight="1">
      <c r="J788" s="41"/>
      <c r="K788" s="41"/>
      <c r="M788" s="42"/>
      <c r="N788" s="42"/>
      <c r="O788" s="43"/>
      <c r="P788" s="43"/>
      <c r="Q788" s="43"/>
      <c r="R788" s="43"/>
      <c r="S788" s="43"/>
    </row>
    <row r="789" spans="10:19" ht="15.75" customHeight="1">
      <c r="J789" s="41"/>
      <c r="K789" s="41"/>
      <c r="M789" s="42"/>
      <c r="N789" s="42"/>
      <c r="O789" s="43"/>
      <c r="P789" s="43"/>
      <c r="Q789" s="43"/>
      <c r="R789" s="43"/>
      <c r="S789" s="43"/>
    </row>
    <row r="790" spans="10:19" ht="15.75" customHeight="1">
      <c r="J790" s="41"/>
      <c r="K790" s="41"/>
      <c r="M790" s="42"/>
      <c r="N790" s="42"/>
      <c r="O790" s="43"/>
      <c r="P790" s="43"/>
      <c r="Q790" s="43"/>
      <c r="R790" s="43"/>
      <c r="S790" s="43"/>
    </row>
    <row r="791" spans="10:19" ht="15.75" customHeight="1">
      <c r="J791" s="41"/>
      <c r="K791" s="41"/>
      <c r="M791" s="42"/>
      <c r="N791" s="42"/>
      <c r="O791" s="43"/>
      <c r="P791" s="43"/>
      <c r="Q791" s="43"/>
      <c r="R791" s="43"/>
      <c r="S791" s="43"/>
    </row>
    <row r="792" spans="10:19" ht="15.75" customHeight="1">
      <c r="J792" s="41"/>
      <c r="K792" s="41"/>
      <c r="M792" s="42"/>
      <c r="N792" s="42"/>
      <c r="O792" s="43"/>
      <c r="P792" s="43"/>
      <c r="Q792" s="43"/>
      <c r="R792" s="43"/>
      <c r="S792" s="43"/>
    </row>
    <row r="793" spans="10:19" ht="15.75" customHeight="1">
      <c r="J793" s="41"/>
      <c r="K793" s="41"/>
      <c r="M793" s="42"/>
      <c r="N793" s="42"/>
      <c r="O793" s="43"/>
      <c r="P793" s="43"/>
      <c r="Q793" s="43"/>
      <c r="R793" s="43"/>
      <c r="S793" s="43"/>
    </row>
    <row r="794" spans="10:19" ht="15.75" customHeight="1">
      <c r="J794" s="41"/>
      <c r="K794" s="41"/>
      <c r="M794" s="42"/>
      <c r="N794" s="42"/>
      <c r="O794" s="43"/>
      <c r="P794" s="43"/>
      <c r="Q794" s="43"/>
      <c r="R794" s="43"/>
      <c r="S794" s="43"/>
    </row>
    <row r="795" spans="10:19" ht="15.75" customHeight="1">
      <c r="J795" s="41"/>
      <c r="K795" s="41"/>
      <c r="M795" s="42"/>
      <c r="N795" s="42"/>
      <c r="O795" s="43"/>
      <c r="P795" s="43"/>
      <c r="Q795" s="43"/>
      <c r="R795" s="43"/>
      <c r="S795" s="43"/>
    </row>
    <row r="796" spans="10:19" ht="15.75" customHeight="1">
      <c r="J796" s="41"/>
      <c r="K796" s="41"/>
      <c r="M796" s="42"/>
      <c r="N796" s="42"/>
      <c r="O796" s="43"/>
      <c r="P796" s="43"/>
      <c r="Q796" s="43"/>
      <c r="R796" s="43"/>
      <c r="S796" s="43"/>
    </row>
    <row r="797" spans="10:19" ht="15.75" customHeight="1">
      <c r="J797" s="41"/>
      <c r="K797" s="42"/>
      <c r="M797" s="42"/>
      <c r="O797" s="43"/>
      <c r="P797" s="43"/>
      <c r="Q797" s="43"/>
      <c r="R797" s="43"/>
      <c r="S797" s="43"/>
    </row>
    <row r="798" spans="10:19" ht="15.75" customHeight="1">
      <c r="J798" s="41"/>
      <c r="K798" s="41"/>
      <c r="M798" s="42"/>
      <c r="N798" s="42"/>
      <c r="O798" s="43"/>
      <c r="P798" s="43"/>
      <c r="Q798" s="43"/>
      <c r="R798" s="43"/>
      <c r="S798" s="43"/>
    </row>
    <row r="799" spans="10:19" ht="15.75" customHeight="1">
      <c r="J799" s="41"/>
      <c r="K799" s="41"/>
      <c r="M799" s="42"/>
      <c r="N799" s="42"/>
      <c r="O799" s="43"/>
      <c r="P799" s="43"/>
      <c r="Q799" s="43"/>
      <c r="R799" s="43"/>
      <c r="S799" s="43"/>
    </row>
    <row r="800" spans="10:19" ht="15.75" customHeight="1">
      <c r="J800" s="41"/>
      <c r="K800" s="41"/>
      <c r="M800" s="42"/>
      <c r="N800" s="42"/>
      <c r="O800" s="43"/>
      <c r="P800" s="43"/>
      <c r="Q800" s="43"/>
      <c r="R800" s="43"/>
      <c r="S800" s="43"/>
    </row>
    <row r="801" spans="10:19" ht="15.75" customHeight="1">
      <c r="J801" s="41"/>
      <c r="K801" s="41"/>
      <c r="M801" s="42"/>
      <c r="N801" s="42"/>
      <c r="O801" s="43"/>
      <c r="P801" s="43"/>
      <c r="Q801" s="43"/>
      <c r="R801" s="43"/>
      <c r="S801" s="43"/>
    </row>
    <row r="802" spans="10:19" ht="15.75" customHeight="1">
      <c r="J802" s="41"/>
      <c r="K802" s="42"/>
      <c r="M802" s="42"/>
      <c r="N802" s="42"/>
      <c r="O802" s="43"/>
      <c r="P802" s="43"/>
      <c r="Q802" s="43"/>
      <c r="R802" s="43"/>
      <c r="S802" s="43"/>
    </row>
    <row r="803" spans="10:19" ht="15.75" customHeight="1">
      <c r="J803" s="41"/>
      <c r="K803" s="41"/>
      <c r="M803" s="42"/>
      <c r="N803" s="42"/>
      <c r="O803" s="43"/>
      <c r="P803" s="43"/>
      <c r="Q803" s="43"/>
      <c r="R803" s="43"/>
      <c r="S803" s="43"/>
    </row>
    <row r="804" spans="10:19" ht="15.75" customHeight="1">
      <c r="J804" s="41"/>
      <c r="K804" s="41"/>
      <c r="M804" s="42"/>
      <c r="N804" s="42"/>
      <c r="O804" s="43"/>
      <c r="P804" s="43"/>
      <c r="Q804" s="43"/>
      <c r="R804" s="43"/>
      <c r="S804" s="43"/>
    </row>
    <row r="805" spans="10:19" ht="15.75" customHeight="1">
      <c r="J805" s="41"/>
      <c r="K805" s="41"/>
      <c r="M805" s="42"/>
      <c r="N805" s="42"/>
      <c r="O805" s="43"/>
      <c r="P805" s="43"/>
      <c r="Q805" s="43"/>
      <c r="R805" s="43"/>
      <c r="S805" s="43"/>
    </row>
    <row r="806" spans="10:19" ht="15.75" customHeight="1">
      <c r="J806" s="41"/>
      <c r="K806" s="41"/>
      <c r="M806" s="42"/>
      <c r="N806" s="42"/>
      <c r="O806" s="43"/>
      <c r="P806" s="43"/>
      <c r="Q806" s="43"/>
      <c r="R806" s="43"/>
      <c r="S806" s="43"/>
    </row>
    <row r="807" spans="10:19" ht="15.75" customHeight="1">
      <c r="J807" s="41"/>
      <c r="K807" s="41"/>
      <c r="M807" s="42"/>
      <c r="N807" s="42"/>
      <c r="O807" s="43"/>
      <c r="P807" s="43"/>
      <c r="Q807" s="43"/>
      <c r="R807" s="43"/>
      <c r="S807" s="43"/>
    </row>
    <row r="808" spans="10:19" ht="15.75" customHeight="1">
      <c r="J808" s="41"/>
      <c r="K808" s="41"/>
      <c r="M808" s="42"/>
      <c r="N808" s="42"/>
      <c r="O808" s="43"/>
      <c r="P808" s="43"/>
      <c r="Q808" s="43"/>
      <c r="R808" s="43"/>
      <c r="S808" s="43"/>
    </row>
    <row r="809" spans="10:19" ht="15.75" customHeight="1">
      <c r="J809" s="41"/>
      <c r="K809" s="41"/>
      <c r="M809" s="42"/>
      <c r="N809" s="42"/>
      <c r="O809" s="43"/>
      <c r="P809" s="43"/>
      <c r="Q809" s="43"/>
      <c r="R809" s="43"/>
      <c r="S809" s="43"/>
    </row>
    <row r="810" spans="10:19" ht="15.75" customHeight="1">
      <c r="J810" s="41"/>
      <c r="K810" s="41"/>
      <c r="M810" s="42"/>
      <c r="N810" s="42"/>
      <c r="O810" s="43"/>
      <c r="P810" s="43"/>
      <c r="Q810" s="43"/>
      <c r="R810" s="43"/>
      <c r="S810" s="43"/>
    </row>
    <row r="811" spans="10:19" ht="15.75" customHeight="1">
      <c r="J811" s="41"/>
      <c r="K811" s="41"/>
      <c r="M811" s="42"/>
      <c r="N811" s="42"/>
      <c r="O811" s="43"/>
      <c r="P811" s="43"/>
      <c r="Q811" s="43"/>
      <c r="R811" s="43"/>
      <c r="S811" s="43"/>
    </row>
    <row r="812" spans="10:19" ht="15.75" customHeight="1">
      <c r="J812" s="41"/>
      <c r="K812" s="41"/>
      <c r="M812" s="42"/>
      <c r="N812" s="42"/>
      <c r="O812" s="43"/>
      <c r="P812" s="43"/>
      <c r="Q812" s="43"/>
      <c r="R812" s="43"/>
      <c r="S812" s="43"/>
    </row>
    <row r="813" spans="10:19" ht="15.75" customHeight="1">
      <c r="J813" s="41"/>
      <c r="K813" s="42"/>
      <c r="M813" s="42"/>
      <c r="N813" s="42"/>
      <c r="O813" s="43"/>
      <c r="P813" s="43"/>
      <c r="Q813" s="43"/>
      <c r="R813" s="43"/>
      <c r="S813" s="43"/>
    </row>
    <row r="814" spans="10:19" ht="15.75" customHeight="1">
      <c r="J814" s="41"/>
      <c r="K814" s="41"/>
      <c r="M814" s="42"/>
      <c r="N814" s="42"/>
      <c r="O814" s="43"/>
      <c r="P814" s="43"/>
      <c r="Q814" s="43"/>
      <c r="R814" s="43"/>
      <c r="S814" s="43"/>
    </row>
    <row r="815" spans="10:19" ht="15.75" customHeight="1">
      <c r="J815" s="41"/>
      <c r="K815" s="41"/>
      <c r="M815" s="42"/>
      <c r="N815" s="42"/>
      <c r="O815" s="43"/>
      <c r="P815" s="43"/>
      <c r="Q815" s="43"/>
      <c r="R815" s="43"/>
      <c r="S815" s="43"/>
    </row>
    <row r="816" spans="10:19" ht="15.75" customHeight="1">
      <c r="J816" s="41"/>
      <c r="K816" s="41"/>
      <c r="M816" s="42"/>
      <c r="N816" s="42"/>
      <c r="O816" s="43"/>
      <c r="P816" s="43"/>
      <c r="Q816" s="43"/>
      <c r="R816" s="43"/>
      <c r="S816" s="43"/>
    </row>
    <row r="817" spans="10:21" ht="15.75" customHeight="1">
      <c r="J817" s="41"/>
      <c r="K817" s="41"/>
      <c r="M817" s="42"/>
      <c r="N817" s="42"/>
      <c r="O817" s="43"/>
      <c r="P817" s="43"/>
      <c r="Q817" s="43"/>
      <c r="R817" s="43"/>
      <c r="S817" s="43"/>
    </row>
    <row r="818" spans="10:21" ht="15.75" customHeight="1">
      <c r="J818" s="41"/>
      <c r="K818" s="41"/>
      <c r="M818" s="42"/>
      <c r="N818" s="42"/>
      <c r="O818" s="43"/>
      <c r="P818" s="43"/>
      <c r="Q818" s="43"/>
      <c r="R818" s="43"/>
      <c r="S818" s="43"/>
    </row>
    <row r="819" spans="10:21" ht="15.75" customHeight="1">
      <c r="J819" s="41"/>
      <c r="K819" s="41"/>
      <c r="M819" s="42"/>
      <c r="N819" s="42"/>
      <c r="O819" s="43"/>
      <c r="P819" s="43"/>
      <c r="Q819" s="43"/>
      <c r="R819" s="43"/>
      <c r="S819" s="43"/>
    </row>
    <row r="820" spans="10:21" ht="15.75" customHeight="1">
      <c r="J820" s="41"/>
      <c r="K820" s="41"/>
      <c r="M820" s="42"/>
      <c r="N820" s="42"/>
      <c r="O820" s="43"/>
      <c r="P820" s="43"/>
      <c r="Q820" s="43"/>
      <c r="R820" s="43"/>
      <c r="S820" s="43"/>
    </row>
    <row r="821" spans="10:21" ht="15.75" customHeight="1">
      <c r="J821" s="41"/>
      <c r="K821" s="41"/>
      <c r="M821" s="42"/>
      <c r="N821" s="42"/>
      <c r="O821" s="43"/>
      <c r="P821" s="43"/>
      <c r="Q821" s="43"/>
      <c r="R821" s="43"/>
      <c r="S821" s="43"/>
    </row>
    <row r="822" spans="10:21" ht="15.75" customHeight="1">
      <c r="J822" s="41"/>
      <c r="K822" s="41"/>
      <c r="M822" s="42"/>
      <c r="N822" s="42"/>
      <c r="O822" s="43"/>
      <c r="P822" s="43"/>
      <c r="Q822" s="43"/>
      <c r="R822" s="43"/>
      <c r="S822" s="43"/>
    </row>
    <row r="823" spans="10:21" ht="15.75" customHeight="1">
      <c r="J823" s="41"/>
      <c r="K823" s="39"/>
      <c r="M823" s="39"/>
      <c r="N823" s="39"/>
      <c r="O823" s="43"/>
      <c r="P823" s="43"/>
      <c r="Q823" s="43"/>
      <c r="R823" s="43"/>
      <c r="S823" s="43"/>
      <c r="T823" s="36"/>
      <c r="U823" s="36"/>
    </row>
    <row r="824" spans="10:21" ht="15.75" customHeight="1">
      <c r="J824" s="41"/>
      <c r="K824" s="41"/>
      <c r="M824" s="42"/>
      <c r="N824" s="42"/>
      <c r="O824" s="43"/>
      <c r="P824" s="43"/>
      <c r="Q824" s="43"/>
      <c r="R824" s="43"/>
      <c r="S824" s="43"/>
    </row>
    <row r="825" spans="10:21" ht="15.75" customHeight="1">
      <c r="J825" s="41"/>
      <c r="K825" s="41"/>
      <c r="M825" s="42"/>
      <c r="N825" s="42"/>
      <c r="O825" s="43"/>
      <c r="P825" s="43"/>
      <c r="Q825" s="43"/>
      <c r="R825" s="43"/>
      <c r="S825" s="43"/>
    </row>
    <row r="826" spans="10:21" ht="15.75" customHeight="1">
      <c r="J826" s="41"/>
      <c r="K826" s="41"/>
      <c r="M826" s="42"/>
      <c r="N826" s="42"/>
      <c r="O826" s="43"/>
      <c r="P826" s="43"/>
      <c r="Q826" s="43"/>
      <c r="R826" s="43"/>
      <c r="S826" s="43"/>
    </row>
    <row r="827" spans="10:21" ht="15.75" customHeight="1">
      <c r="J827" s="41"/>
      <c r="K827" s="41"/>
      <c r="M827" s="42"/>
      <c r="N827" s="42"/>
      <c r="O827" s="43"/>
      <c r="P827" s="43"/>
      <c r="Q827" s="43"/>
      <c r="R827" s="43"/>
      <c r="S827" s="43"/>
    </row>
    <row r="828" spans="10:21" ht="15.75" customHeight="1">
      <c r="J828" s="41"/>
      <c r="K828" s="41"/>
      <c r="M828" s="42"/>
      <c r="N828" s="42"/>
      <c r="O828" s="43"/>
      <c r="P828" s="43"/>
      <c r="Q828" s="43"/>
      <c r="R828" s="43"/>
      <c r="S828" s="43"/>
    </row>
    <row r="829" spans="10:21" ht="15.75" customHeight="1">
      <c r="J829" s="41"/>
      <c r="K829" s="41"/>
      <c r="M829" s="42"/>
      <c r="N829" s="42"/>
      <c r="O829" s="43"/>
      <c r="P829" s="43"/>
      <c r="Q829" s="43"/>
      <c r="R829" s="43"/>
      <c r="S829" s="43"/>
    </row>
    <row r="830" spans="10:21" ht="15.75" customHeight="1">
      <c r="J830" s="41"/>
      <c r="K830" s="41"/>
      <c r="M830" s="42"/>
      <c r="N830" s="42"/>
      <c r="O830" s="43"/>
      <c r="P830" s="43"/>
      <c r="Q830" s="43"/>
      <c r="R830" s="43"/>
      <c r="S830" s="43"/>
    </row>
    <row r="831" spans="10:21" ht="15.75" customHeight="1">
      <c r="J831" s="41"/>
      <c r="K831" s="41"/>
      <c r="M831" s="42"/>
      <c r="N831" s="42"/>
      <c r="O831" s="43"/>
      <c r="P831" s="43"/>
      <c r="Q831" s="43"/>
      <c r="R831" s="43"/>
      <c r="S831" s="43"/>
    </row>
    <row r="832" spans="10:21" ht="15.75" customHeight="1">
      <c r="J832" s="41"/>
      <c r="K832" s="41"/>
      <c r="M832" s="42"/>
      <c r="N832" s="42"/>
      <c r="O832" s="43"/>
      <c r="P832" s="43"/>
      <c r="Q832" s="43"/>
      <c r="R832" s="43"/>
      <c r="S832" s="43"/>
    </row>
    <row r="833" spans="10:19" ht="15.75" customHeight="1">
      <c r="J833" s="41"/>
      <c r="K833" s="41"/>
      <c r="M833" s="42"/>
      <c r="N833" s="42"/>
      <c r="O833" s="43"/>
      <c r="P833" s="43"/>
      <c r="Q833" s="43"/>
      <c r="R833" s="43"/>
      <c r="S833" s="43"/>
    </row>
    <row r="834" spans="10:19" ht="15.75" customHeight="1">
      <c r="J834" s="41"/>
      <c r="K834" s="41"/>
      <c r="M834" s="42"/>
      <c r="N834" s="42"/>
      <c r="O834" s="43"/>
      <c r="P834" s="43"/>
      <c r="Q834" s="43"/>
      <c r="R834" s="43"/>
      <c r="S834" s="43"/>
    </row>
    <row r="835" spans="10:19" ht="15.75" customHeight="1">
      <c r="J835" s="41"/>
      <c r="K835" s="41"/>
      <c r="M835" s="42"/>
      <c r="N835" s="42"/>
      <c r="O835" s="43"/>
      <c r="P835" s="43"/>
      <c r="Q835" s="43"/>
      <c r="R835" s="43"/>
      <c r="S835" s="43"/>
    </row>
    <row r="836" spans="10:19" ht="15.75" customHeight="1">
      <c r="J836" s="41"/>
      <c r="K836" s="41"/>
      <c r="M836" s="42"/>
      <c r="N836" s="42"/>
      <c r="O836" s="43"/>
      <c r="P836" s="43"/>
      <c r="Q836" s="43"/>
      <c r="R836" s="43"/>
      <c r="S836" s="43"/>
    </row>
    <row r="837" spans="10:19" ht="15.75" customHeight="1">
      <c r="J837" s="41"/>
      <c r="K837" s="41"/>
      <c r="M837" s="42"/>
      <c r="N837" s="42"/>
      <c r="O837" s="43"/>
      <c r="P837" s="43"/>
      <c r="Q837" s="43"/>
      <c r="R837" s="43"/>
      <c r="S837" s="43"/>
    </row>
    <row r="838" spans="10:19" ht="15.75" customHeight="1">
      <c r="J838" s="41"/>
      <c r="K838" s="41"/>
      <c r="M838" s="42"/>
      <c r="N838" s="42"/>
      <c r="O838" s="43"/>
      <c r="P838" s="43"/>
      <c r="Q838" s="43"/>
      <c r="R838" s="43"/>
      <c r="S838" s="43"/>
    </row>
    <row r="839" spans="10:19" ht="15.75" customHeight="1">
      <c r="J839" s="41"/>
      <c r="K839" s="41"/>
      <c r="M839" s="42"/>
      <c r="O839" s="43"/>
      <c r="P839" s="43"/>
      <c r="Q839" s="43"/>
      <c r="R839" s="43"/>
      <c r="S839" s="43"/>
    </row>
    <row r="840" spans="10:19" ht="15.75" customHeight="1">
      <c r="J840" s="41"/>
      <c r="K840" s="41"/>
      <c r="M840" s="42"/>
      <c r="N840" s="42"/>
      <c r="O840" s="43"/>
      <c r="P840" s="43"/>
      <c r="Q840" s="43"/>
      <c r="R840" s="43"/>
      <c r="S840" s="43"/>
    </row>
    <row r="841" spans="10:19" ht="15.75" customHeight="1">
      <c r="J841" s="41"/>
      <c r="K841" s="41"/>
      <c r="M841" s="42"/>
      <c r="N841" s="42"/>
      <c r="O841" s="43"/>
      <c r="P841" s="43"/>
      <c r="Q841" s="43"/>
      <c r="R841" s="43"/>
      <c r="S841" s="43"/>
    </row>
    <row r="842" spans="10:19" ht="15.75" customHeight="1">
      <c r="J842" s="41"/>
      <c r="K842" s="41"/>
      <c r="M842" s="42"/>
      <c r="N842" s="42"/>
      <c r="O842" s="43"/>
      <c r="P842" s="43"/>
      <c r="Q842" s="43"/>
      <c r="R842" s="43"/>
      <c r="S842" s="43"/>
    </row>
    <row r="843" spans="10:19" ht="15.75" customHeight="1">
      <c r="J843" s="41"/>
      <c r="K843" s="41"/>
      <c r="M843" s="42"/>
      <c r="N843" s="42"/>
      <c r="O843" s="43"/>
      <c r="P843" s="43"/>
      <c r="Q843" s="43"/>
      <c r="R843" s="43"/>
      <c r="S843" s="43"/>
    </row>
    <row r="844" spans="10:19" ht="15.75" customHeight="1">
      <c r="J844" s="41"/>
      <c r="K844" s="42"/>
      <c r="N844" s="42"/>
      <c r="O844" s="43"/>
      <c r="P844" s="43"/>
      <c r="Q844" s="43"/>
      <c r="R844" s="43"/>
      <c r="S844" s="43"/>
    </row>
    <row r="845" spans="10:19" ht="15.75" customHeight="1">
      <c r="J845" s="41"/>
      <c r="K845" s="41"/>
      <c r="M845" s="42"/>
      <c r="N845" s="42"/>
      <c r="O845" s="43"/>
      <c r="P845" s="43"/>
      <c r="Q845" s="43"/>
      <c r="R845" s="43"/>
      <c r="S845" s="43"/>
    </row>
    <row r="846" spans="10:19" ht="15.75" customHeight="1">
      <c r="J846" s="41"/>
      <c r="K846" s="41"/>
      <c r="M846" s="42"/>
      <c r="N846" s="42"/>
      <c r="O846" s="43"/>
      <c r="P846" s="43"/>
      <c r="Q846" s="43"/>
      <c r="R846" s="43"/>
      <c r="S846" s="43"/>
    </row>
    <row r="847" spans="10:19" ht="15.75" customHeight="1">
      <c r="J847" s="41"/>
      <c r="K847" s="41"/>
      <c r="M847" s="42"/>
      <c r="N847" s="42"/>
      <c r="O847" s="43"/>
      <c r="P847" s="43"/>
      <c r="Q847" s="43"/>
      <c r="R847" s="43"/>
      <c r="S847" s="43"/>
    </row>
    <row r="848" spans="10:19" ht="15.75" customHeight="1">
      <c r="J848" s="41"/>
      <c r="K848" s="41"/>
      <c r="M848" s="42"/>
      <c r="N848" s="42"/>
      <c r="O848" s="43"/>
      <c r="P848" s="43"/>
      <c r="Q848" s="43"/>
      <c r="R848" s="43"/>
      <c r="S848" s="43"/>
    </row>
    <row r="849" spans="7:19" ht="15.75" customHeight="1">
      <c r="J849" s="41"/>
      <c r="K849" s="41"/>
      <c r="M849" s="42"/>
      <c r="N849" s="42"/>
      <c r="O849" s="43"/>
      <c r="P849" s="43"/>
      <c r="Q849" s="43"/>
      <c r="R849" s="43"/>
      <c r="S849" s="43"/>
    </row>
    <row r="850" spans="7:19" ht="15.75" customHeight="1">
      <c r="J850" s="41"/>
      <c r="K850" s="41"/>
      <c r="M850" s="42"/>
      <c r="N850" s="42"/>
      <c r="O850" s="43"/>
      <c r="P850" s="43"/>
      <c r="Q850" s="43"/>
      <c r="R850" s="43"/>
      <c r="S850" s="43"/>
    </row>
    <row r="851" spans="7:19" ht="15.75" customHeight="1">
      <c r="J851" s="41"/>
      <c r="K851" s="41"/>
      <c r="M851" s="42"/>
      <c r="N851" s="42"/>
      <c r="O851" s="43"/>
      <c r="P851" s="43"/>
      <c r="Q851" s="43"/>
      <c r="R851" s="43"/>
      <c r="S851" s="43"/>
    </row>
    <row r="852" spans="7:19" ht="15.75" customHeight="1">
      <c r="J852" s="41"/>
      <c r="K852" s="41"/>
      <c r="M852" s="42"/>
      <c r="N852" s="42"/>
      <c r="O852" s="43"/>
      <c r="P852" s="43"/>
      <c r="Q852" s="43"/>
      <c r="R852" s="43"/>
      <c r="S852" s="43"/>
    </row>
    <row r="853" spans="7:19" ht="15.75" customHeight="1">
      <c r="J853" s="41"/>
      <c r="K853" s="41"/>
      <c r="M853" s="42"/>
      <c r="N853" s="42"/>
      <c r="O853" s="43"/>
      <c r="P853" s="43"/>
      <c r="Q853" s="43"/>
      <c r="R853" s="43"/>
      <c r="S853" s="43"/>
    </row>
    <row r="854" spans="7:19" ht="15.75" customHeight="1">
      <c r="J854" s="41"/>
      <c r="O854" s="43"/>
      <c r="P854" s="43"/>
      <c r="Q854" s="43"/>
      <c r="R854" s="43"/>
      <c r="S854" s="43"/>
    </row>
    <row r="855" spans="7:19" ht="15.75" customHeight="1">
      <c r="O855" s="43"/>
      <c r="P855" s="43"/>
      <c r="Q855" s="43"/>
      <c r="R855" s="43"/>
      <c r="S855" s="43"/>
    </row>
    <row r="856" spans="7:19" ht="15.75" customHeight="1">
      <c r="O856" s="43"/>
      <c r="P856" s="43"/>
      <c r="Q856" s="43"/>
      <c r="R856" s="43"/>
      <c r="S856" s="43"/>
    </row>
    <row r="857" spans="7:19" ht="15.75" customHeight="1">
      <c r="O857" s="43"/>
      <c r="P857" s="43"/>
      <c r="Q857" s="43"/>
      <c r="R857" s="43"/>
      <c r="S857" s="43"/>
    </row>
    <row r="858" spans="7:19" ht="15.75" customHeight="1">
      <c r="O858" s="43"/>
      <c r="P858" s="43"/>
      <c r="Q858" s="43"/>
      <c r="R858" s="43"/>
      <c r="S858" s="43"/>
    </row>
    <row r="859" spans="7:19" ht="15.75" customHeight="1">
      <c r="O859" s="43"/>
      <c r="P859" s="43"/>
      <c r="Q859" s="43"/>
      <c r="R859" s="43"/>
      <c r="S859" s="43"/>
    </row>
    <row r="860" spans="7:19" ht="15.75" customHeight="1">
      <c r="G860" s="43"/>
      <c r="H860" s="43"/>
      <c r="I860" s="43"/>
      <c r="J860" s="43"/>
      <c r="K860" s="43"/>
      <c r="O860" s="43"/>
      <c r="P860" s="43"/>
      <c r="Q860" s="43"/>
      <c r="R860" s="43"/>
      <c r="S860" s="43"/>
    </row>
    <row r="861" spans="7:19" ht="15.75" customHeight="1">
      <c r="G861" s="43"/>
      <c r="H861" s="43"/>
      <c r="I861" s="43"/>
      <c r="O861" s="43"/>
      <c r="P861" s="43"/>
      <c r="Q861" s="43"/>
      <c r="R861" s="43"/>
      <c r="S861" s="43"/>
    </row>
    <row r="862" spans="7:19" ht="15.75" customHeight="1">
      <c r="O862" s="43"/>
      <c r="P862" s="43"/>
      <c r="Q862" s="43"/>
      <c r="R862" s="43"/>
      <c r="S862" s="43"/>
    </row>
    <row r="863" spans="7:19" ht="15.75" customHeight="1">
      <c r="G863" s="36"/>
      <c r="H863" s="36"/>
      <c r="I863" s="36"/>
      <c r="J863" s="36"/>
      <c r="K863" s="36"/>
      <c r="O863" s="43"/>
      <c r="P863" s="43"/>
      <c r="Q863" s="43"/>
      <c r="R863" s="43"/>
      <c r="S863" s="43"/>
    </row>
    <row r="864" spans="7:19" ht="15.75" customHeight="1">
      <c r="G864" s="36"/>
      <c r="H864" s="36"/>
      <c r="I864" s="36"/>
      <c r="J864" s="36"/>
      <c r="K864" s="36"/>
      <c r="O864" s="43"/>
      <c r="P864" s="43"/>
      <c r="Q864" s="43"/>
      <c r="R864" s="43"/>
      <c r="S864" s="43"/>
    </row>
    <row r="865" spans="7:19" ht="15.75" customHeight="1">
      <c r="G865" s="36"/>
      <c r="H865" s="36"/>
      <c r="I865" s="36"/>
      <c r="J865" s="36"/>
      <c r="K865" s="36"/>
      <c r="O865" s="43"/>
      <c r="P865" s="43"/>
      <c r="Q865" s="43"/>
      <c r="R865" s="43"/>
      <c r="S865" s="43"/>
    </row>
    <row r="866" spans="7:19" ht="15.75" customHeight="1">
      <c r="G866" s="36"/>
      <c r="H866" s="36"/>
      <c r="I866" s="36"/>
      <c r="J866" s="36"/>
      <c r="K866" s="36"/>
      <c r="O866" s="43"/>
      <c r="P866" s="43"/>
      <c r="Q866" s="43"/>
      <c r="R866" s="43"/>
      <c r="S866" s="43"/>
    </row>
    <row r="867" spans="7:19" ht="15.75" customHeight="1">
      <c r="G867" s="36"/>
      <c r="H867" s="36"/>
      <c r="I867" s="36"/>
      <c r="J867" s="36"/>
      <c r="K867" s="36"/>
      <c r="O867" s="43"/>
      <c r="P867" s="43"/>
      <c r="Q867" s="43"/>
      <c r="R867" s="43"/>
      <c r="S867" s="43"/>
    </row>
    <row r="868" spans="7:19" ht="15.75" customHeight="1">
      <c r="G868" s="36"/>
      <c r="H868" s="36"/>
      <c r="I868" s="36"/>
      <c r="J868" s="36"/>
      <c r="K868" s="36"/>
      <c r="O868" s="43"/>
      <c r="P868" s="43"/>
      <c r="Q868" s="43"/>
      <c r="R868" s="43"/>
      <c r="S868" s="43"/>
    </row>
    <row r="869" spans="7:19" ht="15.75" customHeight="1">
      <c r="G869" s="36"/>
      <c r="H869" s="36"/>
      <c r="I869" s="36"/>
      <c r="J869" s="36"/>
      <c r="K869" s="36"/>
      <c r="O869" s="43"/>
      <c r="P869" s="43"/>
      <c r="Q869" s="43"/>
      <c r="R869" s="43"/>
      <c r="S869" s="43"/>
    </row>
    <row r="870" spans="7:19" ht="15.75" customHeight="1">
      <c r="G870" s="36"/>
      <c r="H870" s="36"/>
      <c r="I870" s="36"/>
      <c r="J870" s="36"/>
      <c r="K870" s="36"/>
      <c r="O870" s="43"/>
      <c r="P870" s="43"/>
      <c r="Q870" s="43"/>
      <c r="R870" s="43"/>
      <c r="S870" s="43"/>
    </row>
    <row r="871" spans="7:19" ht="15.75" customHeight="1">
      <c r="G871" s="36"/>
      <c r="H871" s="36"/>
      <c r="I871" s="36"/>
      <c r="J871" s="36"/>
      <c r="K871" s="36"/>
      <c r="O871" s="43"/>
      <c r="P871" s="43"/>
      <c r="Q871" s="43"/>
      <c r="R871" s="43"/>
      <c r="S871" s="43"/>
    </row>
    <row r="872" spans="7:19" ht="15.75" customHeight="1">
      <c r="G872" s="36"/>
      <c r="H872" s="36"/>
      <c r="I872" s="36"/>
      <c r="J872" s="36"/>
      <c r="K872" s="36"/>
      <c r="O872" s="43"/>
      <c r="P872" s="43"/>
      <c r="Q872" s="43"/>
      <c r="R872" s="43"/>
      <c r="S872" s="43"/>
    </row>
    <row r="873" spans="7:19" ht="15.75" customHeight="1">
      <c r="G873" s="36"/>
      <c r="H873" s="36"/>
      <c r="I873" s="36"/>
      <c r="J873" s="36"/>
      <c r="K873" s="36"/>
      <c r="O873" s="43"/>
      <c r="P873" s="43"/>
      <c r="Q873" s="43"/>
      <c r="R873" s="43"/>
      <c r="S873" s="43"/>
    </row>
    <row r="874" spans="7:19" ht="15.75" customHeight="1">
      <c r="G874" s="36"/>
      <c r="H874" s="36"/>
      <c r="I874" s="36"/>
      <c r="J874" s="36"/>
      <c r="K874" s="36"/>
      <c r="O874" s="43"/>
      <c r="P874" s="43"/>
      <c r="Q874" s="43"/>
      <c r="R874" s="43"/>
      <c r="S874" s="43"/>
    </row>
    <row r="875" spans="7:19" ht="15.75" customHeight="1">
      <c r="G875" s="36"/>
      <c r="H875" s="36"/>
      <c r="I875" s="36"/>
      <c r="J875" s="36"/>
      <c r="K875" s="36"/>
      <c r="O875" s="43"/>
      <c r="P875" s="43"/>
      <c r="Q875" s="43"/>
      <c r="R875" s="43"/>
      <c r="S875" s="43"/>
    </row>
    <row r="876" spans="7:19" ht="15.75" customHeight="1">
      <c r="G876" s="36"/>
      <c r="H876" s="36"/>
      <c r="I876" s="36"/>
      <c r="J876" s="36"/>
      <c r="K876" s="36"/>
      <c r="O876" s="43"/>
      <c r="P876" s="43"/>
      <c r="Q876" s="43"/>
      <c r="R876" s="43"/>
      <c r="S876" s="43"/>
    </row>
    <row r="877" spans="7:19" ht="15.75" customHeight="1">
      <c r="G877" s="36"/>
      <c r="H877" s="36"/>
      <c r="I877" s="36"/>
      <c r="J877" s="36"/>
      <c r="K877" s="36"/>
      <c r="O877" s="43"/>
      <c r="P877" s="43"/>
      <c r="Q877" s="43"/>
      <c r="R877" s="43"/>
      <c r="S877" s="43"/>
    </row>
    <row r="878" spans="7:19" ht="15.75" customHeight="1">
      <c r="G878" s="36"/>
      <c r="H878" s="36"/>
      <c r="I878" s="36"/>
      <c r="J878" s="36"/>
      <c r="K878" s="36"/>
      <c r="O878" s="43"/>
      <c r="P878" s="43"/>
      <c r="Q878" s="43"/>
      <c r="R878" s="43"/>
      <c r="S878" s="43"/>
    </row>
    <row r="879" spans="7:19" ht="15.75" customHeight="1">
      <c r="G879" s="36"/>
      <c r="H879" s="36"/>
      <c r="I879" s="36"/>
      <c r="J879" s="36"/>
      <c r="K879" s="36"/>
      <c r="O879" s="43"/>
      <c r="P879" s="43"/>
      <c r="Q879" s="43"/>
      <c r="R879" s="43"/>
      <c r="S879" s="43"/>
    </row>
    <row r="880" spans="7:19" ht="15.75" customHeight="1">
      <c r="G880" s="36"/>
      <c r="H880" s="36"/>
      <c r="I880" s="36"/>
      <c r="J880" s="36"/>
      <c r="K880" s="36"/>
      <c r="O880" s="43"/>
      <c r="P880" s="43"/>
      <c r="Q880" s="43"/>
      <c r="R880" s="43"/>
      <c r="S880" s="43"/>
    </row>
    <row r="881" spans="7:19" ht="15.75" customHeight="1">
      <c r="G881" s="36"/>
      <c r="H881" s="36"/>
      <c r="I881" s="36"/>
      <c r="J881" s="36"/>
      <c r="K881" s="36"/>
      <c r="O881" s="43"/>
      <c r="P881" s="43"/>
      <c r="Q881" s="43"/>
      <c r="R881" s="43"/>
      <c r="S881" s="43"/>
    </row>
    <row r="882" spans="7:19" ht="15.75" customHeight="1">
      <c r="G882" s="36"/>
      <c r="H882" s="36"/>
      <c r="I882" s="36"/>
      <c r="J882" s="36"/>
      <c r="K882" s="36"/>
      <c r="O882" s="43"/>
      <c r="P882" s="43"/>
      <c r="Q882" s="43"/>
      <c r="R882" s="43"/>
      <c r="S882" s="43"/>
    </row>
    <row r="883" spans="7:19" ht="15.75" customHeight="1">
      <c r="G883" s="36"/>
      <c r="H883" s="36"/>
      <c r="I883" s="36"/>
      <c r="J883" s="36"/>
      <c r="K883" s="36"/>
      <c r="O883" s="43"/>
      <c r="P883" s="43"/>
      <c r="Q883" s="43"/>
      <c r="R883" s="43"/>
      <c r="S883" s="43"/>
    </row>
    <row r="884" spans="7:19" ht="15.75" customHeight="1">
      <c r="G884" s="36"/>
      <c r="H884" s="36"/>
      <c r="I884" s="36"/>
      <c r="J884" s="36"/>
      <c r="K884" s="36"/>
      <c r="O884" s="43"/>
      <c r="P884" s="43"/>
      <c r="Q884" s="43"/>
      <c r="R884" s="43"/>
      <c r="S884" s="43"/>
    </row>
    <row r="885" spans="7:19" ht="15.75" customHeight="1">
      <c r="G885" s="36"/>
      <c r="H885" s="36"/>
      <c r="I885" s="36"/>
      <c r="J885" s="36"/>
      <c r="K885" s="36"/>
      <c r="O885" s="43"/>
      <c r="P885" s="43"/>
      <c r="Q885" s="43"/>
      <c r="R885" s="43"/>
      <c r="S885" s="43"/>
    </row>
    <row r="886" spans="7:19" ht="15.75" customHeight="1">
      <c r="G886" s="36"/>
      <c r="H886" s="36"/>
      <c r="I886" s="36"/>
      <c r="J886" s="36"/>
      <c r="K886" s="36"/>
      <c r="O886" s="43"/>
      <c r="P886" s="43"/>
      <c r="Q886" s="43"/>
      <c r="R886" s="43"/>
      <c r="S886" s="43"/>
    </row>
    <row r="887" spans="7:19" ht="15.75" customHeight="1">
      <c r="G887" s="36"/>
      <c r="H887" s="36"/>
      <c r="I887" s="36"/>
      <c r="J887" s="36"/>
      <c r="K887" s="36"/>
      <c r="O887" s="43"/>
      <c r="P887" s="43"/>
      <c r="Q887" s="43"/>
      <c r="R887" s="43"/>
      <c r="S887" s="43"/>
    </row>
    <row r="888" spans="7:19" ht="15.75" customHeight="1">
      <c r="G888" s="36"/>
      <c r="H888" s="36"/>
      <c r="I888" s="36"/>
      <c r="J888" s="36"/>
      <c r="K888" s="36"/>
      <c r="O888" s="43"/>
      <c r="P888" s="43"/>
      <c r="Q888" s="43"/>
      <c r="R888" s="43"/>
      <c r="S888" s="43"/>
    </row>
    <row r="889" spans="7:19" ht="15.75" customHeight="1">
      <c r="G889" s="36"/>
      <c r="H889" s="36"/>
      <c r="I889" s="36"/>
      <c r="J889" s="36"/>
      <c r="K889" s="36"/>
      <c r="O889" s="43"/>
      <c r="P889" s="43"/>
      <c r="Q889" s="43"/>
      <c r="R889" s="43"/>
      <c r="S889" s="43"/>
    </row>
    <row r="890" spans="7:19" ht="15.75" customHeight="1">
      <c r="G890" s="36"/>
      <c r="H890" s="36"/>
      <c r="I890" s="36"/>
      <c r="J890" s="36"/>
      <c r="K890" s="36"/>
      <c r="O890" s="43"/>
      <c r="P890" s="43"/>
      <c r="Q890" s="43"/>
      <c r="R890" s="43"/>
      <c r="S890" s="43"/>
    </row>
    <row r="891" spans="7:19" ht="15.75" customHeight="1">
      <c r="G891" s="36"/>
      <c r="H891" s="36"/>
      <c r="I891" s="36"/>
      <c r="J891" s="36"/>
      <c r="K891" s="36"/>
      <c r="O891" s="43"/>
      <c r="P891" s="43"/>
      <c r="Q891" s="43"/>
      <c r="R891" s="43"/>
      <c r="S891" s="43"/>
    </row>
    <row r="892" spans="7:19" ht="15.75" customHeight="1">
      <c r="G892" s="36"/>
      <c r="H892" s="36"/>
      <c r="I892" s="36"/>
      <c r="J892" s="36"/>
      <c r="K892" s="36"/>
      <c r="O892" s="43"/>
      <c r="P892" s="43"/>
      <c r="Q892" s="43"/>
      <c r="R892" s="43"/>
      <c r="S892" s="43"/>
    </row>
    <row r="893" spans="7:19" ht="15.75" customHeight="1">
      <c r="G893" s="36"/>
      <c r="H893" s="36"/>
      <c r="I893" s="36"/>
      <c r="J893" s="36"/>
      <c r="K893" s="36"/>
      <c r="O893" s="43"/>
      <c r="P893" s="43"/>
      <c r="Q893" s="43"/>
      <c r="R893" s="43"/>
      <c r="S893" s="43"/>
    </row>
    <row r="894" spans="7:19" ht="15.75" customHeight="1">
      <c r="G894" s="36"/>
      <c r="H894" s="36"/>
      <c r="I894" s="36"/>
      <c r="J894" s="36"/>
      <c r="K894" s="36"/>
      <c r="O894" s="43"/>
      <c r="P894" s="43"/>
      <c r="Q894" s="43"/>
      <c r="R894" s="43"/>
      <c r="S894" s="43"/>
    </row>
    <row r="895" spans="7:19" ht="15.75" customHeight="1">
      <c r="G895" s="36"/>
      <c r="H895" s="36"/>
      <c r="I895" s="36"/>
      <c r="J895" s="36"/>
      <c r="K895" s="36"/>
      <c r="O895" s="43"/>
      <c r="P895" s="43"/>
      <c r="Q895" s="43"/>
      <c r="R895" s="43"/>
      <c r="S895" s="43"/>
    </row>
    <row r="896" spans="7:19" ht="15.75" customHeight="1">
      <c r="G896" s="36"/>
      <c r="H896" s="36"/>
      <c r="I896" s="36"/>
      <c r="J896" s="36"/>
      <c r="K896" s="36"/>
      <c r="O896" s="43"/>
      <c r="P896" s="43"/>
      <c r="Q896" s="43"/>
      <c r="R896" s="43"/>
      <c r="S896" s="43"/>
    </row>
    <row r="897" spans="7:19" ht="15.75" customHeight="1">
      <c r="G897" s="36"/>
      <c r="H897" s="36"/>
      <c r="I897" s="36"/>
      <c r="J897" s="36"/>
      <c r="K897" s="36"/>
      <c r="O897" s="43"/>
      <c r="P897" s="43"/>
      <c r="Q897" s="43"/>
      <c r="R897" s="43"/>
      <c r="S897" s="43"/>
    </row>
    <row r="898" spans="7:19" ht="15.75" customHeight="1">
      <c r="G898" s="36"/>
      <c r="H898" s="36"/>
      <c r="I898" s="36"/>
      <c r="J898" s="36"/>
      <c r="K898" s="36"/>
      <c r="O898" s="43"/>
      <c r="P898" s="43"/>
      <c r="Q898" s="43"/>
      <c r="R898" s="43"/>
      <c r="S898" s="43"/>
    </row>
    <row r="899" spans="7:19" ht="15.75" customHeight="1">
      <c r="G899" s="36"/>
      <c r="H899" s="36"/>
      <c r="I899" s="36"/>
      <c r="J899" s="36"/>
      <c r="K899" s="36"/>
      <c r="O899" s="43"/>
      <c r="P899" s="43"/>
      <c r="Q899" s="43"/>
      <c r="R899" s="43"/>
      <c r="S899" s="43"/>
    </row>
    <row r="900" spans="7:19" ht="15.75" customHeight="1">
      <c r="G900" s="36"/>
      <c r="H900" s="36"/>
      <c r="I900" s="36"/>
      <c r="J900" s="36"/>
      <c r="K900" s="36"/>
      <c r="O900" s="43"/>
      <c r="P900" s="43"/>
      <c r="Q900" s="43"/>
      <c r="R900" s="43"/>
      <c r="S900" s="43"/>
    </row>
    <row r="901" spans="7:19" ht="15.75" customHeight="1">
      <c r="G901" s="36"/>
      <c r="H901" s="36"/>
      <c r="I901" s="36"/>
      <c r="J901" s="36"/>
      <c r="K901" s="36"/>
    </row>
    <row r="902" spans="7:19" ht="15.75" customHeight="1">
      <c r="G902" s="36"/>
      <c r="H902" s="36"/>
      <c r="I902" s="36"/>
      <c r="J902" s="36"/>
      <c r="K902" s="36"/>
    </row>
    <row r="903" spans="7:19" ht="15.75" customHeight="1">
      <c r="G903" s="36"/>
      <c r="H903" s="36"/>
      <c r="I903" s="36"/>
      <c r="J903" s="36"/>
      <c r="K903" s="36"/>
    </row>
    <row r="904" spans="7:19" ht="15.75" customHeight="1">
      <c r="G904" s="36"/>
      <c r="H904" s="36"/>
      <c r="I904" s="36"/>
      <c r="J904" s="36"/>
      <c r="K904" s="36"/>
    </row>
    <row r="905" spans="7:19" ht="15.75" customHeight="1">
      <c r="G905" s="36"/>
      <c r="H905" s="36"/>
      <c r="I905" s="36"/>
      <c r="J905" s="36"/>
      <c r="K905" s="36"/>
    </row>
    <row r="906" spans="7:19" ht="15.75" customHeight="1">
      <c r="G906" s="36"/>
      <c r="H906" s="36"/>
      <c r="I906" s="36"/>
      <c r="J906" s="36"/>
      <c r="K906" s="36"/>
    </row>
    <row r="907" spans="7:19" ht="15.75" customHeight="1">
      <c r="G907" s="36"/>
      <c r="H907" s="36"/>
      <c r="I907" s="36"/>
      <c r="J907" s="36"/>
      <c r="K907" s="36"/>
    </row>
    <row r="908" spans="7:19" ht="15.75" customHeight="1">
      <c r="G908" s="36"/>
      <c r="H908" s="36"/>
      <c r="I908" s="36"/>
      <c r="J908" s="36"/>
      <c r="K908" s="36"/>
    </row>
    <row r="909" spans="7:19" ht="15.75" customHeight="1">
      <c r="G909" s="36"/>
      <c r="H909" s="36"/>
      <c r="I909" s="36"/>
      <c r="J909" s="36"/>
      <c r="K909" s="36"/>
    </row>
    <row r="910" spans="7:19" ht="15.75" customHeight="1">
      <c r="G910" s="36"/>
      <c r="H910" s="36"/>
      <c r="I910" s="36"/>
      <c r="J910" s="36"/>
      <c r="K910" s="36"/>
    </row>
    <row r="911" spans="7:19" ht="15.75" customHeight="1">
      <c r="G911" s="36"/>
      <c r="H911" s="36"/>
      <c r="I911" s="36"/>
      <c r="J911" s="36"/>
      <c r="K911" s="36"/>
    </row>
    <row r="912" spans="7:19" ht="15.75" customHeight="1">
      <c r="G912" s="36"/>
      <c r="H912" s="36"/>
      <c r="I912" s="36"/>
      <c r="J912" s="36"/>
      <c r="K912" s="36"/>
    </row>
    <row r="913" spans="7:11" ht="15.75" customHeight="1">
      <c r="G913" s="36"/>
      <c r="H913" s="36"/>
      <c r="I913" s="36"/>
      <c r="J913" s="36"/>
      <c r="K913" s="36"/>
    </row>
    <row r="914" spans="7:11" ht="15.75" customHeight="1">
      <c r="G914" s="36"/>
      <c r="H914" s="36"/>
      <c r="I914" s="36"/>
      <c r="J914" s="36"/>
      <c r="K914" s="36"/>
    </row>
    <row r="915" spans="7:11" ht="15.75" customHeight="1">
      <c r="G915" s="36"/>
      <c r="H915" s="36"/>
      <c r="I915" s="36"/>
      <c r="J915" s="36"/>
      <c r="K915" s="36"/>
    </row>
    <row r="916" spans="7:11" ht="15.75" customHeight="1">
      <c r="G916" s="36"/>
      <c r="H916" s="36"/>
      <c r="I916" s="36"/>
      <c r="J916" s="36"/>
      <c r="K916" s="36"/>
    </row>
    <row r="917" spans="7:11" ht="15.75" customHeight="1">
      <c r="G917" s="36"/>
      <c r="H917" s="36"/>
      <c r="I917" s="36"/>
      <c r="J917" s="36"/>
      <c r="K917" s="36"/>
    </row>
    <row r="918" spans="7:11" ht="15.75" customHeight="1">
      <c r="G918" s="36"/>
      <c r="H918" s="36"/>
      <c r="I918" s="36"/>
      <c r="J918" s="36"/>
      <c r="K918" s="36"/>
    </row>
    <row r="919" spans="7:11" ht="15.75" customHeight="1">
      <c r="G919" s="36"/>
      <c r="H919" s="36"/>
      <c r="I919" s="36"/>
      <c r="J919" s="36"/>
      <c r="K919" s="36"/>
    </row>
    <row r="920" spans="7:11" ht="15.75" customHeight="1">
      <c r="G920" s="36"/>
      <c r="H920" s="36"/>
      <c r="I920" s="36"/>
      <c r="J920" s="36"/>
      <c r="K920" s="36"/>
    </row>
    <row r="921" spans="7:11" ht="15.75" customHeight="1">
      <c r="G921" s="36"/>
      <c r="H921" s="36"/>
      <c r="I921" s="36"/>
      <c r="J921" s="36"/>
      <c r="K921" s="36"/>
    </row>
    <row r="922" spans="7:11" ht="15.75" customHeight="1">
      <c r="G922" s="36"/>
      <c r="H922" s="36"/>
      <c r="I922" s="36"/>
      <c r="J922" s="36"/>
      <c r="K922" s="36"/>
    </row>
    <row r="923" spans="7:11" ht="15.75" customHeight="1">
      <c r="G923" s="36"/>
      <c r="H923" s="36"/>
      <c r="I923" s="36"/>
      <c r="J923" s="36"/>
      <c r="K923" s="36"/>
    </row>
    <row r="924" spans="7:11" ht="15.75" customHeight="1">
      <c r="G924" s="36"/>
      <c r="H924" s="36"/>
      <c r="I924" s="36"/>
      <c r="J924" s="36"/>
      <c r="K924" s="36"/>
    </row>
    <row r="925" spans="7:11" ht="15.75" customHeight="1">
      <c r="G925" s="36"/>
      <c r="H925" s="36"/>
      <c r="I925" s="36"/>
      <c r="J925" s="36"/>
      <c r="K925" s="36"/>
    </row>
    <row r="926" spans="7:11" ht="15.75" customHeight="1">
      <c r="G926" s="36"/>
      <c r="H926" s="36"/>
      <c r="I926" s="36"/>
      <c r="J926" s="36"/>
      <c r="K926" s="36"/>
    </row>
    <row r="927" spans="7:11" ht="15.75" customHeight="1">
      <c r="G927" s="36"/>
      <c r="H927" s="36"/>
      <c r="I927" s="36"/>
      <c r="J927" s="36"/>
      <c r="K927" s="36"/>
    </row>
    <row r="928" spans="7:11" ht="15.75" customHeight="1">
      <c r="G928" s="36"/>
      <c r="H928" s="36"/>
      <c r="I928" s="36"/>
      <c r="J928" s="36"/>
      <c r="K928" s="36"/>
    </row>
    <row r="929" spans="7:11" ht="15.75" customHeight="1">
      <c r="G929" s="36"/>
      <c r="H929" s="36"/>
      <c r="I929" s="36"/>
      <c r="J929" s="36"/>
      <c r="K929" s="36"/>
    </row>
    <row r="930" spans="7:11" ht="15.75" customHeight="1">
      <c r="G930" s="36"/>
      <c r="H930" s="36"/>
      <c r="I930" s="36"/>
      <c r="J930" s="36"/>
      <c r="K930" s="36"/>
    </row>
    <row r="931" spans="7:11" ht="15.75" customHeight="1">
      <c r="G931" s="36"/>
      <c r="H931" s="36"/>
      <c r="I931" s="36"/>
      <c r="J931" s="36"/>
      <c r="K931" s="36"/>
    </row>
    <row r="932" spans="7:11" ht="15.75" customHeight="1">
      <c r="G932" s="36"/>
      <c r="H932" s="36"/>
      <c r="I932" s="36"/>
      <c r="J932" s="36"/>
      <c r="K932" s="36"/>
    </row>
    <row r="933" spans="7:11" ht="15.75" customHeight="1">
      <c r="G933" s="36"/>
      <c r="H933" s="36"/>
      <c r="I933" s="36"/>
      <c r="J933" s="36"/>
      <c r="K933" s="36"/>
    </row>
    <row r="934" spans="7:11" ht="15.75" customHeight="1">
      <c r="G934" s="36"/>
      <c r="H934" s="36"/>
      <c r="I934" s="36"/>
      <c r="J934" s="36"/>
      <c r="K934" s="36"/>
    </row>
    <row r="935" spans="7:11" ht="15.75" customHeight="1">
      <c r="G935" s="36"/>
      <c r="H935" s="36"/>
      <c r="I935" s="36"/>
      <c r="J935" s="36"/>
      <c r="K935" s="36"/>
    </row>
    <row r="936" spans="7:11" ht="15.75" customHeight="1">
      <c r="G936" s="36"/>
      <c r="H936" s="36"/>
      <c r="I936" s="36"/>
      <c r="J936" s="36"/>
      <c r="K936" s="36"/>
    </row>
    <row r="937" spans="7:11" ht="15.75" customHeight="1">
      <c r="G937" s="36"/>
      <c r="H937" s="36"/>
      <c r="I937" s="36"/>
      <c r="J937" s="36"/>
      <c r="K937" s="36"/>
    </row>
    <row r="938" spans="7:11" ht="15.75" customHeight="1">
      <c r="G938" s="36"/>
      <c r="H938" s="36"/>
      <c r="I938" s="36"/>
      <c r="J938" s="36"/>
      <c r="K938" s="36"/>
    </row>
    <row r="939" spans="7:11" ht="15.75" customHeight="1">
      <c r="G939" s="36"/>
      <c r="H939" s="36"/>
      <c r="I939" s="36"/>
      <c r="J939" s="36"/>
      <c r="K939" s="36"/>
    </row>
    <row r="940" spans="7:11" ht="15.75" customHeight="1">
      <c r="G940" s="36"/>
      <c r="H940" s="36"/>
      <c r="I940" s="36"/>
      <c r="J940" s="36"/>
      <c r="K940" s="36"/>
    </row>
    <row r="941" spans="7:11" ht="15.75" customHeight="1">
      <c r="G941" s="36"/>
      <c r="H941" s="36"/>
      <c r="I941" s="36"/>
      <c r="J941" s="36"/>
      <c r="K941" s="36"/>
    </row>
    <row r="942" spans="7:11" ht="15.75" customHeight="1">
      <c r="G942" s="36"/>
      <c r="H942" s="36"/>
      <c r="I942" s="36"/>
      <c r="J942" s="36"/>
      <c r="K942" s="36"/>
    </row>
    <row r="943" spans="7:11" ht="15.75" customHeight="1">
      <c r="G943" s="36"/>
      <c r="H943" s="36"/>
      <c r="I943" s="36"/>
      <c r="J943" s="36"/>
      <c r="K943" s="36"/>
    </row>
    <row r="944" spans="7:11" ht="15.75" customHeight="1">
      <c r="G944" s="36"/>
      <c r="H944" s="36"/>
      <c r="I944" s="36"/>
      <c r="J944" s="36"/>
      <c r="K944" s="36"/>
    </row>
    <row r="945" spans="7:11" ht="15.75" customHeight="1">
      <c r="G945" s="36"/>
      <c r="H945" s="36"/>
      <c r="I945" s="36"/>
      <c r="J945" s="36"/>
      <c r="K945" s="36"/>
    </row>
    <row r="946" spans="7:11" ht="15.75" customHeight="1">
      <c r="G946" s="36"/>
      <c r="H946" s="36"/>
      <c r="I946" s="36"/>
      <c r="J946" s="36"/>
      <c r="K946" s="36"/>
    </row>
    <row r="947" spans="7:11" ht="15.75" customHeight="1">
      <c r="G947" s="36"/>
      <c r="H947" s="36"/>
      <c r="I947" s="36"/>
      <c r="J947" s="36"/>
      <c r="K947" s="36"/>
    </row>
    <row r="948" spans="7:11" ht="15.75" customHeight="1">
      <c r="G948" s="36"/>
      <c r="H948" s="36"/>
      <c r="I948" s="36"/>
      <c r="J948" s="36"/>
      <c r="K948" s="36"/>
    </row>
    <row r="949" spans="7:11" ht="15.75" customHeight="1">
      <c r="G949" s="36"/>
      <c r="H949" s="36"/>
      <c r="I949" s="36"/>
      <c r="J949" s="36"/>
      <c r="K949" s="36"/>
    </row>
    <row r="950" spans="7:11" ht="15.75" customHeight="1">
      <c r="G950" s="36"/>
      <c r="H950" s="36"/>
      <c r="I950" s="36"/>
      <c r="J950" s="36"/>
      <c r="K950" s="36"/>
    </row>
    <row r="951" spans="7:11" ht="15.75" customHeight="1">
      <c r="G951" s="36"/>
      <c r="H951" s="36"/>
      <c r="I951" s="36"/>
      <c r="J951" s="36"/>
      <c r="K951" s="36"/>
    </row>
    <row r="952" spans="7:11" ht="15.75" customHeight="1">
      <c r="G952" s="36"/>
      <c r="H952" s="36"/>
      <c r="I952" s="36"/>
      <c r="J952" s="36"/>
      <c r="K952" s="36"/>
    </row>
    <row r="953" spans="7:11" ht="15.75" customHeight="1">
      <c r="G953" s="36"/>
      <c r="H953" s="36"/>
      <c r="I953" s="36"/>
      <c r="J953" s="36"/>
      <c r="K953" s="36"/>
    </row>
    <row r="954" spans="7:11" ht="15.75" customHeight="1">
      <c r="G954" s="36"/>
      <c r="H954" s="36"/>
      <c r="I954" s="36"/>
      <c r="J954" s="36"/>
      <c r="K954" s="36"/>
    </row>
    <row r="955" spans="7:11" ht="15.75" customHeight="1">
      <c r="G955" s="36"/>
      <c r="H955" s="36"/>
      <c r="I955" s="36"/>
      <c r="J955" s="36"/>
      <c r="K955" s="36"/>
    </row>
    <row r="956" spans="7:11" ht="15.75" customHeight="1">
      <c r="G956" s="36"/>
      <c r="H956" s="36"/>
      <c r="I956" s="36"/>
      <c r="J956" s="36"/>
      <c r="K956" s="36"/>
    </row>
    <row r="957" spans="7:11" ht="15.75" customHeight="1">
      <c r="G957" s="36"/>
      <c r="H957" s="36"/>
      <c r="I957" s="36"/>
      <c r="J957" s="36"/>
      <c r="K957" s="36"/>
    </row>
    <row r="958" spans="7:11" ht="15.75" customHeight="1">
      <c r="G958" s="36"/>
      <c r="H958" s="36"/>
      <c r="I958" s="36"/>
      <c r="J958" s="36"/>
      <c r="K958" s="36"/>
    </row>
    <row r="959" spans="7:11" ht="15.75" customHeight="1">
      <c r="G959" s="36"/>
      <c r="H959" s="36"/>
      <c r="I959" s="36"/>
      <c r="J959" s="36"/>
      <c r="K959" s="36"/>
    </row>
    <row r="960" spans="7:11" ht="15.75" customHeight="1">
      <c r="G960" s="36"/>
      <c r="H960" s="36"/>
      <c r="I960" s="36"/>
      <c r="J960" s="36"/>
      <c r="K960" s="36"/>
    </row>
    <row r="961" spans="7:11" ht="15.75" customHeight="1">
      <c r="G961" s="36"/>
      <c r="H961" s="36"/>
      <c r="I961" s="36"/>
      <c r="J961" s="36"/>
      <c r="K961" s="36"/>
    </row>
    <row r="962" spans="7:11" ht="15.75" customHeight="1">
      <c r="G962" s="36"/>
      <c r="H962" s="36"/>
      <c r="I962" s="36"/>
      <c r="J962" s="36"/>
      <c r="K962" s="36"/>
    </row>
    <row r="963" spans="7:11" ht="15.75" customHeight="1">
      <c r="G963" s="36"/>
      <c r="H963" s="36"/>
      <c r="I963" s="36"/>
      <c r="J963" s="36"/>
      <c r="K963" s="36"/>
    </row>
    <row r="964" spans="7:11" ht="15.75" customHeight="1">
      <c r="G964" s="36"/>
      <c r="H964" s="36"/>
      <c r="I964" s="36"/>
      <c r="J964" s="36"/>
      <c r="K964" s="36"/>
    </row>
    <row r="965" spans="7:11" ht="15.75" customHeight="1">
      <c r="G965" s="36"/>
      <c r="H965" s="36"/>
      <c r="I965" s="36"/>
      <c r="J965" s="36"/>
      <c r="K965" s="36"/>
    </row>
    <row r="966" spans="7:11" ht="15.75" customHeight="1">
      <c r="G966" s="36"/>
      <c r="H966" s="36"/>
      <c r="I966" s="36"/>
      <c r="J966" s="36"/>
      <c r="K966" s="36"/>
    </row>
    <row r="967" spans="7:11" ht="15.75" customHeight="1">
      <c r="G967" s="36"/>
      <c r="H967" s="36"/>
      <c r="I967" s="36"/>
      <c r="J967" s="36"/>
      <c r="K967" s="36"/>
    </row>
    <row r="968" spans="7:11" ht="15.75" customHeight="1">
      <c r="G968" s="36"/>
      <c r="H968" s="36"/>
      <c r="I968" s="36"/>
      <c r="J968" s="36"/>
      <c r="K968" s="36"/>
    </row>
    <row r="969" spans="7:11" ht="15.75" customHeight="1">
      <c r="G969" s="36"/>
      <c r="H969" s="36"/>
      <c r="I969" s="36"/>
      <c r="J969" s="36"/>
      <c r="K969" s="36"/>
    </row>
    <row r="970" spans="7:11" ht="15.75" customHeight="1">
      <c r="G970" s="36"/>
      <c r="H970" s="36"/>
      <c r="I970" s="36"/>
      <c r="J970" s="36"/>
      <c r="K970" s="36"/>
    </row>
    <row r="971" spans="7:11" ht="15.75" customHeight="1">
      <c r="G971" s="36"/>
      <c r="H971" s="36"/>
      <c r="I971" s="36"/>
      <c r="J971" s="36"/>
      <c r="K971" s="36"/>
    </row>
    <row r="972" spans="7:11" ht="15.75" customHeight="1">
      <c r="G972" s="36"/>
      <c r="H972" s="36"/>
      <c r="I972" s="36"/>
      <c r="J972" s="36"/>
      <c r="K972" s="36"/>
    </row>
    <row r="973" spans="7:11" ht="15.75" customHeight="1">
      <c r="G973" s="36"/>
      <c r="H973" s="36"/>
      <c r="I973" s="36"/>
      <c r="J973" s="36"/>
      <c r="K973" s="36"/>
    </row>
    <row r="974" spans="7:11" ht="15.75" customHeight="1">
      <c r="G974" s="36"/>
      <c r="H974" s="36"/>
      <c r="I974" s="36"/>
      <c r="J974" s="36"/>
      <c r="K974" s="36"/>
    </row>
    <row r="975" spans="7:11" ht="15.75" customHeight="1">
      <c r="G975" s="36"/>
      <c r="H975" s="36"/>
      <c r="I975" s="36"/>
      <c r="J975" s="36"/>
      <c r="K975" s="36"/>
    </row>
    <row r="976" spans="7:11" ht="15.75" customHeight="1">
      <c r="G976" s="36"/>
      <c r="H976" s="36"/>
      <c r="I976" s="36"/>
      <c r="J976" s="36"/>
      <c r="K976" s="36"/>
    </row>
    <row r="977" spans="7:11" ht="15.75" customHeight="1">
      <c r="G977" s="36"/>
      <c r="H977" s="36"/>
      <c r="I977" s="36"/>
      <c r="J977" s="36"/>
      <c r="K977" s="36"/>
    </row>
    <row r="978" spans="7:11" ht="15.75" customHeight="1">
      <c r="G978" s="36"/>
      <c r="H978" s="36"/>
      <c r="I978" s="36"/>
      <c r="J978" s="36"/>
      <c r="K978" s="36"/>
    </row>
    <row r="979" spans="7:11" ht="15.75" customHeight="1">
      <c r="G979" s="36"/>
      <c r="H979" s="36"/>
      <c r="I979" s="36"/>
      <c r="J979" s="36"/>
      <c r="K979" s="36"/>
    </row>
    <row r="980" spans="7:11" ht="15.75" customHeight="1">
      <c r="G980" s="36"/>
      <c r="H980" s="36"/>
      <c r="I980" s="36"/>
      <c r="J980" s="36"/>
      <c r="K980" s="36"/>
    </row>
    <row r="981" spans="7:11" ht="15.75" customHeight="1">
      <c r="G981" s="36"/>
      <c r="H981" s="36"/>
      <c r="I981" s="36"/>
      <c r="J981" s="36"/>
      <c r="K981" s="36"/>
    </row>
    <row r="982" spans="7:11" ht="15.75" customHeight="1">
      <c r="G982" s="36"/>
      <c r="H982" s="36"/>
      <c r="I982" s="36"/>
      <c r="J982" s="36"/>
      <c r="K982" s="36"/>
    </row>
    <row r="983" spans="7:11" ht="15.75" customHeight="1">
      <c r="G983" s="36"/>
      <c r="H983" s="36"/>
      <c r="I983" s="36"/>
      <c r="J983" s="36"/>
      <c r="K983" s="36"/>
    </row>
    <row r="984" spans="7:11" ht="15.75" customHeight="1">
      <c r="G984" s="36"/>
      <c r="H984" s="36"/>
      <c r="I984" s="36"/>
      <c r="J984" s="36"/>
      <c r="K984" s="36"/>
    </row>
    <row r="985" spans="7:11" ht="15.75" customHeight="1">
      <c r="G985" s="36"/>
      <c r="H985" s="36"/>
      <c r="I985" s="36"/>
      <c r="J985" s="36"/>
      <c r="K985" s="36"/>
    </row>
    <row r="986" spans="7:11" ht="15.75" customHeight="1">
      <c r="G986" s="36"/>
      <c r="H986" s="36"/>
      <c r="I986" s="36"/>
      <c r="J986" s="36"/>
      <c r="K986" s="36"/>
    </row>
    <row r="987" spans="7:11" ht="15.75" customHeight="1">
      <c r="G987" s="36"/>
      <c r="H987" s="36"/>
      <c r="I987" s="36"/>
      <c r="J987" s="36"/>
      <c r="K987" s="36"/>
    </row>
    <row r="988" spans="7:11" ht="15.75" customHeight="1">
      <c r="G988" s="36"/>
      <c r="H988" s="36"/>
      <c r="I988" s="36"/>
      <c r="J988" s="36"/>
      <c r="K988" s="36"/>
    </row>
    <row r="989" spans="7:11" ht="15.75" customHeight="1">
      <c r="G989" s="36"/>
      <c r="H989" s="36"/>
      <c r="I989" s="36"/>
      <c r="J989" s="36"/>
      <c r="K989" s="36"/>
    </row>
    <row r="990" spans="7:11" ht="15.75" customHeight="1">
      <c r="G990" s="36"/>
      <c r="H990" s="36"/>
      <c r="I990" s="36"/>
      <c r="J990" s="36"/>
      <c r="K990" s="36"/>
    </row>
    <row r="991" spans="7:11" ht="15.75" customHeight="1">
      <c r="G991" s="36"/>
      <c r="H991" s="36"/>
      <c r="I991" s="36"/>
      <c r="J991" s="36"/>
      <c r="K991" s="36"/>
    </row>
    <row r="992" spans="7:11" ht="15.75" customHeight="1">
      <c r="G992" s="36"/>
      <c r="H992" s="36"/>
      <c r="I992" s="36"/>
      <c r="J992" s="36"/>
      <c r="K992" s="36"/>
    </row>
    <row r="993" spans="7:11" ht="15.75" customHeight="1">
      <c r="G993" s="36"/>
      <c r="H993" s="36"/>
      <c r="I993" s="36"/>
      <c r="J993" s="36"/>
      <c r="K993" s="36"/>
    </row>
    <row r="994" spans="7:11" ht="15.75" customHeight="1">
      <c r="G994" s="36"/>
      <c r="H994" s="36"/>
      <c r="I994" s="36"/>
      <c r="J994" s="36"/>
      <c r="K994" s="36"/>
    </row>
    <row r="995" spans="7:11" ht="15.75" customHeight="1">
      <c r="G995" s="36"/>
      <c r="H995" s="36"/>
      <c r="I995" s="36"/>
      <c r="J995" s="36"/>
      <c r="K995" s="36"/>
    </row>
    <row r="996" spans="7:11" ht="15.75" customHeight="1">
      <c r="G996" s="36"/>
      <c r="H996" s="36"/>
      <c r="I996" s="36"/>
      <c r="J996" s="36"/>
      <c r="K996" s="36"/>
    </row>
    <row r="997" spans="7:11" ht="15.75" customHeight="1">
      <c r="G997" s="36"/>
      <c r="H997" s="36"/>
      <c r="I997" s="36"/>
      <c r="J997" s="36"/>
      <c r="K997" s="36"/>
    </row>
    <row r="998" spans="7:11" ht="15.75" customHeight="1">
      <c r="G998" s="36"/>
      <c r="H998" s="36"/>
      <c r="I998" s="36"/>
      <c r="J998" s="36"/>
      <c r="K998" s="36"/>
    </row>
    <row r="999" spans="7:11" ht="15.75" customHeight="1">
      <c r="G999" s="36"/>
      <c r="H999" s="36"/>
      <c r="I999" s="36"/>
      <c r="J999" s="36"/>
      <c r="K999" s="36"/>
    </row>
    <row r="1000" spans="7:11" ht="15.75" customHeight="1">
      <c r="G1000" s="36"/>
      <c r="H1000" s="36"/>
      <c r="I1000" s="36"/>
      <c r="J1000" s="36"/>
      <c r="K1000" s="36"/>
    </row>
    <row r="1001" spans="7:11" ht="15.75" customHeight="1">
      <c r="G1001" s="36"/>
      <c r="H1001" s="36"/>
      <c r="I1001" s="36"/>
      <c r="J1001" s="36"/>
      <c r="K1001" s="36"/>
    </row>
    <row r="1002" spans="7:11" ht="15.75" customHeight="1">
      <c r="G1002" s="36"/>
      <c r="H1002" s="36"/>
      <c r="I1002" s="36"/>
      <c r="J1002" s="36"/>
      <c r="K1002" s="36"/>
    </row>
    <row r="1003" spans="7:11" ht="15.75" customHeight="1">
      <c r="G1003" s="36"/>
      <c r="H1003" s="36"/>
      <c r="I1003" s="36"/>
      <c r="J1003" s="36"/>
      <c r="K1003" s="36"/>
    </row>
    <row r="1004" spans="7:11" ht="15.75" customHeight="1">
      <c r="G1004" s="36"/>
      <c r="H1004" s="36"/>
      <c r="I1004" s="36"/>
      <c r="J1004" s="36"/>
      <c r="K1004" s="36"/>
    </row>
    <row r="1005" spans="7:11" ht="15.75" customHeight="1">
      <c r="G1005" s="36"/>
      <c r="H1005" s="36"/>
      <c r="I1005" s="36"/>
      <c r="J1005" s="36"/>
      <c r="K1005" s="36"/>
    </row>
    <row r="1006" spans="7:11" ht="15.75" customHeight="1">
      <c r="G1006" s="36"/>
      <c r="H1006" s="36"/>
      <c r="I1006" s="36"/>
      <c r="J1006" s="36"/>
      <c r="K1006" s="36"/>
    </row>
    <row r="1007" spans="7:11" ht="15.75" customHeight="1">
      <c r="G1007" s="36"/>
      <c r="H1007" s="36"/>
      <c r="I1007" s="36"/>
      <c r="J1007" s="36"/>
      <c r="K1007" s="36"/>
    </row>
    <row r="1008" spans="7:11" ht="15.75" customHeight="1">
      <c r="G1008" s="36"/>
      <c r="H1008" s="36"/>
      <c r="I1008" s="36"/>
      <c r="J1008" s="36"/>
      <c r="K1008" s="36"/>
    </row>
    <row r="1009" spans="7:11" ht="15.75" customHeight="1">
      <c r="G1009" s="36"/>
      <c r="H1009" s="36"/>
      <c r="I1009" s="36"/>
      <c r="J1009" s="36"/>
      <c r="K1009" s="36"/>
    </row>
    <row r="1010" spans="7:11" ht="15.75" customHeight="1">
      <c r="G1010" s="36"/>
      <c r="H1010" s="36"/>
      <c r="I1010" s="36"/>
      <c r="J1010" s="36"/>
      <c r="K1010" s="36"/>
    </row>
    <row r="1011" spans="7:11" ht="15.75" customHeight="1">
      <c r="G1011" s="36"/>
      <c r="H1011" s="36"/>
      <c r="I1011" s="36"/>
      <c r="J1011" s="36"/>
      <c r="K1011" s="36"/>
    </row>
    <row r="1012" spans="7:11" ht="15.75" customHeight="1">
      <c r="G1012" s="36"/>
      <c r="H1012" s="36"/>
      <c r="I1012" s="36"/>
      <c r="J1012" s="36"/>
      <c r="K1012" s="36"/>
    </row>
    <row r="1013" spans="7:11" ht="15.75" customHeight="1">
      <c r="G1013" s="36"/>
      <c r="H1013" s="36"/>
      <c r="I1013" s="36"/>
      <c r="J1013" s="36"/>
      <c r="K1013" s="36"/>
    </row>
    <row r="1014" spans="7:11" ht="15.75" customHeight="1">
      <c r="G1014" s="36"/>
      <c r="H1014" s="36"/>
      <c r="I1014" s="36"/>
      <c r="J1014" s="36"/>
      <c r="K1014" s="36"/>
    </row>
    <row r="1015" spans="7:11" ht="15.75" customHeight="1">
      <c r="G1015" s="36"/>
      <c r="H1015" s="36"/>
      <c r="I1015" s="36"/>
      <c r="J1015" s="36"/>
      <c r="K1015" s="36"/>
    </row>
    <row r="1016" spans="7:11" ht="15.75" customHeight="1">
      <c r="G1016" s="36"/>
      <c r="H1016" s="36"/>
      <c r="I1016" s="36"/>
      <c r="J1016" s="36"/>
      <c r="K1016" s="36"/>
    </row>
    <row r="1017" spans="7:11" ht="15.75" customHeight="1">
      <c r="G1017" s="36"/>
      <c r="H1017" s="36"/>
      <c r="I1017" s="36"/>
      <c r="J1017" s="36"/>
      <c r="K1017" s="36"/>
    </row>
    <row r="1018" spans="7:11" ht="15.75" customHeight="1">
      <c r="G1018" s="36"/>
      <c r="H1018" s="36"/>
      <c r="I1018" s="36"/>
      <c r="J1018" s="36"/>
      <c r="K1018" s="36"/>
    </row>
    <row r="1019" spans="7:11" ht="15.75" customHeight="1">
      <c r="G1019" s="36"/>
      <c r="H1019" s="36"/>
      <c r="I1019" s="36"/>
      <c r="J1019" s="36"/>
      <c r="K1019" s="36"/>
    </row>
    <row r="1020" spans="7:11" ht="15.75" customHeight="1">
      <c r="G1020" s="36"/>
      <c r="H1020" s="36"/>
      <c r="I1020" s="36"/>
      <c r="J1020" s="36"/>
      <c r="K1020" s="36"/>
    </row>
    <row r="1021" spans="7:11" ht="15.75" customHeight="1">
      <c r="G1021" s="36"/>
      <c r="H1021" s="36"/>
      <c r="I1021" s="36"/>
      <c r="J1021" s="36"/>
      <c r="K1021" s="36"/>
    </row>
    <row r="1022" spans="7:11" ht="15.75" customHeight="1">
      <c r="G1022" s="36"/>
      <c r="H1022" s="36"/>
      <c r="I1022" s="36"/>
      <c r="J1022" s="36"/>
      <c r="K1022" s="36"/>
    </row>
    <row r="1023" spans="7:11" ht="15.75" customHeight="1">
      <c r="G1023" s="36"/>
      <c r="H1023" s="36"/>
      <c r="I1023" s="36"/>
      <c r="J1023" s="36"/>
      <c r="K1023" s="36"/>
    </row>
    <row r="1024" spans="7:11" ht="15.75" customHeight="1">
      <c r="G1024" s="36"/>
      <c r="H1024" s="36"/>
      <c r="I1024" s="36"/>
      <c r="J1024" s="36"/>
      <c r="K1024" s="36"/>
    </row>
    <row r="1025" spans="7:11" ht="15.75" customHeight="1">
      <c r="G1025" s="36"/>
      <c r="H1025" s="36"/>
      <c r="I1025" s="36"/>
      <c r="J1025" s="36"/>
      <c r="K1025" s="36"/>
    </row>
    <row r="1026" spans="7:11" ht="15.75" customHeight="1">
      <c r="G1026" s="36"/>
      <c r="H1026" s="36"/>
      <c r="I1026" s="36"/>
      <c r="J1026" s="36"/>
      <c r="K1026" s="36"/>
    </row>
    <row r="1027" spans="7:11" ht="15.75" customHeight="1">
      <c r="G1027" s="36"/>
      <c r="H1027" s="36"/>
      <c r="I1027" s="36"/>
      <c r="J1027" s="36"/>
      <c r="K1027" s="36"/>
    </row>
    <row r="1028" spans="7:11" ht="15.75" customHeight="1">
      <c r="G1028" s="36"/>
      <c r="H1028" s="36"/>
      <c r="I1028" s="36"/>
      <c r="J1028" s="36"/>
      <c r="K1028" s="36"/>
    </row>
    <row r="1029" spans="7:11" ht="15.75" customHeight="1">
      <c r="G1029" s="36"/>
      <c r="H1029" s="36"/>
      <c r="I1029" s="36"/>
      <c r="J1029" s="36"/>
      <c r="K1029" s="36"/>
    </row>
    <row r="1030" spans="7:11" ht="15.75" customHeight="1">
      <c r="G1030" s="36"/>
      <c r="H1030" s="36"/>
      <c r="I1030" s="36"/>
      <c r="J1030" s="36"/>
      <c r="K1030" s="36"/>
    </row>
    <row r="1031" spans="7:11" ht="15.75" customHeight="1">
      <c r="G1031" s="36"/>
      <c r="H1031" s="36"/>
      <c r="I1031" s="36"/>
      <c r="J1031" s="36"/>
      <c r="K1031" s="36"/>
    </row>
    <row r="1032" spans="7:11" ht="15.75" customHeight="1">
      <c r="G1032" s="36"/>
      <c r="H1032" s="36"/>
      <c r="I1032" s="36"/>
      <c r="J1032" s="36"/>
      <c r="K1032" s="36"/>
    </row>
    <row r="1033" spans="7:11" ht="15.75" customHeight="1">
      <c r="G1033" s="36"/>
      <c r="H1033" s="36"/>
      <c r="I1033" s="36"/>
      <c r="J1033" s="36"/>
      <c r="K1033" s="36"/>
    </row>
    <row r="1034" spans="7:11" ht="15.75" customHeight="1">
      <c r="G1034" s="36"/>
      <c r="H1034" s="36"/>
      <c r="I1034" s="36"/>
      <c r="J1034" s="36"/>
      <c r="K1034" s="36"/>
    </row>
    <row r="1035" spans="7:11" ht="15.75" customHeight="1">
      <c r="G1035" s="36"/>
      <c r="H1035" s="36"/>
      <c r="I1035" s="36"/>
      <c r="J1035" s="36"/>
      <c r="K1035" s="36"/>
    </row>
    <row r="1036" spans="7:11" ht="15.75" customHeight="1">
      <c r="G1036" s="36"/>
      <c r="H1036" s="36"/>
      <c r="I1036" s="36"/>
      <c r="J1036" s="36"/>
      <c r="K1036" s="36"/>
    </row>
    <row r="1037" spans="7:11" ht="15.75" customHeight="1">
      <c r="G1037" s="36"/>
      <c r="H1037" s="36"/>
      <c r="I1037" s="36"/>
      <c r="J1037" s="36"/>
      <c r="K1037" s="36"/>
    </row>
    <row r="1038" spans="7:11" ht="15.75" customHeight="1">
      <c r="G1038" s="36"/>
      <c r="H1038" s="36"/>
      <c r="I1038" s="36"/>
      <c r="J1038" s="36"/>
      <c r="K1038" s="36"/>
    </row>
    <row r="1039" spans="7:11" ht="15.75" customHeight="1">
      <c r="G1039" s="36"/>
      <c r="H1039" s="36"/>
      <c r="I1039" s="36"/>
      <c r="J1039" s="36"/>
      <c r="K1039" s="36"/>
    </row>
    <row r="1040" spans="7:11" ht="15.75" customHeight="1">
      <c r="G1040" s="36"/>
      <c r="H1040" s="36"/>
      <c r="I1040" s="36"/>
      <c r="J1040" s="36"/>
      <c r="K1040" s="36"/>
    </row>
    <row r="1041" spans="7:11" ht="15.75" customHeight="1">
      <c r="G1041" s="36"/>
      <c r="H1041" s="36"/>
      <c r="I1041" s="36"/>
      <c r="J1041" s="36"/>
      <c r="K1041" s="36"/>
    </row>
    <row r="1042" spans="7:11" ht="15.75" customHeight="1">
      <c r="G1042" s="36"/>
      <c r="H1042" s="36"/>
      <c r="I1042" s="36"/>
      <c r="J1042" s="36"/>
      <c r="K1042" s="36"/>
    </row>
    <row r="1043" spans="7:11" ht="15.75" customHeight="1">
      <c r="G1043" s="36"/>
      <c r="H1043" s="36"/>
      <c r="I1043" s="36"/>
      <c r="J1043" s="36"/>
      <c r="K1043" s="36"/>
    </row>
    <row r="1044" spans="7:11" ht="15.75" customHeight="1">
      <c r="G1044" s="36"/>
      <c r="H1044" s="36"/>
      <c r="I1044" s="36"/>
      <c r="J1044" s="36"/>
      <c r="K1044" s="36"/>
    </row>
    <row r="1045" spans="7:11" ht="15.75" customHeight="1">
      <c r="G1045" s="36"/>
      <c r="H1045" s="36"/>
      <c r="I1045" s="36"/>
      <c r="J1045" s="36"/>
      <c r="K1045" s="36"/>
    </row>
    <row r="1046" spans="7:11" ht="15.75" customHeight="1">
      <c r="G1046" s="36"/>
      <c r="H1046" s="36"/>
      <c r="I1046" s="36"/>
      <c r="J1046" s="36"/>
      <c r="K1046" s="36"/>
    </row>
    <row r="1047" spans="7:11" ht="15.75" customHeight="1">
      <c r="G1047" s="36"/>
      <c r="H1047" s="36"/>
      <c r="I1047" s="36"/>
      <c r="J1047" s="36"/>
      <c r="K1047" s="36"/>
    </row>
    <row r="1048" spans="7:11" ht="15.75" customHeight="1">
      <c r="G1048" s="36"/>
      <c r="H1048" s="36"/>
      <c r="I1048" s="36"/>
      <c r="J1048" s="36"/>
      <c r="K1048" s="36"/>
    </row>
    <row r="1049" spans="7:11" ht="15.75" customHeight="1">
      <c r="G1049" s="36"/>
      <c r="H1049" s="36"/>
      <c r="I1049" s="36"/>
      <c r="J1049" s="36"/>
      <c r="K1049" s="36"/>
    </row>
    <row r="1050" spans="7:11" ht="15.75" customHeight="1">
      <c r="G1050" s="36"/>
      <c r="H1050" s="36"/>
      <c r="I1050" s="36"/>
      <c r="J1050" s="36"/>
      <c r="K1050" s="36"/>
    </row>
    <row r="1051" spans="7:11" ht="15.75" customHeight="1">
      <c r="G1051" s="36"/>
      <c r="H1051" s="36"/>
      <c r="I1051" s="36"/>
      <c r="J1051" s="36"/>
      <c r="K1051" s="36"/>
    </row>
    <row r="1052" spans="7:11" ht="15.75" customHeight="1">
      <c r="G1052" s="36"/>
      <c r="H1052" s="36"/>
      <c r="I1052" s="36"/>
      <c r="J1052" s="36"/>
      <c r="K1052" s="36"/>
    </row>
    <row r="1053" spans="7:11" ht="15.75" customHeight="1">
      <c r="G1053" s="36"/>
      <c r="H1053" s="36"/>
      <c r="I1053" s="36"/>
      <c r="J1053" s="36"/>
      <c r="K1053" s="36"/>
    </row>
    <row r="1054" spans="7:11" ht="15.75" customHeight="1">
      <c r="G1054" s="36"/>
      <c r="H1054" s="36"/>
      <c r="I1054" s="36"/>
      <c r="J1054" s="36"/>
      <c r="K1054" s="36"/>
    </row>
    <row r="1055" spans="7:11" ht="15.75" customHeight="1">
      <c r="G1055" s="36"/>
      <c r="H1055" s="36"/>
      <c r="I1055" s="36"/>
      <c r="J1055" s="36"/>
      <c r="K1055" s="36"/>
    </row>
    <row r="1056" spans="7:11" ht="15.75" customHeight="1">
      <c r="G1056" s="36"/>
      <c r="H1056" s="36"/>
      <c r="I1056" s="36"/>
      <c r="J1056" s="36"/>
      <c r="K1056" s="36"/>
    </row>
    <row r="1057" spans="7:11" ht="15.75" customHeight="1">
      <c r="G1057" s="36"/>
      <c r="H1057" s="36"/>
      <c r="I1057" s="36"/>
      <c r="J1057" s="36"/>
      <c r="K1057" s="36"/>
    </row>
    <row r="1058" spans="7:11" ht="15.75" customHeight="1">
      <c r="G1058" s="36"/>
      <c r="H1058" s="36"/>
      <c r="I1058" s="36"/>
      <c r="J1058" s="36"/>
      <c r="K1058" s="36"/>
    </row>
    <row r="1059" spans="7:11" ht="15.75" customHeight="1">
      <c r="G1059" s="36"/>
      <c r="H1059" s="36"/>
      <c r="I1059" s="36"/>
      <c r="J1059" s="36"/>
      <c r="K1059" s="36"/>
    </row>
    <row r="1060" spans="7:11" ht="15.75" customHeight="1">
      <c r="G1060" s="36"/>
      <c r="H1060" s="36"/>
      <c r="I1060" s="36"/>
      <c r="J1060" s="36"/>
      <c r="K1060" s="36"/>
    </row>
    <row r="1061" spans="7:11" ht="15.75" customHeight="1">
      <c r="G1061" s="36"/>
      <c r="H1061" s="36"/>
      <c r="I1061" s="36"/>
      <c r="J1061" s="36"/>
      <c r="K1061" s="36"/>
    </row>
    <row r="1062" spans="7:11" ht="15.75" customHeight="1">
      <c r="G1062" s="36"/>
      <c r="H1062" s="36"/>
      <c r="I1062" s="36"/>
      <c r="J1062" s="36"/>
      <c r="K1062" s="36"/>
    </row>
    <row r="1063" spans="7:11" ht="15.75" customHeight="1">
      <c r="G1063" s="36"/>
      <c r="H1063" s="36"/>
      <c r="I1063" s="36"/>
      <c r="J1063" s="36"/>
      <c r="K1063" s="36"/>
    </row>
    <row r="1064" spans="7:11" ht="15.75" customHeight="1">
      <c r="G1064" s="36"/>
      <c r="H1064" s="36"/>
      <c r="I1064" s="36"/>
      <c r="J1064" s="36"/>
      <c r="K1064" s="36"/>
    </row>
    <row r="1065" spans="7:11" ht="15.75" customHeight="1">
      <c r="G1065" s="36"/>
      <c r="H1065" s="36"/>
      <c r="I1065" s="36"/>
      <c r="J1065" s="36"/>
      <c r="K1065" s="36"/>
    </row>
    <row r="1066" spans="7:11" ht="15.75" customHeight="1">
      <c r="G1066" s="36"/>
      <c r="H1066" s="36"/>
      <c r="I1066" s="36"/>
      <c r="J1066" s="36"/>
      <c r="K1066" s="36"/>
    </row>
    <row r="1067" spans="7:11" ht="15.75" customHeight="1">
      <c r="G1067" s="36"/>
      <c r="H1067" s="36"/>
      <c r="I1067" s="36"/>
      <c r="J1067" s="36"/>
      <c r="K1067" s="36"/>
    </row>
    <row r="1068" spans="7:11" ht="15.75" customHeight="1">
      <c r="G1068" s="36"/>
      <c r="H1068" s="36"/>
      <c r="I1068" s="36"/>
      <c r="J1068" s="36"/>
      <c r="K1068" s="36"/>
    </row>
    <row r="1069" spans="7:11" ht="15.75" customHeight="1">
      <c r="G1069" s="36"/>
      <c r="H1069" s="36"/>
      <c r="I1069" s="36"/>
      <c r="J1069" s="36"/>
      <c r="K1069" s="36"/>
    </row>
    <row r="1070" spans="7:11" ht="15.75" customHeight="1">
      <c r="G1070" s="36"/>
      <c r="H1070" s="36"/>
      <c r="I1070" s="36"/>
      <c r="J1070" s="36"/>
      <c r="K1070" s="36"/>
    </row>
    <row r="1071" spans="7:11" ht="15.75" customHeight="1">
      <c r="G1071" s="36"/>
      <c r="H1071" s="36"/>
      <c r="I1071" s="36"/>
      <c r="J1071" s="36"/>
      <c r="K1071" s="36"/>
    </row>
    <row r="1072" spans="7:11" ht="15.75" customHeight="1">
      <c r="G1072" s="36"/>
      <c r="H1072" s="36"/>
      <c r="I1072" s="36"/>
      <c r="J1072" s="36"/>
      <c r="K1072" s="36"/>
    </row>
    <row r="1073" spans="7:11" ht="15.75" customHeight="1">
      <c r="G1073" s="36"/>
      <c r="H1073" s="36"/>
      <c r="I1073" s="36"/>
      <c r="J1073" s="36"/>
      <c r="K1073" s="36"/>
    </row>
    <row r="1074" spans="7:11" ht="15.75" customHeight="1">
      <c r="G1074" s="36"/>
      <c r="H1074" s="36"/>
      <c r="I1074" s="36"/>
      <c r="J1074" s="36"/>
      <c r="K1074" s="36"/>
    </row>
    <row r="1075" spans="7:11" ht="15.75" customHeight="1">
      <c r="G1075" s="36"/>
      <c r="H1075" s="36"/>
      <c r="I1075" s="36"/>
      <c r="J1075" s="36"/>
      <c r="K1075" s="36"/>
    </row>
    <row r="1076" spans="7:11" ht="15.75" customHeight="1">
      <c r="G1076" s="36"/>
      <c r="H1076" s="36"/>
      <c r="I1076" s="36"/>
      <c r="J1076" s="36"/>
      <c r="K1076" s="36"/>
    </row>
    <row r="1077" spans="7:11" ht="15.75" customHeight="1">
      <c r="G1077" s="36"/>
      <c r="H1077" s="36"/>
      <c r="I1077" s="36"/>
      <c r="J1077" s="36"/>
      <c r="K1077" s="36"/>
    </row>
    <row r="1078" spans="7:11" ht="15.75" customHeight="1">
      <c r="G1078" s="36"/>
      <c r="H1078" s="36"/>
      <c r="I1078" s="36"/>
      <c r="J1078" s="36"/>
      <c r="K1078" s="36"/>
    </row>
    <row r="1079" spans="7:11" ht="15.75" customHeight="1">
      <c r="G1079" s="36"/>
      <c r="H1079" s="36"/>
      <c r="I1079" s="36"/>
      <c r="J1079" s="36"/>
      <c r="K1079" s="36"/>
    </row>
    <row r="1080" spans="7:11" ht="15.75" customHeight="1">
      <c r="G1080" s="36"/>
      <c r="H1080" s="36"/>
      <c r="I1080" s="36"/>
      <c r="J1080" s="36"/>
      <c r="K1080" s="36"/>
    </row>
    <row r="1081" spans="7:11" ht="15.75" customHeight="1">
      <c r="G1081" s="36"/>
      <c r="H1081" s="36"/>
      <c r="I1081" s="36"/>
      <c r="J1081" s="36"/>
      <c r="K1081" s="36"/>
    </row>
    <row r="1082" spans="7:11" ht="15.75" customHeight="1">
      <c r="G1082" s="36"/>
      <c r="H1082" s="36"/>
      <c r="I1082" s="36"/>
      <c r="J1082" s="36"/>
      <c r="K1082" s="36"/>
    </row>
    <row r="1083" spans="7:11" ht="15.75" customHeight="1">
      <c r="G1083" s="36"/>
      <c r="H1083" s="36"/>
      <c r="I1083" s="36"/>
      <c r="J1083" s="36"/>
      <c r="K1083" s="36"/>
    </row>
    <row r="1084" spans="7:11" ht="15.75" customHeight="1">
      <c r="G1084" s="36"/>
      <c r="H1084" s="36"/>
      <c r="I1084" s="36"/>
      <c r="J1084" s="36"/>
      <c r="K1084" s="36"/>
    </row>
    <row r="1085" spans="7:11" ht="15.75" customHeight="1">
      <c r="G1085" s="36"/>
      <c r="H1085" s="36"/>
      <c r="I1085" s="36"/>
      <c r="J1085" s="36"/>
      <c r="K1085" s="36"/>
    </row>
    <row r="1086" spans="7:11" ht="15.75" customHeight="1">
      <c r="G1086" s="36"/>
      <c r="H1086" s="36"/>
      <c r="I1086" s="36"/>
      <c r="J1086" s="36"/>
      <c r="K1086" s="36"/>
    </row>
    <row r="1087" spans="7:11" ht="15.75" customHeight="1">
      <c r="G1087" s="36"/>
      <c r="H1087" s="36"/>
      <c r="I1087" s="36"/>
      <c r="J1087" s="36"/>
      <c r="K1087" s="36"/>
    </row>
    <row r="1088" spans="7:11" ht="15.75" customHeight="1">
      <c r="G1088" s="36"/>
      <c r="H1088" s="36"/>
      <c r="I1088" s="36"/>
      <c r="J1088" s="36"/>
      <c r="K1088" s="36"/>
    </row>
    <row r="1089" spans="7:11" ht="15.75" customHeight="1">
      <c r="G1089" s="36"/>
      <c r="H1089" s="36"/>
      <c r="I1089" s="36"/>
      <c r="J1089" s="36"/>
      <c r="K1089" s="36"/>
    </row>
    <row r="1090" spans="7:11" ht="15.75" customHeight="1">
      <c r="G1090" s="36"/>
      <c r="H1090" s="36"/>
      <c r="I1090" s="36"/>
      <c r="J1090" s="36"/>
      <c r="K1090" s="36"/>
    </row>
    <row r="1091" spans="7:11" ht="15.75" customHeight="1">
      <c r="G1091" s="36"/>
      <c r="H1091" s="36"/>
      <c r="I1091" s="36"/>
      <c r="J1091" s="36"/>
      <c r="K1091" s="36"/>
    </row>
    <row r="1092" spans="7:11" ht="15.75" customHeight="1">
      <c r="G1092" s="36"/>
      <c r="H1092" s="36"/>
      <c r="I1092" s="36"/>
      <c r="J1092" s="36"/>
      <c r="K1092" s="36"/>
    </row>
    <row r="1093" spans="7:11" ht="15.75" customHeight="1">
      <c r="G1093" s="36"/>
      <c r="H1093" s="36"/>
      <c r="I1093" s="36"/>
      <c r="J1093" s="36"/>
      <c r="K1093" s="36"/>
    </row>
    <row r="1094" spans="7:11" ht="15.75" customHeight="1">
      <c r="G1094" s="36"/>
      <c r="H1094" s="36"/>
      <c r="I1094" s="36"/>
      <c r="J1094" s="36"/>
      <c r="K1094" s="36"/>
    </row>
    <row r="1095" spans="7:11" ht="15.75" customHeight="1">
      <c r="G1095" s="36"/>
      <c r="H1095" s="36"/>
      <c r="I1095" s="36"/>
      <c r="J1095" s="36"/>
      <c r="K1095" s="36"/>
    </row>
    <row r="1096" spans="7:11" ht="15.75" customHeight="1">
      <c r="G1096" s="36"/>
      <c r="H1096" s="36"/>
      <c r="I1096" s="36"/>
      <c r="J1096" s="36"/>
      <c r="K1096" s="36"/>
    </row>
    <row r="1097" spans="7:11" ht="15.75" customHeight="1">
      <c r="G1097" s="36"/>
      <c r="H1097" s="36"/>
      <c r="I1097" s="36"/>
      <c r="J1097" s="36"/>
      <c r="K1097" s="36"/>
    </row>
    <row r="1098" spans="7:11" ht="15.75" customHeight="1">
      <c r="G1098" s="36"/>
      <c r="H1098" s="36"/>
      <c r="I1098" s="36"/>
      <c r="J1098" s="36"/>
      <c r="K1098" s="36"/>
    </row>
    <row r="1099" spans="7:11" ht="15.75" customHeight="1">
      <c r="G1099" s="36"/>
      <c r="H1099" s="36"/>
      <c r="I1099" s="36"/>
      <c r="J1099" s="36"/>
      <c r="K1099" s="36"/>
    </row>
    <row r="1100" spans="7:11" ht="15.75" customHeight="1">
      <c r="G1100" s="36"/>
      <c r="H1100" s="36"/>
      <c r="I1100" s="36"/>
      <c r="J1100" s="36"/>
      <c r="K1100" s="36"/>
    </row>
    <row r="1101" spans="7:11" ht="15.75" customHeight="1">
      <c r="G1101" s="36"/>
      <c r="H1101" s="36"/>
      <c r="I1101" s="36"/>
      <c r="J1101" s="36"/>
      <c r="K1101" s="36"/>
    </row>
    <row r="1102" spans="7:11" ht="15.75" customHeight="1">
      <c r="G1102" s="36"/>
      <c r="H1102" s="36"/>
      <c r="I1102" s="36"/>
      <c r="J1102" s="36"/>
      <c r="K1102" s="36"/>
    </row>
    <row r="1103" spans="7:11" ht="15.75" customHeight="1">
      <c r="G1103" s="36"/>
      <c r="H1103" s="36"/>
      <c r="I1103" s="36"/>
      <c r="J1103" s="36"/>
      <c r="K1103" s="36"/>
    </row>
    <row r="1104" spans="7:11" ht="15.75" customHeight="1">
      <c r="G1104" s="36"/>
      <c r="H1104" s="36"/>
      <c r="I1104" s="36"/>
      <c r="J1104" s="36"/>
      <c r="K1104" s="36"/>
    </row>
    <row r="1105" spans="7:11" ht="15.75" customHeight="1">
      <c r="G1105" s="36"/>
      <c r="H1105" s="36"/>
      <c r="I1105" s="36"/>
      <c r="J1105" s="36"/>
      <c r="K1105" s="36"/>
    </row>
    <row r="1106" spans="7:11" ht="15.75" customHeight="1">
      <c r="G1106" s="36"/>
      <c r="H1106" s="36"/>
      <c r="I1106" s="36"/>
      <c r="J1106" s="36"/>
      <c r="K1106" s="36"/>
    </row>
    <row r="1107" spans="7:11" ht="15.75" customHeight="1">
      <c r="G1107" s="36"/>
      <c r="H1107" s="36"/>
      <c r="I1107" s="36"/>
      <c r="J1107" s="36"/>
      <c r="K1107" s="36"/>
    </row>
    <row r="1108" spans="7:11" ht="15.75" customHeight="1">
      <c r="G1108" s="36"/>
      <c r="H1108" s="36"/>
      <c r="I1108" s="36"/>
      <c r="J1108" s="36"/>
      <c r="K1108" s="36"/>
    </row>
    <row r="1109" spans="7:11" ht="15.75" customHeight="1">
      <c r="G1109" s="36"/>
      <c r="H1109" s="36"/>
      <c r="I1109" s="36"/>
      <c r="J1109" s="36"/>
      <c r="K1109" s="36"/>
    </row>
    <row r="1110" spans="7:11" ht="15.75" customHeight="1">
      <c r="G1110" s="36"/>
      <c r="H1110" s="36"/>
      <c r="I1110" s="36"/>
      <c r="J1110" s="36"/>
      <c r="K1110" s="36"/>
    </row>
    <row r="1111" spans="7:11" ht="15.75" customHeight="1">
      <c r="G1111" s="36"/>
      <c r="H1111" s="36"/>
      <c r="I1111" s="36"/>
      <c r="J1111" s="36"/>
      <c r="K1111" s="36"/>
    </row>
    <row r="1112" spans="7:11" ht="15.75" customHeight="1">
      <c r="G1112" s="36"/>
      <c r="H1112" s="36"/>
      <c r="I1112" s="36"/>
      <c r="J1112" s="36"/>
      <c r="K1112" s="36"/>
    </row>
    <row r="1113" spans="7:11" ht="15.75" customHeight="1">
      <c r="G1113" s="36"/>
      <c r="H1113" s="36"/>
      <c r="I1113" s="36"/>
      <c r="J1113" s="36"/>
      <c r="K1113" s="36"/>
    </row>
    <row r="1114" spans="7:11" ht="15.75" customHeight="1">
      <c r="G1114" s="36"/>
      <c r="H1114" s="36"/>
      <c r="I1114" s="36"/>
      <c r="J1114" s="36"/>
      <c r="K1114" s="36"/>
    </row>
    <row r="1115" spans="7:11" ht="15.75" customHeight="1">
      <c r="G1115" s="36"/>
      <c r="H1115" s="36"/>
      <c r="I1115" s="36"/>
      <c r="J1115" s="36"/>
      <c r="K1115" s="36"/>
    </row>
    <row r="1116" spans="7:11" ht="15.75" customHeight="1">
      <c r="G1116" s="36"/>
      <c r="H1116" s="36"/>
      <c r="I1116" s="36"/>
      <c r="J1116" s="36"/>
      <c r="K1116" s="36"/>
    </row>
    <row r="1117" spans="7:11" ht="15.75" customHeight="1">
      <c r="G1117" s="36"/>
      <c r="H1117" s="36"/>
      <c r="I1117" s="36"/>
      <c r="J1117" s="36"/>
      <c r="K1117" s="36"/>
    </row>
    <row r="1118" spans="7:11" ht="15.75" customHeight="1">
      <c r="G1118" s="36"/>
      <c r="H1118" s="36"/>
      <c r="I1118" s="36"/>
      <c r="J1118" s="36"/>
      <c r="K1118" s="36"/>
    </row>
    <row r="1119" spans="7:11" ht="15.75" customHeight="1">
      <c r="G1119" s="36"/>
      <c r="H1119" s="36"/>
      <c r="I1119" s="36"/>
      <c r="J1119" s="36"/>
      <c r="K1119" s="36"/>
    </row>
    <row r="1120" spans="7:11" ht="15.75" customHeight="1">
      <c r="G1120" s="36"/>
      <c r="H1120" s="36"/>
      <c r="I1120" s="36"/>
      <c r="J1120" s="36"/>
      <c r="K1120" s="36"/>
    </row>
    <row r="1121" spans="7:11" ht="15.75" customHeight="1">
      <c r="G1121" s="36"/>
      <c r="H1121" s="36"/>
      <c r="I1121" s="36"/>
      <c r="J1121" s="36"/>
      <c r="K1121" s="36"/>
    </row>
    <row r="1122" spans="7:11" ht="15.75" customHeight="1">
      <c r="G1122" s="36"/>
      <c r="H1122" s="36"/>
      <c r="I1122" s="36"/>
      <c r="J1122" s="36"/>
      <c r="K1122" s="36"/>
    </row>
    <row r="1123" spans="7:11" ht="15.75" customHeight="1">
      <c r="G1123" s="36"/>
      <c r="H1123" s="36"/>
      <c r="I1123" s="36"/>
      <c r="J1123" s="36"/>
      <c r="K1123" s="36"/>
    </row>
    <row r="1124" spans="7:11" ht="15.75" customHeight="1">
      <c r="G1124" s="36"/>
      <c r="H1124" s="36"/>
      <c r="I1124" s="36"/>
      <c r="J1124" s="36"/>
      <c r="K1124" s="36"/>
    </row>
    <row r="1125" spans="7:11" ht="15.75" customHeight="1">
      <c r="G1125" s="36"/>
      <c r="H1125" s="36"/>
      <c r="I1125" s="36"/>
      <c r="J1125" s="36"/>
      <c r="K1125" s="36"/>
    </row>
    <row r="1126" spans="7:11" ht="15.75" customHeight="1">
      <c r="G1126" s="36"/>
      <c r="H1126" s="36"/>
      <c r="I1126" s="36"/>
      <c r="J1126" s="36"/>
      <c r="K1126" s="36"/>
    </row>
    <row r="1127" spans="7:11" ht="15.75" customHeight="1">
      <c r="G1127" s="36"/>
      <c r="H1127" s="36"/>
      <c r="I1127" s="36"/>
      <c r="J1127" s="36"/>
      <c r="K1127" s="36"/>
    </row>
    <row r="1128" spans="7:11" ht="15.75" customHeight="1">
      <c r="G1128" s="36"/>
      <c r="H1128" s="36"/>
      <c r="I1128" s="36"/>
      <c r="J1128" s="36"/>
      <c r="K1128" s="36"/>
    </row>
    <row r="1129" spans="7:11" ht="15.75" customHeight="1">
      <c r="G1129" s="36"/>
      <c r="H1129" s="36"/>
      <c r="I1129" s="36"/>
      <c r="J1129" s="36"/>
      <c r="K1129" s="36"/>
    </row>
    <row r="1130" spans="7:11" ht="15.75" customHeight="1">
      <c r="G1130" s="36"/>
      <c r="H1130" s="36"/>
      <c r="I1130" s="36"/>
      <c r="J1130" s="36"/>
      <c r="K1130" s="36"/>
    </row>
    <row r="1131" spans="7:11" ht="15.75" customHeight="1">
      <c r="G1131" s="36"/>
      <c r="H1131" s="36"/>
      <c r="I1131" s="36"/>
      <c r="J1131" s="36"/>
      <c r="K1131" s="36"/>
    </row>
    <row r="1132" spans="7:11" ht="15.75" customHeight="1">
      <c r="G1132" s="36"/>
      <c r="H1132" s="36"/>
      <c r="I1132" s="36"/>
      <c r="J1132" s="36"/>
      <c r="K1132" s="36"/>
    </row>
    <row r="1133" spans="7:11" ht="15.75" customHeight="1">
      <c r="G1133" s="36"/>
      <c r="H1133" s="36"/>
      <c r="I1133" s="36"/>
      <c r="J1133" s="36"/>
      <c r="K1133" s="36"/>
    </row>
    <row r="1134" spans="7:11" ht="15.75" customHeight="1">
      <c r="G1134" s="36"/>
      <c r="H1134" s="36"/>
      <c r="I1134" s="36"/>
      <c r="J1134" s="36"/>
      <c r="K1134" s="36"/>
    </row>
    <row r="1135" spans="7:11" ht="15.75" customHeight="1">
      <c r="G1135" s="36"/>
      <c r="H1135" s="36"/>
      <c r="I1135" s="36"/>
      <c r="J1135" s="36"/>
      <c r="K1135" s="36"/>
    </row>
    <row r="1136" spans="7:11" ht="15.75" customHeight="1">
      <c r="G1136" s="36"/>
      <c r="H1136" s="36"/>
      <c r="I1136" s="36"/>
      <c r="J1136" s="36"/>
      <c r="K1136" s="36"/>
    </row>
    <row r="1137" spans="7:11" ht="15.75" customHeight="1">
      <c r="G1137" s="36"/>
      <c r="H1137" s="36"/>
      <c r="I1137" s="36"/>
      <c r="J1137" s="36"/>
      <c r="K1137" s="36"/>
    </row>
    <row r="1138" spans="7:11" ht="15.75" customHeight="1">
      <c r="G1138" s="36"/>
      <c r="H1138" s="36"/>
      <c r="I1138" s="36"/>
      <c r="J1138" s="36"/>
      <c r="K1138" s="36"/>
    </row>
    <row r="1139" spans="7:11" ht="15.75" customHeight="1">
      <c r="G1139" s="36"/>
      <c r="H1139" s="36"/>
      <c r="I1139" s="36"/>
      <c r="J1139" s="36"/>
      <c r="K1139" s="36"/>
    </row>
    <row r="1140" spans="7:11" ht="15.75" customHeight="1">
      <c r="G1140" s="36"/>
      <c r="H1140" s="36"/>
      <c r="I1140" s="36"/>
      <c r="J1140" s="36"/>
      <c r="K1140" s="36"/>
    </row>
    <row r="1141" spans="7:11" ht="15.75" customHeight="1">
      <c r="G1141" s="36"/>
      <c r="H1141" s="36"/>
      <c r="I1141" s="36"/>
      <c r="J1141" s="36"/>
      <c r="K1141" s="36"/>
    </row>
    <row r="1142" spans="7:11" ht="15.75" customHeight="1">
      <c r="G1142" s="36"/>
      <c r="H1142" s="36"/>
      <c r="I1142" s="36"/>
      <c r="J1142" s="36"/>
      <c r="K1142" s="36"/>
    </row>
    <row r="1143" spans="7:11" ht="15.75" customHeight="1">
      <c r="G1143" s="36"/>
      <c r="H1143" s="36"/>
      <c r="I1143" s="36"/>
      <c r="J1143" s="36"/>
      <c r="K1143" s="36"/>
    </row>
    <row r="1144" spans="7:11" ht="15.75" customHeight="1">
      <c r="G1144" s="36"/>
      <c r="H1144" s="36"/>
      <c r="I1144" s="36"/>
      <c r="J1144" s="36"/>
      <c r="K1144" s="36"/>
    </row>
    <row r="1145" spans="7:11" ht="15.75" customHeight="1">
      <c r="G1145" s="36"/>
      <c r="H1145" s="36"/>
      <c r="I1145" s="36"/>
      <c r="J1145" s="36"/>
      <c r="K1145" s="36"/>
    </row>
    <row r="1146" spans="7:11" ht="15.75" customHeight="1">
      <c r="G1146" s="36"/>
      <c r="H1146" s="36"/>
      <c r="I1146" s="36"/>
      <c r="J1146" s="36"/>
      <c r="K1146" s="36"/>
    </row>
    <row r="1147" spans="7:11" ht="15.75" customHeight="1">
      <c r="G1147" s="36"/>
      <c r="H1147" s="36"/>
      <c r="I1147" s="36"/>
      <c r="J1147" s="36"/>
      <c r="K1147" s="36"/>
    </row>
    <row r="1148" spans="7:11" ht="15.75" customHeight="1">
      <c r="G1148" s="36"/>
      <c r="H1148" s="36"/>
      <c r="I1148" s="36"/>
      <c r="J1148" s="36"/>
      <c r="K1148" s="36"/>
    </row>
    <row r="1149" spans="7:11" ht="15.75" customHeight="1">
      <c r="G1149" s="36"/>
      <c r="H1149" s="36"/>
      <c r="I1149" s="36"/>
      <c r="J1149" s="36"/>
      <c r="K1149" s="36"/>
    </row>
    <row r="1150" spans="7:11" ht="15.75" customHeight="1">
      <c r="G1150" s="36"/>
      <c r="H1150" s="36"/>
      <c r="I1150" s="36"/>
      <c r="J1150" s="36"/>
      <c r="K1150" s="36"/>
    </row>
    <row r="1151" spans="7:11" ht="15.75" customHeight="1">
      <c r="G1151" s="36"/>
      <c r="H1151" s="36"/>
      <c r="I1151" s="36"/>
      <c r="J1151" s="36"/>
      <c r="K1151" s="36"/>
    </row>
    <row r="1152" spans="7:11" ht="15.75" customHeight="1">
      <c r="G1152" s="36"/>
      <c r="H1152" s="36"/>
      <c r="I1152" s="36"/>
      <c r="J1152" s="36"/>
      <c r="K1152" s="36"/>
    </row>
    <row r="1153" spans="7:11" ht="15.75" customHeight="1">
      <c r="G1153" s="36"/>
      <c r="H1153" s="36"/>
      <c r="I1153" s="36"/>
      <c r="J1153" s="36"/>
      <c r="K1153" s="36"/>
    </row>
    <row r="1154" spans="7:11" ht="15.75" customHeight="1">
      <c r="G1154" s="36"/>
      <c r="H1154" s="36"/>
      <c r="I1154" s="36"/>
      <c r="J1154" s="36"/>
      <c r="K1154" s="36"/>
    </row>
    <row r="1155" spans="7:11" ht="15.75" customHeight="1">
      <c r="G1155" s="36"/>
      <c r="H1155" s="36"/>
      <c r="I1155" s="36"/>
      <c r="J1155" s="36"/>
      <c r="K1155" s="36"/>
    </row>
    <row r="1156" spans="7:11" ht="15.75" customHeight="1">
      <c r="G1156" s="36"/>
      <c r="H1156" s="36"/>
      <c r="I1156" s="36"/>
      <c r="J1156" s="36"/>
      <c r="K1156" s="36"/>
    </row>
    <row r="1157" spans="7:11" ht="15.75" customHeight="1">
      <c r="G1157" s="36"/>
      <c r="H1157" s="36"/>
      <c r="I1157" s="36"/>
      <c r="J1157" s="36"/>
      <c r="K1157" s="36"/>
    </row>
    <row r="1158" spans="7:11" ht="15.75" customHeight="1">
      <c r="G1158" s="36"/>
      <c r="H1158" s="36"/>
      <c r="I1158" s="36"/>
      <c r="J1158" s="36"/>
      <c r="K1158" s="36"/>
    </row>
    <row r="1159" spans="7:11" ht="15.75" customHeight="1">
      <c r="G1159" s="36"/>
      <c r="H1159" s="36"/>
      <c r="I1159" s="36"/>
      <c r="J1159" s="36"/>
      <c r="K1159" s="36"/>
    </row>
    <row r="1160" spans="7:11" ht="15.75" customHeight="1">
      <c r="G1160" s="36"/>
      <c r="H1160" s="36"/>
      <c r="I1160" s="36"/>
      <c r="J1160" s="36"/>
      <c r="K1160" s="36"/>
    </row>
    <row r="1161" spans="7:11" ht="15.75" customHeight="1">
      <c r="G1161" s="36"/>
      <c r="H1161" s="36"/>
      <c r="I1161" s="36"/>
      <c r="J1161" s="36"/>
      <c r="K1161" s="36"/>
    </row>
    <row r="1162" spans="7:11" ht="15.75" customHeight="1">
      <c r="G1162" s="36"/>
      <c r="H1162" s="36"/>
      <c r="I1162" s="36"/>
      <c r="J1162" s="36"/>
      <c r="K1162" s="36"/>
    </row>
    <row r="1163" spans="7:11" ht="15.75" customHeight="1">
      <c r="G1163" s="36"/>
      <c r="H1163" s="36"/>
      <c r="I1163" s="36"/>
      <c r="J1163" s="36"/>
      <c r="K1163" s="36"/>
    </row>
    <row r="1164" spans="7:11" ht="15.75" customHeight="1">
      <c r="G1164" s="36"/>
      <c r="H1164" s="36"/>
      <c r="I1164" s="36"/>
      <c r="J1164" s="36"/>
      <c r="K1164" s="36"/>
    </row>
    <row r="1165" spans="7:11" ht="15.75" customHeight="1">
      <c r="G1165" s="36"/>
      <c r="H1165" s="36"/>
      <c r="I1165" s="36"/>
      <c r="J1165" s="36"/>
      <c r="K1165" s="36"/>
    </row>
    <row r="1166" spans="7:11" ht="15.75" customHeight="1">
      <c r="G1166" s="36"/>
      <c r="H1166" s="36"/>
      <c r="I1166" s="36"/>
      <c r="J1166" s="36"/>
      <c r="K1166" s="36"/>
    </row>
    <row r="1167" spans="7:11" ht="15.75" customHeight="1">
      <c r="G1167" s="36"/>
      <c r="H1167" s="36"/>
      <c r="I1167" s="36"/>
      <c r="J1167" s="36"/>
      <c r="K1167" s="36"/>
    </row>
    <row r="1168" spans="7:11" ht="15.75" customHeight="1">
      <c r="G1168" s="36"/>
      <c r="H1168" s="36"/>
      <c r="I1168" s="36"/>
      <c r="J1168" s="36"/>
      <c r="K1168" s="36"/>
    </row>
    <row r="1169" spans="7:11" ht="15.75" customHeight="1">
      <c r="G1169" s="36"/>
      <c r="H1169" s="36"/>
      <c r="I1169" s="36"/>
      <c r="J1169" s="36"/>
      <c r="K1169" s="36"/>
    </row>
    <row r="1170" spans="7:11" ht="15.75" customHeight="1">
      <c r="G1170" s="36"/>
      <c r="H1170" s="36"/>
      <c r="I1170" s="36"/>
      <c r="J1170" s="36"/>
      <c r="K1170" s="36"/>
    </row>
    <row r="1171" spans="7:11" ht="15.75" customHeight="1">
      <c r="G1171" s="36"/>
      <c r="H1171" s="36"/>
      <c r="I1171" s="36"/>
      <c r="J1171" s="36"/>
      <c r="K1171" s="36"/>
    </row>
    <row r="1172" spans="7:11" ht="15.75" customHeight="1">
      <c r="G1172" s="36"/>
      <c r="H1172" s="36"/>
      <c r="I1172" s="36"/>
      <c r="J1172" s="36"/>
      <c r="K1172" s="36"/>
    </row>
    <row r="1173" spans="7:11" ht="15.75" customHeight="1">
      <c r="G1173" s="36"/>
      <c r="H1173" s="36"/>
      <c r="I1173" s="36"/>
      <c r="J1173" s="36"/>
      <c r="K1173" s="36"/>
    </row>
    <row r="1174" spans="7:11" ht="15.75" customHeight="1">
      <c r="G1174" s="36"/>
      <c r="H1174" s="36"/>
      <c r="I1174" s="36"/>
      <c r="J1174" s="36"/>
      <c r="K1174" s="36"/>
    </row>
    <row r="1175" spans="7:11" ht="15.75" customHeight="1">
      <c r="G1175" s="36"/>
      <c r="H1175" s="36"/>
      <c r="I1175" s="36"/>
      <c r="J1175" s="36"/>
      <c r="K1175" s="36"/>
    </row>
    <row r="1176" spans="7:11" ht="15.75" customHeight="1">
      <c r="G1176" s="36"/>
      <c r="H1176" s="36"/>
      <c r="I1176" s="36"/>
      <c r="J1176" s="36"/>
      <c r="K1176" s="36"/>
    </row>
    <row r="1177" spans="7:11" ht="15.75" customHeight="1">
      <c r="G1177" s="36"/>
      <c r="H1177" s="36"/>
      <c r="I1177" s="36"/>
      <c r="J1177" s="36"/>
      <c r="K1177" s="36"/>
    </row>
    <row r="1178" spans="7:11" ht="15.75" customHeight="1">
      <c r="G1178" s="36"/>
      <c r="H1178" s="36"/>
      <c r="I1178" s="36"/>
      <c r="J1178" s="36"/>
      <c r="K1178" s="36"/>
    </row>
    <row r="1179" spans="7:11" ht="15.75" customHeight="1">
      <c r="G1179" s="36"/>
      <c r="H1179" s="36"/>
      <c r="I1179" s="36"/>
      <c r="J1179" s="36"/>
      <c r="K1179" s="36"/>
    </row>
    <row r="1180" spans="7:11" ht="15.75" customHeight="1">
      <c r="G1180" s="36"/>
      <c r="H1180" s="36"/>
      <c r="I1180" s="36"/>
      <c r="J1180" s="36"/>
      <c r="K1180" s="36"/>
    </row>
    <row r="1181" spans="7:11" ht="15.75" customHeight="1">
      <c r="G1181" s="36"/>
      <c r="H1181" s="36"/>
      <c r="I1181" s="36"/>
      <c r="J1181" s="36"/>
      <c r="K1181" s="36"/>
    </row>
    <row r="1182" spans="7:11" ht="15.75" customHeight="1">
      <c r="G1182" s="36"/>
      <c r="H1182" s="36"/>
      <c r="I1182" s="36"/>
      <c r="J1182" s="36"/>
      <c r="K1182" s="36"/>
    </row>
    <row r="1183" spans="7:11" ht="15.75" customHeight="1">
      <c r="G1183" s="36"/>
      <c r="H1183" s="36"/>
      <c r="I1183" s="36"/>
      <c r="J1183" s="36"/>
      <c r="K1183" s="36"/>
    </row>
    <row r="1184" spans="7:11" ht="15.75" customHeight="1">
      <c r="G1184" s="36"/>
      <c r="H1184" s="36"/>
      <c r="I1184" s="36"/>
      <c r="J1184" s="36"/>
      <c r="K1184" s="36"/>
    </row>
    <row r="1185" spans="7:11" ht="15.75" customHeight="1">
      <c r="G1185" s="36"/>
      <c r="H1185" s="36"/>
      <c r="I1185" s="36"/>
      <c r="J1185" s="36"/>
      <c r="K1185" s="36"/>
    </row>
    <row r="1186" spans="7:11" ht="15.75" customHeight="1">
      <c r="G1186" s="36"/>
      <c r="H1186" s="36"/>
      <c r="I1186" s="36"/>
      <c r="J1186" s="36"/>
      <c r="K1186" s="36"/>
    </row>
    <row r="1187" spans="7:11" ht="15.75" customHeight="1">
      <c r="G1187" s="36"/>
      <c r="H1187" s="36"/>
      <c r="I1187" s="36"/>
      <c r="J1187" s="36"/>
      <c r="K1187" s="36"/>
    </row>
    <row r="1188" spans="7:11" ht="15.75" customHeight="1">
      <c r="G1188" s="36"/>
      <c r="H1188" s="36"/>
      <c r="I1188" s="36"/>
      <c r="J1188" s="36"/>
      <c r="K1188" s="36"/>
    </row>
    <row r="1189" spans="7:11" ht="15.75" customHeight="1">
      <c r="G1189" s="36"/>
      <c r="H1189" s="36"/>
      <c r="I1189" s="36"/>
      <c r="J1189" s="36"/>
      <c r="K1189" s="36"/>
    </row>
    <row r="1190" spans="7:11" ht="15.75" customHeight="1">
      <c r="G1190" s="36"/>
      <c r="H1190" s="36"/>
      <c r="I1190" s="36"/>
      <c r="J1190" s="36"/>
      <c r="K1190" s="36"/>
    </row>
    <row r="1191" spans="7:11" ht="15.75" customHeight="1">
      <c r="G1191" s="36"/>
      <c r="H1191" s="36"/>
      <c r="I1191" s="36"/>
      <c r="J1191" s="36"/>
      <c r="K1191" s="36"/>
    </row>
    <row r="1192" spans="7:11" ht="15.75" customHeight="1">
      <c r="G1192" s="36"/>
      <c r="H1192" s="36"/>
      <c r="I1192" s="36"/>
      <c r="J1192" s="36"/>
      <c r="K1192" s="36"/>
    </row>
    <row r="1193" spans="7:11" ht="15.75" customHeight="1">
      <c r="G1193" s="36"/>
      <c r="H1193" s="36"/>
      <c r="I1193" s="36"/>
      <c r="J1193" s="36"/>
      <c r="K1193" s="36"/>
    </row>
    <row r="1194" spans="7:11" ht="15.75" customHeight="1">
      <c r="G1194" s="36"/>
      <c r="H1194" s="36"/>
      <c r="I1194" s="36"/>
      <c r="J1194" s="36"/>
      <c r="K1194" s="36"/>
    </row>
    <row r="1195" spans="7:11" ht="15.75" customHeight="1">
      <c r="G1195" s="36"/>
      <c r="H1195" s="36"/>
      <c r="I1195" s="36"/>
      <c r="J1195" s="36"/>
      <c r="K1195" s="36"/>
    </row>
    <row r="1196" spans="7:11" ht="15.75" customHeight="1">
      <c r="G1196" s="36"/>
      <c r="H1196" s="36"/>
      <c r="I1196" s="36"/>
      <c r="J1196" s="36"/>
      <c r="K1196" s="36"/>
    </row>
    <row r="1197" spans="7:11" ht="15.75" customHeight="1">
      <c r="G1197" s="36"/>
      <c r="H1197" s="36"/>
      <c r="I1197" s="36"/>
      <c r="J1197" s="36"/>
      <c r="K1197" s="36"/>
    </row>
    <row r="1198" spans="7:11" ht="15.75" customHeight="1">
      <c r="G1198" s="36"/>
      <c r="H1198" s="36"/>
      <c r="I1198" s="36"/>
      <c r="J1198" s="36"/>
      <c r="K1198" s="36"/>
    </row>
    <row r="1199" spans="7:11" ht="15.75" customHeight="1">
      <c r="G1199" s="36"/>
      <c r="H1199" s="36"/>
      <c r="I1199" s="36"/>
      <c r="J1199" s="36"/>
      <c r="K1199" s="36"/>
    </row>
    <row r="1200" spans="7:11" ht="15.75" customHeight="1">
      <c r="G1200" s="36"/>
      <c r="H1200" s="36"/>
      <c r="I1200" s="36"/>
      <c r="J1200" s="36"/>
      <c r="K1200" s="36"/>
    </row>
    <row r="1201" spans="7:11" ht="15.75" customHeight="1">
      <c r="G1201" s="36"/>
      <c r="H1201" s="36"/>
      <c r="I1201" s="36"/>
      <c r="J1201" s="36"/>
      <c r="K1201" s="36"/>
    </row>
    <row r="1202" spans="7:11" ht="15.75" customHeight="1">
      <c r="G1202" s="36"/>
      <c r="H1202" s="36"/>
      <c r="I1202" s="36"/>
      <c r="J1202" s="36"/>
      <c r="K1202" s="36"/>
    </row>
    <row r="1203" spans="7:11" ht="15.75" customHeight="1">
      <c r="G1203" s="36"/>
      <c r="H1203" s="36"/>
      <c r="I1203" s="36"/>
      <c r="J1203" s="36"/>
      <c r="K1203" s="36"/>
    </row>
    <row r="1204" spans="7:11" ht="15.75" customHeight="1">
      <c r="G1204" s="36"/>
      <c r="H1204" s="36"/>
      <c r="I1204" s="36"/>
      <c r="J1204" s="36"/>
      <c r="K1204" s="36"/>
    </row>
    <row r="1205" spans="7:11" ht="15.75" customHeight="1">
      <c r="G1205" s="36"/>
      <c r="H1205" s="36"/>
      <c r="I1205" s="36"/>
      <c r="J1205" s="36"/>
      <c r="K1205" s="36"/>
    </row>
    <row r="1206" spans="7:11" ht="15.75" customHeight="1">
      <c r="G1206" s="36"/>
      <c r="H1206" s="36"/>
      <c r="I1206" s="36"/>
      <c r="J1206" s="36"/>
      <c r="K1206" s="36"/>
    </row>
    <row r="1207" spans="7:11" ht="15.75" customHeight="1">
      <c r="G1207" s="36"/>
      <c r="H1207" s="36"/>
      <c r="I1207" s="36"/>
      <c r="J1207" s="36"/>
      <c r="K1207" s="36"/>
    </row>
    <row r="1208" spans="7:11" ht="15.75" customHeight="1">
      <c r="G1208" s="36"/>
      <c r="H1208" s="36"/>
      <c r="I1208" s="36"/>
      <c r="J1208" s="36"/>
      <c r="K1208" s="36"/>
    </row>
    <row r="1209" spans="7:11" ht="15.75" customHeight="1">
      <c r="G1209" s="36"/>
      <c r="H1209" s="36"/>
      <c r="I1209" s="36"/>
      <c r="J1209" s="36"/>
      <c r="K1209" s="36"/>
    </row>
    <row r="1210" spans="7:11" ht="15.75" customHeight="1">
      <c r="G1210" s="36"/>
      <c r="H1210" s="36"/>
      <c r="I1210" s="36"/>
      <c r="J1210" s="36"/>
      <c r="K1210" s="36"/>
    </row>
    <row r="1211" spans="7:11" ht="15.75" customHeight="1">
      <c r="G1211" s="36"/>
      <c r="H1211" s="36"/>
      <c r="I1211" s="36"/>
      <c r="J1211" s="36"/>
      <c r="K1211" s="36"/>
    </row>
    <row r="1212" spans="7:11" ht="15.75" customHeight="1">
      <c r="G1212" s="36"/>
      <c r="H1212" s="36"/>
      <c r="I1212" s="36"/>
      <c r="J1212" s="36"/>
      <c r="K1212" s="36"/>
    </row>
    <row r="1213" spans="7:11" ht="15.75" customHeight="1">
      <c r="G1213" s="36"/>
      <c r="H1213" s="36"/>
      <c r="I1213" s="36"/>
      <c r="J1213" s="36"/>
      <c r="K1213" s="36"/>
    </row>
    <row r="1214" spans="7:11" ht="15.75" customHeight="1">
      <c r="G1214" s="36"/>
      <c r="H1214" s="36"/>
      <c r="I1214" s="36"/>
      <c r="J1214" s="36"/>
      <c r="K1214" s="36"/>
    </row>
    <row r="1215" spans="7:11" ht="15.75" customHeight="1">
      <c r="G1215" s="36"/>
      <c r="H1215" s="36"/>
      <c r="I1215" s="36"/>
      <c r="J1215" s="36"/>
      <c r="K1215" s="36"/>
    </row>
    <row r="1216" spans="7:11" ht="15.75" customHeight="1">
      <c r="G1216" s="36"/>
      <c r="H1216" s="36"/>
      <c r="I1216" s="36"/>
      <c r="J1216" s="36"/>
      <c r="K1216" s="36"/>
    </row>
    <row r="1217" spans="7:11" ht="15.75" customHeight="1">
      <c r="G1217" s="36"/>
      <c r="H1217" s="36"/>
      <c r="I1217" s="36"/>
      <c r="J1217" s="36"/>
      <c r="K1217" s="36"/>
    </row>
    <row r="1218" spans="7:11" ht="15.75" customHeight="1">
      <c r="G1218" s="36"/>
      <c r="H1218" s="36"/>
      <c r="I1218" s="36"/>
      <c r="J1218" s="36"/>
      <c r="K1218" s="36"/>
    </row>
    <row r="1219" spans="7:11" ht="15.75" customHeight="1">
      <c r="G1219" s="36"/>
      <c r="H1219" s="36"/>
      <c r="I1219" s="36"/>
      <c r="J1219" s="36"/>
      <c r="K1219" s="36"/>
    </row>
    <row r="1220" spans="7:11" ht="15.75" customHeight="1">
      <c r="G1220" s="36"/>
      <c r="H1220" s="36"/>
      <c r="I1220" s="36"/>
      <c r="J1220" s="36"/>
      <c r="K1220" s="36"/>
    </row>
    <row r="1221" spans="7:11" ht="15.75" customHeight="1">
      <c r="G1221" s="36"/>
      <c r="H1221" s="36"/>
      <c r="I1221" s="36"/>
      <c r="J1221" s="36"/>
      <c r="K1221" s="36"/>
    </row>
    <row r="1222" spans="7:11" ht="15.75" customHeight="1">
      <c r="G1222" s="36"/>
      <c r="H1222" s="36"/>
      <c r="I1222" s="36"/>
      <c r="J1222" s="36"/>
      <c r="K1222" s="36"/>
    </row>
    <row r="1223" spans="7:11" ht="15.75" customHeight="1">
      <c r="G1223" s="36"/>
      <c r="H1223" s="36"/>
      <c r="I1223" s="36"/>
      <c r="J1223" s="36"/>
      <c r="K1223" s="36"/>
    </row>
    <row r="1224" spans="7:11" ht="15.75" customHeight="1">
      <c r="G1224" s="36"/>
      <c r="H1224" s="36"/>
      <c r="I1224" s="36"/>
      <c r="J1224" s="36"/>
      <c r="K1224" s="36"/>
    </row>
    <row r="1225" spans="7:11" ht="15.75" customHeight="1">
      <c r="G1225" s="36"/>
      <c r="H1225" s="36"/>
      <c r="I1225" s="36"/>
      <c r="J1225" s="36"/>
      <c r="K1225" s="36"/>
    </row>
    <row r="1226" spans="7:11" ht="15.75" customHeight="1">
      <c r="G1226" s="36"/>
      <c r="H1226" s="36"/>
      <c r="I1226" s="36"/>
      <c r="J1226" s="36"/>
      <c r="K1226" s="36"/>
    </row>
    <row r="1227" spans="7:11" ht="15.75" customHeight="1">
      <c r="G1227" s="36"/>
      <c r="H1227" s="36"/>
      <c r="I1227" s="36"/>
      <c r="J1227" s="36"/>
      <c r="K1227" s="36"/>
    </row>
    <row r="1228" spans="7:11" ht="15.75" customHeight="1">
      <c r="G1228" s="36"/>
      <c r="H1228" s="36"/>
      <c r="I1228" s="36"/>
      <c r="J1228" s="36"/>
      <c r="K1228" s="36"/>
    </row>
    <row r="1229" spans="7:11" ht="15.75" customHeight="1">
      <c r="G1229" s="36"/>
      <c r="H1229" s="36"/>
      <c r="I1229" s="36"/>
      <c r="J1229" s="36"/>
      <c r="K1229" s="36"/>
    </row>
    <row r="1230" spans="7:11" ht="15.75" customHeight="1">
      <c r="G1230" s="36"/>
      <c r="H1230" s="36"/>
      <c r="I1230" s="36"/>
      <c r="J1230" s="36"/>
      <c r="K1230" s="36"/>
    </row>
    <row r="1231" spans="7:11" ht="15.75" customHeight="1">
      <c r="G1231" s="36"/>
      <c r="H1231" s="36"/>
      <c r="I1231" s="36"/>
      <c r="J1231" s="36"/>
      <c r="K1231" s="36"/>
    </row>
    <row r="1232" spans="7:11" ht="15.75" customHeight="1">
      <c r="G1232" s="36"/>
      <c r="H1232" s="36"/>
      <c r="I1232" s="36"/>
      <c r="J1232" s="36"/>
      <c r="K1232" s="36"/>
    </row>
    <row r="1233" spans="7:11" ht="15.75" customHeight="1">
      <c r="G1233" s="36"/>
      <c r="H1233" s="36"/>
      <c r="I1233" s="36"/>
      <c r="J1233" s="36"/>
      <c r="K1233" s="36"/>
    </row>
    <row r="1234" spans="7:11" ht="15.75" customHeight="1">
      <c r="G1234" s="36"/>
      <c r="H1234" s="36"/>
      <c r="I1234" s="36"/>
      <c r="J1234" s="36"/>
      <c r="K1234" s="36"/>
    </row>
    <row r="1235" spans="7:11" ht="15.75" customHeight="1">
      <c r="G1235" s="36"/>
      <c r="H1235" s="36"/>
      <c r="I1235" s="36"/>
      <c r="J1235" s="36"/>
      <c r="K1235" s="36"/>
    </row>
    <row r="1236" spans="7:11" ht="15.75" customHeight="1">
      <c r="G1236" s="36"/>
      <c r="H1236" s="36"/>
      <c r="I1236" s="36"/>
      <c r="J1236" s="36"/>
      <c r="K1236" s="36"/>
    </row>
    <row r="1237" spans="7:11" ht="15.75" customHeight="1">
      <c r="G1237" s="36"/>
      <c r="H1237" s="36"/>
      <c r="I1237" s="36"/>
      <c r="J1237" s="36"/>
      <c r="K1237" s="36"/>
    </row>
    <row r="1238" spans="7:11" ht="15.75" customHeight="1">
      <c r="G1238" s="36"/>
      <c r="H1238" s="36"/>
      <c r="I1238" s="36"/>
      <c r="J1238" s="36"/>
      <c r="K1238" s="36"/>
    </row>
    <row r="1239" spans="7:11" ht="15.75" customHeight="1">
      <c r="G1239" s="36"/>
      <c r="H1239" s="36"/>
      <c r="I1239" s="36"/>
      <c r="J1239" s="36"/>
      <c r="K1239" s="36"/>
    </row>
    <row r="1240" spans="7:11" ht="15.75" customHeight="1">
      <c r="G1240" s="36"/>
      <c r="H1240" s="36"/>
      <c r="I1240" s="36"/>
      <c r="J1240" s="36"/>
      <c r="K1240" s="36"/>
    </row>
    <row r="1241" spans="7:11" ht="15.75" customHeight="1">
      <c r="G1241" s="36"/>
      <c r="H1241" s="36"/>
      <c r="I1241" s="36"/>
      <c r="J1241" s="36"/>
      <c r="K1241" s="36"/>
    </row>
    <row r="1242" spans="7:11" ht="15.75" customHeight="1">
      <c r="G1242" s="36"/>
      <c r="H1242" s="36"/>
      <c r="I1242" s="36"/>
      <c r="J1242" s="36"/>
      <c r="K1242" s="36"/>
    </row>
    <row r="1243" spans="7:11" ht="15.75" customHeight="1">
      <c r="G1243" s="36"/>
      <c r="H1243" s="36"/>
      <c r="I1243" s="36"/>
      <c r="J1243" s="36"/>
      <c r="K1243" s="36"/>
    </row>
    <row r="1244" spans="7:11" ht="15.75" customHeight="1">
      <c r="G1244" s="36"/>
      <c r="H1244" s="36"/>
      <c r="I1244" s="36"/>
      <c r="J1244" s="36"/>
      <c r="K1244" s="36"/>
    </row>
    <row r="1245" spans="7:11" ht="15.75" customHeight="1">
      <c r="G1245" s="36"/>
      <c r="H1245" s="36"/>
      <c r="I1245" s="36"/>
      <c r="J1245" s="36"/>
      <c r="K1245" s="36"/>
    </row>
    <row r="1246" spans="7:11" ht="15.75" customHeight="1">
      <c r="G1246" s="36"/>
      <c r="H1246" s="36"/>
      <c r="I1246" s="36"/>
      <c r="J1246" s="36"/>
      <c r="K1246" s="36"/>
    </row>
    <row r="1247" spans="7:11" ht="15.75" customHeight="1">
      <c r="G1247" s="36"/>
      <c r="H1247" s="36"/>
      <c r="I1247" s="36"/>
      <c r="J1247" s="36"/>
      <c r="K1247" s="36"/>
    </row>
    <row r="1248" spans="7:11" ht="15.75" customHeight="1">
      <c r="G1248" s="36"/>
      <c r="H1248" s="36"/>
      <c r="I1248" s="36"/>
      <c r="J1248" s="36"/>
      <c r="K1248" s="36"/>
    </row>
    <row r="1249" spans="7:11" ht="15.75" customHeight="1">
      <c r="G1249" s="36"/>
      <c r="H1249" s="36"/>
      <c r="I1249" s="36"/>
      <c r="J1249" s="36"/>
      <c r="K1249" s="36"/>
    </row>
    <row r="1250" spans="7:11" ht="15.75" customHeight="1">
      <c r="G1250" s="36"/>
      <c r="H1250" s="36"/>
      <c r="I1250" s="36"/>
      <c r="J1250" s="36"/>
      <c r="K1250" s="36"/>
    </row>
    <row r="1251" spans="7:11" ht="15.75" customHeight="1">
      <c r="G1251" s="36"/>
      <c r="H1251" s="36"/>
      <c r="I1251" s="36"/>
      <c r="J1251" s="36"/>
      <c r="K1251" s="36"/>
    </row>
    <row r="1252" spans="7:11" ht="15.75" customHeight="1">
      <c r="G1252" s="36"/>
      <c r="H1252" s="36"/>
      <c r="I1252" s="36"/>
      <c r="J1252" s="36"/>
      <c r="K1252" s="36"/>
    </row>
    <row r="1253" spans="7:11" ht="15.75" customHeight="1">
      <c r="G1253" s="36"/>
      <c r="H1253" s="36"/>
      <c r="I1253" s="36"/>
      <c r="J1253" s="36"/>
      <c r="K1253" s="36"/>
    </row>
    <row r="1254" spans="7:11" ht="15.75" customHeight="1">
      <c r="G1254" s="36"/>
      <c r="H1254" s="36"/>
      <c r="I1254" s="36"/>
      <c r="J1254" s="36"/>
      <c r="K1254" s="36"/>
    </row>
    <row r="1255" spans="7:11" ht="15.75" customHeight="1">
      <c r="G1255" s="36"/>
      <c r="H1255" s="36"/>
      <c r="I1255" s="36"/>
      <c r="J1255" s="36"/>
      <c r="K1255" s="36"/>
    </row>
    <row r="1256" spans="7:11" ht="15.75" customHeight="1">
      <c r="G1256" s="36"/>
      <c r="H1256" s="36"/>
      <c r="I1256" s="36"/>
      <c r="J1256" s="36"/>
      <c r="K1256" s="36"/>
    </row>
    <row r="1257" spans="7:11" ht="15.75" customHeight="1">
      <c r="G1257" s="36"/>
      <c r="H1257" s="36"/>
      <c r="I1257" s="36"/>
      <c r="J1257" s="36"/>
      <c r="K1257" s="36"/>
    </row>
    <row r="1258" spans="7:11" ht="15.75" customHeight="1">
      <c r="G1258" s="36"/>
      <c r="H1258" s="36"/>
      <c r="I1258" s="36"/>
      <c r="J1258" s="36"/>
      <c r="K1258" s="36"/>
    </row>
    <row r="1259" spans="7:11" ht="15.75" customHeight="1">
      <c r="G1259" s="36"/>
      <c r="H1259" s="36"/>
      <c r="I1259" s="36"/>
      <c r="J1259" s="36"/>
      <c r="K1259" s="36"/>
    </row>
    <row r="1260" spans="7:11" ht="15.75" customHeight="1">
      <c r="G1260" s="36"/>
      <c r="H1260" s="36"/>
      <c r="I1260" s="36"/>
      <c r="J1260" s="36"/>
      <c r="K1260" s="36"/>
    </row>
    <row r="1261" spans="7:11" ht="15.75" customHeight="1">
      <c r="G1261" s="36"/>
      <c r="H1261" s="36"/>
      <c r="I1261" s="36"/>
      <c r="J1261" s="36"/>
      <c r="K1261" s="36"/>
    </row>
    <row r="1262" spans="7:11" ht="15.75" customHeight="1">
      <c r="G1262" s="36"/>
      <c r="H1262" s="36"/>
      <c r="I1262" s="36"/>
      <c r="J1262" s="36"/>
      <c r="K1262" s="36"/>
    </row>
    <row r="1263" spans="7:11" ht="15.75" customHeight="1">
      <c r="G1263" s="36"/>
      <c r="H1263" s="36"/>
      <c r="I1263" s="36"/>
      <c r="J1263" s="36"/>
      <c r="K1263" s="36"/>
    </row>
    <row r="1264" spans="7:11" ht="15.75" customHeight="1">
      <c r="G1264" s="36"/>
      <c r="H1264" s="36"/>
      <c r="I1264" s="36"/>
      <c r="J1264" s="36"/>
      <c r="K1264" s="36"/>
    </row>
    <row r="1265" spans="7:11" ht="15.75" customHeight="1">
      <c r="G1265" s="36"/>
      <c r="H1265" s="36"/>
      <c r="I1265" s="36"/>
      <c r="J1265" s="36"/>
      <c r="K1265" s="36"/>
    </row>
    <row r="1266" spans="7:11" ht="15.75" customHeight="1">
      <c r="G1266" s="36"/>
      <c r="H1266" s="36"/>
      <c r="I1266" s="36"/>
      <c r="J1266" s="36"/>
      <c r="K1266" s="36"/>
    </row>
    <row r="1267" spans="7:11" ht="15.75" customHeight="1">
      <c r="G1267" s="36"/>
      <c r="H1267" s="36"/>
      <c r="I1267" s="36"/>
      <c r="J1267" s="36"/>
      <c r="K1267" s="36"/>
    </row>
    <row r="1268" spans="7:11" ht="15.75" customHeight="1">
      <c r="G1268" s="36"/>
      <c r="H1268" s="36"/>
      <c r="I1268" s="36"/>
      <c r="J1268" s="36"/>
      <c r="K1268" s="36"/>
    </row>
    <row r="1269" spans="7:11" ht="15.75" customHeight="1">
      <c r="G1269" s="36"/>
      <c r="H1269" s="36"/>
      <c r="I1269" s="36"/>
      <c r="J1269" s="36"/>
      <c r="K1269" s="36"/>
    </row>
    <row r="1270" spans="7:11" ht="15.75" customHeight="1">
      <c r="G1270" s="36"/>
      <c r="H1270" s="36"/>
      <c r="I1270" s="36"/>
      <c r="J1270" s="36"/>
      <c r="K1270" s="36"/>
    </row>
    <row r="1271" spans="7:11" ht="15.75" customHeight="1">
      <c r="G1271" s="36"/>
      <c r="H1271" s="36"/>
      <c r="I1271" s="36"/>
      <c r="J1271" s="36"/>
      <c r="K1271" s="36"/>
    </row>
    <row r="1272" spans="7:11" ht="15.75" customHeight="1">
      <c r="G1272" s="36"/>
      <c r="H1272" s="36"/>
      <c r="I1272" s="36"/>
      <c r="J1272" s="36"/>
      <c r="K1272" s="36"/>
    </row>
    <row r="1273" spans="7:11" ht="15.75" customHeight="1">
      <c r="G1273" s="36"/>
      <c r="H1273" s="36"/>
      <c r="I1273" s="36"/>
      <c r="J1273" s="36"/>
      <c r="K1273" s="36"/>
    </row>
    <row r="1274" spans="7:11" ht="15.75" customHeight="1">
      <c r="G1274" s="36"/>
      <c r="H1274" s="36"/>
      <c r="I1274" s="36"/>
      <c r="J1274" s="36"/>
      <c r="K1274" s="36"/>
    </row>
    <row r="1275" spans="7:11" ht="15.75" customHeight="1">
      <c r="G1275" s="36"/>
      <c r="H1275" s="36"/>
      <c r="I1275" s="36"/>
      <c r="J1275" s="36"/>
      <c r="K1275" s="36"/>
    </row>
    <row r="1276" spans="7:11" ht="15.75" customHeight="1">
      <c r="G1276" s="36"/>
      <c r="H1276" s="36"/>
      <c r="I1276" s="36"/>
      <c r="J1276" s="36"/>
      <c r="K1276" s="36"/>
    </row>
    <row r="1277" spans="7:11" ht="15.75" customHeight="1">
      <c r="G1277" s="36"/>
      <c r="H1277" s="36"/>
      <c r="I1277" s="36"/>
      <c r="J1277" s="36"/>
      <c r="K1277" s="36"/>
    </row>
    <row r="1278" spans="7:11" ht="15.75" customHeight="1">
      <c r="G1278" s="36"/>
      <c r="H1278" s="36"/>
      <c r="I1278" s="36"/>
      <c r="J1278" s="36"/>
      <c r="K1278" s="36"/>
    </row>
    <row r="1279" spans="7:11" ht="15.75" customHeight="1">
      <c r="G1279" s="36"/>
      <c r="H1279" s="36"/>
      <c r="I1279" s="36"/>
      <c r="J1279" s="36"/>
      <c r="K1279" s="36"/>
    </row>
    <row r="1280" spans="7:11" ht="15.75" customHeight="1">
      <c r="G1280" s="36"/>
      <c r="H1280" s="36"/>
      <c r="I1280" s="36"/>
      <c r="J1280" s="36"/>
      <c r="K1280" s="36"/>
    </row>
    <row r="1281" spans="7:11" ht="15.75" customHeight="1">
      <c r="G1281" s="36"/>
      <c r="H1281" s="36"/>
      <c r="I1281" s="36"/>
      <c r="J1281" s="36"/>
      <c r="K1281" s="36"/>
    </row>
    <row r="1282" spans="7:11" ht="15.75" customHeight="1">
      <c r="G1282" s="36"/>
      <c r="H1282" s="36"/>
      <c r="I1282" s="36"/>
      <c r="J1282" s="36"/>
      <c r="K1282" s="36"/>
    </row>
    <row r="1283" spans="7:11" ht="15.75" customHeight="1">
      <c r="G1283" s="36"/>
      <c r="H1283" s="36"/>
      <c r="I1283" s="36"/>
      <c r="J1283" s="36"/>
      <c r="K1283" s="36"/>
    </row>
    <row r="1284" spans="7:11" ht="15.75" customHeight="1">
      <c r="G1284" s="36"/>
      <c r="H1284" s="36"/>
      <c r="I1284" s="36"/>
      <c r="J1284" s="36"/>
      <c r="K1284" s="36"/>
    </row>
    <row r="1285" spans="7:11" ht="15.75" customHeight="1">
      <c r="G1285" s="36"/>
      <c r="H1285" s="36"/>
      <c r="I1285" s="36"/>
      <c r="J1285" s="36"/>
      <c r="K1285" s="36"/>
    </row>
    <row r="1286" spans="7:11" ht="15.75" customHeight="1">
      <c r="G1286" s="36"/>
      <c r="H1286" s="36"/>
      <c r="I1286" s="36"/>
      <c r="J1286" s="36"/>
      <c r="K1286" s="36"/>
    </row>
    <row r="1287" spans="7:11" ht="15.75" customHeight="1">
      <c r="G1287" s="36"/>
      <c r="H1287" s="36"/>
      <c r="I1287" s="36"/>
      <c r="J1287" s="36"/>
      <c r="K1287" s="36"/>
    </row>
    <row r="1288" spans="7:11" ht="15.75" customHeight="1">
      <c r="G1288" s="36"/>
      <c r="H1288" s="36"/>
      <c r="I1288" s="36"/>
      <c r="J1288" s="36"/>
      <c r="K1288" s="36"/>
    </row>
    <row r="1289" spans="7:11" ht="15.75" customHeight="1">
      <c r="G1289" s="36"/>
      <c r="H1289" s="36"/>
      <c r="I1289" s="36"/>
      <c r="J1289" s="36"/>
      <c r="K1289" s="36"/>
    </row>
    <row r="1290" spans="7:11" ht="15.75" customHeight="1">
      <c r="G1290" s="36"/>
      <c r="H1290" s="36"/>
      <c r="I1290" s="36"/>
      <c r="J1290" s="36"/>
      <c r="K1290" s="36"/>
    </row>
    <row r="1291" spans="7:11" ht="15.75" customHeight="1">
      <c r="G1291" s="36"/>
      <c r="H1291" s="36"/>
      <c r="I1291" s="36"/>
      <c r="J1291" s="36"/>
      <c r="K1291" s="36"/>
    </row>
    <row r="1292" spans="7:11" ht="15.75" customHeight="1">
      <c r="G1292" s="36"/>
      <c r="H1292" s="36"/>
      <c r="I1292" s="36"/>
      <c r="J1292" s="36"/>
      <c r="K1292" s="36"/>
    </row>
    <row r="1293" spans="7:11" ht="15.75" customHeight="1">
      <c r="G1293" s="36"/>
      <c r="H1293" s="36"/>
      <c r="I1293" s="36"/>
      <c r="J1293" s="36"/>
      <c r="K1293" s="36"/>
    </row>
    <row r="1294" spans="7:11" ht="15.75" customHeight="1">
      <c r="G1294" s="36"/>
      <c r="H1294" s="36"/>
      <c r="I1294" s="36"/>
      <c r="J1294" s="36"/>
      <c r="K1294" s="36"/>
    </row>
    <row r="1295" spans="7:11" ht="15.75" customHeight="1">
      <c r="G1295" s="36"/>
      <c r="H1295" s="36"/>
      <c r="I1295" s="36"/>
      <c r="J1295" s="36"/>
      <c r="K1295" s="36"/>
    </row>
    <row r="1296" spans="7:11" ht="15.75" customHeight="1">
      <c r="G1296" s="36"/>
      <c r="H1296" s="36"/>
      <c r="I1296" s="36"/>
      <c r="J1296" s="36"/>
      <c r="K1296" s="36"/>
    </row>
    <row r="1297" spans="7:11" ht="15.75" customHeight="1">
      <c r="G1297" s="36"/>
      <c r="H1297" s="36"/>
      <c r="I1297" s="36"/>
      <c r="J1297" s="36"/>
      <c r="K1297" s="36"/>
    </row>
    <row r="1298" spans="7:11" ht="15.75" customHeight="1">
      <c r="G1298" s="36"/>
      <c r="H1298" s="36"/>
      <c r="I1298" s="36"/>
      <c r="J1298" s="36"/>
      <c r="K1298" s="36"/>
    </row>
    <row r="1299" spans="7:11" ht="15.75" customHeight="1">
      <c r="G1299" s="36"/>
      <c r="H1299" s="36"/>
      <c r="I1299" s="36"/>
      <c r="J1299" s="36"/>
      <c r="K1299" s="36"/>
    </row>
    <row r="1300" spans="7:11" ht="15.75" customHeight="1">
      <c r="G1300" s="36"/>
      <c r="H1300" s="36"/>
      <c r="I1300" s="36"/>
      <c r="J1300" s="36"/>
      <c r="K1300" s="36"/>
    </row>
    <row r="1301" spans="7:11" ht="15.75" customHeight="1">
      <c r="G1301" s="36"/>
      <c r="H1301" s="36"/>
      <c r="I1301" s="36"/>
      <c r="J1301" s="36"/>
      <c r="K1301" s="36"/>
    </row>
    <row r="1302" spans="7:11" ht="15.75" customHeight="1">
      <c r="G1302" s="36"/>
      <c r="H1302" s="36"/>
      <c r="I1302" s="36"/>
      <c r="J1302" s="36"/>
      <c r="K1302" s="36"/>
    </row>
    <row r="1303" spans="7:11" ht="15.75" customHeight="1">
      <c r="G1303" s="36"/>
      <c r="H1303" s="36"/>
      <c r="I1303" s="36"/>
      <c r="J1303" s="36"/>
      <c r="K1303" s="36"/>
    </row>
    <row r="1304" spans="7:11" ht="15.75" customHeight="1">
      <c r="G1304" s="36"/>
      <c r="H1304" s="36"/>
      <c r="I1304" s="36"/>
      <c r="J1304" s="36"/>
      <c r="K1304" s="36"/>
    </row>
    <row r="1305" spans="7:11" ht="15.75" customHeight="1">
      <c r="G1305" s="36"/>
      <c r="H1305" s="36"/>
      <c r="I1305" s="36"/>
      <c r="J1305" s="36"/>
      <c r="K1305" s="36"/>
    </row>
    <row r="1306" spans="7:11" ht="15.75" customHeight="1">
      <c r="G1306" s="36"/>
      <c r="H1306" s="36"/>
      <c r="I1306" s="36"/>
      <c r="J1306" s="36"/>
      <c r="K1306" s="36"/>
    </row>
    <row r="1307" spans="7:11" ht="15.75" customHeight="1">
      <c r="G1307" s="36"/>
      <c r="H1307" s="36"/>
      <c r="I1307" s="36"/>
      <c r="J1307" s="36"/>
      <c r="K1307" s="36"/>
    </row>
    <row r="1308" spans="7:11" ht="15.75" customHeight="1">
      <c r="G1308" s="36"/>
      <c r="H1308" s="36"/>
      <c r="I1308" s="36"/>
      <c r="J1308" s="36"/>
      <c r="K1308" s="36"/>
    </row>
    <row r="1309" spans="7:11" ht="15.75" customHeight="1">
      <c r="G1309" s="36"/>
      <c r="H1309" s="36"/>
      <c r="I1309" s="36"/>
      <c r="J1309" s="36"/>
      <c r="K1309" s="36"/>
    </row>
    <row r="1310" spans="7:11" ht="15.75" customHeight="1">
      <c r="G1310" s="36"/>
      <c r="H1310" s="36"/>
      <c r="I1310" s="36"/>
      <c r="J1310" s="36"/>
      <c r="K1310" s="36"/>
    </row>
    <row r="1311" spans="7:11" ht="15.75" customHeight="1">
      <c r="G1311" s="36"/>
      <c r="H1311" s="36"/>
      <c r="I1311" s="36"/>
      <c r="J1311" s="36"/>
      <c r="K1311" s="36"/>
    </row>
    <row r="1312" spans="7:11" ht="15.75" customHeight="1">
      <c r="G1312" s="36"/>
      <c r="H1312" s="36"/>
      <c r="I1312" s="36"/>
      <c r="J1312" s="36"/>
      <c r="K1312" s="36"/>
    </row>
    <row r="1313" spans="7:11" ht="15.75" customHeight="1">
      <c r="G1313" s="36"/>
      <c r="H1313" s="36"/>
      <c r="I1313" s="36"/>
      <c r="J1313" s="36"/>
      <c r="K1313" s="36"/>
    </row>
    <row r="1314" spans="7:11" ht="15.75" customHeight="1">
      <c r="G1314" s="36"/>
      <c r="H1314" s="36"/>
      <c r="I1314" s="36"/>
      <c r="J1314" s="36"/>
      <c r="K1314" s="36"/>
    </row>
    <row r="1315" spans="7:11" ht="15.75" customHeight="1">
      <c r="G1315" s="36"/>
      <c r="H1315" s="36"/>
      <c r="I1315" s="36"/>
      <c r="J1315" s="36"/>
      <c r="K1315" s="36"/>
    </row>
    <row r="1316" spans="7:11" ht="15.75" customHeight="1">
      <c r="G1316" s="36"/>
      <c r="H1316" s="36"/>
      <c r="I1316" s="36"/>
      <c r="J1316" s="36"/>
      <c r="K1316" s="36"/>
    </row>
    <row r="1317" spans="7:11" ht="15.75" customHeight="1">
      <c r="G1317" s="36"/>
      <c r="H1317" s="36"/>
      <c r="I1317" s="36"/>
      <c r="J1317" s="36"/>
      <c r="K1317" s="36"/>
    </row>
    <row r="1318" spans="7:11" ht="15.75" customHeight="1">
      <c r="G1318" s="36"/>
      <c r="H1318" s="36"/>
      <c r="I1318" s="36"/>
      <c r="J1318" s="36"/>
      <c r="K1318" s="36"/>
    </row>
    <row r="1319" spans="7:11" ht="15.75" customHeight="1">
      <c r="G1319" s="36"/>
      <c r="H1319" s="36"/>
      <c r="I1319" s="36"/>
      <c r="J1319" s="36"/>
      <c r="K1319" s="36"/>
    </row>
    <row r="1320" spans="7:11" ht="15.75" customHeight="1">
      <c r="G1320" s="36"/>
      <c r="H1320" s="36"/>
      <c r="I1320" s="36"/>
      <c r="J1320" s="36"/>
      <c r="K1320" s="36"/>
    </row>
    <row r="1321" spans="7:11" ht="15.75" customHeight="1">
      <c r="G1321" s="36"/>
      <c r="H1321" s="36"/>
      <c r="I1321" s="36"/>
      <c r="J1321" s="36"/>
      <c r="K1321" s="36"/>
    </row>
    <row r="1322" spans="7:11" ht="15.75" customHeight="1">
      <c r="G1322" s="36"/>
      <c r="H1322" s="36"/>
      <c r="I1322" s="36"/>
      <c r="J1322" s="36"/>
      <c r="K1322" s="36"/>
    </row>
    <row r="1323" spans="7:11" ht="15.75" customHeight="1">
      <c r="G1323" s="36"/>
      <c r="H1323" s="36"/>
      <c r="I1323" s="36"/>
      <c r="J1323" s="36"/>
      <c r="K1323" s="36"/>
    </row>
    <row r="1324" spans="7:11" ht="15.75" customHeight="1">
      <c r="G1324" s="36"/>
      <c r="H1324" s="36"/>
      <c r="I1324" s="36"/>
      <c r="J1324" s="36"/>
      <c r="K1324" s="36"/>
    </row>
    <row r="1325" spans="7:11" ht="15.75" customHeight="1">
      <c r="G1325" s="36"/>
      <c r="H1325" s="36"/>
      <c r="I1325" s="36"/>
      <c r="J1325" s="36"/>
      <c r="K1325" s="36"/>
    </row>
    <row r="1326" spans="7:11" ht="15.75" customHeight="1">
      <c r="G1326" s="36"/>
      <c r="H1326" s="36"/>
      <c r="I1326" s="36"/>
      <c r="J1326" s="36"/>
      <c r="K1326" s="36"/>
    </row>
    <row r="1327" spans="7:11" ht="15.75" customHeight="1">
      <c r="G1327" s="36"/>
      <c r="H1327" s="36"/>
      <c r="I1327" s="36"/>
      <c r="J1327" s="36"/>
      <c r="K1327" s="36"/>
    </row>
    <row r="1328" spans="7:11" ht="15.75" customHeight="1">
      <c r="G1328" s="36"/>
      <c r="H1328" s="36"/>
      <c r="I1328" s="36"/>
      <c r="J1328" s="36"/>
      <c r="K1328" s="36"/>
    </row>
    <row r="1329" spans="7:11" ht="15.75" customHeight="1">
      <c r="G1329" s="36"/>
      <c r="H1329" s="36"/>
      <c r="I1329" s="36"/>
      <c r="J1329" s="36"/>
      <c r="K1329" s="36"/>
    </row>
    <row r="1330" spans="7:11" ht="15.75" customHeight="1">
      <c r="G1330" s="36"/>
      <c r="H1330" s="36"/>
      <c r="I1330" s="36"/>
      <c r="J1330" s="36"/>
      <c r="K1330" s="36"/>
    </row>
    <row r="1331" spans="7:11" ht="15.75" customHeight="1">
      <c r="G1331" s="36"/>
      <c r="H1331" s="36"/>
      <c r="I1331" s="36"/>
      <c r="J1331" s="36"/>
      <c r="K1331" s="36"/>
    </row>
    <row r="1332" spans="7:11" ht="15.75" customHeight="1">
      <c r="G1332" s="36"/>
      <c r="H1332" s="36"/>
      <c r="I1332" s="36"/>
      <c r="J1332" s="36"/>
      <c r="K1332" s="36"/>
    </row>
    <row r="1333" spans="7:11" ht="15.75" customHeight="1">
      <c r="G1333" s="36"/>
      <c r="H1333" s="36"/>
      <c r="I1333" s="36"/>
      <c r="J1333" s="36"/>
      <c r="K1333" s="36"/>
    </row>
    <row r="1334" spans="7:11" ht="15.75" customHeight="1">
      <c r="G1334" s="36"/>
      <c r="H1334" s="36"/>
      <c r="I1334" s="36"/>
      <c r="J1334" s="36"/>
      <c r="K1334" s="36"/>
    </row>
    <row r="1335" spans="7:11" ht="15.75" customHeight="1">
      <c r="G1335" s="36"/>
      <c r="H1335" s="36"/>
      <c r="I1335" s="36"/>
      <c r="J1335" s="36"/>
      <c r="K1335" s="36"/>
    </row>
    <row r="1336" spans="7:11" ht="15.75" customHeight="1">
      <c r="G1336" s="36"/>
      <c r="H1336" s="36"/>
      <c r="I1336" s="36"/>
      <c r="J1336" s="36"/>
      <c r="K1336" s="36"/>
    </row>
    <row r="1337" spans="7:11" ht="15.75" customHeight="1">
      <c r="G1337" s="36"/>
      <c r="H1337" s="36"/>
      <c r="I1337" s="36"/>
      <c r="J1337" s="36"/>
      <c r="K1337" s="36"/>
    </row>
    <row r="1338" spans="7:11" ht="15.75" customHeight="1">
      <c r="G1338" s="36"/>
      <c r="H1338" s="36"/>
      <c r="I1338" s="36"/>
      <c r="J1338" s="36"/>
      <c r="K1338" s="36"/>
    </row>
    <row r="1339" spans="7:11" ht="15.75" customHeight="1">
      <c r="G1339" s="36"/>
      <c r="H1339" s="36"/>
      <c r="I1339" s="36"/>
      <c r="J1339" s="36"/>
      <c r="K1339" s="36"/>
    </row>
    <row r="1340" spans="7:11" ht="15.75" customHeight="1">
      <c r="G1340" s="36"/>
      <c r="H1340" s="36"/>
      <c r="I1340" s="36"/>
      <c r="J1340" s="36"/>
      <c r="K1340" s="36"/>
    </row>
    <row r="1341" spans="7:11" ht="15.75" customHeight="1">
      <c r="G1341" s="36"/>
      <c r="H1341" s="36"/>
      <c r="I1341" s="36"/>
      <c r="J1341" s="36"/>
      <c r="K1341" s="36"/>
    </row>
    <row r="1342" spans="7:11" ht="15.75" customHeight="1">
      <c r="G1342" s="36"/>
      <c r="H1342" s="36"/>
      <c r="I1342" s="36"/>
      <c r="J1342" s="36"/>
      <c r="K1342" s="36"/>
    </row>
    <row r="1343" spans="7:11" ht="15.75" customHeight="1">
      <c r="G1343" s="36"/>
      <c r="H1343" s="36"/>
      <c r="I1343" s="36"/>
      <c r="J1343" s="36"/>
      <c r="K1343" s="36"/>
    </row>
    <row r="1344" spans="7:11" ht="15.75" customHeight="1">
      <c r="G1344" s="36"/>
      <c r="H1344" s="36"/>
      <c r="I1344" s="36"/>
      <c r="J1344" s="36"/>
      <c r="K1344" s="36"/>
    </row>
    <row r="1345" spans="7:11" ht="15.75" customHeight="1">
      <c r="G1345" s="36"/>
      <c r="H1345" s="36"/>
      <c r="I1345" s="36"/>
      <c r="J1345" s="36"/>
      <c r="K1345" s="36"/>
    </row>
    <row r="1346" spans="7:11" ht="15.75" customHeight="1">
      <c r="G1346" s="36"/>
      <c r="H1346" s="36"/>
      <c r="I1346" s="36"/>
      <c r="J1346" s="36"/>
      <c r="K1346" s="36"/>
    </row>
    <row r="1347" spans="7:11" ht="15.75" customHeight="1">
      <c r="G1347" s="36"/>
      <c r="H1347" s="36"/>
      <c r="I1347" s="36"/>
      <c r="J1347" s="36"/>
      <c r="K1347" s="36"/>
    </row>
    <row r="1348" spans="7:11" ht="15.75" customHeight="1">
      <c r="G1348" s="36"/>
      <c r="H1348" s="36"/>
      <c r="I1348" s="36"/>
      <c r="J1348" s="36"/>
      <c r="K1348" s="36"/>
    </row>
    <row r="1349" spans="7:11" ht="15.75" customHeight="1">
      <c r="G1349" s="36"/>
      <c r="H1349" s="36"/>
      <c r="I1349" s="36"/>
      <c r="J1349" s="36"/>
      <c r="K1349" s="36"/>
    </row>
    <row r="1350" spans="7:11" ht="15.75" customHeight="1">
      <c r="G1350" s="36"/>
      <c r="H1350" s="36"/>
      <c r="I1350" s="36"/>
      <c r="J1350" s="36"/>
      <c r="K1350" s="36"/>
    </row>
    <row r="1351" spans="7:11" ht="15.75" customHeight="1">
      <c r="G1351" s="36"/>
      <c r="H1351" s="36"/>
      <c r="I1351" s="36"/>
      <c r="J1351" s="36"/>
      <c r="K1351" s="36"/>
    </row>
    <row r="1352" spans="7:11" ht="15.75" customHeight="1">
      <c r="G1352" s="36"/>
      <c r="H1352" s="36"/>
      <c r="I1352" s="36"/>
      <c r="J1352" s="36"/>
      <c r="K1352" s="36"/>
    </row>
    <row r="1353" spans="7:11" ht="15.75" customHeight="1">
      <c r="G1353" s="36"/>
      <c r="H1353" s="36"/>
      <c r="I1353" s="36"/>
      <c r="J1353" s="36"/>
      <c r="K1353" s="36"/>
    </row>
    <row r="1354" spans="7:11" ht="15.75" customHeight="1">
      <c r="G1354" s="36"/>
      <c r="H1354" s="36"/>
      <c r="I1354" s="36"/>
      <c r="J1354" s="36"/>
      <c r="K1354" s="36"/>
    </row>
    <row r="1355" spans="7:11" ht="15.75" customHeight="1">
      <c r="G1355" s="36"/>
      <c r="H1355" s="36"/>
      <c r="I1355" s="36"/>
      <c r="J1355" s="36"/>
      <c r="K1355" s="36"/>
    </row>
    <row r="1356" spans="7:11" ht="15.75" customHeight="1">
      <c r="G1356" s="36"/>
      <c r="H1356" s="36"/>
      <c r="I1356" s="36"/>
      <c r="J1356" s="36"/>
      <c r="K1356" s="36"/>
    </row>
    <row r="1357" spans="7:11" ht="15.75" customHeight="1">
      <c r="G1357" s="36"/>
      <c r="H1357" s="36"/>
      <c r="I1357" s="36"/>
      <c r="J1357" s="36"/>
      <c r="K1357" s="36"/>
    </row>
    <row r="1358" spans="7:11" ht="15.75" customHeight="1">
      <c r="G1358" s="36"/>
      <c r="H1358" s="36"/>
      <c r="I1358" s="36"/>
      <c r="J1358" s="36"/>
      <c r="K1358" s="36"/>
    </row>
    <row r="1359" spans="7:11" ht="15.75" customHeight="1">
      <c r="G1359" s="36"/>
      <c r="H1359" s="36"/>
      <c r="I1359" s="36"/>
      <c r="J1359" s="36"/>
      <c r="K1359" s="36"/>
    </row>
    <row r="1360" spans="7:11" ht="15.75" customHeight="1">
      <c r="G1360" s="36"/>
      <c r="H1360" s="36"/>
      <c r="I1360" s="36"/>
      <c r="J1360" s="36"/>
      <c r="K1360" s="36"/>
    </row>
    <row r="1361" spans="7:11" ht="15.75" customHeight="1">
      <c r="G1361" s="36"/>
      <c r="H1361" s="36"/>
      <c r="I1361" s="36"/>
      <c r="J1361" s="36"/>
      <c r="K1361" s="36"/>
    </row>
    <row r="1362" spans="7:11" ht="15.75" customHeight="1">
      <c r="G1362" s="36"/>
      <c r="H1362" s="36"/>
      <c r="I1362" s="36"/>
      <c r="J1362" s="36"/>
      <c r="K1362" s="36"/>
    </row>
    <row r="1363" spans="7:11" ht="15.75" customHeight="1">
      <c r="G1363" s="36"/>
      <c r="H1363" s="36"/>
      <c r="I1363" s="36"/>
      <c r="J1363" s="36"/>
      <c r="K1363" s="36"/>
    </row>
    <row r="1364" spans="7:11" ht="15.75" customHeight="1">
      <c r="G1364" s="36"/>
      <c r="H1364" s="36"/>
      <c r="I1364" s="36"/>
      <c r="J1364" s="36"/>
      <c r="K1364" s="36"/>
    </row>
    <row r="1365" spans="7:11" ht="15.75" customHeight="1">
      <c r="G1365" s="36"/>
      <c r="H1365" s="36"/>
      <c r="I1365" s="36"/>
      <c r="J1365" s="36"/>
      <c r="K1365" s="36"/>
    </row>
    <row r="1366" spans="7:11" ht="15.75" customHeight="1">
      <c r="G1366" s="36"/>
      <c r="H1366" s="36"/>
      <c r="I1366" s="36"/>
      <c r="J1366" s="36"/>
      <c r="K1366" s="36"/>
    </row>
    <row r="1367" spans="7:11" ht="15.75" customHeight="1">
      <c r="G1367" s="36"/>
      <c r="H1367" s="36"/>
      <c r="I1367" s="36"/>
      <c r="J1367" s="36"/>
      <c r="K1367" s="36"/>
    </row>
    <row r="1368" spans="7:11" ht="15.75" customHeight="1">
      <c r="G1368" s="36"/>
      <c r="H1368" s="36"/>
      <c r="I1368" s="36"/>
      <c r="J1368" s="36"/>
      <c r="K1368" s="36"/>
    </row>
    <row r="1369" spans="7:11" ht="15.75" customHeight="1">
      <c r="G1369" s="36"/>
      <c r="H1369" s="36"/>
      <c r="I1369" s="36"/>
      <c r="J1369" s="36"/>
      <c r="K1369" s="36"/>
    </row>
    <row r="1370" spans="7:11" ht="15.75" customHeight="1">
      <c r="G1370" s="36"/>
      <c r="H1370" s="36"/>
      <c r="I1370" s="36"/>
      <c r="J1370" s="36"/>
      <c r="K1370" s="36"/>
    </row>
    <row r="1371" spans="7:11" ht="15.75" customHeight="1">
      <c r="G1371" s="36"/>
      <c r="H1371" s="36"/>
      <c r="I1371" s="36"/>
      <c r="J1371" s="36"/>
      <c r="K1371" s="36"/>
    </row>
    <row r="1372" spans="7:11" ht="15.75" customHeight="1">
      <c r="G1372" s="36"/>
      <c r="H1372" s="36"/>
      <c r="I1372" s="36"/>
      <c r="J1372" s="36"/>
      <c r="K1372" s="36"/>
    </row>
    <row r="1373" spans="7:11" ht="15.75" customHeight="1">
      <c r="G1373" s="36"/>
      <c r="H1373" s="36"/>
      <c r="I1373" s="36"/>
      <c r="J1373" s="36"/>
      <c r="K1373" s="36"/>
    </row>
    <row r="1374" spans="7:11" ht="15.75" customHeight="1">
      <c r="G1374" s="36"/>
      <c r="H1374" s="36"/>
      <c r="I1374" s="36"/>
      <c r="J1374" s="36"/>
      <c r="K1374" s="36"/>
    </row>
    <row r="1375" spans="7:11" ht="15.75" customHeight="1">
      <c r="G1375" s="36"/>
      <c r="H1375" s="36"/>
      <c r="I1375" s="36"/>
      <c r="J1375" s="36"/>
      <c r="K1375" s="36"/>
    </row>
    <row r="1376" spans="7:11" ht="15.75" customHeight="1">
      <c r="G1376" s="36"/>
      <c r="H1376" s="36"/>
      <c r="I1376" s="36"/>
      <c r="J1376" s="36"/>
      <c r="K1376" s="36"/>
    </row>
    <row r="1377" spans="7:11" ht="15.75" customHeight="1">
      <c r="G1377" s="36"/>
      <c r="H1377" s="36"/>
      <c r="I1377" s="36"/>
      <c r="J1377" s="36"/>
      <c r="K1377" s="36"/>
    </row>
    <row r="1378" spans="7:11" ht="15.75" customHeight="1">
      <c r="G1378" s="36"/>
      <c r="H1378" s="36"/>
      <c r="I1378" s="36"/>
      <c r="J1378" s="36"/>
      <c r="K1378" s="36"/>
    </row>
    <row r="1379" spans="7:11" ht="15.75" customHeight="1">
      <c r="G1379" s="36"/>
      <c r="H1379" s="36"/>
      <c r="I1379" s="36"/>
      <c r="J1379" s="36"/>
      <c r="K1379" s="36"/>
    </row>
    <row r="1380" spans="7:11" ht="15.75" customHeight="1">
      <c r="G1380" s="36"/>
      <c r="H1380" s="36"/>
      <c r="I1380" s="36"/>
      <c r="J1380" s="36"/>
      <c r="K1380" s="36"/>
    </row>
    <row r="1381" spans="7:11" ht="15.75" customHeight="1">
      <c r="G1381" s="36"/>
      <c r="H1381" s="36"/>
      <c r="I1381" s="36"/>
      <c r="J1381" s="36"/>
      <c r="K1381" s="36"/>
    </row>
    <row r="1382" spans="7:11" ht="15.75" customHeight="1">
      <c r="G1382" s="36"/>
      <c r="H1382" s="36"/>
      <c r="I1382" s="36"/>
      <c r="J1382" s="36"/>
      <c r="K1382" s="36"/>
    </row>
    <row r="1383" spans="7:11" ht="15.75" customHeight="1">
      <c r="G1383" s="36"/>
      <c r="H1383" s="36"/>
      <c r="I1383" s="36"/>
      <c r="J1383" s="36"/>
      <c r="K1383" s="36"/>
    </row>
    <row r="1384" spans="7:11" ht="15.75" customHeight="1">
      <c r="G1384" s="36"/>
      <c r="H1384" s="36"/>
      <c r="I1384" s="36"/>
      <c r="J1384" s="36"/>
      <c r="K1384" s="36"/>
    </row>
    <row r="1385" spans="7:11" ht="15.75" customHeight="1">
      <c r="G1385" s="36"/>
      <c r="H1385" s="36"/>
      <c r="I1385" s="36"/>
      <c r="J1385" s="36"/>
      <c r="K1385" s="36"/>
    </row>
    <row r="1386" spans="7:11" ht="15.75" customHeight="1">
      <c r="G1386" s="36"/>
      <c r="H1386" s="36"/>
      <c r="I1386" s="36"/>
      <c r="J1386" s="36"/>
      <c r="K1386" s="36"/>
    </row>
    <row r="1387" spans="7:11" ht="15.75" customHeight="1">
      <c r="G1387" s="36"/>
      <c r="H1387" s="36"/>
      <c r="I1387" s="36"/>
      <c r="J1387" s="36"/>
      <c r="K1387" s="36"/>
    </row>
    <row r="1388" spans="7:11" ht="15.75" customHeight="1">
      <c r="G1388" s="36"/>
      <c r="H1388" s="36"/>
      <c r="I1388" s="36"/>
      <c r="J1388" s="36"/>
      <c r="K1388" s="36"/>
    </row>
    <row r="1389" spans="7:11" ht="15.75" customHeight="1">
      <c r="G1389" s="36"/>
      <c r="H1389" s="36"/>
      <c r="I1389" s="36"/>
      <c r="J1389" s="36"/>
      <c r="K1389" s="36"/>
    </row>
    <row r="1390" spans="7:11" ht="15.75" customHeight="1">
      <c r="G1390" s="36"/>
      <c r="H1390" s="36"/>
      <c r="I1390" s="36"/>
      <c r="J1390" s="36"/>
      <c r="K1390" s="36"/>
    </row>
    <row r="1391" spans="7:11" ht="15.75" customHeight="1">
      <c r="G1391" s="36"/>
      <c r="H1391" s="36"/>
      <c r="I1391" s="36"/>
      <c r="J1391" s="36"/>
      <c r="K1391" s="36"/>
    </row>
    <row r="1392" spans="7:11" ht="15.75" customHeight="1">
      <c r="G1392" s="36"/>
      <c r="H1392" s="36"/>
      <c r="I1392" s="36"/>
      <c r="J1392" s="36"/>
      <c r="K1392" s="36"/>
    </row>
    <row r="1393" spans="7:11" ht="15.75" customHeight="1">
      <c r="G1393" s="36"/>
      <c r="H1393" s="36"/>
      <c r="I1393" s="36"/>
      <c r="J1393" s="36"/>
      <c r="K1393" s="36"/>
    </row>
    <row r="1394" spans="7:11" ht="15.75" customHeight="1">
      <c r="G1394" s="36"/>
      <c r="H1394" s="36"/>
      <c r="I1394" s="36"/>
      <c r="J1394" s="36"/>
      <c r="K1394" s="36"/>
    </row>
    <row r="1395" spans="7:11" ht="15.75" customHeight="1">
      <c r="G1395" s="36"/>
      <c r="H1395" s="36"/>
      <c r="I1395" s="36"/>
      <c r="J1395" s="36"/>
      <c r="K1395" s="36"/>
    </row>
    <row r="1396" spans="7:11" ht="15.75" customHeight="1">
      <c r="G1396" s="36"/>
      <c r="H1396" s="36"/>
      <c r="I1396" s="36"/>
      <c r="J1396" s="36"/>
      <c r="K1396" s="36"/>
    </row>
    <row r="1397" spans="7:11" ht="15.75" customHeight="1">
      <c r="G1397" s="36"/>
      <c r="H1397" s="36"/>
      <c r="I1397" s="36"/>
      <c r="J1397" s="36"/>
      <c r="K1397" s="36"/>
    </row>
    <row r="1398" spans="7:11" ht="15.75" customHeight="1">
      <c r="G1398" s="36"/>
      <c r="H1398" s="36"/>
      <c r="I1398" s="36"/>
      <c r="J1398" s="36"/>
      <c r="K1398" s="36"/>
    </row>
    <row r="1399" spans="7:11" ht="15.75" customHeight="1">
      <c r="G1399" s="36"/>
      <c r="H1399" s="36"/>
      <c r="I1399" s="36"/>
      <c r="J1399" s="36"/>
      <c r="K1399" s="36"/>
    </row>
    <row r="1400" spans="7:11" ht="15.75" customHeight="1">
      <c r="G1400" s="36"/>
      <c r="H1400" s="36"/>
      <c r="I1400" s="36"/>
      <c r="J1400" s="36"/>
      <c r="K1400" s="36"/>
    </row>
    <row r="1401" spans="7:11" ht="15.75" customHeight="1">
      <c r="G1401" s="36"/>
      <c r="H1401" s="36"/>
      <c r="I1401" s="36"/>
      <c r="J1401" s="36"/>
      <c r="K1401" s="36"/>
    </row>
    <row r="1402" spans="7:11" ht="15.75" customHeight="1">
      <c r="G1402" s="36"/>
      <c r="H1402" s="36"/>
      <c r="I1402" s="36"/>
      <c r="J1402" s="36"/>
      <c r="K1402" s="36"/>
    </row>
    <row r="1403" spans="7:11" ht="15.75" customHeight="1">
      <c r="G1403" s="36"/>
      <c r="H1403" s="36"/>
      <c r="I1403" s="36"/>
      <c r="J1403" s="36"/>
      <c r="K1403" s="36"/>
    </row>
    <row r="1404" spans="7:11" ht="15.75" customHeight="1">
      <c r="G1404" s="36"/>
      <c r="H1404" s="36"/>
      <c r="I1404" s="36"/>
      <c r="J1404" s="36"/>
      <c r="K1404" s="36"/>
    </row>
    <row r="1405" spans="7:11" ht="15.75" customHeight="1">
      <c r="G1405" s="36"/>
      <c r="H1405" s="36"/>
      <c r="I1405" s="36"/>
      <c r="J1405" s="36"/>
      <c r="K1405" s="36"/>
    </row>
    <row r="1406" spans="7:11" ht="15.75" customHeight="1">
      <c r="G1406" s="36"/>
      <c r="H1406" s="36"/>
      <c r="I1406" s="36"/>
      <c r="J1406" s="36"/>
      <c r="K1406" s="36"/>
    </row>
    <row r="1407" spans="7:11" ht="15.75" customHeight="1">
      <c r="G1407" s="36"/>
      <c r="H1407" s="36"/>
      <c r="I1407" s="36"/>
      <c r="J1407" s="36"/>
      <c r="K1407" s="36"/>
    </row>
    <row r="1408" spans="7:11" ht="15.75" customHeight="1">
      <c r="G1408" s="36"/>
      <c r="H1408" s="36"/>
      <c r="I1408" s="36"/>
      <c r="J1408" s="36"/>
      <c r="K1408" s="36"/>
    </row>
    <row r="1409" spans="7:11" ht="15.75" customHeight="1">
      <c r="G1409" s="36"/>
      <c r="H1409" s="36"/>
      <c r="I1409" s="36"/>
      <c r="J1409" s="36"/>
      <c r="K1409" s="36"/>
    </row>
    <row r="1410" spans="7:11" ht="15.75" customHeight="1">
      <c r="G1410" s="36"/>
      <c r="H1410" s="36"/>
      <c r="I1410" s="36"/>
      <c r="J1410" s="36"/>
      <c r="K1410" s="36"/>
    </row>
    <row r="1411" spans="7:11" ht="15.75" customHeight="1">
      <c r="G1411" s="36"/>
      <c r="H1411" s="36"/>
      <c r="I1411" s="36"/>
      <c r="J1411" s="36"/>
      <c r="K1411" s="36"/>
    </row>
    <row r="1412" spans="7:11" ht="15.75" customHeight="1">
      <c r="G1412" s="36"/>
      <c r="H1412" s="36"/>
      <c r="I1412" s="36"/>
      <c r="J1412" s="36"/>
      <c r="K1412" s="36"/>
    </row>
    <row r="1413" spans="7:11" ht="15.75" customHeight="1">
      <c r="G1413" s="36"/>
      <c r="H1413" s="36"/>
      <c r="I1413" s="36"/>
      <c r="J1413" s="36"/>
      <c r="K1413" s="36"/>
    </row>
    <row r="1414" spans="7:11" ht="15.75" customHeight="1">
      <c r="G1414" s="36"/>
      <c r="H1414" s="36"/>
      <c r="I1414" s="36"/>
      <c r="J1414" s="36"/>
      <c r="K1414" s="36"/>
    </row>
    <row r="1415" spans="7:11" ht="15.75" customHeight="1">
      <c r="G1415" s="36"/>
      <c r="H1415" s="36"/>
      <c r="I1415" s="36"/>
      <c r="J1415" s="36"/>
      <c r="K1415" s="36"/>
    </row>
    <row r="1416" spans="7:11" ht="15.75" customHeight="1">
      <c r="G1416" s="36"/>
      <c r="H1416" s="36"/>
      <c r="I1416" s="36"/>
      <c r="J1416" s="36"/>
      <c r="K1416" s="36"/>
    </row>
    <row r="1417" spans="7:11" ht="15.75" customHeight="1">
      <c r="G1417" s="36"/>
      <c r="H1417" s="36"/>
      <c r="I1417" s="36"/>
      <c r="J1417" s="36"/>
      <c r="K1417" s="36"/>
    </row>
    <row r="1418" spans="7:11" ht="15.75" customHeight="1">
      <c r="G1418" s="36"/>
      <c r="H1418" s="36"/>
      <c r="I1418" s="36"/>
      <c r="J1418" s="36"/>
      <c r="K1418" s="36"/>
    </row>
    <row r="1419" spans="7:11" ht="15.75" customHeight="1">
      <c r="G1419" s="36"/>
      <c r="H1419" s="36"/>
      <c r="I1419" s="36"/>
      <c r="J1419" s="36"/>
      <c r="K1419" s="36"/>
    </row>
    <row r="1420" spans="7:11" ht="15.75" customHeight="1">
      <c r="G1420" s="36"/>
      <c r="H1420" s="36"/>
      <c r="I1420" s="36"/>
      <c r="J1420" s="36"/>
      <c r="K1420" s="36"/>
    </row>
    <row r="1421" spans="7:11" ht="15.75" customHeight="1">
      <c r="G1421" s="36"/>
      <c r="H1421" s="36"/>
      <c r="I1421" s="36"/>
      <c r="J1421" s="36"/>
      <c r="K1421" s="36"/>
    </row>
    <row r="1422" spans="7:11" ht="15.75" customHeight="1">
      <c r="G1422" s="36"/>
      <c r="H1422" s="36"/>
      <c r="I1422" s="36"/>
      <c r="J1422" s="36"/>
      <c r="K1422" s="36"/>
    </row>
    <row r="1423" spans="7:11" ht="15.75" customHeight="1">
      <c r="G1423" s="36"/>
      <c r="H1423" s="36"/>
      <c r="I1423" s="36"/>
      <c r="J1423" s="36"/>
      <c r="K1423" s="36"/>
    </row>
    <row r="1424" spans="7:11" ht="15.75" customHeight="1">
      <c r="G1424" s="36"/>
      <c r="H1424" s="36"/>
      <c r="I1424" s="36"/>
      <c r="J1424" s="36"/>
      <c r="K1424" s="36"/>
    </row>
    <row r="1425" spans="7:11" ht="15.75" customHeight="1">
      <c r="G1425" s="36"/>
      <c r="H1425" s="36"/>
      <c r="I1425" s="36"/>
      <c r="J1425" s="36"/>
      <c r="K1425" s="36"/>
    </row>
    <row r="1426" spans="7:11" ht="15.75" customHeight="1">
      <c r="G1426" s="36"/>
      <c r="H1426" s="36"/>
      <c r="I1426" s="36"/>
      <c r="J1426" s="36"/>
      <c r="K1426" s="36"/>
    </row>
    <row r="1427" spans="7:11" ht="15.75" customHeight="1">
      <c r="G1427" s="36"/>
      <c r="H1427" s="36"/>
      <c r="I1427" s="36"/>
      <c r="J1427" s="36"/>
      <c r="K1427" s="36"/>
    </row>
    <row r="1428" spans="7:11" ht="15.75" customHeight="1">
      <c r="G1428" s="36"/>
      <c r="H1428" s="36"/>
      <c r="I1428" s="36"/>
      <c r="J1428" s="36"/>
      <c r="K1428" s="36"/>
    </row>
    <row r="1429" spans="7:11" ht="15.75" customHeight="1">
      <c r="G1429" s="36"/>
      <c r="H1429" s="36"/>
      <c r="I1429" s="36"/>
      <c r="J1429" s="36"/>
      <c r="K1429" s="36"/>
    </row>
    <row r="1430" spans="7:11" ht="15.75" customHeight="1">
      <c r="G1430" s="36"/>
      <c r="H1430" s="36"/>
      <c r="I1430" s="36"/>
      <c r="J1430" s="36"/>
      <c r="K1430" s="36"/>
    </row>
    <row r="1431" spans="7:11" ht="15.75" customHeight="1">
      <c r="G1431" s="36"/>
      <c r="H1431" s="36"/>
      <c r="I1431" s="36"/>
      <c r="J1431" s="36"/>
      <c r="K1431" s="36"/>
    </row>
    <row r="1432" spans="7:11" ht="15.75" customHeight="1">
      <c r="G1432" s="36"/>
      <c r="H1432" s="36"/>
      <c r="I1432" s="36"/>
      <c r="J1432" s="36"/>
      <c r="K1432" s="36"/>
    </row>
    <row r="1433" spans="7:11" ht="15.75" customHeight="1">
      <c r="G1433" s="36"/>
      <c r="H1433" s="36"/>
      <c r="I1433" s="36"/>
      <c r="J1433" s="36"/>
      <c r="K1433" s="36"/>
    </row>
    <row r="1434" spans="7:11" ht="15.75" customHeight="1">
      <c r="G1434" s="36"/>
      <c r="H1434" s="36"/>
      <c r="I1434" s="36"/>
      <c r="J1434" s="36"/>
      <c r="K1434" s="36"/>
    </row>
    <row r="1435" spans="7:11" ht="15.75" customHeight="1">
      <c r="G1435" s="36"/>
      <c r="H1435" s="36"/>
      <c r="I1435" s="36"/>
      <c r="J1435" s="36"/>
      <c r="K1435" s="36"/>
    </row>
    <row r="1436" spans="7:11" ht="15.75" customHeight="1">
      <c r="G1436" s="36"/>
      <c r="H1436" s="36"/>
      <c r="I1436" s="36"/>
      <c r="J1436" s="36"/>
      <c r="K1436" s="36"/>
    </row>
    <row r="1437" spans="7:11" ht="15.75" customHeight="1">
      <c r="G1437" s="36"/>
      <c r="H1437" s="36"/>
      <c r="I1437" s="36"/>
      <c r="J1437" s="36"/>
      <c r="K1437" s="36"/>
    </row>
    <row r="1438" spans="7:11" ht="15.75" customHeight="1">
      <c r="G1438" s="36"/>
      <c r="H1438" s="36"/>
      <c r="I1438" s="36"/>
      <c r="J1438" s="36"/>
      <c r="K1438" s="36"/>
    </row>
    <row r="1439" spans="7:11" ht="15.75" customHeight="1">
      <c r="G1439" s="36"/>
      <c r="H1439" s="36"/>
      <c r="I1439" s="36"/>
      <c r="J1439" s="36"/>
      <c r="K1439" s="36"/>
    </row>
    <row r="1440" spans="7:11" ht="15.75" customHeight="1">
      <c r="G1440" s="36"/>
      <c r="H1440" s="36"/>
      <c r="I1440" s="36"/>
      <c r="J1440" s="36"/>
      <c r="K1440" s="36"/>
    </row>
    <row r="1441" spans="7:11" ht="15.75" customHeight="1">
      <c r="G1441" s="36"/>
      <c r="H1441" s="36"/>
      <c r="I1441" s="36"/>
      <c r="J1441" s="36"/>
      <c r="K1441" s="36"/>
    </row>
    <row r="1442" spans="7:11" ht="15.75" customHeight="1">
      <c r="G1442" s="36"/>
      <c r="H1442" s="36"/>
      <c r="I1442" s="36"/>
      <c r="J1442" s="36"/>
      <c r="K1442" s="36"/>
    </row>
    <row r="1443" spans="7:11" ht="15.75" customHeight="1">
      <c r="G1443" s="36"/>
      <c r="H1443" s="36"/>
      <c r="I1443" s="36"/>
      <c r="J1443" s="36"/>
      <c r="K1443" s="36"/>
    </row>
    <row r="1444" spans="7:11" ht="15.75" customHeight="1">
      <c r="G1444" s="36"/>
      <c r="H1444" s="36"/>
      <c r="I1444" s="36"/>
      <c r="J1444" s="36"/>
      <c r="K1444" s="36"/>
    </row>
    <row r="1445" spans="7:11" ht="15.75" customHeight="1">
      <c r="G1445" s="36"/>
      <c r="H1445" s="36"/>
      <c r="I1445" s="36"/>
      <c r="J1445" s="36"/>
      <c r="K1445" s="36"/>
    </row>
    <row r="1446" spans="7:11" ht="15.75" customHeight="1">
      <c r="G1446" s="36"/>
      <c r="H1446" s="36"/>
      <c r="I1446" s="36"/>
      <c r="J1446" s="36"/>
      <c r="K1446" s="36"/>
    </row>
    <row r="1447" spans="7:11" ht="15.75" customHeight="1">
      <c r="G1447" s="36"/>
      <c r="H1447" s="36"/>
      <c r="I1447" s="36"/>
      <c r="J1447" s="36"/>
      <c r="K1447" s="36"/>
    </row>
    <row r="1448" spans="7:11" ht="15.75" customHeight="1">
      <c r="G1448" s="36"/>
      <c r="H1448" s="36"/>
      <c r="I1448" s="36"/>
      <c r="J1448" s="36"/>
      <c r="K1448" s="36"/>
    </row>
    <row r="1449" spans="7:11" ht="15.75" customHeight="1">
      <c r="G1449" s="36"/>
      <c r="H1449" s="36"/>
      <c r="I1449" s="36"/>
      <c r="J1449" s="36"/>
      <c r="K1449" s="36"/>
    </row>
    <row r="1450" spans="7:11" ht="15.75" customHeight="1">
      <c r="G1450" s="36"/>
      <c r="H1450" s="36"/>
      <c r="I1450" s="36"/>
      <c r="J1450" s="36"/>
      <c r="K1450" s="36"/>
    </row>
    <row r="1451" spans="7:11" ht="15.75" customHeight="1">
      <c r="G1451" s="36"/>
      <c r="H1451" s="36"/>
      <c r="I1451" s="36"/>
      <c r="J1451" s="36"/>
      <c r="K1451" s="36"/>
    </row>
    <row r="1452" spans="7:11" ht="15.75" customHeight="1">
      <c r="G1452" s="36"/>
      <c r="H1452" s="36"/>
      <c r="I1452" s="36"/>
      <c r="J1452" s="36"/>
      <c r="K1452" s="36"/>
    </row>
    <row r="1453" spans="7:11" ht="15.75" customHeight="1">
      <c r="G1453" s="36"/>
      <c r="H1453" s="36"/>
      <c r="I1453" s="36"/>
      <c r="J1453" s="36"/>
      <c r="K1453" s="36"/>
    </row>
    <row r="1454" spans="7:11" ht="15.75" customHeight="1">
      <c r="G1454" s="36"/>
      <c r="H1454" s="36"/>
      <c r="I1454" s="36"/>
      <c r="J1454" s="36"/>
      <c r="K1454" s="36"/>
    </row>
    <row r="1455" spans="7:11" ht="15.75" customHeight="1">
      <c r="G1455" s="36"/>
      <c r="H1455" s="36"/>
      <c r="I1455" s="36"/>
      <c r="J1455" s="36"/>
      <c r="K1455" s="36"/>
    </row>
    <row r="1456" spans="7:11" ht="15.75" customHeight="1">
      <c r="G1456" s="36"/>
      <c r="H1456" s="36"/>
      <c r="I1456" s="36"/>
      <c r="J1456" s="36"/>
      <c r="K1456" s="36"/>
    </row>
    <row r="1457" spans="7:11" ht="15.75" customHeight="1">
      <c r="G1457" s="36"/>
      <c r="H1457" s="36"/>
      <c r="I1457" s="36"/>
      <c r="J1457" s="36"/>
      <c r="K1457" s="36"/>
    </row>
    <row r="1458" spans="7:11" ht="15.75" customHeight="1">
      <c r="G1458" s="36"/>
      <c r="H1458" s="36"/>
      <c r="I1458" s="36"/>
      <c r="J1458" s="36"/>
      <c r="K1458" s="36"/>
    </row>
    <row r="1459" spans="7:11" ht="15.75" customHeight="1">
      <c r="G1459" s="36"/>
      <c r="H1459" s="36"/>
      <c r="I1459" s="36"/>
      <c r="J1459" s="36"/>
      <c r="K1459" s="36"/>
    </row>
    <row r="1460" spans="7:11" ht="15.75" customHeight="1">
      <c r="G1460" s="36"/>
      <c r="H1460" s="36"/>
      <c r="I1460" s="36"/>
      <c r="J1460" s="36"/>
      <c r="K1460" s="36"/>
    </row>
    <row r="1461" spans="7:11" ht="15.75" customHeight="1">
      <c r="G1461" s="36"/>
      <c r="H1461" s="36"/>
      <c r="I1461" s="36"/>
      <c r="J1461" s="36"/>
      <c r="K1461" s="36"/>
    </row>
    <row r="1462" spans="7:11" ht="15.75" customHeight="1">
      <c r="G1462" s="36"/>
      <c r="H1462" s="36"/>
      <c r="I1462" s="36"/>
      <c r="J1462" s="36"/>
      <c r="K1462" s="36"/>
    </row>
    <row r="1463" spans="7:11" ht="15.75" customHeight="1">
      <c r="G1463" s="36"/>
      <c r="H1463" s="36"/>
      <c r="I1463" s="36"/>
      <c r="J1463" s="36"/>
      <c r="K1463" s="36"/>
    </row>
    <row r="1464" spans="7:11" ht="15.75" customHeight="1">
      <c r="G1464" s="36"/>
      <c r="H1464" s="36"/>
      <c r="I1464" s="36"/>
      <c r="J1464" s="36"/>
      <c r="K1464" s="36"/>
    </row>
    <row r="1465" spans="7:11" ht="15.75" customHeight="1">
      <c r="G1465" s="36"/>
      <c r="H1465" s="36"/>
      <c r="I1465" s="36"/>
      <c r="J1465" s="36"/>
      <c r="K1465" s="36"/>
    </row>
    <row r="1466" spans="7:11" ht="15.75" customHeight="1">
      <c r="G1466" s="36"/>
      <c r="H1466" s="36"/>
      <c r="I1466" s="36"/>
      <c r="J1466" s="36"/>
      <c r="K1466" s="36"/>
    </row>
    <row r="1467" spans="7:11" ht="15.75" customHeight="1">
      <c r="G1467" s="36"/>
      <c r="H1467" s="36"/>
      <c r="I1467" s="36"/>
      <c r="J1467" s="36"/>
      <c r="K1467" s="36"/>
    </row>
    <row r="1468" spans="7:11" ht="15.75" customHeight="1">
      <c r="G1468" s="36"/>
      <c r="H1468" s="36"/>
      <c r="I1468" s="36"/>
      <c r="J1468" s="36"/>
      <c r="K1468" s="36"/>
    </row>
    <row r="1469" spans="7:11" ht="15.75" customHeight="1">
      <c r="G1469" s="36"/>
      <c r="H1469" s="36"/>
      <c r="I1469" s="36"/>
      <c r="J1469" s="36"/>
      <c r="K1469" s="36"/>
    </row>
    <row r="1470" spans="7:11" ht="15.75" customHeight="1">
      <c r="G1470" s="36"/>
      <c r="H1470" s="36"/>
      <c r="I1470" s="36"/>
      <c r="J1470" s="36"/>
      <c r="K1470" s="36"/>
    </row>
    <row r="1471" spans="7:11" ht="15.75" customHeight="1">
      <c r="G1471" s="36"/>
      <c r="H1471" s="36"/>
      <c r="I1471" s="36"/>
      <c r="J1471" s="36"/>
      <c r="K1471" s="36"/>
    </row>
    <row r="1472" spans="7:11" ht="15.75" customHeight="1">
      <c r="G1472" s="36"/>
      <c r="H1472" s="36"/>
      <c r="I1472" s="36"/>
      <c r="J1472" s="36"/>
      <c r="K1472" s="36"/>
    </row>
    <row r="1473" spans="7:11" ht="15.75" customHeight="1">
      <c r="G1473" s="36"/>
      <c r="H1473" s="36"/>
      <c r="I1473" s="36"/>
      <c r="J1473" s="36"/>
      <c r="K1473" s="36"/>
    </row>
    <row r="1474" spans="7:11" ht="15.75" customHeight="1">
      <c r="G1474" s="36"/>
      <c r="H1474" s="36"/>
      <c r="I1474" s="36"/>
      <c r="J1474" s="36"/>
      <c r="K1474" s="36"/>
    </row>
    <row r="1475" spans="7:11" ht="15.75" customHeight="1">
      <c r="G1475" s="36"/>
      <c r="H1475" s="36"/>
      <c r="I1475" s="36"/>
      <c r="J1475" s="36"/>
      <c r="K1475" s="36"/>
    </row>
    <row r="1476" spans="7:11" ht="15.75" customHeight="1">
      <c r="G1476" s="36"/>
      <c r="H1476" s="36"/>
      <c r="I1476" s="36"/>
      <c r="J1476" s="36"/>
      <c r="K1476" s="36"/>
    </row>
    <row r="1477" spans="7:11" ht="15.75" customHeight="1">
      <c r="G1477" s="36"/>
      <c r="H1477" s="36"/>
      <c r="I1477" s="36"/>
      <c r="J1477" s="36"/>
      <c r="K1477" s="36"/>
    </row>
    <row r="1478" spans="7:11" ht="15.75" customHeight="1">
      <c r="G1478" s="36"/>
      <c r="H1478" s="36"/>
      <c r="I1478" s="36"/>
      <c r="J1478" s="36"/>
      <c r="K1478" s="36"/>
    </row>
    <row r="1479" spans="7:11" ht="15.75" customHeight="1">
      <c r="G1479" s="36"/>
      <c r="H1479" s="36"/>
      <c r="I1479" s="36"/>
      <c r="J1479" s="36"/>
      <c r="K1479" s="36"/>
    </row>
    <row r="1480" spans="7:11" ht="15.75" customHeight="1">
      <c r="G1480" s="36"/>
      <c r="H1480" s="36"/>
      <c r="I1480" s="36"/>
      <c r="J1480" s="36"/>
      <c r="K1480" s="36"/>
    </row>
    <row r="1481" spans="7:11" ht="15.75" customHeight="1">
      <c r="G1481" s="36"/>
      <c r="H1481" s="36"/>
      <c r="I1481" s="36"/>
      <c r="J1481" s="36"/>
      <c r="K1481" s="36"/>
    </row>
    <row r="1482" spans="7:11" ht="15.75" customHeight="1">
      <c r="G1482" s="36"/>
      <c r="H1482" s="36"/>
      <c r="I1482" s="36"/>
      <c r="J1482" s="36"/>
      <c r="K1482" s="36"/>
    </row>
    <row r="1483" spans="7:11" ht="15.75" customHeight="1">
      <c r="G1483" s="36"/>
      <c r="H1483" s="36"/>
      <c r="I1483" s="36"/>
      <c r="J1483" s="36"/>
      <c r="K1483" s="36"/>
    </row>
    <row r="1484" spans="7:11" ht="15.75" customHeight="1">
      <c r="G1484" s="36"/>
      <c r="H1484" s="36"/>
      <c r="I1484" s="36"/>
      <c r="J1484" s="36"/>
      <c r="K1484" s="36"/>
    </row>
    <row r="1485" spans="7:11" ht="15.75" customHeight="1">
      <c r="G1485" s="36"/>
      <c r="H1485" s="36"/>
      <c r="I1485" s="36"/>
      <c r="J1485" s="36"/>
      <c r="K1485" s="36"/>
    </row>
    <row r="1486" spans="7:11" ht="15.75" customHeight="1">
      <c r="G1486" s="36"/>
      <c r="H1486" s="36"/>
      <c r="I1486" s="36"/>
      <c r="J1486" s="36"/>
      <c r="K1486" s="36"/>
    </row>
    <row r="1487" spans="7:11" ht="15.75" customHeight="1">
      <c r="G1487" s="36"/>
      <c r="H1487" s="36"/>
      <c r="I1487" s="36"/>
      <c r="J1487" s="36"/>
      <c r="K1487" s="36"/>
    </row>
    <row r="1488" spans="7:11" ht="15.75" customHeight="1">
      <c r="G1488" s="36"/>
      <c r="H1488" s="36"/>
      <c r="I1488" s="36"/>
      <c r="J1488" s="36"/>
      <c r="K1488" s="36"/>
    </row>
    <row r="1489" spans="7:11" ht="15.75" customHeight="1">
      <c r="G1489" s="36"/>
      <c r="H1489" s="36"/>
      <c r="I1489" s="36"/>
      <c r="J1489" s="36"/>
      <c r="K1489" s="36"/>
    </row>
    <row r="1490" spans="7:11" ht="15.75" customHeight="1">
      <c r="G1490" s="36"/>
      <c r="H1490" s="36"/>
      <c r="I1490" s="36"/>
      <c r="J1490" s="36"/>
      <c r="K1490" s="36"/>
    </row>
    <row r="1491" spans="7:11" ht="15.75" customHeight="1">
      <c r="G1491" s="36"/>
      <c r="H1491" s="36"/>
      <c r="I1491" s="36"/>
      <c r="J1491" s="36"/>
      <c r="K1491" s="36"/>
    </row>
    <row r="1492" spans="7:11" ht="15.75" customHeight="1">
      <c r="G1492" s="36"/>
      <c r="H1492" s="36"/>
      <c r="I1492" s="36"/>
      <c r="J1492" s="36"/>
      <c r="K1492" s="36"/>
    </row>
    <row r="1493" spans="7:11" ht="15.75" customHeight="1">
      <c r="G1493" s="36"/>
      <c r="H1493" s="36"/>
      <c r="I1493" s="36"/>
      <c r="J1493" s="36"/>
      <c r="K1493" s="36"/>
    </row>
    <row r="1494" spans="7:11" ht="15.75" customHeight="1">
      <c r="G1494" s="36"/>
      <c r="H1494" s="36"/>
      <c r="I1494" s="36"/>
      <c r="J1494" s="36"/>
      <c r="K1494" s="36"/>
    </row>
    <row r="1495" spans="7:11" ht="15.75" customHeight="1">
      <c r="G1495" s="36"/>
      <c r="H1495" s="36"/>
      <c r="I1495" s="36"/>
      <c r="J1495" s="36"/>
      <c r="K1495" s="36"/>
    </row>
    <row r="1496" spans="7:11" ht="15.75" customHeight="1">
      <c r="G1496" s="36"/>
      <c r="H1496" s="36"/>
      <c r="I1496" s="36"/>
      <c r="J1496" s="36"/>
      <c r="K1496" s="36"/>
    </row>
    <row r="1497" spans="7:11" ht="15.75" customHeight="1">
      <c r="G1497" s="36"/>
      <c r="H1497" s="36"/>
      <c r="I1497" s="36"/>
      <c r="J1497" s="36"/>
      <c r="K1497" s="36"/>
    </row>
    <row r="1498" spans="7:11" ht="15.75" customHeight="1">
      <c r="G1498" s="36"/>
      <c r="H1498" s="36"/>
      <c r="I1498" s="36"/>
      <c r="J1498" s="36"/>
      <c r="K1498" s="36"/>
    </row>
    <row r="1499" spans="7:11" ht="15.75" customHeight="1">
      <c r="G1499" s="36"/>
      <c r="H1499" s="36"/>
      <c r="I1499" s="36"/>
      <c r="J1499" s="36"/>
      <c r="K1499" s="36"/>
    </row>
    <row r="1500" spans="7:11" ht="15.75" customHeight="1">
      <c r="G1500" s="36"/>
      <c r="H1500" s="36"/>
      <c r="I1500" s="36"/>
      <c r="J1500" s="36"/>
      <c r="K1500" s="36"/>
    </row>
    <row r="1501" spans="7:11" ht="15.75" customHeight="1">
      <c r="G1501" s="36"/>
      <c r="H1501" s="36"/>
      <c r="I1501" s="36"/>
      <c r="J1501" s="36"/>
      <c r="K1501" s="36"/>
    </row>
    <row r="1502" spans="7:11" ht="15.75" customHeight="1">
      <c r="G1502" s="36"/>
      <c r="H1502" s="36"/>
      <c r="I1502" s="36"/>
      <c r="J1502" s="36"/>
      <c r="K1502" s="36"/>
    </row>
    <row r="1503" spans="7:11" ht="15.75" customHeight="1">
      <c r="G1503" s="36"/>
      <c r="H1503" s="36"/>
      <c r="I1503" s="36"/>
      <c r="J1503" s="36"/>
      <c r="K1503" s="36"/>
    </row>
    <row r="1504" spans="7:11" ht="15.75" customHeight="1">
      <c r="G1504" s="36"/>
      <c r="H1504" s="36"/>
      <c r="I1504" s="36"/>
      <c r="J1504" s="36"/>
      <c r="K1504" s="36"/>
    </row>
    <row r="1505" spans="7:11" ht="15.75" customHeight="1">
      <c r="G1505" s="36"/>
      <c r="H1505" s="36"/>
      <c r="I1505" s="36"/>
      <c r="J1505" s="36"/>
      <c r="K1505" s="36"/>
    </row>
    <row r="1506" spans="7:11" ht="15.75" customHeight="1">
      <c r="G1506" s="36"/>
      <c r="H1506" s="36"/>
      <c r="I1506" s="36"/>
      <c r="J1506" s="36"/>
      <c r="K1506" s="36"/>
    </row>
    <row r="1507" spans="7:11" ht="15.75" customHeight="1">
      <c r="G1507" s="36"/>
      <c r="H1507" s="36"/>
      <c r="I1507" s="36"/>
      <c r="J1507" s="36"/>
      <c r="K1507" s="36"/>
    </row>
    <row r="1508" spans="7:11" ht="15.75" customHeight="1">
      <c r="G1508" s="36"/>
      <c r="H1508" s="36"/>
      <c r="I1508" s="36"/>
      <c r="J1508" s="36"/>
      <c r="K1508" s="36"/>
    </row>
    <row r="1509" spans="7:11" ht="15.75" customHeight="1">
      <c r="G1509" s="36"/>
      <c r="H1509" s="36"/>
      <c r="I1509" s="36"/>
      <c r="J1509" s="36"/>
      <c r="K1509" s="36"/>
    </row>
    <row r="1510" spans="7:11" ht="15.75" customHeight="1">
      <c r="G1510" s="36"/>
      <c r="H1510" s="36"/>
      <c r="I1510" s="36"/>
      <c r="J1510" s="36"/>
      <c r="K1510" s="36"/>
    </row>
    <row r="1511" spans="7:11" ht="15.75" customHeight="1">
      <c r="G1511" s="36"/>
      <c r="H1511" s="36"/>
      <c r="I1511" s="36"/>
      <c r="J1511" s="36"/>
      <c r="K1511" s="36"/>
    </row>
    <row r="1512" spans="7:11" ht="15.75" customHeight="1">
      <c r="G1512" s="36"/>
      <c r="H1512" s="36"/>
      <c r="I1512" s="36"/>
      <c r="J1512" s="36"/>
      <c r="K1512" s="36"/>
    </row>
    <row r="1513" spans="7:11" ht="15.75" customHeight="1">
      <c r="G1513" s="36"/>
      <c r="H1513" s="36"/>
      <c r="I1513" s="36"/>
      <c r="J1513" s="36"/>
      <c r="K1513" s="36"/>
    </row>
    <row r="1514" spans="7:11" ht="15.75" customHeight="1">
      <c r="G1514" s="36"/>
      <c r="H1514" s="36"/>
      <c r="I1514" s="36"/>
      <c r="J1514" s="36"/>
      <c r="K1514" s="36"/>
    </row>
    <row r="1515" spans="7:11" ht="15.75" customHeight="1">
      <c r="G1515" s="36"/>
      <c r="H1515" s="36"/>
      <c r="I1515" s="36"/>
      <c r="J1515" s="36"/>
      <c r="K1515" s="36"/>
    </row>
    <row r="1516" spans="7:11" ht="15.75" customHeight="1">
      <c r="G1516" s="36"/>
      <c r="H1516" s="36"/>
      <c r="I1516" s="36"/>
      <c r="J1516" s="36"/>
      <c r="K1516" s="36"/>
    </row>
    <row r="1517" spans="7:11" ht="15.75" customHeight="1">
      <c r="G1517" s="36"/>
      <c r="H1517" s="36"/>
      <c r="I1517" s="36"/>
      <c r="J1517" s="36"/>
      <c r="K1517" s="36"/>
    </row>
    <row r="1518" spans="7:11" ht="15.75" customHeight="1">
      <c r="G1518" s="36"/>
      <c r="H1518" s="36"/>
      <c r="I1518" s="36"/>
      <c r="J1518" s="36"/>
      <c r="K1518" s="36"/>
    </row>
    <row r="1519" spans="7:11" ht="15.75" customHeight="1">
      <c r="G1519" s="36"/>
      <c r="H1519" s="36"/>
      <c r="I1519" s="36"/>
      <c r="J1519" s="36"/>
      <c r="K1519" s="36"/>
    </row>
    <row r="1520" spans="7:11" ht="15.75" customHeight="1">
      <c r="G1520" s="36"/>
      <c r="H1520" s="36"/>
      <c r="I1520" s="36"/>
      <c r="J1520" s="36"/>
      <c r="K1520" s="36"/>
    </row>
    <row r="1521" spans="7:11" ht="15.75" customHeight="1">
      <c r="G1521" s="36"/>
      <c r="H1521" s="36"/>
      <c r="I1521" s="36"/>
      <c r="J1521" s="36"/>
      <c r="K1521" s="36"/>
    </row>
    <row r="1522" spans="7:11" ht="15.75" customHeight="1">
      <c r="G1522" s="36"/>
      <c r="H1522" s="36"/>
      <c r="I1522" s="36"/>
      <c r="J1522" s="36"/>
      <c r="K1522" s="36"/>
    </row>
    <row r="1523" spans="7:11" ht="15.75" customHeight="1">
      <c r="G1523" s="36"/>
      <c r="H1523" s="36"/>
      <c r="I1523" s="36"/>
      <c r="J1523" s="36"/>
      <c r="K1523" s="36"/>
    </row>
    <row r="1524" spans="7:11" ht="15.75" customHeight="1">
      <c r="G1524" s="36"/>
      <c r="H1524" s="36"/>
      <c r="I1524" s="36"/>
      <c r="J1524" s="36"/>
      <c r="K1524" s="36"/>
    </row>
    <row r="1525" spans="7:11" ht="15.75" customHeight="1">
      <c r="G1525" s="36"/>
      <c r="H1525" s="36"/>
      <c r="I1525" s="36"/>
      <c r="J1525" s="36"/>
      <c r="K1525" s="36"/>
    </row>
    <row r="1526" spans="7:11" ht="15.75" customHeight="1">
      <c r="G1526" s="36"/>
      <c r="H1526" s="36"/>
      <c r="I1526" s="36"/>
      <c r="J1526" s="36"/>
      <c r="K1526" s="36"/>
    </row>
    <row r="1527" spans="7:11" ht="15.75" customHeight="1">
      <c r="G1527" s="36"/>
      <c r="H1527" s="36"/>
      <c r="I1527" s="36"/>
      <c r="J1527" s="36"/>
      <c r="K1527" s="36"/>
    </row>
    <row r="1528" spans="7:11" ht="15.75" customHeight="1">
      <c r="G1528" s="36"/>
      <c r="H1528" s="36"/>
      <c r="I1528" s="36"/>
      <c r="J1528" s="36"/>
      <c r="K1528" s="36"/>
    </row>
    <row r="1529" spans="7:11" ht="15.75" customHeight="1">
      <c r="G1529" s="36"/>
      <c r="H1529" s="36"/>
      <c r="I1529" s="36"/>
      <c r="J1529" s="36"/>
      <c r="K1529" s="36"/>
    </row>
    <row r="1530" spans="7:11" ht="15.75" customHeight="1">
      <c r="G1530" s="36"/>
      <c r="H1530" s="36"/>
      <c r="I1530" s="36"/>
      <c r="J1530" s="36"/>
      <c r="K1530" s="36"/>
    </row>
    <row r="1531" spans="7:11" ht="15.75" customHeight="1">
      <c r="G1531" s="36"/>
      <c r="H1531" s="36"/>
      <c r="I1531" s="36"/>
      <c r="J1531" s="36"/>
      <c r="K1531" s="36"/>
    </row>
    <row r="1532" spans="7:11" ht="15.75" customHeight="1">
      <c r="G1532" s="36"/>
      <c r="H1532" s="36"/>
      <c r="I1532" s="36"/>
      <c r="J1532" s="36"/>
      <c r="K1532" s="36"/>
    </row>
    <row r="1533" spans="7:11" ht="15.75" customHeight="1">
      <c r="G1533" s="36"/>
      <c r="H1533" s="36"/>
      <c r="I1533" s="36"/>
      <c r="J1533" s="36"/>
      <c r="K1533" s="36"/>
    </row>
    <row r="1534" spans="7:11" ht="15.75" customHeight="1">
      <c r="G1534" s="36"/>
      <c r="H1534" s="36"/>
      <c r="I1534" s="36"/>
      <c r="J1534" s="36"/>
      <c r="K1534" s="36"/>
    </row>
    <row r="1535" spans="7:11" ht="15.75" customHeight="1">
      <c r="G1535" s="36"/>
      <c r="H1535" s="36"/>
      <c r="I1535" s="36"/>
      <c r="J1535" s="36"/>
      <c r="K1535" s="36"/>
    </row>
    <row r="1536" spans="7:11" ht="15.75" customHeight="1">
      <c r="G1536" s="36"/>
      <c r="H1536" s="36"/>
      <c r="I1536" s="36"/>
      <c r="J1536" s="36"/>
      <c r="K1536" s="36"/>
    </row>
    <row r="1537" spans="7:11" ht="15.75" customHeight="1">
      <c r="G1537" s="36"/>
      <c r="H1537" s="36"/>
      <c r="I1537" s="36"/>
      <c r="J1537" s="36"/>
      <c r="K1537" s="36"/>
    </row>
    <row r="1538" spans="7:11" ht="15.75" customHeight="1">
      <c r="G1538" s="36"/>
      <c r="H1538" s="36"/>
      <c r="I1538" s="36"/>
      <c r="J1538" s="36"/>
      <c r="K1538" s="36"/>
    </row>
    <row r="1539" spans="7:11" ht="15.75" customHeight="1">
      <c r="G1539" s="36"/>
      <c r="H1539" s="36"/>
      <c r="I1539" s="36"/>
      <c r="J1539" s="36"/>
      <c r="K1539" s="36"/>
    </row>
    <row r="1540" spans="7:11" ht="15.75" customHeight="1">
      <c r="G1540" s="36"/>
      <c r="H1540" s="36"/>
      <c r="I1540" s="36"/>
      <c r="J1540" s="36"/>
      <c r="K1540" s="36"/>
    </row>
    <row r="1541" spans="7:11" ht="15.75" customHeight="1">
      <c r="G1541" s="36"/>
      <c r="H1541" s="36"/>
      <c r="I1541" s="36"/>
      <c r="J1541" s="36"/>
      <c r="K1541" s="36"/>
    </row>
    <row r="1542" spans="7:11" ht="15.75" customHeight="1">
      <c r="G1542" s="36"/>
      <c r="H1542" s="36"/>
      <c r="I1542" s="36"/>
      <c r="J1542" s="36"/>
      <c r="K1542" s="36"/>
    </row>
    <row r="1543" spans="7:11" ht="15.75" customHeight="1">
      <c r="G1543" s="36"/>
      <c r="H1543" s="36"/>
      <c r="I1543" s="36"/>
      <c r="J1543" s="36"/>
      <c r="K1543" s="36"/>
    </row>
    <row r="1544" spans="7:11" ht="15.75" customHeight="1">
      <c r="G1544" s="36"/>
      <c r="H1544" s="36"/>
      <c r="I1544" s="36"/>
      <c r="J1544" s="36"/>
      <c r="K1544" s="36"/>
    </row>
    <row r="1545" spans="7:11" ht="15.75" customHeight="1">
      <c r="G1545" s="36"/>
      <c r="H1545" s="36"/>
      <c r="I1545" s="36"/>
      <c r="J1545" s="36"/>
      <c r="K1545" s="36"/>
    </row>
    <row r="1546" spans="7:11" ht="15.75" customHeight="1">
      <c r="G1546" s="36"/>
      <c r="H1546" s="36"/>
      <c r="I1546" s="36"/>
      <c r="J1546" s="36"/>
      <c r="K1546" s="36"/>
    </row>
    <row r="1547" spans="7:11" ht="15.75" customHeight="1">
      <c r="G1547" s="36"/>
      <c r="H1547" s="36"/>
      <c r="I1547" s="36"/>
      <c r="J1547" s="36"/>
      <c r="K1547" s="36"/>
    </row>
    <row r="1548" spans="7:11" ht="15.75" customHeight="1">
      <c r="G1548" s="36"/>
      <c r="H1548" s="36"/>
      <c r="I1548" s="36"/>
      <c r="J1548" s="36"/>
      <c r="K1548" s="36"/>
    </row>
    <row r="1549" spans="7:11" ht="15.75" customHeight="1">
      <c r="G1549" s="36"/>
      <c r="H1549" s="36"/>
      <c r="I1549" s="36"/>
      <c r="J1549" s="36"/>
      <c r="K1549" s="36"/>
    </row>
    <row r="1550" spans="7:11" ht="15.75" customHeight="1">
      <c r="G1550" s="36"/>
      <c r="H1550" s="36"/>
      <c r="I1550" s="36"/>
      <c r="J1550" s="36"/>
      <c r="K1550" s="36"/>
    </row>
    <row r="1551" spans="7:11" ht="15.75" customHeight="1">
      <c r="G1551" s="36"/>
      <c r="H1551" s="36"/>
      <c r="I1551" s="36"/>
      <c r="J1551" s="36"/>
      <c r="K1551" s="36"/>
    </row>
    <row r="1552" spans="7:11" ht="15.75" customHeight="1">
      <c r="G1552" s="36"/>
      <c r="H1552" s="36"/>
      <c r="I1552" s="36"/>
      <c r="J1552" s="36"/>
      <c r="K1552" s="36"/>
    </row>
    <row r="1553" spans="7:11" ht="15.75" customHeight="1">
      <c r="G1553" s="36"/>
      <c r="H1553" s="36"/>
      <c r="I1553" s="36"/>
      <c r="J1553" s="36"/>
      <c r="K1553" s="36"/>
    </row>
    <row r="1554" spans="7:11" ht="15.75" customHeight="1">
      <c r="G1554" s="36"/>
      <c r="H1554" s="36"/>
      <c r="I1554" s="36"/>
      <c r="J1554" s="36"/>
      <c r="K1554" s="36"/>
    </row>
    <row r="1555" spans="7:11" ht="15.75" customHeight="1">
      <c r="G1555" s="36"/>
      <c r="H1555" s="36"/>
      <c r="I1555" s="36"/>
      <c r="J1555" s="36"/>
      <c r="K1555" s="36"/>
    </row>
    <row r="1556" spans="7:11" ht="15.75" customHeight="1">
      <c r="G1556" s="36"/>
      <c r="H1556" s="36"/>
      <c r="I1556" s="36"/>
      <c r="J1556" s="36"/>
      <c r="K1556" s="36"/>
    </row>
    <row r="1557" spans="7:11" ht="15.75" customHeight="1">
      <c r="G1557" s="36"/>
      <c r="H1557" s="36"/>
      <c r="I1557" s="36"/>
      <c r="J1557" s="36"/>
      <c r="K1557" s="36"/>
    </row>
    <row r="1558" spans="7:11" ht="15.75" customHeight="1">
      <c r="G1558" s="36"/>
      <c r="H1558" s="36"/>
      <c r="I1558" s="36"/>
      <c r="J1558" s="36"/>
      <c r="K1558" s="36"/>
    </row>
    <row r="1559" spans="7:11" ht="15.75" customHeight="1">
      <c r="G1559" s="36"/>
      <c r="H1559" s="36"/>
      <c r="I1559" s="36"/>
      <c r="J1559" s="36"/>
      <c r="K1559" s="36"/>
    </row>
    <row r="1560" spans="7:11" ht="15.75" customHeight="1">
      <c r="G1560" s="36"/>
      <c r="H1560" s="36"/>
      <c r="I1560" s="36"/>
      <c r="J1560" s="36"/>
      <c r="K1560" s="36"/>
    </row>
    <row r="1561" spans="7:11" ht="15.75" customHeight="1">
      <c r="G1561" s="36"/>
      <c r="H1561" s="36"/>
      <c r="I1561" s="36"/>
      <c r="J1561" s="36"/>
      <c r="K1561" s="36"/>
    </row>
    <row r="1562" spans="7:11" ht="15.75" customHeight="1">
      <c r="G1562" s="36"/>
      <c r="H1562" s="36"/>
      <c r="I1562" s="36"/>
      <c r="J1562" s="36"/>
      <c r="K1562" s="36"/>
    </row>
    <row r="1563" spans="7:11" ht="15.75" customHeight="1">
      <c r="G1563" s="36"/>
      <c r="H1563" s="36"/>
      <c r="I1563" s="36"/>
      <c r="J1563" s="36"/>
      <c r="K1563" s="36"/>
    </row>
    <row r="1564" spans="7:11" ht="15.75" customHeight="1">
      <c r="G1564" s="36"/>
      <c r="H1564" s="36"/>
      <c r="I1564" s="36"/>
      <c r="J1564" s="36"/>
      <c r="K1564" s="36"/>
    </row>
    <row r="1565" spans="7:11" ht="15.75" customHeight="1">
      <c r="G1565" s="36"/>
      <c r="H1565" s="36"/>
      <c r="I1565" s="36"/>
      <c r="J1565" s="36"/>
      <c r="K1565" s="36"/>
    </row>
    <row r="1566" spans="7:11" ht="15.75" customHeight="1">
      <c r="G1566" s="36"/>
      <c r="H1566" s="36"/>
      <c r="I1566" s="36"/>
      <c r="J1566" s="36"/>
      <c r="K1566" s="36"/>
    </row>
    <row r="1567" spans="7:11" ht="15.75" customHeight="1">
      <c r="G1567" s="36"/>
      <c r="H1567" s="36"/>
      <c r="I1567" s="36"/>
      <c r="J1567" s="36"/>
      <c r="K1567" s="36"/>
    </row>
    <row r="1568" spans="7:11" ht="15.75" customHeight="1">
      <c r="G1568" s="36"/>
      <c r="H1568" s="36"/>
      <c r="I1568" s="36"/>
      <c r="J1568" s="36"/>
      <c r="K1568" s="36"/>
    </row>
    <row r="1569" spans="7:11" ht="15.75" customHeight="1">
      <c r="G1569" s="36"/>
      <c r="H1569" s="36"/>
      <c r="I1569" s="36"/>
      <c r="J1569" s="36"/>
      <c r="K1569" s="36"/>
    </row>
    <row r="1570" spans="7:11" ht="15.75" customHeight="1">
      <c r="G1570" s="36"/>
      <c r="H1570" s="36"/>
      <c r="I1570" s="36"/>
      <c r="J1570" s="36"/>
      <c r="K1570" s="36"/>
    </row>
    <row r="1571" spans="7:11" ht="15.75" customHeight="1">
      <c r="G1571" s="36"/>
      <c r="H1571" s="36"/>
      <c r="I1571" s="36"/>
      <c r="J1571" s="36"/>
      <c r="K1571" s="36"/>
    </row>
    <row r="1572" spans="7:11" ht="15.75" customHeight="1">
      <c r="G1572" s="36"/>
      <c r="H1572" s="36"/>
      <c r="I1572" s="36"/>
      <c r="J1572" s="36"/>
      <c r="K1572" s="36"/>
    </row>
    <row r="1573" spans="7:11" ht="15.75" customHeight="1">
      <c r="G1573" s="36"/>
      <c r="H1573" s="36"/>
      <c r="I1573" s="36"/>
      <c r="J1573" s="36"/>
      <c r="K1573" s="36"/>
    </row>
    <row r="1574" spans="7:11" ht="15.75" customHeight="1">
      <c r="G1574" s="36"/>
      <c r="H1574" s="36"/>
      <c r="I1574" s="36"/>
      <c r="J1574" s="36"/>
      <c r="K1574" s="36"/>
    </row>
    <row r="1575" spans="7:11" ht="15.75" customHeight="1">
      <c r="G1575" s="36"/>
      <c r="H1575" s="36"/>
      <c r="I1575" s="36"/>
      <c r="J1575" s="36"/>
      <c r="K1575" s="36"/>
    </row>
    <row r="1576" spans="7:11" ht="15.75" customHeight="1">
      <c r="G1576" s="36"/>
      <c r="H1576" s="36"/>
      <c r="I1576" s="36"/>
      <c r="J1576" s="36"/>
      <c r="K1576" s="36"/>
    </row>
    <row r="1577" spans="7:11" ht="15.75" customHeight="1">
      <c r="G1577" s="36"/>
      <c r="H1577" s="36"/>
      <c r="I1577" s="36"/>
      <c r="J1577" s="36"/>
      <c r="K1577" s="36"/>
    </row>
    <row r="1578" spans="7:11" ht="15.75" customHeight="1">
      <c r="G1578" s="36"/>
      <c r="H1578" s="36"/>
      <c r="I1578" s="36"/>
      <c r="J1578" s="36"/>
      <c r="K1578" s="36"/>
    </row>
    <row r="1579" spans="7:11" ht="15.75" customHeight="1">
      <c r="G1579" s="36"/>
      <c r="H1579" s="36"/>
      <c r="I1579" s="36"/>
      <c r="J1579" s="36"/>
      <c r="K1579" s="36"/>
    </row>
    <row r="1580" spans="7:11" ht="15.75" customHeight="1">
      <c r="G1580" s="36"/>
      <c r="H1580" s="36"/>
      <c r="I1580" s="36"/>
      <c r="J1580" s="36"/>
      <c r="K1580" s="36"/>
    </row>
    <row r="1581" spans="7:11" ht="15.75" customHeight="1">
      <c r="G1581" s="36"/>
      <c r="H1581" s="36"/>
      <c r="I1581" s="36"/>
      <c r="J1581" s="36"/>
      <c r="K1581" s="36"/>
    </row>
    <row r="1582" spans="7:11" ht="15.75" customHeight="1">
      <c r="G1582" s="36"/>
      <c r="H1582" s="36"/>
      <c r="I1582" s="36"/>
      <c r="J1582" s="36"/>
      <c r="K1582" s="36"/>
    </row>
    <row r="1583" spans="7:11" ht="15.75" customHeight="1">
      <c r="G1583" s="36"/>
      <c r="H1583" s="36"/>
      <c r="I1583" s="36"/>
      <c r="J1583" s="36"/>
      <c r="K1583" s="36"/>
    </row>
    <row r="1584" spans="7:11" ht="15.75" customHeight="1">
      <c r="G1584" s="36"/>
      <c r="H1584" s="36"/>
      <c r="I1584" s="36"/>
      <c r="J1584" s="36"/>
      <c r="K1584" s="36"/>
    </row>
    <row r="1585" spans="7:11" ht="15.75" customHeight="1">
      <c r="G1585" s="36"/>
      <c r="H1585" s="36"/>
      <c r="I1585" s="36"/>
      <c r="J1585" s="36"/>
      <c r="K1585" s="36"/>
    </row>
    <row r="1586" spans="7:11" ht="15.75" customHeight="1">
      <c r="G1586" s="36"/>
      <c r="H1586" s="36"/>
      <c r="I1586" s="36"/>
      <c r="J1586" s="36"/>
      <c r="K1586" s="36"/>
    </row>
    <row r="1587" spans="7:11" ht="15.75" customHeight="1">
      <c r="G1587" s="36"/>
      <c r="H1587" s="36"/>
      <c r="I1587" s="36"/>
      <c r="J1587" s="36"/>
      <c r="K1587" s="36"/>
    </row>
    <row r="1588" spans="7:11" ht="15.75" customHeight="1">
      <c r="G1588" s="36"/>
      <c r="H1588" s="36"/>
      <c r="I1588" s="36"/>
      <c r="J1588" s="36"/>
      <c r="K1588" s="36"/>
    </row>
    <row r="1589" spans="7:11" ht="15.75" customHeight="1">
      <c r="G1589" s="36"/>
      <c r="H1589" s="36"/>
      <c r="I1589" s="36"/>
      <c r="J1589" s="36"/>
      <c r="K1589" s="36"/>
    </row>
    <row r="1590" spans="7:11" ht="15.75" customHeight="1">
      <c r="G1590" s="36"/>
      <c r="H1590" s="36"/>
      <c r="I1590" s="36"/>
      <c r="J1590" s="36"/>
      <c r="K1590" s="36"/>
    </row>
    <row r="1591" spans="7:11" ht="15.75" customHeight="1">
      <c r="G1591" s="36"/>
      <c r="H1591" s="36"/>
      <c r="I1591" s="36"/>
      <c r="J1591" s="36"/>
      <c r="K1591" s="36"/>
    </row>
    <row r="1592" spans="7:11" ht="15.75" customHeight="1">
      <c r="G1592" s="36"/>
      <c r="H1592" s="36"/>
      <c r="I1592" s="36"/>
      <c r="J1592" s="36"/>
      <c r="K1592" s="36"/>
    </row>
    <row r="1593" spans="7:11" ht="15.75" customHeight="1">
      <c r="G1593" s="36"/>
      <c r="H1593" s="36"/>
      <c r="I1593" s="36"/>
      <c r="J1593" s="36"/>
      <c r="K1593" s="36"/>
    </row>
    <row r="1594" spans="7:11" ht="15.75" customHeight="1">
      <c r="G1594" s="36"/>
      <c r="H1594" s="36"/>
      <c r="I1594" s="36"/>
      <c r="J1594" s="36"/>
      <c r="K1594" s="36"/>
    </row>
    <row r="1595" spans="7:11" ht="15.75" customHeight="1">
      <c r="G1595" s="36"/>
      <c r="H1595" s="36"/>
      <c r="I1595" s="36"/>
      <c r="J1595" s="36"/>
      <c r="K1595" s="36"/>
    </row>
    <row r="1596" spans="7:11" ht="15.75" customHeight="1">
      <c r="G1596" s="36"/>
      <c r="H1596" s="36"/>
      <c r="I1596" s="36"/>
      <c r="J1596" s="36"/>
      <c r="K1596" s="36"/>
    </row>
    <row r="1597" spans="7:11" ht="15.75" customHeight="1">
      <c r="G1597" s="36"/>
      <c r="H1597" s="36"/>
      <c r="I1597" s="36"/>
      <c r="J1597" s="36"/>
      <c r="K1597" s="36"/>
    </row>
    <row r="1598" spans="7:11" ht="15.75" customHeight="1">
      <c r="G1598" s="36"/>
      <c r="H1598" s="36"/>
      <c r="I1598" s="36"/>
      <c r="J1598" s="36"/>
      <c r="K1598" s="36"/>
    </row>
    <row r="1599" spans="7:11" ht="15.75" customHeight="1">
      <c r="G1599" s="36"/>
      <c r="H1599" s="36"/>
      <c r="I1599" s="36"/>
      <c r="J1599" s="36"/>
      <c r="K1599" s="36"/>
    </row>
    <row r="1600" spans="7:11" ht="15.75" customHeight="1">
      <c r="G1600" s="36"/>
      <c r="H1600" s="36"/>
      <c r="I1600" s="36"/>
      <c r="J1600" s="36"/>
      <c r="K1600" s="36"/>
    </row>
    <row r="1601" spans="7:11" ht="15.75" customHeight="1">
      <c r="G1601" s="36"/>
      <c r="H1601" s="36"/>
      <c r="I1601" s="36"/>
      <c r="J1601" s="36"/>
      <c r="K1601" s="36"/>
    </row>
    <row r="1602" spans="7:11" ht="15.75" customHeight="1">
      <c r="G1602" s="36"/>
      <c r="H1602" s="36"/>
      <c r="I1602" s="36"/>
      <c r="J1602" s="36"/>
      <c r="K1602" s="36"/>
    </row>
    <row r="1603" spans="7:11" ht="15.75" customHeight="1">
      <c r="G1603" s="36"/>
      <c r="H1603" s="36"/>
      <c r="I1603" s="36"/>
      <c r="J1603" s="36"/>
      <c r="K1603" s="36"/>
    </row>
    <row r="1604" spans="7:11" ht="15.75" customHeight="1">
      <c r="G1604" s="36"/>
      <c r="H1604" s="36"/>
      <c r="I1604" s="36"/>
      <c r="J1604" s="36"/>
      <c r="K1604" s="36"/>
    </row>
    <row r="1605" spans="7:11" ht="15.75" customHeight="1">
      <c r="G1605" s="36"/>
      <c r="H1605" s="36"/>
      <c r="I1605" s="36"/>
      <c r="J1605" s="36"/>
      <c r="K1605" s="36"/>
    </row>
    <row r="1606" spans="7:11" ht="15.75" customHeight="1">
      <c r="G1606" s="36"/>
      <c r="H1606" s="36"/>
      <c r="I1606" s="36"/>
      <c r="J1606" s="36"/>
      <c r="K1606" s="36"/>
    </row>
    <row r="1607" spans="7:11" ht="15.75" customHeight="1">
      <c r="G1607" s="36"/>
      <c r="H1607" s="36"/>
      <c r="I1607" s="36"/>
      <c r="J1607" s="36"/>
      <c r="K1607" s="36"/>
    </row>
    <row r="1608" spans="7:11" ht="15.75" customHeight="1">
      <c r="G1608" s="36"/>
      <c r="H1608" s="36"/>
      <c r="I1608" s="36"/>
      <c r="J1608" s="36"/>
      <c r="K1608" s="36"/>
    </row>
    <row r="1609" spans="7:11" ht="15.75" customHeight="1">
      <c r="G1609" s="36"/>
      <c r="H1609" s="36"/>
      <c r="I1609" s="36"/>
      <c r="J1609" s="36"/>
      <c r="K1609" s="36"/>
    </row>
    <row r="1610" spans="7:11" ht="15.75" customHeight="1">
      <c r="G1610" s="36"/>
      <c r="H1610" s="36"/>
      <c r="I1610" s="36"/>
      <c r="J1610" s="36"/>
      <c r="K1610" s="36"/>
    </row>
    <row r="1611" spans="7:11" ht="15.75" customHeight="1">
      <c r="G1611" s="36"/>
      <c r="H1611" s="36"/>
      <c r="I1611" s="36"/>
      <c r="J1611" s="36"/>
      <c r="K1611" s="36"/>
    </row>
    <row r="1612" spans="7:11" ht="15.75" customHeight="1">
      <c r="G1612" s="36"/>
      <c r="H1612" s="36"/>
      <c r="I1612" s="36"/>
      <c r="J1612" s="36"/>
      <c r="K1612" s="36"/>
    </row>
    <row r="1613" spans="7:11" ht="15.75" customHeight="1">
      <c r="G1613" s="36"/>
      <c r="H1613" s="36"/>
      <c r="I1613" s="36"/>
      <c r="J1613" s="36"/>
      <c r="K1613" s="36"/>
    </row>
    <row r="1614" spans="7:11" ht="15.75" customHeight="1">
      <c r="G1614" s="36"/>
      <c r="H1614" s="36"/>
      <c r="I1614" s="36"/>
      <c r="J1614" s="36"/>
      <c r="K1614" s="36"/>
    </row>
    <row r="1615" spans="7:11" ht="15.75" customHeight="1">
      <c r="G1615" s="36"/>
      <c r="H1615" s="36"/>
      <c r="I1615" s="36"/>
      <c r="J1615" s="36"/>
      <c r="K1615" s="36"/>
    </row>
    <row r="1616" spans="7:11" ht="15.75" customHeight="1">
      <c r="G1616" s="36"/>
      <c r="H1616" s="36"/>
      <c r="I1616" s="36"/>
      <c r="J1616" s="36"/>
      <c r="K1616" s="36"/>
    </row>
    <row r="1617" spans="7:11" ht="15.75" customHeight="1">
      <c r="G1617" s="36"/>
      <c r="H1617" s="36"/>
      <c r="I1617" s="36"/>
      <c r="J1617" s="36"/>
      <c r="K1617" s="36"/>
    </row>
    <row r="1618" spans="7:11" ht="15.75" customHeight="1">
      <c r="G1618" s="36"/>
      <c r="H1618" s="36"/>
      <c r="I1618" s="36"/>
      <c r="J1618" s="36"/>
      <c r="K1618" s="36"/>
    </row>
    <row r="1619" spans="7:11" ht="15.75" customHeight="1">
      <c r="G1619" s="36"/>
      <c r="H1619" s="36"/>
      <c r="I1619" s="36"/>
      <c r="J1619" s="36"/>
      <c r="K1619" s="36"/>
    </row>
    <row r="1620" spans="7:11" ht="15.75" customHeight="1">
      <c r="G1620" s="36"/>
      <c r="H1620" s="36"/>
      <c r="I1620" s="36"/>
      <c r="J1620" s="36"/>
      <c r="K1620" s="36"/>
    </row>
    <row r="1621" spans="7:11" ht="15.75" customHeight="1">
      <c r="G1621" s="36"/>
      <c r="H1621" s="36"/>
      <c r="I1621" s="36"/>
      <c r="J1621" s="36"/>
      <c r="K1621" s="36"/>
    </row>
    <row r="1622" spans="7:11" ht="15.75" customHeight="1">
      <c r="G1622" s="36"/>
      <c r="H1622" s="36"/>
      <c r="I1622" s="36"/>
      <c r="J1622" s="36"/>
      <c r="K1622" s="36"/>
    </row>
    <row r="1623" spans="7:11" ht="15.75" customHeight="1">
      <c r="G1623" s="36"/>
      <c r="H1623" s="36"/>
      <c r="I1623" s="36"/>
      <c r="J1623" s="36"/>
      <c r="K1623" s="36"/>
    </row>
    <row r="1624" spans="7:11" ht="15.75" customHeight="1">
      <c r="G1624" s="36"/>
      <c r="H1624" s="36"/>
      <c r="I1624" s="36"/>
      <c r="J1624" s="36"/>
      <c r="K1624" s="36"/>
    </row>
    <row r="1625" spans="7:11" ht="15.75" customHeight="1">
      <c r="G1625" s="36"/>
      <c r="H1625" s="36"/>
      <c r="I1625" s="36"/>
      <c r="J1625" s="36"/>
      <c r="K1625" s="36"/>
    </row>
    <row r="1626" spans="7:11" ht="15.75" customHeight="1">
      <c r="G1626" s="36"/>
      <c r="H1626" s="36"/>
      <c r="I1626" s="36"/>
      <c r="J1626" s="36"/>
      <c r="K1626" s="36"/>
    </row>
    <row r="1627" spans="7:11" ht="15.75" customHeight="1">
      <c r="G1627" s="36"/>
      <c r="H1627" s="36"/>
      <c r="I1627" s="36"/>
      <c r="J1627" s="36"/>
      <c r="K1627" s="36"/>
    </row>
    <row r="1628" spans="7:11" ht="15.75" customHeight="1">
      <c r="G1628" s="36"/>
      <c r="H1628" s="36"/>
      <c r="I1628" s="36"/>
      <c r="J1628" s="36"/>
      <c r="K1628" s="36"/>
    </row>
    <row r="1629" spans="7:11" ht="15.75" customHeight="1">
      <c r="G1629" s="36"/>
      <c r="H1629" s="36"/>
      <c r="I1629" s="36"/>
      <c r="J1629" s="36"/>
      <c r="K1629" s="36"/>
    </row>
    <row r="1630" spans="7:11" ht="15.75" customHeight="1">
      <c r="G1630" s="36"/>
      <c r="H1630" s="36"/>
      <c r="I1630" s="36"/>
      <c r="J1630" s="36"/>
      <c r="K1630" s="36"/>
    </row>
    <row r="1631" spans="7:11" ht="15.75" customHeight="1">
      <c r="G1631" s="36"/>
      <c r="H1631" s="36"/>
      <c r="I1631" s="36"/>
      <c r="J1631" s="36"/>
      <c r="K1631" s="36"/>
    </row>
    <row r="1632" spans="7:11" ht="15.75" customHeight="1">
      <c r="G1632" s="36"/>
      <c r="H1632" s="36"/>
      <c r="I1632" s="36"/>
      <c r="J1632" s="36"/>
      <c r="K1632" s="36"/>
    </row>
    <row r="1633" spans="7:11" ht="15.75" customHeight="1">
      <c r="G1633" s="36"/>
      <c r="H1633" s="36"/>
      <c r="I1633" s="36"/>
      <c r="J1633" s="36"/>
      <c r="K1633" s="36"/>
    </row>
    <row r="1634" spans="7:11" ht="15.75" customHeight="1">
      <c r="G1634" s="36"/>
      <c r="H1634" s="36"/>
      <c r="I1634" s="36"/>
      <c r="J1634" s="36"/>
      <c r="K1634" s="36"/>
    </row>
    <row r="1635" spans="7:11" ht="15.75" customHeight="1">
      <c r="G1635" s="36"/>
      <c r="H1635" s="36"/>
      <c r="I1635" s="36"/>
      <c r="J1635" s="36"/>
      <c r="K1635" s="36"/>
    </row>
    <row r="1636" spans="7:11" ht="15.75" customHeight="1">
      <c r="G1636" s="36"/>
      <c r="H1636" s="36"/>
      <c r="I1636" s="36"/>
      <c r="J1636" s="36"/>
      <c r="K1636" s="36"/>
    </row>
    <row r="1637" spans="7:11" ht="15.75" customHeight="1">
      <c r="G1637" s="36"/>
      <c r="H1637" s="36"/>
      <c r="I1637" s="36"/>
      <c r="J1637" s="36"/>
      <c r="K1637" s="36"/>
    </row>
    <row r="1638" spans="7:11" ht="15.75" customHeight="1">
      <c r="G1638" s="36"/>
      <c r="H1638" s="36"/>
      <c r="I1638" s="36"/>
      <c r="J1638" s="36"/>
      <c r="K1638" s="36"/>
    </row>
    <row r="1639" spans="7:11" ht="15.75" customHeight="1">
      <c r="G1639" s="36"/>
      <c r="H1639" s="36"/>
      <c r="I1639" s="36"/>
      <c r="J1639" s="36"/>
      <c r="K1639" s="36"/>
    </row>
    <row r="1640" spans="7:11" ht="15.75" customHeight="1">
      <c r="G1640" s="36"/>
      <c r="H1640" s="36"/>
      <c r="I1640" s="36"/>
      <c r="J1640" s="36"/>
      <c r="K1640" s="36"/>
    </row>
    <row r="1641" spans="7:11" ht="15.75" customHeight="1">
      <c r="G1641" s="36"/>
      <c r="H1641" s="36"/>
      <c r="I1641" s="36"/>
      <c r="J1641" s="36"/>
      <c r="K1641" s="36"/>
    </row>
    <row r="1642" spans="7:11" ht="15.75" customHeight="1">
      <c r="G1642" s="36"/>
      <c r="H1642" s="36"/>
      <c r="I1642" s="36"/>
      <c r="J1642" s="36"/>
      <c r="K1642" s="36"/>
    </row>
    <row r="1643" spans="7:11" ht="15.75" customHeight="1">
      <c r="G1643" s="36"/>
      <c r="H1643" s="36"/>
      <c r="I1643" s="36"/>
      <c r="J1643" s="36"/>
      <c r="K1643" s="36"/>
    </row>
    <row r="1644" spans="7:11" ht="15.75" customHeight="1">
      <c r="G1644" s="36"/>
      <c r="H1644" s="36"/>
      <c r="I1644" s="36"/>
      <c r="J1644" s="36"/>
      <c r="K1644" s="36"/>
    </row>
    <row r="1645" spans="7:11" ht="15.75" customHeight="1">
      <c r="G1645" s="36"/>
      <c r="H1645" s="36"/>
      <c r="I1645" s="36"/>
      <c r="J1645" s="36"/>
      <c r="K1645" s="36"/>
    </row>
    <row r="1646" spans="7:11" ht="15.75" customHeight="1">
      <c r="G1646" s="36"/>
      <c r="H1646" s="36"/>
      <c r="I1646" s="36"/>
      <c r="J1646" s="36"/>
      <c r="K1646" s="36"/>
    </row>
    <row r="1647" spans="7:11" ht="15.75" customHeight="1">
      <c r="G1647" s="36"/>
      <c r="H1647" s="36"/>
      <c r="I1647" s="36"/>
      <c r="J1647" s="36"/>
      <c r="K1647" s="36"/>
    </row>
    <row r="1648" spans="7:11" ht="15.75" customHeight="1">
      <c r="G1648" s="36"/>
      <c r="H1648" s="36"/>
      <c r="I1648" s="36"/>
      <c r="J1648" s="36"/>
      <c r="K1648" s="36"/>
    </row>
    <row r="1649" spans="7:11" ht="15.75" customHeight="1">
      <c r="G1649" s="36"/>
      <c r="H1649" s="36"/>
      <c r="I1649" s="36"/>
      <c r="J1649" s="36"/>
      <c r="K1649" s="36"/>
    </row>
    <row r="1650" spans="7:11" ht="15.75" customHeight="1">
      <c r="G1650" s="36"/>
      <c r="H1650" s="36"/>
      <c r="I1650" s="36"/>
      <c r="J1650" s="36"/>
      <c r="K1650" s="36"/>
    </row>
    <row r="1651" spans="7:11" ht="15.75" customHeight="1">
      <c r="G1651" s="36"/>
      <c r="H1651" s="36"/>
      <c r="I1651" s="36"/>
      <c r="J1651" s="36"/>
      <c r="K1651" s="36"/>
    </row>
    <row r="1652" spans="7:11" ht="15.75" customHeight="1">
      <c r="G1652" s="36"/>
      <c r="H1652" s="36"/>
      <c r="I1652" s="36"/>
      <c r="J1652" s="36"/>
      <c r="K1652" s="36"/>
    </row>
    <row r="1653" spans="7:11" ht="15.75" customHeight="1">
      <c r="G1653" s="36"/>
      <c r="H1653" s="36"/>
      <c r="I1653" s="36"/>
      <c r="J1653" s="36"/>
      <c r="K1653" s="36"/>
    </row>
    <row r="1654" spans="7:11" ht="15.75" customHeight="1">
      <c r="G1654" s="36"/>
      <c r="H1654" s="36"/>
      <c r="I1654" s="36"/>
      <c r="J1654" s="36"/>
      <c r="K1654" s="36"/>
    </row>
    <row r="1655" spans="7:11" ht="15.75" customHeight="1">
      <c r="G1655" s="36"/>
      <c r="H1655" s="36"/>
      <c r="I1655" s="36"/>
      <c r="J1655" s="36"/>
      <c r="K1655" s="36"/>
    </row>
    <row r="1656" spans="7:11" ht="15.75" customHeight="1">
      <c r="G1656" s="36"/>
      <c r="H1656" s="36"/>
      <c r="I1656" s="36"/>
      <c r="J1656" s="36"/>
      <c r="K1656" s="36"/>
    </row>
    <row r="1657" spans="7:11" ht="15.75" customHeight="1">
      <c r="G1657" s="36"/>
      <c r="H1657" s="36"/>
      <c r="I1657" s="36"/>
      <c r="J1657" s="36"/>
      <c r="K1657" s="36"/>
    </row>
    <row r="1658" spans="7:11" ht="15.75" customHeight="1">
      <c r="G1658" s="36"/>
      <c r="H1658" s="36"/>
      <c r="I1658" s="36"/>
      <c r="J1658" s="36"/>
      <c r="K1658" s="36"/>
    </row>
    <row r="1659" spans="7:11" ht="15.75" customHeight="1">
      <c r="G1659" s="36"/>
      <c r="H1659" s="36"/>
      <c r="I1659" s="36"/>
      <c r="J1659" s="36"/>
      <c r="K1659" s="36"/>
    </row>
    <row r="1660" spans="7:11" ht="15.75" customHeight="1">
      <c r="G1660" s="36"/>
      <c r="H1660" s="36"/>
      <c r="I1660" s="36"/>
      <c r="J1660" s="36"/>
      <c r="K1660" s="36"/>
    </row>
    <row r="1661" spans="7:11" ht="15.75" customHeight="1">
      <c r="G1661" s="36"/>
      <c r="H1661" s="36"/>
      <c r="I1661" s="36"/>
      <c r="J1661" s="36"/>
      <c r="K1661" s="36"/>
    </row>
    <row r="1662" spans="7:11" ht="15.75" customHeight="1">
      <c r="G1662" s="36"/>
      <c r="H1662" s="36"/>
      <c r="I1662" s="36"/>
      <c r="J1662" s="36"/>
      <c r="K1662" s="36"/>
    </row>
    <row r="1663" spans="7:11" ht="15.75" customHeight="1">
      <c r="G1663" s="36"/>
      <c r="H1663" s="36"/>
      <c r="I1663" s="36"/>
      <c r="J1663" s="36"/>
      <c r="K1663" s="36"/>
    </row>
    <row r="1664" spans="7:11" ht="15.75" customHeight="1">
      <c r="G1664" s="36"/>
      <c r="H1664" s="36"/>
      <c r="I1664" s="36"/>
      <c r="J1664" s="36"/>
      <c r="K1664" s="36"/>
    </row>
    <row r="1665" spans="7:11" ht="15.75" customHeight="1">
      <c r="G1665" s="36"/>
      <c r="H1665" s="36"/>
      <c r="I1665" s="36"/>
      <c r="J1665" s="36"/>
      <c r="K1665" s="36"/>
    </row>
    <row r="1666" spans="7:11" ht="15.75" customHeight="1">
      <c r="G1666" s="36"/>
      <c r="H1666" s="36"/>
      <c r="I1666" s="36"/>
      <c r="J1666" s="36"/>
      <c r="K1666" s="36"/>
    </row>
    <row r="1667" spans="7:11" ht="15.75" customHeight="1">
      <c r="G1667" s="36"/>
      <c r="H1667" s="36"/>
      <c r="I1667" s="36"/>
      <c r="J1667" s="36"/>
      <c r="K1667" s="36"/>
    </row>
    <row r="1668" spans="7:11" ht="15.75" customHeight="1">
      <c r="G1668" s="36"/>
      <c r="H1668" s="36"/>
      <c r="I1668" s="36"/>
      <c r="J1668" s="36"/>
      <c r="K1668" s="36"/>
    </row>
    <row r="1669" spans="7:11" ht="15.75" customHeight="1">
      <c r="G1669" s="36"/>
      <c r="H1669" s="36"/>
      <c r="I1669" s="36"/>
      <c r="J1669" s="36"/>
      <c r="K1669" s="36"/>
    </row>
    <row r="1670" spans="7:11" ht="15.75" customHeight="1">
      <c r="G1670" s="36"/>
      <c r="H1670" s="36"/>
      <c r="I1670" s="36"/>
      <c r="J1670" s="36"/>
      <c r="K1670" s="36"/>
    </row>
    <row r="1671" spans="7:11" ht="15.75" customHeight="1">
      <c r="G1671" s="36"/>
      <c r="H1671" s="36"/>
      <c r="I1671" s="36"/>
      <c r="J1671" s="36"/>
      <c r="K1671" s="36"/>
    </row>
    <row r="1672" spans="7:11" ht="15.75" customHeight="1">
      <c r="G1672" s="36"/>
      <c r="H1672" s="36"/>
      <c r="I1672" s="36"/>
      <c r="J1672" s="36"/>
      <c r="K1672" s="36"/>
    </row>
    <row r="1673" spans="7:11" ht="15.75" customHeight="1">
      <c r="G1673" s="36"/>
      <c r="H1673" s="36"/>
      <c r="I1673" s="36"/>
      <c r="J1673" s="36"/>
      <c r="K1673" s="36"/>
    </row>
    <row r="1674" spans="7:11" ht="15.75" customHeight="1">
      <c r="G1674" s="36"/>
      <c r="H1674" s="36"/>
      <c r="I1674" s="36"/>
      <c r="J1674" s="36"/>
      <c r="K1674" s="36"/>
    </row>
    <row r="1675" spans="7:11" ht="15.75" customHeight="1">
      <c r="G1675" s="36"/>
      <c r="H1675" s="36"/>
      <c r="I1675" s="36"/>
      <c r="J1675" s="36"/>
      <c r="K1675" s="36"/>
    </row>
    <row r="1676" spans="7:11" ht="15.75" customHeight="1">
      <c r="G1676" s="36"/>
      <c r="H1676" s="36"/>
      <c r="I1676" s="36"/>
      <c r="J1676" s="36"/>
      <c r="K1676" s="36"/>
    </row>
    <row r="1677" spans="7:11" ht="15.75" customHeight="1">
      <c r="G1677" s="36"/>
      <c r="H1677" s="36"/>
      <c r="I1677" s="36"/>
      <c r="J1677" s="36"/>
      <c r="K1677" s="36"/>
    </row>
    <row r="1678" spans="7:11" ht="15.75" customHeight="1">
      <c r="G1678" s="36"/>
      <c r="H1678" s="36"/>
      <c r="I1678" s="36"/>
      <c r="J1678" s="36"/>
      <c r="K1678" s="36"/>
    </row>
    <row r="1679" spans="7:11" ht="15.75" customHeight="1">
      <c r="G1679" s="36"/>
      <c r="H1679" s="36"/>
      <c r="I1679" s="36"/>
      <c r="J1679" s="36"/>
      <c r="K1679" s="36"/>
    </row>
    <row r="1680" spans="7:11" ht="15.75" customHeight="1">
      <c r="G1680" s="36"/>
      <c r="H1680" s="36"/>
      <c r="I1680" s="36"/>
      <c r="J1680" s="36"/>
      <c r="K1680" s="36"/>
    </row>
    <row r="1681" spans="7:11" ht="15.75" customHeight="1">
      <c r="G1681" s="36"/>
      <c r="H1681" s="36"/>
      <c r="I1681" s="36"/>
      <c r="J1681" s="36"/>
      <c r="K1681" s="36"/>
    </row>
    <row r="1682" spans="7:11" ht="15.75" customHeight="1">
      <c r="G1682" s="36"/>
      <c r="H1682" s="36"/>
      <c r="I1682" s="36"/>
      <c r="J1682" s="36"/>
      <c r="K1682" s="36"/>
    </row>
    <row r="1683" spans="7:11" ht="15.75" customHeight="1">
      <c r="G1683" s="36"/>
      <c r="H1683" s="36"/>
      <c r="I1683" s="36"/>
      <c r="J1683" s="36"/>
      <c r="K1683" s="36"/>
    </row>
    <row r="1684" spans="7:11" ht="15.75" customHeight="1">
      <c r="G1684" s="36"/>
      <c r="H1684" s="36"/>
      <c r="I1684" s="36"/>
      <c r="J1684" s="36"/>
      <c r="K1684" s="36"/>
    </row>
    <row r="1685" spans="7:11" ht="15.75" customHeight="1">
      <c r="G1685" s="36"/>
      <c r="H1685" s="36"/>
      <c r="I1685" s="36"/>
      <c r="J1685" s="36"/>
      <c r="K1685" s="36"/>
    </row>
    <row r="1686" spans="7:11" ht="15.75" customHeight="1">
      <c r="G1686" s="36"/>
      <c r="H1686" s="36"/>
      <c r="I1686" s="36"/>
      <c r="J1686" s="36"/>
      <c r="K1686" s="36"/>
    </row>
    <row r="1687" spans="7:11" ht="15.75" customHeight="1">
      <c r="G1687" s="36"/>
      <c r="H1687" s="36"/>
      <c r="I1687" s="36"/>
      <c r="J1687" s="36"/>
      <c r="K1687" s="36"/>
    </row>
    <row r="1688" spans="7:11" ht="15.75" customHeight="1">
      <c r="G1688" s="36"/>
      <c r="H1688" s="36"/>
      <c r="I1688" s="36"/>
      <c r="J1688" s="36"/>
      <c r="K1688" s="36"/>
    </row>
    <row r="1689" spans="7:11" ht="15.75" customHeight="1">
      <c r="G1689" s="36"/>
      <c r="H1689" s="36"/>
      <c r="I1689" s="36"/>
      <c r="J1689" s="36"/>
      <c r="K1689" s="36"/>
    </row>
    <row r="1690" spans="7:11" ht="15.75" customHeight="1">
      <c r="G1690" s="36"/>
      <c r="H1690" s="36"/>
      <c r="I1690" s="36"/>
      <c r="J1690" s="36"/>
      <c r="K1690" s="36"/>
    </row>
    <row r="1691" spans="7:11" ht="15.75" customHeight="1">
      <c r="G1691" s="36"/>
      <c r="H1691" s="36"/>
      <c r="I1691" s="36"/>
      <c r="J1691" s="36"/>
      <c r="K1691" s="36"/>
    </row>
    <row r="1692" spans="7:11" ht="15.75" customHeight="1">
      <c r="G1692" s="36"/>
      <c r="H1692" s="36"/>
      <c r="I1692" s="36"/>
      <c r="J1692" s="36"/>
      <c r="K1692" s="36"/>
    </row>
    <row r="1693" spans="7:11" ht="15.75" customHeight="1">
      <c r="G1693" s="36"/>
      <c r="H1693" s="36"/>
      <c r="I1693" s="36"/>
      <c r="J1693" s="36"/>
      <c r="K1693" s="36"/>
    </row>
    <row r="1694" spans="7:11" ht="15.75" customHeight="1">
      <c r="G1694" s="36"/>
      <c r="H1694" s="36"/>
      <c r="I1694" s="36"/>
      <c r="J1694" s="36"/>
      <c r="K1694" s="36"/>
    </row>
    <row r="1695" spans="7:11" ht="15.75" customHeight="1">
      <c r="G1695" s="36"/>
      <c r="H1695" s="36"/>
      <c r="I1695" s="36"/>
      <c r="J1695" s="36"/>
      <c r="K1695" s="36"/>
    </row>
    <row r="1696" spans="7:11" ht="15.75" customHeight="1">
      <c r="G1696" s="36"/>
      <c r="H1696" s="36"/>
      <c r="I1696" s="36"/>
      <c r="J1696" s="36"/>
      <c r="K1696" s="36"/>
    </row>
    <row r="1697" spans="7:11" ht="15.75" customHeight="1">
      <c r="G1697" s="36"/>
      <c r="H1697" s="36"/>
      <c r="I1697" s="36"/>
      <c r="J1697" s="36"/>
      <c r="K1697" s="36"/>
    </row>
    <row r="1698" spans="7:11" ht="15.75" customHeight="1">
      <c r="G1698" s="36"/>
      <c r="H1698" s="36"/>
      <c r="I1698" s="36"/>
      <c r="J1698" s="36"/>
      <c r="K1698" s="36"/>
    </row>
    <row r="1699" spans="7:11" ht="15.75" customHeight="1">
      <c r="G1699" s="36"/>
      <c r="H1699" s="36"/>
      <c r="I1699" s="36"/>
      <c r="J1699" s="36"/>
      <c r="K1699" s="36"/>
    </row>
    <row r="1700" spans="7:11" ht="15.75" customHeight="1">
      <c r="G1700" s="36"/>
      <c r="H1700" s="36"/>
      <c r="I1700" s="36"/>
      <c r="J1700" s="36"/>
      <c r="K1700" s="36"/>
    </row>
    <row r="1701" spans="7:11" ht="15.75" customHeight="1">
      <c r="G1701" s="36"/>
      <c r="H1701" s="36"/>
      <c r="I1701" s="36"/>
      <c r="J1701" s="36"/>
      <c r="K1701" s="36"/>
    </row>
    <row r="1702" spans="7:11" ht="15.75" customHeight="1">
      <c r="G1702" s="36"/>
      <c r="H1702" s="36"/>
      <c r="I1702" s="36"/>
      <c r="J1702" s="36"/>
      <c r="K1702" s="36"/>
    </row>
    <row r="1703" spans="7:11" ht="15.75" customHeight="1">
      <c r="G1703" s="36"/>
      <c r="H1703" s="36"/>
      <c r="I1703" s="36"/>
      <c r="J1703" s="36"/>
      <c r="K1703" s="36"/>
    </row>
    <row r="1704" spans="7:11" ht="15.75" customHeight="1">
      <c r="G1704" s="36"/>
      <c r="H1704" s="36"/>
      <c r="I1704" s="36"/>
      <c r="J1704" s="36"/>
      <c r="K1704" s="36"/>
    </row>
    <row r="1705" spans="7:11" ht="15.75" customHeight="1">
      <c r="G1705" s="36"/>
      <c r="H1705" s="36"/>
      <c r="I1705" s="36"/>
      <c r="J1705" s="36"/>
      <c r="K1705" s="36"/>
    </row>
    <row r="1706" spans="7:11" ht="15.75" customHeight="1">
      <c r="G1706" s="36"/>
      <c r="H1706" s="36"/>
      <c r="I1706" s="36"/>
      <c r="J1706" s="36"/>
      <c r="K1706" s="36"/>
    </row>
    <row r="1707" spans="7:11" ht="15.75" customHeight="1">
      <c r="G1707" s="36"/>
      <c r="H1707" s="36"/>
      <c r="I1707" s="36"/>
      <c r="J1707" s="36"/>
      <c r="K1707" s="36"/>
    </row>
    <row r="1708" spans="7:11" ht="15.75" customHeight="1">
      <c r="G1708" s="36"/>
      <c r="H1708" s="36"/>
      <c r="I1708" s="36"/>
      <c r="J1708" s="36"/>
      <c r="K1708" s="36"/>
    </row>
    <row r="1709" spans="7:11" ht="15.75" customHeight="1">
      <c r="G1709" s="36"/>
      <c r="H1709" s="36"/>
      <c r="I1709" s="36"/>
      <c r="J1709" s="36"/>
      <c r="K1709" s="36"/>
    </row>
    <row r="1710" spans="7:11" ht="15.75" customHeight="1">
      <c r="G1710" s="36"/>
      <c r="H1710" s="36"/>
      <c r="I1710" s="36"/>
      <c r="J1710" s="36"/>
      <c r="K1710" s="36"/>
    </row>
    <row r="1711" spans="7:11" ht="15.75" customHeight="1">
      <c r="G1711" s="36"/>
      <c r="H1711" s="36"/>
      <c r="I1711" s="36"/>
      <c r="J1711" s="36"/>
      <c r="K1711" s="36"/>
    </row>
    <row r="1712" spans="7:11" ht="15.75" customHeight="1">
      <c r="G1712" s="36"/>
      <c r="H1712" s="36"/>
      <c r="I1712" s="36"/>
      <c r="J1712" s="36"/>
      <c r="K1712" s="36"/>
    </row>
    <row r="1713" spans="7:11" ht="15.75" customHeight="1">
      <c r="G1713" s="36"/>
      <c r="H1713" s="36"/>
      <c r="I1713" s="36"/>
      <c r="J1713" s="36"/>
      <c r="K1713" s="36"/>
    </row>
    <row r="1714" spans="7:11" ht="15.75" customHeight="1">
      <c r="G1714" s="36"/>
      <c r="H1714" s="36"/>
      <c r="I1714" s="36"/>
      <c r="J1714" s="36"/>
      <c r="K1714" s="36"/>
    </row>
    <row r="1715" spans="7:11" ht="15.75" customHeight="1">
      <c r="G1715" s="36"/>
      <c r="H1715" s="36"/>
      <c r="I1715" s="36"/>
      <c r="J1715" s="36"/>
      <c r="K1715" s="36"/>
    </row>
    <row r="1716" spans="7:11" ht="15.75" customHeight="1">
      <c r="G1716" s="36"/>
      <c r="H1716" s="36"/>
      <c r="I1716" s="36"/>
      <c r="J1716" s="36"/>
      <c r="K1716" s="36"/>
    </row>
    <row r="1717" spans="7:11" ht="15.75" customHeight="1">
      <c r="G1717" s="36"/>
      <c r="H1717" s="36"/>
      <c r="I1717" s="36"/>
      <c r="J1717" s="36"/>
      <c r="K1717" s="36"/>
    </row>
    <row r="1718" spans="7:11" ht="15.75" customHeight="1">
      <c r="G1718" s="36"/>
      <c r="H1718" s="36"/>
      <c r="I1718" s="36"/>
      <c r="J1718" s="36"/>
      <c r="K1718" s="36"/>
    </row>
    <row r="1719" spans="7:11" ht="15.75" customHeight="1">
      <c r="G1719" s="36"/>
      <c r="H1719" s="36"/>
      <c r="I1719" s="36"/>
      <c r="J1719" s="36"/>
      <c r="K1719" s="36"/>
    </row>
    <row r="1720" spans="7:11" ht="15.75" customHeight="1">
      <c r="G1720" s="36"/>
      <c r="H1720" s="36"/>
      <c r="I1720" s="36"/>
      <c r="J1720" s="36"/>
      <c r="K1720" s="36"/>
    </row>
    <row r="1721" spans="7:11" ht="15.75" customHeight="1">
      <c r="G1721" s="36"/>
      <c r="H1721" s="36"/>
      <c r="I1721" s="36"/>
      <c r="J1721" s="36"/>
      <c r="K1721" s="36"/>
    </row>
    <row r="1722" spans="7:11" ht="15.75" customHeight="1">
      <c r="G1722" s="36"/>
      <c r="H1722" s="36"/>
      <c r="I1722" s="36"/>
      <c r="J1722" s="36"/>
      <c r="K1722" s="36"/>
    </row>
    <row r="1723" spans="7:11" ht="15.75" customHeight="1">
      <c r="G1723" s="36"/>
      <c r="H1723" s="36"/>
      <c r="I1723" s="36"/>
      <c r="J1723" s="36"/>
      <c r="K1723" s="36"/>
    </row>
    <row r="1724" spans="7:11" ht="15.75" customHeight="1">
      <c r="G1724" s="36"/>
      <c r="H1724" s="36"/>
      <c r="I1724" s="36"/>
      <c r="J1724" s="36"/>
      <c r="K1724" s="36"/>
    </row>
    <row r="1725" spans="7:11" ht="15.75" customHeight="1">
      <c r="G1725" s="36"/>
      <c r="H1725" s="36"/>
      <c r="I1725" s="36"/>
      <c r="J1725" s="36"/>
      <c r="K1725" s="36"/>
    </row>
    <row r="1726" spans="7:11" ht="15.75" customHeight="1">
      <c r="G1726" s="36"/>
      <c r="H1726" s="36"/>
      <c r="I1726" s="36"/>
      <c r="J1726" s="36"/>
      <c r="K1726" s="36"/>
    </row>
    <row r="1727" spans="7:11" ht="15.75" customHeight="1">
      <c r="G1727" s="36"/>
      <c r="H1727" s="36"/>
      <c r="I1727" s="36"/>
      <c r="J1727" s="36"/>
      <c r="K1727" s="36"/>
    </row>
    <row r="1728" spans="7:11" ht="15.75" customHeight="1">
      <c r="G1728" s="36"/>
      <c r="H1728" s="36"/>
      <c r="I1728" s="36"/>
      <c r="J1728" s="36"/>
      <c r="K1728" s="36"/>
    </row>
    <row r="1729" spans="7:11" ht="15.75" customHeight="1">
      <c r="G1729" s="36"/>
      <c r="H1729" s="36"/>
      <c r="I1729" s="36"/>
      <c r="J1729" s="36"/>
      <c r="K1729" s="36"/>
    </row>
    <row r="1730" spans="7:11" ht="15.75" customHeight="1">
      <c r="G1730" s="36"/>
      <c r="H1730" s="36"/>
      <c r="I1730" s="36"/>
      <c r="J1730" s="36"/>
      <c r="K1730" s="36"/>
    </row>
    <row r="1731" spans="7:11" ht="15.75" customHeight="1">
      <c r="G1731" s="36"/>
      <c r="H1731" s="36"/>
      <c r="I1731" s="36"/>
      <c r="J1731" s="36"/>
      <c r="K1731" s="36"/>
    </row>
    <row r="1732" spans="7:11" ht="15.75" customHeight="1">
      <c r="G1732" s="36"/>
      <c r="H1732" s="36"/>
      <c r="I1732" s="36"/>
      <c r="J1732" s="36"/>
      <c r="K1732" s="36"/>
    </row>
    <row r="1733" spans="7:11" ht="15.75" customHeight="1">
      <c r="G1733" s="36"/>
      <c r="H1733" s="36"/>
      <c r="I1733" s="36"/>
      <c r="J1733" s="36"/>
      <c r="K1733" s="36"/>
    </row>
    <row r="1734" spans="7:11" ht="15.75" customHeight="1">
      <c r="G1734" s="36"/>
      <c r="H1734" s="36"/>
      <c r="I1734" s="36"/>
      <c r="J1734" s="36"/>
      <c r="K1734" s="36"/>
    </row>
    <row r="1735" spans="7:11" ht="15.75" customHeight="1">
      <c r="G1735" s="36"/>
      <c r="H1735" s="36"/>
      <c r="I1735" s="36"/>
      <c r="J1735" s="36"/>
      <c r="K1735" s="36"/>
    </row>
    <row r="1736" spans="7:11" ht="15.75" customHeight="1">
      <c r="G1736" s="36"/>
      <c r="H1736" s="36"/>
      <c r="I1736" s="36"/>
      <c r="J1736" s="36"/>
      <c r="K1736" s="36"/>
    </row>
    <row r="1737" spans="7:11" ht="15.75" customHeight="1">
      <c r="G1737" s="36"/>
      <c r="H1737" s="36"/>
      <c r="I1737" s="36"/>
      <c r="J1737" s="36"/>
      <c r="K1737" s="36"/>
    </row>
    <row r="1738" spans="7:11" ht="15.75" customHeight="1">
      <c r="G1738" s="36"/>
      <c r="H1738" s="36"/>
      <c r="I1738" s="36"/>
      <c r="J1738" s="36"/>
      <c r="K1738" s="36"/>
    </row>
    <row r="1739" spans="7:11" ht="15.75" customHeight="1">
      <c r="G1739" s="36"/>
      <c r="H1739" s="36"/>
      <c r="I1739" s="36"/>
      <c r="J1739" s="36"/>
      <c r="K1739" s="36"/>
    </row>
    <row r="1740" spans="7:11" ht="15.75" customHeight="1">
      <c r="G1740" s="36"/>
      <c r="H1740" s="36"/>
      <c r="I1740" s="36"/>
      <c r="J1740" s="36"/>
      <c r="K1740" s="36"/>
    </row>
    <row r="1741" spans="7:11" ht="15.75" customHeight="1">
      <c r="G1741" s="36"/>
      <c r="H1741" s="36"/>
      <c r="I1741" s="36"/>
      <c r="J1741" s="36"/>
      <c r="K1741" s="36"/>
    </row>
    <row r="1742" spans="7:11" ht="15.75" customHeight="1">
      <c r="G1742" s="36"/>
      <c r="H1742" s="36"/>
      <c r="I1742" s="36"/>
      <c r="J1742" s="36"/>
      <c r="K1742" s="36"/>
    </row>
    <row r="1743" spans="7:11" ht="15.75" customHeight="1">
      <c r="G1743" s="36"/>
      <c r="H1743" s="36"/>
      <c r="I1743" s="36"/>
      <c r="J1743" s="36"/>
      <c r="K1743" s="36"/>
    </row>
    <row r="1744" spans="7:11" ht="15.75" customHeight="1">
      <c r="G1744" s="36"/>
      <c r="H1744" s="36"/>
      <c r="I1744" s="36"/>
      <c r="J1744" s="36"/>
      <c r="K1744" s="36"/>
    </row>
    <row r="1745" spans="7:11" ht="15.75" customHeight="1">
      <c r="G1745" s="36"/>
      <c r="H1745" s="36"/>
      <c r="I1745" s="36"/>
      <c r="J1745" s="36"/>
      <c r="K1745" s="36"/>
    </row>
    <row r="1746" spans="7:11" ht="15.75" customHeight="1">
      <c r="G1746" s="36"/>
      <c r="H1746" s="36"/>
      <c r="I1746" s="36"/>
      <c r="J1746" s="36"/>
      <c r="K1746" s="36"/>
    </row>
    <row r="1747" spans="7:11" ht="15.75" customHeight="1">
      <c r="G1747" s="36"/>
      <c r="H1747" s="36"/>
      <c r="I1747" s="36"/>
      <c r="J1747" s="36"/>
      <c r="K1747" s="36"/>
    </row>
    <row r="1748" spans="7:11" ht="15.75" customHeight="1">
      <c r="G1748" s="36"/>
      <c r="H1748" s="36"/>
      <c r="I1748" s="36"/>
      <c r="J1748" s="36"/>
      <c r="K1748" s="36"/>
    </row>
    <row r="1749" spans="7:11" ht="15.75" customHeight="1">
      <c r="G1749" s="36"/>
      <c r="H1749" s="36"/>
      <c r="I1749" s="36"/>
      <c r="J1749" s="36"/>
      <c r="K1749" s="36"/>
    </row>
    <row r="1750" spans="7:11" ht="15.75" customHeight="1">
      <c r="G1750" s="36"/>
      <c r="H1750" s="36"/>
      <c r="I1750" s="36"/>
      <c r="J1750" s="36"/>
      <c r="K1750" s="36"/>
    </row>
    <row r="1751" spans="7:11" ht="15.75" customHeight="1">
      <c r="G1751" s="36"/>
      <c r="H1751" s="36"/>
      <c r="I1751" s="36"/>
      <c r="J1751" s="36"/>
      <c r="K1751" s="36"/>
    </row>
    <row r="1752" spans="7:11" ht="15.75" customHeight="1">
      <c r="G1752" s="36"/>
      <c r="H1752" s="36"/>
      <c r="I1752" s="36"/>
      <c r="J1752" s="36"/>
      <c r="K1752" s="36"/>
    </row>
    <row r="1753" spans="7:11" ht="15.75" customHeight="1">
      <c r="G1753" s="36"/>
      <c r="H1753" s="36"/>
      <c r="I1753" s="36"/>
      <c r="J1753" s="36"/>
      <c r="K1753" s="36"/>
    </row>
    <row r="1754" spans="7:11" ht="15.75" customHeight="1">
      <c r="G1754" s="36"/>
      <c r="H1754" s="36"/>
      <c r="I1754" s="36"/>
      <c r="J1754" s="36"/>
      <c r="K1754" s="36"/>
    </row>
    <row r="1755" spans="7:11" ht="15.75" customHeight="1">
      <c r="G1755" s="36"/>
      <c r="H1755" s="36"/>
      <c r="I1755" s="36"/>
      <c r="J1755" s="36"/>
      <c r="K1755" s="36"/>
    </row>
    <row r="1756" spans="7:11" ht="15.75" customHeight="1">
      <c r="G1756" s="36"/>
      <c r="H1756" s="36"/>
      <c r="I1756" s="36"/>
      <c r="J1756" s="36"/>
      <c r="K1756" s="36"/>
    </row>
    <row r="1757" spans="7:11" ht="15.75" customHeight="1">
      <c r="G1757" s="36"/>
      <c r="H1757" s="36"/>
      <c r="I1757" s="36"/>
      <c r="J1757" s="36"/>
      <c r="K1757" s="36"/>
    </row>
    <row r="1758" spans="7:11" ht="15.75" customHeight="1">
      <c r="G1758" s="36"/>
      <c r="H1758" s="36"/>
      <c r="I1758" s="36"/>
      <c r="J1758" s="36"/>
      <c r="K1758" s="36"/>
    </row>
    <row r="1759" spans="7:11" ht="15.75" customHeight="1">
      <c r="G1759" s="36"/>
      <c r="H1759" s="36"/>
      <c r="I1759" s="36"/>
      <c r="J1759" s="36"/>
      <c r="K1759" s="36"/>
    </row>
    <row r="1760" spans="7:11" ht="15.75" customHeight="1">
      <c r="G1760" s="36"/>
      <c r="H1760" s="36"/>
      <c r="I1760" s="36"/>
      <c r="J1760" s="36"/>
      <c r="K1760" s="36"/>
    </row>
    <row r="1761" spans="7:11" ht="15.75" customHeight="1">
      <c r="G1761" s="36"/>
      <c r="H1761" s="36"/>
      <c r="I1761" s="36"/>
      <c r="J1761" s="36"/>
      <c r="K1761" s="36"/>
    </row>
    <row r="1762" spans="7:11" ht="15.75" customHeight="1">
      <c r="G1762" s="36"/>
      <c r="H1762" s="36"/>
      <c r="I1762" s="36"/>
      <c r="J1762" s="36"/>
      <c r="K1762" s="36"/>
    </row>
    <row r="1763" spans="7:11" ht="15.75" customHeight="1">
      <c r="G1763" s="36"/>
      <c r="H1763" s="36"/>
      <c r="I1763" s="36"/>
      <c r="J1763" s="36"/>
      <c r="K1763" s="36"/>
    </row>
    <row r="1764" spans="7:11" ht="15.75" customHeight="1">
      <c r="G1764" s="36"/>
      <c r="H1764" s="36"/>
      <c r="I1764" s="36"/>
      <c r="J1764" s="36"/>
      <c r="K1764" s="36"/>
    </row>
    <row r="1765" spans="7:11" ht="15.75" customHeight="1">
      <c r="G1765" s="36"/>
      <c r="H1765" s="36"/>
      <c r="I1765" s="36"/>
      <c r="J1765" s="36"/>
      <c r="K1765" s="36"/>
    </row>
    <row r="1766" spans="7:11" ht="15.75" customHeight="1">
      <c r="G1766" s="36"/>
      <c r="H1766" s="36"/>
      <c r="I1766" s="36"/>
      <c r="J1766" s="36"/>
      <c r="K1766" s="36"/>
    </row>
    <row r="1767" spans="7:11" ht="15.75" customHeight="1">
      <c r="G1767" s="36"/>
      <c r="H1767" s="36"/>
      <c r="I1767" s="36"/>
      <c r="J1767" s="36"/>
      <c r="K1767" s="36"/>
    </row>
    <row r="1768" spans="7:11" ht="15.75" customHeight="1">
      <c r="G1768" s="36"/>
      <c r="H1768" s="36"/>
      <c r="I1768" s="36"/>
      <c r="J1768" s="36"/>
      <c r="K1768" s="36"/>
    </row>
    <row r="1769" spans="7:11" ht="15.75" customHeight="1">
      <c r="G1769" s="36"/>
      <c r="H1769" s="36"/>
      <c r="I1769" s="36"/>
      <c r="J1769" s="36"/>
      <c r="K1769" s="36"/>
    </row>
    <row r="1770" spans="7:11" ht="15.75" customHeight="1">
      <c r="G1770" s="36"/>
      <c r="H1770" s="36"/>
      <c r="I1770" s="36"/>
      <c r="J1770" s="36"/>
      <c r="K1770" s="36"/>
    </row>
    <row r="1771" spans="7:11" ht="15.75" customHeight="1">
      <c r="G1771" s="36"/>
      <c r="H1771" s="36"/>
      <c r="I1771" s="36"/>
      <c r="J1771" s="36"/>
      <c r="K1771" s="36"/>
    </row>
    <row r="1772" spans="7:11" ht="15.75" customHeight="1">
      <c r="G1772" s="36"/>
      <c r="H1772" s="36"/>
      <c r="I1772" s="36"/>
      <c r="J1772" s="36"/>
      <c r="K1772" s="36"/>
    </row>
    <row r="1773" spans="7:11" ht="15.75" customHeight="1">
      <c r="G1773" s="36"/>
      <c r="H1773" s="36"/>
      <c r="I1773" s="36"/>
      <c r="J1773" s="36"/>
      <c r="K1773" s="36"/>
    </row>
    <row r="1774" spans="7:11" ht="15.75" customHeight="1">
      <c r="G1774" s="36"/>
      <c r="H1774" s="36"/>
      <c r="I1774" s="36"/>
      <c r="J1774" s="36"/>
      <c r="K1774" s="36"/>
    </row>
    <row r="1775" spans="7:11" ht="15.75" customHeight="1">
      <c r="G1775" s="36"/>
      <c r="H1775" s="36"/>
      <c r="I1775" s="36"/>
      <c r="J1775" s="36"/>
      <c r="K1775" s="36"/>
    </row>
    <row r="1776" spans="7:11" ht="15.75" customHeight="1">
      <c r="G1776" s="36"/>
      <c r="H1776" s="36"/>
      <c r="I1776" s="36"/>
      <c r="J1776" s="36"/>
      <c r="K1776" s="36"/>
    </row>
    <row r="1777" spans="7:11" ht="15.75" customHeight="1">
      <c r="G1777" s="36"/>
      <c r="H1777" s="36"/>
      <c r="I1777" s="36"/>
      <c r="J1777" s="36"/>
      <c r="K1777" s="36"/>
    </row>
    <row r="1778" spans="7:11" ht="15.75" customHeight="1">
      <c r="G1778" s="36"/>
      <c r="H1778" s="36"/>
      <c r="I1778" s="36"/>
      <c r="J1778" s="36"/>
      <c r="K1778" s="36"/>
    </row>
    <row r="1779" spans="7:11" ht="15.75" customHeight="1">
      <c r="G1779" s="36"/>
      <c r="H1779" s="36"/>
      <c r="I1779" s="36"/>
      <c r="J1779" s="36"/>
      <c r="K1779" s="36"/>
    </row>
    <row r="1780" spans="7:11" ht="15.75" customHeight="1">
      <c r="G1780" s="36"/>
      <c r="H1780" s="36"/>
      <c r="I1780" s="36"/>
      <c r="J1780" s="36"/>
      <c r="K1780" s="36"/>
    </row>
    <row r="1781" spans="7:11" ht="15.75" customHeight="1">
      <c r="G1781" s="36"/>
      <c r="H1781" s="36"/>
      <c r="I1781" s="36"/>
      <c r="J1781" s="36"/>
      <c r="K1781" s="36"/>
    </row>
    <row r="1782" spans="7:11" ht="15.75" customHeight="1">
      <c r="G1782" s="36"/>
      <c r="H1782" s="36"/>
      <c r="I1782" s="36"/>
      <c r="J1782" s="36"/>
      <c r="K1782" s="36"/>
    </row>
    <row r="1783" spans="7:11" ht="15.75" customHeight="1">
      <c r="G1783" s="36"/>
      <c r="H1783" s="36"/>
      <c r="I1783" s="36"/>
      <c r="J1783" s="36"/>
      <c r="K1783" s="36"/>
    </row>
    <row r="1784" spans="7:11" ht="15.75" customHeight="1">
      <c r="G1784" s="36"/>
      <c r="H1784" s="36"/>
      <c r="I1784" s="36"/>
      <c r="J1784" s="36"/>
      <c r="K1784" s="36"/>
    </row>
    <row r="1785" spans="7:11" ht="15.75" customHeight="1">
      <c r="G1785" s="36"/>
      <c r="H1785" s="36"/>
      <c r="I1785" s="36"/>
      <c r="J1785" s="36"/>
      <c r="K1785" s="36"/>
    </row>
    <row r="1786" spans="7:11" ht="15.75" customHeight="1">
      <c r="G1786" s="36"/>
      <c r="H1786" s="36"/>
      <c r="I1786" s="36"/>
      <c r="J1786" s="36"/>
      <c r="K1786" s="36"/>
    </row>
    <row r="1787" spans="7:11" ht="15.75" customHeight="1">
      <c r="G1787" s="36"/>
      <c r="H1787" s="36"/>
      <c r="I1787" s="36"/>
      <c r="J1787" s="36"/>
      <c r="K1787" s="36"/>
    </row>
    <row r="1788" spans="7:11" ht="15.75" customHeight="1">
      <c r="G1788" s="36"/>
      <c r="H1788" s="36"/>
      <c r="I1788" s="36"/>
      <c r="J1788" s="36"/>
      <c r="K1788" s="36"/>
    </row>
    <row r="1789" spans="7:11" ht="15.75" customHeight="1">
      <c r="G1789" s="36"/>
      <c r="H1789" s="36"/>
      <c r="I1789" s="36"/>
      <c r="J1789" s="36"/>
      <c r="K1789" s="36"/>
    </row>
    <row r="1790" spans="7:11" ht="15.75" customHeight="1">
      <c r="G1790" s="36"/>
      <c r="H1790" s="36"/>
      <c r="I1790" s="36"/>
      <c r="J1790" s="36"/>
      <c r="K1790" s="36"/>
    </row>
    <row r="1791" spans="7:11" ht="15.75" customHeight="1">
      <c r="G1791" s="36"/>
      <c r="H1791" s="36"/>
      <c r="I1791" s="36"/>
      <c r="J1791" s="36"/>
      <c r="K1791" s="36"/>
    </row>
    <row r="1792" spans="7:11" ht="15.75" customHeight="1">
      <c r="G1792" s="36"/>
      <c r="H1792" s="36"/>
      <c r="I1792" s="36"/>
      <c r="J1792" s="36"/>
      <c r="K1792" s="36"/>
    </row>
    <row r="1793" spans="7:11" ht="15.75" customHeight="1">
      <c r="G1793" s="36"/>
      <c r="H1793" s="36"/>
      <c r="I1793" s="36"/>
      <c r="J1793" s="36"/>
      <c r="K1793" s="36"/>
    </row>
    <row r="1794" spans="7:11" ht="15.75" customHeight="1">
      <c r="G1794" s="36"/>
      <c r="H1794" s="36"/>
      <c r="I1794" s="36"/>
      <c r="J1794" s="36"/>
      <c r="K1794" s="36"/>
    </row>
    <row r="1795" spans="7:11" ht="15.75" customHeight="1">
      <c r="G1795" s="36"/>
      <c r="H1795" s="36"/>
      <c r="I1795" s="36"/>
      <c r="J1795" s="36"/>
      <c r="K1795" s="36"/>
    </row>
    <row r="1796" spans="7:11" ht="15.75" customHeight="1">
      <c r="G1796" s="36"/>
      <c r="H1796" s="36"/>
      <c r="I1796" s="36"/>
      <c r="J1796" s="36"/>
      <c r="K1796" s="36"/>
    </row>
    <row r="1797" spans="7:11" ht="15.75" customHeight="1">
      <c r="G1797" s="36"/>
      <c r="H1797" s="36"/>
      <c r="I1797" s="36"/>
      <c r="J1797" s="36"/>
      <c r="K1797" s="36"/>
    </row>
    <row r="1798" spans="7:11" ht="15.75" customHeight="1">
      <c r="G1798" s="36"/>
      <c r="H1798" s="36"/>
      <c r="I1798" s="36"/>
      <c r="J1798" s="36"/>
      <c r="K1798" s="36"/>
    </row>
    <row r="1799" spans="7:11" ht="15.75" customHeight="1">
      <c r="G1799" s="36"/>
      <c r="H1799" s="36"/>
      <c r="I1799" s="36"/>
      <c r="J1799" s="36"/>
      <c r="K1799" s="36"/>
    </row>
    <row r="1800" spans="7:11" ht="15.75" customHeight="1">
      <c r="G1800" s="36"/>
      <c r="H1800" s="36"/>
      <c r="I1800" s="36"/>
      <c r="J1800" s="36"/>
      <c r="K1800" s="36"/>
    </row>
    <row r="1801" spans="7:11" ht="15.75" customHeight="1">
      <c r="G1801" s="36"/>
      <c r="H1801" s="36"/>
      <c r="I1801" s="36"/>
      <c r="J1801" s="36"/>
      <c r="K1801" s="36"/>
    </row>
    <row r="1802" spans="7:11" ht="15.75" customHeight="1">
      <c r="G1802" s="36"/>
      <c r="H1802" s="36"/>
      <c r="I1802" s="36"/>
      <c r="J1802" s="36"/>
      <c r="K1802" s="36"/>
    </row>
    <row r="1803" spans="7:11" ht="15.75" customHeight="1">
      <c r="G1803" s="36"/>
      <c r="H1803" s="36"/>
      <c r="I1803" s="36"/>
      <c r="J1803" s="36"/>
      <c r="K1803" s="36"/>
    </row>
    <row r="1804" spans="7:11" ht="15.75" customHeight="1">
      <c r="G1804" s="36"/>
      <c r="H1804" s="36"/>
      <c r="I1804" s="36"/>
      <c r="J1804" s="36"/>
      <c r="K1804" s="36"/>
    </row>
    <row r="1805" spans="7:11" ht="15.75" customHeight="1">
      <c r="G1805" s="36"/>
      <c r="H1805" s="36"/>
      <c r="I1805" s="36"/>
      <c r="J1805" s="36"/>
      <c r="K1805" s="36"/>
    </row>
    <row r="1806" spans="7:11" ht="15.75" customHeight="1">
      <c r="G1806" s="36"/>
      <c r="H1806" s="36"/>
      <c r="I1806" s="36"/>
      <c r="J1806" s="36"/>
      <c r="K1806" s="36"/>
    </row>
    <row r="1807" spans="7:11" ht="15.75" customHeight="1">
      <c r="G1807" s="36"/>
      <c r="H1807" s="36"/>
      <c r="I1807" s="36"/>
      <c r="J1807" s="36"/>
      <c r="K1807" s="36"/>
    </row>
    <row r="1808" spans="7:11" ht="15.75" customHeight="1">
      <c r="G1808" s="36"/>
      <c r="H1808" s="36"/>
      <c r="I1808" s="36"/>
      <c r="J1808" s="36"/>
      <c r="K1808" s="36"/>
    </row>
    <row r="1809" spans="7:11" ht="15.75" customHeight="1">
      <c r="G1809" s="36"/>
      <c r="H1809" s="36"/>
      <c r="I1809" s="36"/>
      <c r="J1809" s="36"/>
      <c r="K1809" s="36"/>
    </row>
    <row r="1810" spans="7:11" ht="15.75" customHeight="1">
      <c r="G1810" s="36"/>
      <c r="H1810" s="36"/>
      <c r="I1810" s="36"/>
      <c r="J1810" s="36"/>
      <c r="K1810" s="36"/>
    </row>
    <row r="1811" spans="7:11" ht="15.75" customHeight="1">
      <c r="G1811" s="36"/>
      <c r="H1811" s="36"/>
      <c r="I1811" s="36"/>
      <c r="J1811" s="36"/>
      <c r="K1811" s="36"/>
    </row>
    <row r="1812" spans="7:11" ht="15.75" customHeight="1">
      <c r="G1812" s="36"/>
      <c r="H1812" s="36"/>
      <c r="I1812" s="36"/>
      <c r="J1812" s="36"/>
      <c r="K1812" s="36"/>
    </row>
    <row r="1813" spans="7:11" ht="15.75" customHeight="1">
      <c r="G1813" s="36"/>
      <c r="H1813" s="36"/>
      <c r="I1813" s="36"/>
      <c r="J1813" s="36"/>
      <c r="K1813" s="36"/>
    </row>
    <row r="1814" spans="7:11" ht="15.75" customHeight="1">
      <c r="G1814" s="36"/>
      <c r="H1814" s="36"/>
      <c r="I1814" s="36"/>
      <c r="J1814" s="36"/>
      <c r="K1814" s="36"/>
    </row>
    <row r="1815" spans="7:11" ht="15.75" customHeight="1">
      <c r="G1815" s="36"/>
      <c r="H1815" s="36"/>
      <c r="I1815" s="36"/>
      <c r="J1815" s="36"/>
      <c r="K1815" s="36"/>
    </row>
    <row r="1816" spans="7:11" ht="15.75" customHeight="1">
      <c r="G1816" s="36"/>
      <c r="H1816" s="36"/>
      <c r="I1816" s="36"/>
      <c r="J1816" s="36"/>
      <c r="K1816" s="36"/>
    </row>
    <row r="1817" spans="7:11" ht="15.75" customHeight="1">
      <c r="G1817" s="36"/>
      <c r="H1817" s="36"/>
      <c r="I1817" s="36"/>
      <c r="J1817" s="36"/>
      <c r="K1817" s="36"/>
    </row>
    <row r="1818" spans="7:11" ht="15.75" customHeight="1">
      <c r="G1818" s="36"/>
      <c r="H1818" s="36"/>
      <c r="I1818" s="36"/>
      <c r="J1818" s="36"/>
      <c r="K1818" s="36"/>
    </row>
    <row r="1819" spans="7:11" ht="15.75" customHeight="1">
      <c r="G1819" s="36"/>
      <c r="H1819" s="36"/>
      <c r="I1819" s="36"/>
      <c r="J1819" s="36"/>
      <c r="K1819" s="36"/>
    </row>
    <row r="1820" spans="7:11" ht="15.75" customHeight="1">
      <c r="G1820" s="36"/>
      <c r="H1820" s="36"/>
      <c r="I1820" s="36"/>
      <c r="J1820" s="36"/>
      <c r="K1820" s="36"/>
    </row>
    <row r="1821" spans="7:11" ht="15.75" customHeight="1">
      <c r="G1821" s="36"/>
      <c r="H1821" s="36"/>
      <c r="I1821" s="36"/>
      <c r="J1821" s="36"/>
      <c r="K1821" s="36"/>
    </row>
    <row r="1822" spans="7:11" ht="15.75" customHeight="1">
      <c r="G1822" s="36"/>
      <c r="H1822" s="36"/>
      <c r="I1822" s="36"/>
      <c r="J1822" s="36"/>
      <c r="K1822" s="36"/>
    </row>
    <row r="1823" spans="7:11" ht="15.75" customHeight="1">
      <c r="G1823" s="36"/>
      <c r="H1823" s="36"/>
      <c r="I1823" s="36"/>
      <c r="J1823" s="36"/>
      <c r="K1823" s="36"/>
    </row>
    <row r="1824" spans="7:11" ht="15.75" customHeight="1">
      <c r="G1824" s="36"/>
      <c r="H1824" s="36"/>
      <c r="I1824" s="36"/>
      <c r="J1824" s="36"/>
      <c r="K1824" s="36"/>
    </row>
    <row r="1825" spans="7:11" ht="15.75" customHeight="1">
      <c r="G1825" s="36"/>
      <c r="H1825" s="36"/>
      <c r="I1825" s="36"/>
      <c r="J1825" s="36"/>
      <c r="K1825" s="36"/>
    </row>
    <row r="1826" spans="7:11" ht="15.75" customHeight="1">
      <c r="G1826" s="36"/>
      <c r="H1826" s="36"/>
      <c r="I1826" s="36"/>
      <c r="J1826" s="36"/>
      <c r="K1826" s="36"/>
    </row>
    <row r="1827" spans="7:11" ht="15.75" customHeight="1">
      <c r="G1827" s="36"/>
      <c r="H1827" s="36"/>
      <c r="I1827" s="36"/>
      <c r="J1827" s="36"/>
      <c r="K1827" s="36"/>
    </row>
    <row r="1828" spans="7:11" ht="15.75" customHeight="1">
      <c r="G1828" s="36"/>
      <c r="H1828" s="36"/>
      <c r="I1828" s="36"/>
      <c r="J1828" s="36"/>
      <c r="K1828" s="36"/>
    </row>
    <row r="1829" spans="7:11" ht="15.75" customHeight="1">
      <c r="G1829" s="36"/>
      <c r="H1829" s="36"/>
      <c r="I1829" s="36"/>
      <c r="J1829" s="36"/>
      <c r="K1829" s="36"/>
    </row>
    <row r="1830" spans="7:11" ht="15.75" customHeight="1">
      <c r="G1830" s="36"/>
      <c r="H1830" s="36"/>
      <c r="I1830" s="36"/>
      <c r="J1830" s="36"/>
      <c r="K1830" s="36"/>
    </row>
    <row r="1831" spans="7:11" ht="15.75" customHeight="1">
      <c r="G1831" s="36"/>
      <c r="H1831" s="36"/>
      <c r="I1831" s="36"/>
      <c r="J1831" s="36"/>
      <c r="K1831" s="36"/>
    </row>
    <row r="1832" spans="7:11" ht="15.75" customHeight="1">
      <c r="G1832" s="36"/>
      <c r="H1832" s="36"/>
      <c r="I1832" s="36"/>
      <c r="J1832" s="36"/>
      <c r="K1832" s="36"/>
    </row>
    <row r="1833" spans="7:11" ht="15.75" customHeight="1">
      <c r="G1833" s="36"/>
      <c r="H1833" s="36"/>
      <c r="I1833" s="36"/>
      <c r="J1833" s="36"/>
      <c r="K1833" s="36"/>
    </row>
    <row r="1834" spans="7:11" ht="15.75" customHeight="1">
      <c r="G1834" s="36"/>
      <c r="H1834" s="36"/>
      <c r="I1834" s="36"/>
      <c r="J1834" s="36"/>
      <c r="K1834" s="36"/>
    </row>
    <row r="1835" spans="7:11" ht="15.75" customHeight="1">
      <c r="G1835" s="36"/>
      <c r="H1835" s="36"/>
      <c r="I1835" s="36"/>
      <c r="J1835" s="36"/>
      <c r="K1835" s="36"/>
    </row>
    <row r="1836" spans="7:11" ht="15.75" customHeight="1">
      <c r="G1836" s="36"/>
      <c r="H1836" s="36"/>
      <c r="I1836" s="36"/>
      <c r="J1836" s="36"/>
      <c r="K1836" s="36"/>
    </row>
    <row r="1837" spans="7:11" ht="15.75" customHeight="1">
      <c r="G1837" s="36"/>
      <c r="H1837" s="36"/>
      <c r="I1837" s="36"/>
      <c r="J1837" s="36"/>
      <c r="K1837" s="36"/>
    </row>
    <row r="1838" spans="7:11" ht="15.75" customHeight="1">
      <c r="G1838" s="36"/>
      <c r="H1838" s="36"/>
      <c r="I1838" s="36"/>
      <c r="J1838" s="36"/>
      <c r="K1838" s="36"/>
    </row>
    <row r="1839" spans="7:11" ht="15.75" customHeight="1">
      <c r="G1839" s="36"/>
      <c r="H1839" s="36"/>
      <c r="I1839" s="36"/>
      <c r="J1839" s="36"/>
      <c r="K1839" s="36"/>
    </row>
    <row r="1840" spans="7:11" ht="15.75" customHeight="1">
      <c r="G1840" s="36"/>
      <c r="H1840" s="36"/>
      <c r="I1840" s="36"/>
      <c r="J1840" s="36"/>
      <c r="K1840" s="36"/>
    </row>
    <row r="1841" spans="7:11" ht="15.75" customHeight="1">
      <c r="G1841" s="36"/>
      <c r="H1841" s="36"/>
      <c r="I1841" s="36"/>
      <c r="J1841" s="36"/>
      <c r="K1841" s="36"/>
    </row>
    <row r="1842" spans="7:11" ht="15.75" customHeight="1">
      <c r="G1842" s="36"/>
      <c r="H1842" s="36"/>
      <c r="I1842" s="36"/>
      <c r="J1842" s="36"/>
      <c r="K1842" s="36"/>
    </row>
    <row r="1843" spans="7:11" ht="15.75" customHeight="1">
      <c r="G1843" s="36"/>
      <c r="H1843" s="36"/>
      <c r="I1843" s="36"/>
      <c r="J1843" s="36"/>
      <c r="K1843" s="36"/>
    </row>
    <row r="1844" spans="7:11" ht="15.75" customHeight="1">
      <c r="G1844" s="36"/>
      <c r="H1844" s="36"/>
      <c r="I1844" s="36"/>
      <c r="J1844" s="36"/>
      <c r="K1844" s="36"/>
    </row>
    <row r="1845" spans="7:11" ht="15.75" customHeight="1">
      <c r="G1845" s="36"/>
      <c r="H1845" s="36"/>
      <c r="I1845" s="36"/>
      <c r="J1845" s="36"/>
      <c r="K1845" s="36"/>
    </row>
    <row r="1846" spans="7:11" ht="15.75" customHeight="1">
      <c r="G1846" s="36"/>
      <c r="H1846" s="36"/>
      <c r="I1846" s="36"/>
      <c r="J1846" s="36"/>
      <c r="K1846" s="36"/>
    </row>
    <row r="1847" spans="7:11" ht="15.75" customHeight="1">
      <c r="G1847" s="36"/>
      <c r="H1847" s="36"/>
      <c r="I1847" s="36"/>
      <c r="J1847" s="36"/>
      <c r="K1847" s="36"/>
    </row>
    <row r="1848" spans="7:11" ht="15.75" customHeight="1">
      <c r="G1848" s="36"/>
      <c r="H1848" s="36"/>
      <c r="I1848" s="36"/>
      <c r="J1848" s="36"/>
      <c r="K1848" s="36"/>
    </row>
    <row r="1849" spans="7:11" ht="15.75" customHeight="1">
      <c r="G1849" s="36"/>
      <c r="H1849" s="36"/>
      <c r="I1849" s="36"/>
      <c r="J1849" s="36"/>
      <c r="K1849" s="36"/>
    </row>
    <row r="1850" spans="7:11" ht="15.75" customHeight="1">
      <c r="G1850" s="36"/>
      <c r="H1850" s="36"/>
      <c r="I1850" s="36"/>
      <c r="J1850" s="36"/>
      <c r="K1850" s="36"/>
    </row>
    <row r="1851" spans="7:11" ht="15.75" customHeight="1">
      <c r="G1851" s="36"/>
      <c r="H1851" s="36"/>
      <c r="I1851" s="36"/>
      <c r="J1851" s="36"/>
      <c r="K1851" s="36"/>
    </row>
    <row r="1852" spans="7:11" ht="15.75" customHeight="1">
      <c r="G1852" s="36"/>
      <c r="H1852" s="36"/>
      <c r="I1852" s="36"/>
      <c r="J1852" s="36"/>
      <c r="K1852" s="36"/>
    </row>
    <row r="1853" spans="7:11" ht="15.75" customHeight="1">
      <c r="G1853" s="36"/>
      <c r="H1853" s="36"/>
      <c r="I1853" s="36"/>
      <c r="J1853" s="36"/>
      <c r="K1853" s="36"/>
    </row>
    <row r="1854" spans="7:11" ht="15.75" customHeight="1">
      <c r="G1854" s="36"/>
      <c r="H1854" s="36"/>
      <c r="I1854" s="36"/>
      <c r="J1854" s="36"/>
      <c r="K1854" s="36"/>
    </row>
    <row r="1855" spans="7:11" ht="15.75" customHeight="1">
      <c r="G1855" s="36"/>
      <c r="H1855" s="36"/>
      <c r="I1855" s="36"/>
      <c r="J1855" s="36"/>
      <c r="K1855" s="36"/>
    </row>
    <row r="1856" spans="7:11" ht="15.75" customHeight="1">
      <c r="G1856" s="36"/>
      <c r="H1856" s="36"/>
      <c r="I1856" s="36"/>
      <c r="J1856" s="36"/>
      <c r="K1856" s="36"/>
    </row>
    <row r="1857" spans="7:11" ht="15.75" customHeight="1">
      <c r="G1857" s="36"/>
      <c r="H1857" s="36"/>
      <c r="I1857" s="36"/>
      <c r="J1857" s="36"/>
      <c r="K1857" s="36"/>
    </row>
    <row r="1858" spans="7:11" ht="15.75" customHeight="1">
      <c r="G1858" s="36"/>
      <c r="H1858" s="36"/>
      <c r="I1858" s="36"/>
      <c r="J1858" s="36"/>
      <c r="K1858" s="36"/>
    </row>
    <row r="1859" spans="7:11" ht="15.75" customHeight="1">
      <c r="G1859" s="36"/>
      <c r="H1859" s="36"/>
      <c r="I1859" s="36"/>
      <c r="J1859" s="36"/>
      <c r="K1859" s="36"/>
    </row>
    <row r="1860" spans="7:11" ht="15.75" customHeight="1">
      <c r="G1860" s="36"/>
      <c r="H1860" s="36"/>
      <c r="I1860" s="36"/>
      <c r="J1860" s="36"/>
      <c r="K1860" s="36"/>
    </row>
    <row r="1861" spans="7:11" ht="15.75" customHeight="1">
      <c r="G1861" s="36"/>
      <c r="H1861" s="36"/>
      <c r="I1861" s="36"/>
      <c r="J1861" s="36"/>
      <c r="K1861" s="36"/>
    </row>
    <row r="1862" spans="7:11" ht="15.75" customHeight="1">
      <c r="G1862" s="36"/>
      <c r="H1862" s="36"/>
      <c r="I1862" s="36"/>
      <c r="J1862" s="36"/>
      <c r="K1862" s="36"/>
    </row>
    <row r="1863" spans="7:11" ht="15.75" customHeight="1">
      <c r="G1863" s="36"/>
      <c r="H1863" s="36"/>
      <c r="I1863" s="36"/>
      <c r="J1863" s="36"/>
      <c r="K1863" s="36"/>
    </row>
    <row r="1864" spans="7:11" ht="15.75" customHeight="1">
      <c r="G1864" s="36"/>
      <c r="H1864" s="36"/>
      <c r="I1864" s="36"/>
      <c r="J1864" s="36"/>
      <c r="K1864" s="36"/>
    </row>
    <row r="1865" spans="7:11" ht="15.75" customHeight="1">
      <c r="G1865" s="36"/>
      <c r="H1865" s="36"/>
      <c r="I1865" s="36"/>
      <c r="J1865" s="36"/>
      <c r="K1865" s="36"/>
    </row>
    <row r="1866" spans="7:11" ht="15.75" customHeight="1">
      <c r="G1866" s="36"/>
      <c r="H1866" s="36"/>
      <c r="I1866" s="36"/>
      <c r="J1866" s="36"/>
      <c r="K1866" s="36"/>
    </row>
    <row r="1867" spans="7:11" ht="15.75" customHeight="1">
      <c r="G1867" s="36"/>
      <c r="H1867" s="36"/>
      <c r="I1867" s="36"/>
      <c r="J1867" s="36"/>
      <c r="K1867" s="36"/>
    </row>
    <row r="1868" spans="7:11" ht="15.75" customHeight="1">
      <c r="G1868" s="36"/>
      <c r="H1868" s="36"/>
      <c r="I1868" s="36"/>
      <c r="J1868" s="36"/>
      <c r="K1868" s="36"/>
    </row>
    <row r="1869" spans="7:11" ht="15.75" customHeight="1">
      <c r="G1869" s="36"/>
      <c r="H1869" s="36"/>
      <c r="I1869" s="36"/>
      <c r="J1869" s="36"/>
      <c r="K1869" s="36"/>
    </row>
    <row r="1870" spans="7:11" ht="15.75" customHeight="1">
      <c r="G1870" s="36"/>
      <c r="H1870" s="36"/>
      <c r="I1870" s="36"/>
      <c r="J1870" s="36"/>
      <c r="K1870" s="36"/>
    </row>
    <row r="1871" spans="7:11" ht="15.75" customHeight="1">
      <c r="G1871" s="36"/>
      <c r="H1871" s="36"/>
      <c r="I1871" s="36"/>
      <c r="J1871" s="36"/>
      <c r="K1871" s="36"/>
    </row>
    <row r="1872" spans="7:11" ht="15.75" customHeight="1">
      <c r="G1872" s="36"/>
      <c r="H1872" s="36"/>
      <c r="I1872" s="36"/>
      <c r="J1872" s="36"/>
      <c r="K1872" s="36"/>
    </row>
    <row r="1873" spans="7:11" ht="15.75" customHeight="1">
      <c r="G1873" s="36"/>
      <c r="H1873" s="36"/>
      <c r="I1873" s="36"/>
      <c r="J1873" s="36"/>
      <c r="K1873" s="36"/>
    </row>
    <row r="1874" spans="7:11" ht="15.75" customHeight="1">
      <c r="G1874" s="36"/>
      <c r="H1874" s="36"/>
      <c r="I1874" s="36"/>
      <c r="J1874" s="36"/>
      <c r="K1874" s="36"/>
    </row>
    <row r="1875" spans="7:11" ht="15.75" customHeight="1">
      <c r="G1875" s="36"/>
      <c r="H1875" s="36"/>
      <c r="I1875" s="36"/>
      <c r="J1875" s="36"/>
      <c r="K1875" s="36"/>
    </row>
    <row r="1876" spans="7:11" ht="15.75" customHeight="1">
      <c r="G1876" s="36"/>
      <c r="H1876" s="36"/>
      <c r="I1876" s="36"/>
      <c r="J1876" s="36"/>
      <c r="K1876" s="36"/>
    </row>
    <row r="1877" spans="7:11" ht="15.75" customHeight="1">
      <c r="G1877" s="36"/>
      <c r="H1877" s="36"/>
      <c r="I1877" s="36"/>
      <c r="J1877" s="36"/>
      <c r="K1877" s="36"/>
    </row>
    <row r="1878" spans="7:11" ht="15.75" customHeight="1">
      <c r="G1878" s="36"/>
      <c r="H1878" s="36"/>
      <c r="I1878" s="36"/>
      <c r="J1878" s="36"/>
      <c r="K1878" s="36"/>
    </row>
    <row r="1879" spans="7:11" ht="15.75" customHeight="1">
      <c r="G1879" s="36"/>
      <c r="H1879" s="36"/>
      <c r="I1879" s="36"/>
      <c r="J1879" s="36"/>
      <c r="K1879" s="36"/>
    </row>
    <row r="1880" spans="7:11" ht="15.75" customHeight="1">
      <c r="G1880" s="36"/>
      <c r="H1880" s="36"/>
      <c r="I1880" s="36"/>
      <c r="J1880" s="36"/>
      <c r="K1880" s="36"/>
    </row>
    <row r="1881" spans="7:11" ht="15.75" customHeight="1">
      <c r="G1881" s="36"/>
      <c r="H1881" s="36"/>
      <c r="I1881" s="36"/>
      <c r="J1881" s="36"/>
      <c r="K1881" s="36"/>
    </row>
    <row r="1882" spans="7:11" ht="15.75" customHeight="1">
      <c r="G1882" s="36"/>
      <c r="H1882" s="36"/>
      <c r="I1882" s="36"/>
      <c r="J1882" s="36"/>
      <c r="K1882" s="36"/>
    </row>
    <row r="1883" spans="7:11" ht="15.75" customHeight="1">
      <c r="G1883" s="36"/>
      <c r="H1883" s="36"/>
      <c r="I1883" s="36"/>
      <c r="J1883" s="36"/>
      <c r="K1883" s="36"/>
    </row>
    <row r="1884" spans="7:11" ht="15.75" customHeight="1">
      <c r="G1884" s="36"/>
      <c r="H1884" s="36"/>
      <c r="I1884" s="36"/>
      <c r="J1884" s="36"/>
      <c r="K1884" s="36"/>
    </row>
    <row r="1885" spans="7:11" ht="15.75" customHeight="1">
      <c r="G1885" s="36"/>
      <c r="H1885" s="36"/>
      <c r="I1885" s="36"/>
      <c r="J1885" s="36"/>
      <c r="K1885" s="36"/>
    </row>
    <row r="1886" spans="7:11" ht="15.75" customHeight="1">
      <c r="G1886" s="36"/>
      <c r="H1886" s="36"/>
      <c r="I1886" s="36"/>
      <c r="J1886" s="36"/>
      <c r="K1886" s="36"/>
    </row>
    <row r="1887" spans="7:11" ht="15.75" customHeight="1">
      <c r="G1887" s="36"/>
      <c r="H1887" s="36"/>
      <c r="I1887" s="36"/>
      <c r="J1887" s="36"/>
      <c r="K1887" s="36"/>
    </row>
    <row r="1888" spans="7:11" ht="15.75" customHeight="1">
      <c r="G1888" s="36"/>
      <c r="H1888" s="36"/>
      <c r="I1888" s="36"/>
      <c r="J1888" s="36"/>
      <c r="K1888" s="36"/>
    </row>
    <row r="1889" spans="7:11" ht="15.75" customHeight="1">
      <c r="G1889" s="36"/>
      <c r="H1889" s="36"/>
      <c r="I1889" s="36"/>
      <c r="J1889" s="36"/>
      <c r="K1889" s="36"/>
    </row>
    <row r="1890" spans="7:11" ht="15.75" customHeight="1">
      <c r="G1890" s="36"/>
      <c r="H1890" s="36"/>
      <c r="I1890" s="36"/>
      <c r="J1890" s="36"/>
      <c r="K1890" s="36"/>
    </row>
    <row r="1891" spans="7:11" ht="15.75" customHeight="1">
      <c r="G1891" s="36"/>
      <c r="H1891" s="36"/>
      <c r="I1891" s="36"/>
      <c r="J1891" s="36"/>
      <c r="K1891" s="36"/>
    </row>
    <row r="1892" spans="7:11" ht="15.75" customHeight="1">
      <c r="G1892" s="36"/>
      <c r="H1892" s="36"/>
      <c r="I1892" s="36"/>
      <c r="J1892" s="36"/>
      <c r="K1892" s="36"/>
    </row>
    <row r="1893" spans="7:11" ht="15.75" customHeight="1">
      <c r="G1893" s="36"/>
      <c r="H1893" s="36"/>
      <c r="I1893" s="36"/>
      <c r="J1893" s="36"/>
      <c r="K1893" s="36"/>
    </row>
    <row r="1894" spans="7:11" ht="15.75" customHeight="1">
      <c r="G1894" s="36"/>
      <c r="H1894" s="36"/>
      <c r="I1894" s="36"/>
      <c r="J1894" s="36"/>
      <c r="K1894" s="36"/>
    </row>
    <row r="1895" spans="7:11" ht="15.75" customHeight="1">
      <c r="G1895" s="36"/>
      <c r="H1895" s="36"/>
      <c r="I1895" s="36"/>
      <c r="J1895" s="36"/>
      <c r="K1895" s="36"/>
    </row>
    <row r="1896" spans="7:11" ht="15.75" customHeight="1">
      <c r="G1896" s="36"/>
      <c r="H1896" s="36"/>
      <c r="I1896" s="36"/>
      <c r="J1896" s="36"/>
      <c r="K1896" s="36"/>
    </row>
    <row r="1897" spans="7:11" ht="15.75" customHeight="1">
      <c r="G1897" s="36"/>
      <c r="H1897" s="36"/>
      <c r="I1897" s="36"/>
      <c r="J1897" s="36"/>
      <c r="K1897" s="36"/>
    </row>
    <row r="1898" spans="7:11" ht="15.75" customHeight="1">
      <c r="G1898" s="36"/>
      <c r="H1898" s="36"/>
      <c r="I1898" s="36"/>
      <c r="J1898" s="36"/>
      <c r="K1898" s="36"/>
    </row>
    <row r="1899" spans="7:11" ht="15.75" customHeight="1">
      <c r="G1899" s="36"/>
      <c r="H1899" s="36"/>
      <c r="I1899" s="36"/>
      <c r="J1899" s="36"/>
      <c r="K1899" s="36"/>
    </row>
    <row r="1900" spans="7:11" ht="15.75" customHeight="1">
      <c r="G1900" s="36"/>
      <c r="H1900" s="36"/>
      <c r="I1900" s="36"/>
      <c r="J1900" s="36"/>
      <c r="K1900" s="36"/>
    </row>
    <row r="1901" spans="7:11" ht="15.75" customHeight="1">
      <c r="G1901" s="36"/>
      <c r="H1901" s="36"/>
      <c r="I1901" s="36"/>
      <c r="J1901" s="36"/>
      <c r="K1901" s="36"/>
    </row>
    <row r="1902" spans="7:11" ht="15.75" customHeight="1">
      <c r="G1902" s="36"/>
      <c r="H1902" s="36"/>
      <c r="I1902" s="36"/>
      <c r="J1902" s="36"/>
      <c r="K1902" s="36"/>
    </row>
    <row r="1903" spans="7:11" ht="15.75" customHeight="1">
      <c r="G1903" s="36"/>
      <c r="H1903" s="36"/>
      <c r="I1903" s="36"/>
      <c r="J1903" s="36"/>
      <c r="K1903" s="36"/>
    </row>
    <row r="1904" spans="7:11" ht="15.75" customHeight="1">
      <c r="G1904" s="36"/>
      <c r="H1904" s="36"/>
      <c r="I1904" s="36"/>
      <c r="J1904" s="36"/>
      <c r="K1904" s="36"/>
    </row>
    <row r="1905" spans="7:11" ht="15.75" customHeight="1">
      <c r="G1905" s="36"/>
      <c r="H1905" s="36"/>
      <c r="I1905" s="36"/>
      <c r="J1905" s="36"/>
      <c r="K1905" s="36"/>
    </row>
    <row r="1906" spans="7:11" ht="15.75" customHeight="1">
      <c r="G1906" s="36"/>
      <c r="H1906" s="36"/>
      <c r="I1906" s="36"/>
      <c r="J1906" s="36"/>
      <c r="K1906" s="36"/>
    </row>
    <row r="1907" spans="7:11" ht="15.75" customHeight="1">
      <c r="G1907" s="36"/>
      <c r="H1907" s="36"/>
      <c r="I1907" s="36"/>
      <c r="J1907" s="36"/>
      <c r="K1907" s="36"/>
    </row>
    <row r="1908" spans="7:11" ht="15.75" customHeight="1">
      <c r="G1908" s="36"/>
      <c r="H1908" s="36"/>
      <c r="I1908" s="36"/>
      <c r="J1908" s="36"/>
      <c r="K1908" s="36"/>
    </row>
    <row r="1909" spans="7:11" ht="15.75" customHeight="1">
      <c r="G1909" s="36"/>
      <c r="H1909" s="36"/>
      <c r="I1909" s="36"/>
      <c r="J1909" s="36"/>
      <c r="K1909" s="36"/>
    </row>
    <row r="1910" spans="7:11" ht="15.75" customHeight="1">
      <c r="G1910" s="36"/>
      <c r="H1910" s="36"/>
      <c r="I1910" s="36"/>
      <c r="J1910" s="36"/>
      <c r="K1910" s="36"/>
    </row>
    <row r="1911" spans="7:11" ht="15.75" customHeight="1">
      <c r="G1911" s="36"/>
      <c r="H1911" s="36"/>
      <c r="I1911" s="36"/>
      <c r="J1911" s="36"/>
      <c r="K1911" s="36"/>
    </row>
    <row r="1912" spans="7:11" ht="15.75" customHeight="1">
      <c r="G1912" s="36"/>
      <c r="H1912" s="36"/>
      <c r="I1912" s="36"/>
      <c r="J1912" s="36"/>
      <c r="K1912" s="36"/>
    </row>
    <row r="1913" spans="7:11" ht="15.75" customHeight="1">
      <c r="G1913" s="36"/>
      <c r="H1913" s="36"/>
      <c r="I1913" s="36"/>
      <c r="J1913" s="36"/>
      <c r="K1913" s="36"/>
    </row>
    <row r="1914" spans="7:11" ht="15.75" customHeight="1">
      <c r="G1914" s="36"/>
      <c r="H1914" s="36"/>
      <c r="I1914" s="36"/>
      <c r="J1914" s="36"/>
      <c r="K1914" s="36"/>
    </row>
    <row r="1915" spans="7:11" ht="15.75" customHeight="1">
      <c r="G1915" s="36"/>
      <c r="H1915" s="36"/>
      <c r="I1915" s="36"/>
      <c r="J1915" s="36"/>
      <c r="K1915" s="36"/>
    </row>
    <row r="1916" spans="7:11" ht="15.75" customHeight="1">
      <c r="G1916" s="36"/>
      <c r="H1916" s="36"/>
      <c r="I1916" s="36"/>
      <c r="J1916" s="36"/>
      <c r="K1916" s="36"/>
    </row>
    <row r="1917" spans="7:11" ht="15.75" customHeight="1">
      <c r="G1917" s="36"/>
      <c r="H1917" s="36"/>
      <c r="I1917" s="36"/>
      <c r="J1917" s="36"/>
      <c r="K1917" s="36"/>
    </row>
    <row r="1918" spans="7:11" ht="15.75" customHeight="1">
      <c r="G1918" s="36"/>
      <c r="H1918" s="36"/>
      <c r="I1918" s="36"/>
      <c r="J1918" s="36"/>
      <c r="K1918" s="36"/>
    </row>
    <row r="1919" spans="7:11" ht="15.75" customHeight="1">
      <c r="G1919" s="36"/>
      <c r="H1919" s="36"/>
      <c r="I1919" s="36"/>
      <c r="J1919" s="36"/>
      <c r="K1919" s="36"/>
    </row>
    <row r="1920" spans="7:11" ht="15.75" customHeight="1">
      <c r="G1920" s="36"/>
      <c r="H1920" s="36"/>
      <c r="I1920" s="36"/>
      <c r="J1920" s="36"/>
      <c r="K1920" s="36"/>
    </row>
    <row r="1921" spans="7:11" ht="15.75" customHeight="1">
      <c r="G1921" s="36"/>
      <c r="H1921" s="36"/>
      <c r="I1921" s="36"/>
      <c r="J1921" s="36"/>
      <c r="K1921" s="36"/>
    </row>
    <row r="1922" spans="7:11" ht="15.75" customHeight="1">
      <c r="G1922" s="36"/>
      <c r="H1922" s="36"/>
      <c r="I1922" s="36"/>
      <c r="J1922" s="36"/>
      <c r="K1922" s="36"/>
    </row>
    <row r="1923" spans="7:11" ht="15.75" customHeight="1">
      <c r="G1923" s="36"/>
      <c r="H1923" s="36"/>
      <c r="I1923" s="36"/>
      <c r="J1923" s="36"/>
      <c r="K1923" s="36"/>
    </row>
    <row r="1924" spans="7:11" ht="15.75" customHeight="1">
      <c r="G1924" s="36"/>
      <c r="H1924" s="36"/>
      <c r="I1924" s="36"/>
      <c r="J1924" s="36"/>
      <c r="K1924" s="36"/>
    </row>
    <row r="1925" spans="7:11" ht="15.75" customHeight="1">
      <c r="G1925" s="36"/>
      <c r="H1925" s="36"/>
      <c r="I1925" s="36"/>
      <c r="J1925" s="36"/>
      <c r="K1925" s="36"/>
    </row>
    <row r="1926" spans="7:11" ht="15.75" customHeight="1">
      <c r="G1926" s="36"/>
      <c r="H1926" s="36"/>
      <c r="I1926" s="36"/>
      <c r="J1926" s="36"/>
      <c r="K1926" s="36"/>
    </row>
    <row r="1927" spans="7:11" ht="15.75" customHeight="1">
      <c r="G1927" s="36"/>
      <c r="H1927" s="36"/>
      <c r="I1927" s="36"/>
      <c r="J1927" s="36"/>
      <c r="K1927" s="36"/>
    </row>
    <row r="1928" spans="7:11" ht="15.75" customHeight="1">
      <c r="G1928" s="36"/>
      <c r="H1928" s="36"/>
      <c r="I1928" s="36"/>
      <c r="J1928" s="36"/>
      <c r="K1928" s="36"/>
    </row>
    <row r="1929" spans="7:11" ht="15.75" customHeight="1">
      <c r="G1929" s="36"/>
      <c r="H1929" s="36"/>
      <c r="I1929" s="36"/>
      <c r="J1929" s="36"/>
      <c r="K1929" s="36"/>
    </row>
    <row r="1930" spans="7:11" ht="15.75" customHeight="1">
      <c r="G1930" s="36"/>
      <c r="H1930" s="36"/>
      <c r="I1930" s="36"/>
      <c r="J1930" s="36"/>
      <c r="K1930" s="36"/>
    </row>
    <row r="1931" spans="7:11" ht="15.75" customHeight="1">
      <c r="G1931" s="36"/>
      <c r="H1931" s="36"/>
      <c r="I1931" s="36"/>
      <c r="J1931" s="36"/>
      <c r="K1931" s="36"/>
    </row>
    <row r="1932" spans="7:11" ht="15.75" customHeight="1">
      <c r="G1932" s="36"/>
      <c r="H1932" s="36"/>
      <c r="I1932" s="36"/>
      <c r="J1932" s="36"/>
      <c r="K1932" s="36"/>
    </row>
    <row r="1933" spans="7:11" ht="15.75" customHeight="1">
      <c r="G1933" s="36"/>
      <c r="H1933" s="36"/>
      <c r="I1933" s="36"/>
      <c r="J1933" s="36"/>
      <c r="K1933" s="36"/>
    </row>
    <row r="1934" spans="7:11" ht="15.75" customHeight="1">
      <c r="G1934" s="36"/>
      <c r="H1934" s="36"/>
      <c r="I1934" s="36"/>
      <c r="J1934" s="36"/>
      <c r="K1934" s="36"/>
    </row>
    <row r="1935" spans="7:11" ht="15.75" customHeight="1">
      <c r="G1935" s="36"/>
      <c r="H1935" s="36"/>
      <c r="I1935" s="36"/>
      <c r="J1935" s="36"/>
      <c r="K1935" s="36"/>
    </row>
    <row r="1936" spans="7:11" ht="15.75" customHeight="1">
      <c r="G1936" s="36"/>
      <c r="H1936" s="36"/>
      <c r="I1936" s="36"/>
      <c r="J1936" s="36"/>
      <c r="K1936" s="36"/>
    </row>
    <row r="1937" spans="7:11" ht="15.75" customHeight="1">
      <c r="G1937" s="36"/>
      <c r="H1937" s="36"/>
      <c r="I1937" s="36"/>
      <c r="J1937" s="36"/>
      <c r="K1937" s="36"/>
    </row>
    <row r="1938" spans="7:11" ht="15.75" customHeight="1">
      <c r="G1938" s="36"/>
      <c r="H1938" s="36"/>
      <c r="I1938" s="36"/>
      <c r="J1938" s="36"/>
      <c r="K1938" s="36"/>
    </row>
    <row r="1939" spans="7:11" ht="15.75" customHeight="1">
      <c r="G1939" s="36"/>
      <c r="H1939" s="36"/>
      <c r="I1939" s="36"/>
      <c r="J1939" s="36"/>
      <c r="K1939" s="36"/>
    </row>
    <row r="1940" spans="7:11" ht="15.75" customHeight="1">
      <c r="G1940" s="36"/>
      <c r="H1940" s="36"/>
      <c r="I1940" s="36"/>
      <c r="J1940" s="36"/>
      <c r="K1940" s="36"/>
    </row>
    <row r="1941" spans="7:11" ht="15.75" customHeight="1">
      <c r="G1941" s="36"/>
      <c r="H1941" s="36"/>
      <c r="I1941" s="36"/>
      <c r="J1941" s="36"/>
      <c r="K1941" s="36"/>
    </row>
    <row r="1942" spans="7:11" ht="15.75" customHeight="1">
      <c r="G1942" s="36"/>
      <c r="H1942" s="36"/>
      <c r="I1942" s="36"/>
      <c r="J1942" s="36"/>
      <c r="K1942" s="36"/>
    </row>
    <row r="1943" spans="7:11" ht="15.75" customHeight="1">
      <c r="G1943" s="36"/>
      <c r="H1943" s="36"/>
      <c r="I1943" s="36"/>
      <c r="J1943" s="36"/>
      <c r="K1943" s="36"/>
    </row>
    <row r="1944" spans="7:11" ht="15.75" customHeight="1">
      <c r="G1944" s="36"/>
      <c r="H1944" s="36"/>
      <c r="I1944" s="36"/>
      <c r="J1944" s="36"/>
      <c r="K1944" s="36"/>
    </row>
    <row r="1945" spans="7:11" ht="15.75" customHeight="1">
      <c r="G1945" s="36"/>
      <c r="H1945" s="36"/>
      <c r="I1945" s="36"/>
      <c r="J1945" s="36"/>
      <c r="K1945" s="36"/>
    </row>
    <row r="1946" spans="7:11" ht="15.75" customHeight="1">
      <c r="G1946" s="36"/>
      <c r="H1946" s="36"/>
      <c r="I1946" s="36"/>
      <c r="J1946" s="36"/>
      <c r="K1946" s="36"/>
    </row>
    <row r="1947" spans="7:11" ht="15.75" customHeight="1">
      <c r="G1947" s="36"/>
      <c r="H1947" s="36"/>
      <c r="I1947" s="36"/>
      <c r="J1947" s="36"/>
      <c r="K1947" s="36"/>
    </row>
    <row r="1948" spans="7:11" ht="15.75" customHeight="1">
      <c r="G1948" s="36"/>
      <c r="H1948" s="36"/>
      <c r="I1948" s="36"/>
      <c r="J1948" s="36"/>
      <c r="K1948" s="36"/>
    </row>
    <row r="1949" spans="7:11" ht="15.75" customHeight="1">
      <c r="G1949" s="36"/>
      <c r="H1949" s="36"/>
      <c r="I1949" s="36"/>
      <c r="J1949" s="36"/>
      <c r="K1949" s="36"/>
    </row>
    <row r="1950" spans="7:11" ht="15.75" customHeight="1">
      <c r="G1950" s="36"/>
      <c r="H1950" s="36"/>
      <c r="I1950" s="36"/>
      <c r="J1950" s="36"/>
      <c r="K1950" s="36"/>
    </row>
    <row r="1951" spans="7:11" ht="15.75" customHeight="1">
      <c r="G1951" s="36"/>
      <c r="H1951" s="36"/>
      <c r="I1951" s="36"/>
      <c r="J1951" s="36"/>
      <c r="K1951" s="36"/>
    </row>
    <row r="1952" spans="7:11" ht="15.75" customHeight="1">
      <c r="G1952" s="36"/>
      <c r="H1952" s="36"/>
      <c r="I1952" s="36"/>
      <c r="J1952" s="36"/>
      <c r="K1952" s="36"/>
    </row>
    <row r="1953" spans="7:11" ht="15.75" customHeight="1">
      <c r="G1953" s="36"/>
      <c r="H1953" s="36"/>
      <c r="I1953" s="36"/>
      <c r="J1953" s="36"/>
      <c r="K1953" s="36"/>
    </row>
    <row r="1954" spans="7:11" ht="15.75" customHeight="1">
      <c r="G1954" s="36"/>
      <c r="H1954" s="36"/>
      <c r="I1954" s="36"/>
      <c r="J1954" s="36"/>
      <c r="K1954" s="36"/>
    </row>
    <row r="1955" spans="7:11" ht="15.75" customHeight="1">
      <c r="G1955" s="36"/>
      <c r="H1955" s="36"/>
      <c r="I1955" s="36"/>
      <c r="J1955" s="36"/>
      <c r="K1955" s="36"/>
    </row>
    <row r="1956" spans="7:11" ht="15.75" customHeight="1">
      <c r="G1956" s="36"/>
      <c r="H1956" s="36"/>
      <c r="I1956" s="36"/>
      <c r="J1956" s="36"/>
      <c r="K1956" s="36"/>
    </row>
    <row r="1957" spans="7:11" ht="15.75" customHeight="1">
      <c r="G1957" s="36"/>
      <c r="H1957" s="36"/>
      <c r="I1957" s="36"/>
      <c r="J1957" s="36"/>
      <c r="K1957" s="36"/>
    </row>
    <row r="1958" spans="7:11" ht="15.75" customHeight="1">
      <c r="G1958" s="36"/>
      <c r="H1958" s="36"/>
      <c r="I1958" s="36"/>
      <c r="J1958" s="36"/>
      <c r="K1958" s="36"/>
    </row>
    <row r="1959" spans="7:11" ht="15.75" customHeight="1">
      <c r="G1959" s="36"/>
      <c r="H1959" s="36"/>
      <c r="I1959" s="36"/>
      <c r="J1959" s="36"/>
      <c r="K1959" s="36"/>
    </row>
    <row r="1960" spans="7:11" ht="15.75" customHeight="1">
      <c r="G1960" s="36"/>
      <c r="H1960" s="36"/>
      <c r="I1960" s="36"/>
      <c r="J1960" s="36"/>
      <c r="K1960" s="36"/>
    </row>
    <row r="1961" spans="7:11" ht="15.75" customHeight="1">
      <c r="G1961" s="36"/>
      <c r="H1961" s="36"/>
      <c r="I1961" s="36"/>
      <c r="J1961" s="36"/>
      <c r="K1961" s="36"/>
    </row>
    <row r="1962" spans="7:11" ht="15.75" customHeight="1">
      <c r="G1962" s="36"/>
      <c r="H1962" s="36"/>
      <c r="I1962" s="36"/>
      <c r="J1962" s="36"/>
      <c r="K1962" s="36"/>
    </row>
    <row r="1963" spans="7:11" ht="15.75" customHeight="1">
      <c r="G1963" s="36"/>
      <c r="H1963" s="36"/>
      <c r="I1963" s="36"/>
      <c r="J1963" s="36"/>
      <c r="K1963" s="36"/>
    </row>
    <row r="1964" spans="7:11" ht="15.75" customHeight="1">
      <c r="G1964" s="36"/>
      <c r="H1964" s="36"/>
      <c r="I1964" s="36"/>
      <c r="J1964" s="36"/>
      <c r="K1964" s="36"/>
    </row>
    <row r="1965" spans="7:11" ht="15.75" customHeight="1">
      <c r="G1965" s="36"/>
      <c r="H1965" s="36"/>
      <c r="I1965" s="36"/>
      <c r="J1965" s="36"/>
      <c r="K1965" s="36"/>
    </row>
    <row r="1966" spans="7:11" ht="15.75" customHeight="1">
      <c r="G1966" s="36"/>
      <c r="H1966" s="36"/>
      <c r="I1966" s="36"/>
      <c r="J1966" s="36"/>
      <c r="K1966" s="36"/>
    </row>
    <row r="1967" spans="7:11" ht="15.75" customHeight="1">
      <c r="G1967" s="36"/>
      <c r="H1967" s="36"/>
      <c r="I1967" s="36"/>
      <c r="J1967" s="36"/>
      <c r="K1967" s="36"/>
    </row>
    <row r="1968" spans="7:11" ht="15.75" customHeight="1">
      <c r="G1968" s="36"/>
      <c r="H1968" s="36"/>
      <c r="I1968" s="36"/>
      <c r="J1968" s="36"/>
      <c r="K1968" s="36"/>
    </row>
    <row r="1969" spans="7:11" ht="15.75" customHeight="1">
      <c r="G1969" s="36"/>
      <c r="H1969" s="36"/>
      <c r="I1969" s="36"/>
      <c r="J1969" s="36"/>
      <c r="K1969" s="36"/>
    </row>
    <row r="1970" spans="7:11" ht="15.75" customHeight="1">
      <c r="G1970" s="36"/>
      <c r="H1970" s="36"/>
      <c r="I1970" s="36"/>
      <c r="J1970" s="36"/>
      <c r="K1970" s="36"/>
    </row>
    <row r="1971" spans="7:11" ht="15.75" customHeight="1">
      <c r="G1971" s="36"/>
      <c r="H1971" s="36"/>
      <c r="I1971" s="36"/>
      <c r="J1971" s="36"/>
      <c r="K1971" s="36"/>
    </row>
    <row r="1972" spans="7:11" ht="15.75" customHeight="1">
      <c r="G1972" s="36"/>
      <c r="H1972" s="36"/>
      <c r="I1972" s="36"/>
      <c r="J1972" s="36"/>
      <c r="K1972" s="36"/>
    </row>
    <row r="1973" spans="7:11" ht="15.75" customHeight="1">
      <c r="G1973" s="36"/>
      <c r="H1973" s="36"/>
      <c r="I1973" s="36"/>
      <c r="J1973" s="36"/>
      <c r="K1973" s="36"/>
    </row>
    <row r="1974" spans="7:11" ht="15.75" customHeight="1">
      <c r="G1974" s="36"/>
      <c r="H1974" s="36"/>
      <c r="I1974" s="36"/>
      <c r="J1974" s="36"/>
      <c r="K1974" s="36"/>
    </row>
    <row r="1975" spans="7:11" ht="15.75" customHeight="1">
      <c r="G1975" s="36"/>
      <c r="H1975" s="36"/>
      <c r="I1975" s="36"/>
      <c r="J1975" s="36"/>
      <c r="K1975" s="36"/>
    </row>
    <row r="1976" spans="7:11" ht="15.75" customHeight="1">
      <c r="G1976" s="36"/>
      <c r="H1976" s="36"/>
      <c r="I1976" s="36"/>
      <c r="J1976" s="36"/>
      <c r="K1976" s="36"/>
    </row>
    <row r="1977" spans="7:11" ht="15.75" customHeight="1">
      <c r="G1977" s="36"/>
      <c r="H1977" s="36"/>
      <c r="I1977" s="36"/>
      <c r="J1977" s="36"/>
      <c r="K1977" s="36"/>
    </row>
    <row r="1978" spans="7:11" ht="15.75" customHeight="1">
      <c r="G1978" s="36"/>
      <c r="H1978" s="36"/>
      <c r="I1978" s="36"/>
      <c r="J1978" s="36"/>
      <c r="K1978" s="36"/>
    </row>
    <row r="1979" spans="7:11" ht="15.75" customHeight="1">
      <c r="G1979" s="36"/>
      <c r="H1979" s="36"/>
      <c r="I1979" s="36"/>
      <c r="J1979" s="36"/>
      <c r="K1979" s="36"/>
    </row>
    <row r="1980" spans="7:11" ht="15.75" customHeight="1">
      <c r="G1980" s="36"/>
      <c r="H1980" s="36"/>
      <c r="I1980" s="36"/>
      <c r="J1980" s="36"/>
      <c r="K1980" s="36"/>
    </row>
    <row r="1981" spans="7:11" ht="15.75" customHeight="1">
      <c r="G1981" s="36"/>
      <c r="H1981" s="36"/>
      <c r="I1981" s="36"/>
      <c r="J1981" s="36"/>
      <c r="K1981" s="36"/>
    </row>
    <row r="1982" spans="7:11" ht="15.75" customHeight="1">
      <c r="G1982" s="36"/>
      <c r="H1982" s="36"/>
      <c r="I1982" s="36"/>
      <c r="J1982" s="36"/>
      <c r="K1982" s="36"/>
    </row>
    <row r="1983" spans="7:11" ht="15.75" customHeight="1">
      <c r="G1983" s="36"/>
      <c r="H1983" s="36"/>
      <c r="I1983" s="36"/>
      <c r="J1983" s="36"/>
      <c r="K1983" s="36"/>
    </row>
    <row r="1984" spans="7:11" ht="15.75" customHeight="1">
      <c r="G1984" s="36"/>
      <c r="H1984" s="36"/>
      <c r="I1984" s="36"/>
      <c r="J1984" s="36"/>
      <c r="K1984" s="36"/>
    </row>
    <row r="1985" spans="7:11" ht="15.75" customHeight="1">
      <c r="G1985" s="36"/>
      <c r="H1985" s="36"/>
      <c r="I1985" s="36"/>
      <c r="J1985" s="36"/>
      <c r="K1985" s="36"/>
    </row>
    <row r="1986" spans="7:11" ht="15.75" customHeight="1">
      <c r="G1986" s="36"/>
      <c r="H1986" s="36"/>
      <c r="I1986" s="36"/>
      <c r="J1986" s="36"/>
      <c r="K1986" s="36"/>
    </row>
    <row r="1987" spans="7:11" ht="15.75" customHeight="1">
      <c r="G1987" s="36"/>
      <c r="H1987" s="36"/>
      <c r="I1987" s="36"/>
      <c r="J1987" s="36"/>
      <c r="K1987" s="36"/>
    </row>
    <row r="1988" spans="7:11" ht="15.75" customHeight="1">
      <c r="G1988" s="36"/>
      <c r="H1988" s="36"/>
      <c r="I1988" s="36"/>
      <c r="J1988" s="36"/>
      <c r="K1988" s="36"/>
    </row>
    <row r="1989" spans="7:11" ht="15.75" customHeight="1">
      <c r="G1989" s="36"/>
      <c r="H1989" s="36"/>
      <c r="I1989" s="36"/>
      <c r="J1989" s="36"/>
      <c r="K1989" s="36"/>
    </row>
    <row r="1990" spans="7:11" ht="15.75" customHeight="1">
      <c r="G1990" s="36"/>
      <c r="H1990" s="36"/>
      <c r="I1990" s="36"/>
      <c r="J1990" s="36"/>
      <c r="K1990" s="36"/>
    </row>
    <row r="1991" spans="7:11" ht="15.75" customHeight="1">
      <c r="G1991" s="36"/>
      <c r="H1991" s="36"/>
      <c r="I1991" s="36"/>
      <c r="J1991" s="36"/>
      <c r="K1991" s="36"/>
    </row>
    <row r="1992" spans="7:11" ht="15.75" customHeight="1">
      <c r="G1992" s="36"/>
      <c r="H1992" s="36"/>
      <c r="I1992" s="36"/>
      <c r="J1992" s="36"/>
      <c r="K1992" s="36"/>
    </row>
    <row r="1993" spans="7:11" ht="15.75" customHeight="1">
      <c r="G1993" s="36"/>
      <c r="H1993" s="36"/>
      <c r="I1993" s="36"/>
      <c r="J1993" s="36"/>
      <c r="K1993" s="36"/>
    </row>
    <row r="1994" spans="7:11" ht="15.75" customHeight="1">
      <c r="G1994" s="36"/>
      <c r="H1994" s="36"/>
      <c r="I1994" s="36"/>
      <c r="J1994" s="36"/>
      <c r="K1994" s="36"/>
    </row>
    <row r="1995" spans="7:11" ht="15.75" customHeight="1">
      <c r="G1995" s="36"/>
      <c r="H1995" s="36"/>
      <c r="I1995" s="36"/>
      <c r="J1995" s="36"/>
      <c r="K1995" s="36"/>
    </row>
    <row r="1996" spans="7:11" ht="15.75" customHeight="1">
      <c r="G1996" s="36"/>
      <c r="H1996" s="36"/>
      <c r="I1996" s="36"/>
      <c r="J1996" s="36"/>
      <c r="K1996" s="36"/>
    </row>
    <row r="1997" spans="7:11" ht="15.75" customHeight="1">
      <c r="G1997" s="36"/>
      <c r="H1997" s="36"/>
      <c r="I1997" s="36"/>
      <c r="J1997" s="36"/>
      <c r="K1997" s="36"/>
    </row>
    <row r="1998" spans="7:11" ht="15.75" customHeight="1">
      <c r="G1998" s="36"/>
      <c r="H1998" s="36"/>
      <c r="I1998" s="36"/>
      <c r="J1998" s="36"/>
      <c r="K1998" s="36"/>
    </row>
    <row r="1999" spans="7:11" ht="15.75" customHeight="1">
      <c r="G1999" s="36"/>
      <c r="H1999" s="36"/>
      <c r="I1999" s="36"/>
      <c r="J1999" s="36"/>
      <c r="K1999" s="36"/>
    </row>
    <row r="2000" spans="7:11" ht="15.75" customHeight="1">
      <c r="G2000" s="36"/>
      <c r="H2000" s="36"/>
      <c r="I2000" s="36"/>
      <c r="J2000" s="36"/>
      <c r="K2000" s="36"/>
    </row>
    <row r="2001" spans="7:11" ht="15.75" customHeight="1">
      <c r="G2001" s="36"/>
      <c r="H2001" s="36"/>
      <c r="I2001" s="36"/>
      <c r="J2001" s="36"/>
      <c r="K2001" s="36"/>
    </row>
    <row r="2002" spans="7:11" ht="15.75" customHeight="1">
      <c r="G2002" s="36"/>
      <c r="H2002" s="36"/>
      <c r="I2002" s="36"/>
      <c r="J2002" s="36"/>
      <c r="K2002" s="36"/>
    </row>
    <row r="2003" spans="7:11" ht="15.75" customHeight="1">
      <c r="G2003" s="36"/>
      <c r="H2003" s="36"/>
      <c r="I2003" s="36"/>
      <c r="J2003" s="36"/>
      <c r="K2003" s="36"/>
    </row>
    <row r="2004" spans="7:11" ht="15.75" customHeight="1">
      <c r="G2004" s="36"/>
      <c r="H2004" s="36"/>
      <c r="I2004" s="36"/>
      <c r="J2004" s="36"/>
      <c r="K2004" s="36"/>
    </row>
    <row r="2005" spans="7:11" ht="15.75" customHeight="1">
      <c r="G2005" s="36"/>
      <c r="H2005" s="36"/>
      <c r="I2005" s="36"/>
      <c r="J2005" s="36"/>
      <c r="K2005" s="36"/>
    </row>
    <row r="2006" spans="7:11" ht="15.75" customHeight="1">
      <c r="G2006" s="36"/>
      <c r="H2006" s="36"/>
      <c r="I2006" s="36"/>
      <c r="J2006" s="36"/>
      <c r="K2006" s="36"/>
    </row>
    <row r="2007" spans="7:11" ht="15.75" customHeight="1">
      <c r="G2007" s="36"/>
      <c r="H2007" s="36"/>
      <c r="I2007" s="36"/>
      <c r="J2007" s="36"/>
      <c r="K2007" s="36"/>
    </row>
    <row r="2008" spans="7:11" ht="15.75" customHeight="1">
      <c r="G2008" s="36"/>
      <c r="H2008" s="36"/>
      <c r="I2008" s="36"/>
      <c r="J2008" s="36"/>
      <c r="K2008" s="36"/>
    </row>
    <row r="2009" spans="7:11" ht="15.75" customHeight="1">
      <c r="G2009" s="36"/>
      <c r="H2009" s="36"/>
      <c r="I2009" s="36"/>
      <c r="J2009" s="36"/>
      <c r="K2009" s="36"/>
    </row>
    <row r="2010" spans="7:11" ht="15.75" customHeight="1">
      <c r="G2010" s="36"/>
      <c r="H2010" s="36"/>
      <c r="I2010" s="36"/>
      <c r="J2010" s="36"/>
      <c r="K2010" s="36"/>
    </row>
    <row r="2011" spans="7:11" ht="15.75" customHeight="1">
      <c r="G2011" s="36"/>
      <c r="H2011" s="36"/>
      <c r="I2011" s="36"/>
      <c r="J2011" s="36"/>
      <c r="K2011" s="36"/>
    </row>
    <row r="2012" spans="7:11" ht="15.75" customHeight="1">
      <c r="G2012" s="36"/>
      <c r="H2012" s="36"/>
      <c r="I2012" s="36"/>
      <c r="J2012" s="36"/>
      <c r="K2012" s="36"/>
    </row>
    <row r="2013" spans="7:11" ht="15.75" customHeight="1">
      <c r="G2013" s="36"/>
      <c r="H2013" s="36"/>
      <c r="I2013" s="36"/>
      <c r="J2013" s="36"/>
      <c r="K2013" s="36"/>
    </row>
    <row r="2014" spans="7:11" ht="15.75" customHeight="1">
      <c r="G2014" s="36"/>
      <c r="H2014" s="36"/>
      <c r="I2014" s="36"/>
      <c r="J2014" s="36"/>
      <c r="K2014" s="36"/>
    </row>
    <row r="2015" spans="7:11" ht="15.75" customHeight="1">
      <c r="G2015" s="36"/>
      <c r="H2015" s="36"/>
      <c r="I2015" s="36"/>
      <c r="J2015" s="36"/>
      <c r="K2015" s="36"/>
    </row>
    <row r="2016" spans="7:11" ht="15.75" customHeight="1">
      <c r="G2016" s="36"/>
      <c r="H2016" s="36"/>
      <c r="I2016" s="36"/>
      <c r="J2016" s="36"/>
      <c r="K2016" s="36"/>
    </row>
    <row r="2017" spans="7:11" ht="15.75" customHeight="1">
      <c r="G2017" s="36"/>
      <c r="H2017" s="36"/>
      <c r="I2017" s="36"/>
      <c r="J2017" s="36"/>
      <c r="K2017" s="36"/>
    </row>
    <row r="2018" spans="7:11" ht="15.75" customHeight="1">
      <c r="G2018" s="36"/>
      <c r="H2018" s="36"/>
      <c r="I2018" s="36"/>
      <c r="J2018" s="36"/>
      <c r="K2018" s="36"/>
    </row>
    <row r="2019" spans="7:11" ht="15.75" customHeight="1">
      <c r="G2019" s="36"/>
      <c r="H2019" s="36"/>
      <c r="I2019" s="36"/>
      <c r="J2019" s="36"/>
      <c r="K2019" s="36"/>
    </row>
    <row r="2020" spans="7:11" ht="15.75" customHeight="1">
      <c r="G2020" s="36"/>
      <c r="H2020" s="36"/>
      <c r="I2020" s="36"/>
      <c r="J2020" s="36"/>
      <c r="K2020" s="36"/>
    </row>
    <row r="2021" spans="7:11" ht="15.75" customHeight="1">
      <c r="G2021" s="36"/>
      <c r="H2021" s="36"/>
      <c r="I2021" s="36"/>
      <c r="J2021" s="36"/>
      <c r="K2021" s="36"/>
    </row>
    <row r="2022" spans="7:11" ht="15.75" customHeight="1">
      <c r="G2022" s="36"/>
      <c r="H2022" s="36"/>
      <c r="I2022" s="36"/>
      <c r="J2022" s="36"/>
      <c r="K2022" s="36"/>
    </row>
    <row r="2023" spans="7:11" ht="15.75" customHeight="1">
      <c r="G2023" s="36"/>
      <c r="H2023" s="36"/>
      <c r="I2023" s="36"/>
      <c r="J2023" s="36"/>
      <c r="K2023" s="36"/>
    </row>
    <row r="2024" spans="7:11" ht="15.75" customHeight="1">
      <c r="G2024" s="36"/>
      <c r="H2024" s="36"/>
      <c r="I2024" s="36"/>
      <c r="J2024" s="36"/>
      <c r="K2024" s="36"/>
    </row>
    <row r="2025" spans="7:11" ht="15.75" customHeight="1">
      <c r="G2025" s="36"/>
      <c r="H2025" s="36"/>
      <c r="I2025" s="36"/>
      <c r="J2025" s="36"/>
      <c r="K2025" s="36"/>
    </row>
    <row r="2026" spans="7:11" ht="15.75" customHeight="1">
      <c r="G2026" s="36"/>
      <c r="H2026" s="36"/>
      <c r="I2026" s="36"/>
      <c r="J2026" s="36"/>
      <c r="K2026" s="36"/>
    </row>
    <row r="2027" spans="7:11" ht="15.75" customHeight="1">
      <c r="G2027" s="36"/>
      <c r="H2027" s="36"/>
      <c r="I2027" s="36"/>
      <c r="J2027" s="36"/>
      <c r="K2027" s="36"/>
    </row>
    <row r="2028" spans="7:11" ht="15.75" customHeight="1">
      <c r="G2028" s="36"/>
      <c r="H2028" s="36"/>
      <c r="I2028" s="36"/>
      <c r="J2028" s="36"/>
      <c r="K2028" s="36"/>
    </row>
    <row r="2029" spans="7:11" ht="15.75" customHeight="1">
      <c r="G2029" s="36"/>
      <c r="H2029" s="36"/>
      <c r="I2029" s="36"/>
      <c r="J2029" s="36"/>
      <c r="K2029" s="36"/>
    </row>
    <row r="2030" spans="7:11" ht="15.75" customHeight="1">
      <c r="G2030" s="36"/>
      <c r="H2030" s="36"/>
      <c r="I2030" s="36"/>
      <c r="J2030" s="36"/>
      <c r="K2030" s="36"/>
    </row>
    <row r="2031" spans="7:11" ht="15.75" customHeight="1">
      <c r="G2031" s="36"/>
      <c r="H2031" s="36"/>
      <c r="I2031" s="36"/>
      <c r="J2031" s="36"/>
      <c r="K2031" s="36"/>
    </row>
    <row r="2032" spans="7:11" ht="15.75" customHeight="1">
      <c r="G2032" s="36"/>
      <c r="H2032" s="36"/>
      <c r="I2032" s="36"/>
      <c r="J2032" s="36"/>
      <c r="K2032" s="36"/>
    </row>
    <row r="2033" spans="7:11" ht="15.75" customHeight="1">
      <c r="G2033" s="36"/>
      <c r="H2033" s="36"/>
      <c r="I2033" s="36"/>
      <c r="J2033" s="36"/>
      <c r="K2033" s="36"/>
    </row>
    <row r="2034" spans="7:11" ht="15.75" customHeight="1">
      <c r="G2034" s="36"/>
      <c r="H2034" s="36"/>
      <c r="I2034" s="36"/>
      <c r="J2034" s="36"/>
      <c r="K2034" s="36"/>
    </row>
    <row r="2035" spans="7:11" ht="15.75" customHeight="1">
      <c r="G2035" s="36"/>
      <c r="H2035" s="36"/>
      <c r="I2035" s="36"/>
      <c r="J2035" s="36"/>
      <c r="K2035" s="36"/>
    </row>
    <row r="2036" spans="7:11" ht="15.75" customHeight="1">
      <c r="G2036" s="36"/>
      <c r="H2036" s="36"/>
      <c r="I2036" s="36"/>
      <c r="J2036" s="36"/>
      <c r="K2036" s="36"/>
    </row>
    <row r="2037" spans="7:11" ht="15.75" customHeight="1">
      <c r="G2037" s="36"/>
      <c r="H2037" s="36"/>
      <c r="I2037" s="36"/>
      <c r="J2037" s="36"/>
      <c r="K2037" s="36"/>
    </row>
    <row r="2038" spans="7:11" ht="15.75" customHeight="1">
      <c r="G2038" s="36"/>
      <c r="H2038" s="36"/>
      <c r="I2038" s="36"/>
      <c r="J2038" s="36"/>
      <c r="K2038" s="36"/>
    </row>
    <row r="2039" spans="7:11" ht="15.75" customHeight="1">
      <c r="G2039" s="36"/>
      <c r="H2039" s="36"/>
      <c r="I2039" s="36"/>
      <c r="J2039" s="36"/>
      <c r="K2039" s="36"/>
    </row>
    <row r="2040" spans="7:11" ht="15.75" customHeight="1">
      <c r="G2040" s="36"/>
      <c r="H2040" s="36"/>
      <c r="I2040" s="36"/>
      <c r="J2040" s="36"/>
      <c r="K2040" s="36"/>
    </row>
    <row r="2041" spans="7:11" ht="15.75" customHeight="1">
      <c r="G2041" s="36"/>
      <c r="H2041" s="36"/>
      <c r="I2041" s="36"/>
      <c r="J2041" s="36"/>
      <c r="K2041" s="36"/>
    </row>
    <row r="2042" spans="7:11" ht="15.75" customHeight="1">
      <c r="G2042" s="36"/>
      <c r="H2042" s="36"/>
      <c r="I2042" s="36"/>
      <c r="J2042" s="36"/>
      <c r="K2042" s="36"/>
    </row>
    <row r="2043" spans="7:11" ht="15.75" customHeight="1">
      <c r="G2043" s="36"/>
      <c r="H2043" s="36"/>
      <c r="I2043" s="36"/>
      <c r="J2043" s="36"/>
      <c r="K2043" s="36"/>
    </row>
    <row r="2044" spans="7:11" ht="15.75" customHeight="1">
      <c r="G2044" s="36"/>
      <c r="H2044" s="36"/>
      <c r="I2044" s="36"/>
      <c r="J2044" s="36"/>
      <c r="K2044" s="36"/>
    </row>
    <row r="2045" spans="7:11" ht="15.75" customHeight="1">
      <c r="G2045" s="36"/>
      <c r="H2045" s="36"/>
      <c r="I2045" s="36"/>
      <c r="J2045" s="36"/>
      <c r="K2045" s="36"/>
    </row>
    <row r="2046" spans="7:11" ht="15.75" customHeight="1">
      <c r="G2046" s="36"/>
      <c r="H2046" s="36"/>
      <c r="I2046" s="36"/>
      <c r="J2046" s="36"/>
      <c r="K2046" s="36"/>
    </row>
    <row r="2047" spans="7:11" ht="15.75" customHeight="1">
      <c r="G2047" s="36"/>
      <c r="H2047" s="36"/>
      <c r="I2047" s="36"/>
      <c r="J2047" s="36"/>
      <c r="K2047" s="36"/>
    </row>
    <row r="2048" spans="7:11" ht="15.75" customHeight="1">
      <c r="G2048" s="36"/>
      <c r="H2048" s="36"/>
      <c r="I2048" s="36"/>
      <c r="J2048" s="36"/>
      <c r="K2048" s="36"/>
    </row>
    <row r="2049" spans="7:11" ht="15.75" customHeight="1">
      <c r="G2049" s="36"/>
      <c r="H2049" s="36"/>
      <c r="I2049" s="36"/>
      <c r="J2049" s="36"/>
      <c r="K2049" s="36"/>
    </row>
    <row r="2050" spans="7:11" ht="15.75" customHeight="1">
      <c r="G2050" s="36"/>
      <c r="H2050" s="36"/>
      <c r="I2050" s="36"/>
      <c r="J2050" s="36"/>
      <c r="K2050" s="36"/>
    </row>
    <row r="2051" spans="7:11" ht="15.75" customHeight="1">
      <c r="G2051" s="36"/>
      <c r="H2051" s="36"/>
      <c r="I2051" s="36"/>
      <c r="J2051" s="36"/>
      <c r="K2051" s="36"/>
    </row>
    <row r="2052" spans="7:11" ht="15.75" customHeight="1">
      <c r="G2052" s="36"/>
      <c r="H2052" s="36"/>
      <c r="I2052" s="36"/>
      <c r="J2052" s="36"/>
      <c r="K2052" s="36"/>
    </row>
    <row r="2053" spans="7:11" ht="15.75" customHeight="1">
      <c r="G2053" s="36"/>
      <c r="H2053" s="36"/>
      <c r="I2053" s="36"/>
      <c r="J2053" s="36"/>
      <c r="K2053" s="36"/>
    </row>
    <row r="2054" spans="7:11" ht="15.75" customHeight="1">
      <c r="G2054" s="36"/>
      <c r="H2054" s="36"/>
      <c r="I2054" s="36"/>
      <c r="J2054" s="36"/>
      <c r="K2054" s="36"/>
    </row>
    <row r="2055" spans="7:11" ht="15.75" customHeight="1">
      <c r="G2055" s="36"/>
      <c r="H2055" s="36"/>
      <c r="I2055" s="36"/>
      <c r="J2055" s="36"/>
      <c r="K2055" s="36"/>
    </row>
    <row r="2056" spans="7:11" ht="15.75" customHeight="1">
      <c r="G2056" s="36"/>
      <c r="H2056" s="36"/>
      <c r="I2056" s="36"/>
      <c r="J2056" s="36"/>
      <c r="K2056" s="36"/>
    </row>
    <row r="2057" spans="7:11" ht="15.75" customHeight="1">
      <c r="G2057" s="36"/>
      <c r="H2057" s="36"/>
      <c r="I2057" s="36"/>
      <c r="J2057" s="36"/>
      <c r="K2057" s="36"/>
    </row>
    <row r="2058" spans="7:11" ht="15.75" customHeight="1">
      <c r="G2058" s="36"/>
      <c r="H2058" s="36"/>
      <c r="I2058" s="36"/>
      <c r="J2058" s="36"/>
      <c r="K2058" s="36"/>
    </row>
    <row r="2059" spans="7:11" ht="15.75" customHeight="1">
      <c r="G2059" s="36"/>
      <c r="H2059" s="36"/>
      <c r="I2059" s="36"/>
      <c r="J2059" s="36"/>
      <c r="K2059" s="36"/>
    </row>
    <row r="2060" spans="7:11" ht="15.75" customHeight="1">
      <c r="G2060" s="36"/>
      <c r="H2060" s="36"/>
      <c r="I2060" s="36"/>
      <c r="J2060" s="36"/>
      <c r="K2060" s="36"/>
    </row>
    <row r="2061" spans="7:11" ht="15.75" customHeight="1">
      <c r="G2061" s="36"/>
      <c r="H2061" s="36"/>
      <c r="I2061" s="36"/>
      <c r="J2061" s="36"/>
      <c r="K2061" s="36"/>
    </row>
    <row r="2062" spans="7:11" ht="15.75" customHeight="1">
      <c r="G2062" s="36"/>
      <c r="H2062" s="36"/>
      <c r="I2062" s="36"/>
      <c r="J2062" s="36"/>
      <c r="K2062" s="36"/>
    </row>
    <row r="2063" spans="7:11" ht="15.75" customHeight="1">
      <c r="G2063" s="36"/>
      <c r="H2063" s="36"/>
      <c r="I2063" s="36"/>
      <c r="J2063" s="36"/>
      <c r="K2063" s="36"/>
    </row>
    <row r="2064" spans="7:11" ht="15.75" customHeight="1">
      <c r="G2064" s="36"/>
      <c r="H2064" s="36"/>
      <c r="I2064" s="36"/>
      <c r="J2064" s="36"/>
      <c r="K2064" s="36"/>
    </row>
    <row r="2065" spans="7:11" ht="15.75" customHeight="1">
      <c r="G2065" s="36"/>
      <c r="H2065" s="36"/>
      <c r="I2065" s="36"/>
      <c r="J2065" s="36"/>
      <c r="K2065" s="36"/>
    </row>
    <row r="2066" spans="7:11" ht="15.75" customHeight="1">
      <c r="G2066" s="36"/>
      <c r="H2066" s="36"/>
      <c r="I2066" s="36"/>
      <c r="J2066" s="36"/>
      <c r="K2066" s="36"/>
    </row>
    <row r="2067" spans="7:11" ht="15.75" customHeight="1">
      <c r="G2067" s="36"/>
      <c r="H2067" s="36"/>
      <c r="I2067" s="36"/>
      <c r="J2067" s="36"/>
      <c r="K2067" s="36"/>
    </row>
    <row r="2068" spans="7:11" ht="15.75" customHeight="1">
      <c r="G2068" s="36"/>
      <c r="H2068" s="36"/>
      <c r="I2068" s="36"/>
      <c r="J2068" s="36"/>
      <c r="K2068" s="36"/>
    </row>
    <row r="2069" spans="7:11" ht="15.75" customHeight="1">
      <c r="G2069" s="36"/>
      <c r="H2069" s="36"/>
      <c r="I2069" s="36"/>
      <c r="J2069" s="36"/>
      <c r="K2069" s="36"/>
    </row>
    <row r="2070" spans="7:11" ht="15.75" customHeight="1">
      <c r="G2070" s="36"/>
      <c r="H2070" s="36"/>
      <c r="I2070" s="36"/>
      <c r="J2070" s="36"/>
      <c r="K2070" s="36"/>
    </row>
    <row r="2071" spans="7:11" ht="15.75" customHeight="1">
      <c r="G2071" s="36"/>
      <c r="H2071" s="36"/>
      <c r="I2071" s="36"/>
      <c r="J2071" s="36"/>
      <c r="K2071" s="36"/>
    </row>
    <row r="2072" spans="7:11" ht="15.75" customHeight="1">
      <c r="G2072" s="36"/>
      <c r="H2072" s="36"/>
      <c r="I2072" s="36"/>
      <c r="J2072" s="36"/>
      <c r="K2072" s="36"/>
    </row>
    <row r="2073" spans="7:11" ht="15.75" customHeight="1">
      <c r="G2073" s="36"/>
      <c r="H2073" s="36"/>
      <c r="I2073" s="36"/>
      <c r="J2073" s="36"/>
      <c r="K2073" s="36"/>
    </row>
    <row r="2074" spans="7:11" ht="15.75" customHeight="1">
      <c r="G2074" s="36"/>
      <c r="H2074" s="36"/>
      <c r="I2074" s="36"/>
      <c r="J2074" s="36"/>
      <c r="K2074" s="36"/>
    </row>
    <row r="2075" spans="7:11" ht="15.75" customHeight="1">
      <c r="G2075" s="36"/>
      <c r="H2075" s="36"/>
      <c r="I2075" s="36"/>
      <c r="J2075" s="36"/>
      <c r="K2075" s="36"/>
    </row>
    <row r="2076" spans="7:11" ht="15.75" customHeight="1">
      <c r="G2076" s="36"/>
      <c r="H2076" s="36"/>
      <c r="I2076" s="36"/>
      <c r="J2076" s="36"/>
      <c r="K2076" s="36"/>
    </row>
    <row r="2077" spans="7:11" ht="15.75" customHeight="1">
      <c r="G2077" s="36"/>
      <c r="H2077" s="36"/>
      <c r="I2077" s="36"/>
      <c r="J2077" s="36"/>
      <c r="K2077" s="36"/>
    </row>
    <row r="2078" spans="7:11" ht="15.75" customHeight="1">
      <c r="G2078" s="36"/>
      <c r="H2078" s="36"/>
      <c r="I2078" s="36"/>
      <c r="J2078" s="36"/>
      <c r="K2078" s="36"/>
    </row>
    <row r="2079" spans="7:11" ht="15.75" customHeight="1">
      <c r="G2079" s="36"/>
      <c r="H2079" s="36"/>
      <c r="I2079" s="36"/>
      <c r="J2079" s="36"/>
      <c r="K2079" s="36"/>
    </row>
    <row r="2080" spans="7:11" ht="15.75" customHeight="1">
      <c r="G2080" s="36"/>
      <c r="H2080" s="36"/>
      <c r="I2080" s="36"/>
      <c r="J2080" s="36"/>
      <c r="K2080" s="36"/>
    </row>
    <row r="2081" spans="7:11" ht="15.75" customHeight="1">
      <c r="G2081" s="36"/>
      <c r="H2081" s="36"/>
      <c r="I2081" s="36"/>
      <c r="J2081" s="36"/>
      <c r="K2081" s="36"/>
    </row>
    <row r="2082" spans="7:11" ht="15.75" customHeight="1">
      <c r="G2082" s="36"/>
      <c r="H2082" s="36"/>
      <c r="I2082" s="36"/>
      <c r="J2082" s="36"/>
      <c r="K2082" s="36"/>
    </row>
    <row r="2083" spans="7:11" ht="15.75" customHeight="1">
      <c r="G2083" s="36"/>
      <c r="H2083" s="36"/>
      <c r="I2083" s="36"/>
      <c r="J2083" s="36"/>
      <c r="K2083" s="36"/>
    </row>
    <row r="2084" spans="7:11" ht="15.75" customHeight="1">
      <c r="G2084" s="36"/>
      <c r="H2084" s="36"/>
      <c r="I2084" s="36"/>
      <c r="J2084" s="36"/>
      <c r="K2084" s="36"/>
    </row>
    <row r="2085" spans="7:11" ht="15.75" customHeight="1">
      <c r="G2085" s="36"/>
      <c r="H2085" s="36"/>
      <c r="I2085" s="36"/>
      <c r="J2085" s="36"/>
      <c r="K2085" s="36"/>
    </row>
    <row r="2086" spans="7:11" ht="15.75" customHeight="1">
      <c r="G2086" s="36"/>
      <c r="H2086" s="36"/>
      <c r="I2086" s="36"/>
      <c r="J2086" s="36"/>
      <c r="K2086" s="36"/>
    </row>
    <row r="2087" spans="7:11" ht="15.75" customHeight="1">
      <c r="G2087" s="36"/>
      <c r="H2087" s="36"/>
      <c r="I2087" s="36"/>
      <c r="J2087" s="36"/>
      <c r="K2087" s="36"/>
    </row>
    <row r="2088" spans="7:11" ht="15.75" customHeight="1">
      <c r="G2088" s="36"/>
      <c r="H2088" s="36"/>
      <c r="I2088" s="36"/>
      <c r="J2088" s="36"/>
      <c r="K2088" s="36"/>
    </row>
    <row r="2089" spans="7:11" ht="15.75" customHeight="1">
      <c r="G2089" s="36"/>
      <c r="H2089" s="36"/>
      <c r="I2089" s="36"/>
      <c r="J2089" s="36"/>
      <c r="K2089" s="36"/>
    </row>
    <row r="2090" spans="7:11" ht="15.75" customHeight="1">
      <c r="G2090" s="36"/>
      <c r="H2090" s="36"/>
      <c r="I2090" s="36"/>
      <c r="J2090" s="36"/>
      <c r="K2090" s="36"/>
    </row>
    <row r="2091" spans="7:11" ht="15.75" customHeight="1">
      <c r="G2091" s="36"/>
      <c r="H2091" s="36"/>
      <c r="I2091" s="36"/>
      <c r="J2091" s="36"/>
      <c r="K2091" s="36"/>
    </row>
    <row r="2092" spans="7:11" ht="15.75" customHeight="1">
      <c r="G2092" s="36"/>
      <c r="H2092" s="36"/>
      <c r="I2092" s="36"/>
      <c r="J2092" s="36"/>
      <c r="K2092" s="36"/>
    </row>
    <row r="2093" spans="7:11" ht="15.75" customHeight="1">
      <c r="G2093" s="36"/>
      <c r="H2093" s="36"/>
      <c r="I2093" s="36"/>
      <c r="J2093" s="36"/>
      <c r="K2093" s="36"/>
    </row>
    <row r="2094" spans="7:11" ht="15.75" customHeight="1">
      <c r="G2094" s="36"/>
      <c r="H2094" s="36"/>
      <c r="I2094" s="36"/>
      <c r="J2094" s="36"/>
      <c r="K2094" s="36"/>
    </row>
    <row r="2095" spans="7:11" ht="15.75" customHeight="1">
      <c r="G2095" s="36"/>
      <c r="H2095" s="36"/>
      <c r="I2095" s="36"/>
      <c r="J2095" s="36"/>
      <c r="K2095" s="36"/>
    </row>
    <row r="2096" spans="7:11" ht="15.75" customHeight="1">
      <c r="G2096" s="36"/>
      <c r="H2096" s="36"/>
      <c r="I2096" s="36"/>
      <c r="J2096" s="36"/>
      <c r="K2096" s="36"/>
    </row>
    <row r="2097" spans="7:11" ht="15.75" customHeight="1">
      <c r="G2097" s="36"/>
      <c r="H2097" s="36"/>
      <c r="I2097" s="36"/>
      <c r="J2097" s="36"/>
      <c r="K2097" s="36"/>
    </row>
    <row r="2098" spans="7:11" ht="15.75" customHeight="1">
      <c r="G2098" s="36"/>
      <c r="H2098" s="36"/>
      <c r="I2098" s="36"/>
      <c r="J2098" s="36"/>
      <c r="K2098" s="36"/>
    </row>
    <row r="2099" spans="7:11" ht="15.75" customHeight="1">
      <c r="G2099" s="36"/>
      <c r="H2099" s="36"/>
      <c r="I2099" s="36"/>
      <c r="J2099" s="36"/>
      <c r="K2099" s="36"/>
    </row>
    <row r="2100" spans="7:11" ht="15.75" customHeight="1">
      <c r="G2100" s="36"/>
      <c r="H2100" s="36"/>
      <c r="I2100" s="36"/>
      <c r="J2100" s="36"/>
      <c r="K2100" s="36"/>
    </row>
    <row r="2101" spans="7:11" ht="15.75" customHeight="1">
      <c r="G2101" s="36"/>
      <c r="H2101" s="36"/>
      <c r="I2101" s="36"/>
      <c r="J2101" s="36"/>
      <c r="K2101" s="36"/>
    </row>
    <row r="2102" spans="7:11" ht="15.75" customHeight="1">
      <c r="G2102" s="36"/>
      <c r="H2102" s="36"/>
      <c r="I2102" s="36"/>
      <c r="J2102" s="36"/>
      <c r="K2102" s="36"/>
    </row>
    <row r="2103" spans="7:11" ht="15.75" customHeight="1">
      <c r="G2103" s="36"/>
      <c r="H2103" s="36"/>
      <c r="I2103" s="36"/>
      <c r="J2103" s="36"/>
      <c r="K2103" s="36"/>
    </row>
    <row r="2104" spans="7:11" ht="15.75" customHeight="1">
      <c r="G2104" s="36"/>
      <c r="H2104" s="36"/>
      <c r="I2104" s="36"/>
      <c r="J2104" s="36"/>
      <c r="K2104" s="36"/>
    </row>
    <row r="2105" spans="7:11" ht="15.75" customHeight="1">
      <c r="G2105" s="36"/>
      <c r="H2105" s="36"/>
      <c r="I2105" s="36"/>
      <c r="J2105" s="36"/>
      <c r="K2105" s="36"/>
    </row>
    <row r="2106" spans="7:11" ht="15.75" customHeight="1">
      <c r="G2106" s="36"/>
      <c r="H2106" s="36"/>
      <c r="I2106" s="36"/>
      <c r="J2106" s="36"/>
      <c r="K2106" s="36"/>
    </row>
    <row r="2107" spans="7:11" ht="15.75" customHeight="1">
      <c r="G2107" s="36"/>
      <c r="H2107" s="36"/>
      <c r="I2107" s="36"/>
      <c r="J2107" s="36"/>
      <c r="K2107" s="36"/>
    </row>
    <row r="2108" spans="7:11" ht="15.75" customHeight="1">
      <c r="G2108" s="36"/>
      <c r="H2108" s="36"/>
      <c r="I2108" s="36"/>
      <c r="J2108" s="36"/>
      <c r="K2108" s="36"/>
    </row>
    <row r="2109" spans="7:11" ht="15.75" customHeight="1">
      <c r="G2109" s="36"/>
      <c r="H2109" s="36"/>
      <c r="I2109" s="36"/>
      <c r="J2109" s="36"/>
      <c r="K2109" s="36"/>
    </row>
    <row r="2110" spans="7:11" ht="15.75" customHeight="1">
      <c r="G2110" s="36"/>
      <c r="H2110" s="36"/>
      <c r="I2110" s="36"/>
      <c r="J2110" s="36"/>
      <c r="K2110" s="36"/>
    </row>
    <row r="2111" spans="7:11" ht="15.75" customHeight="1">
      <c r="G2111" s="36"/>
      <c r="H2111" s="36"/>
      <c r="I2111" s="36"/>
      <c r="J2111" s="36"/>
      <c r="K2111" s="36"/>
    </row>
    <row r="2112" spans="7:11" ht="15.75" customHeight="1">
      <c r="G2112" s="36"/>
      <c r="H2112" s="36"/>
      <c r="I2112" s="36"/>
      <c r="J2112" s="36"/>
      <c r="K2112" s="36"/>
    </row>
    <row r="2113" spans="7:11" ht="15.75" customHeight="1">
      <c r="G2113" s="36"/>
      <c r="H2113" s="36"/>
      <c r="I2113" s="36"/>
      <c r="J2113" s="36"/>
      <c r="K2113" s="36"/>
    </row>
    <row r="2114" spans="7:11" ht="15.75" customHeight="1">
      <c r="G2114" s="36"/>
      <c r="H2114" s="36"/>
      <c r="I2114" s="36"/>
      <c r="J2114" s="36"/>
      <c r="K2114" s="36"/>
    </row>
    <row r="2115" spans="7:11" ht="15.75" customHeight="1">
      <c r="G2115" s="36"/>
      <c r="H2115" s="36"/>
      <c r="I2115" s="36"/>
      <c r="J2115" s="36"/>
      <c r="K2115" s="36"/>
    </row>
    <row r="2116" spans="7:11" ht="15.75" customHeight="1">
      <c r="G2116" s="36"/>
      <c r="H2116" s="36"/>
      <c r="I2116" s="36"/>
      <c r="J2116" s="36"/>
      <c r="K2116" s="36"/>
    </row>
    <row r="2117" spans="7:11" ht="15.75" customHeight="1">
      <c r="G2117" s="36"/>
      <c r="H2117" s="36"/>
      <c r="I2117" s="36"/>
      <c r="J2117" s="36"/>
      <c r="K2117" s="36"/>
    </row>
    <row r="2118" spans="7:11" ht="15.75" customHeight="1">
      <c r="G2118" s="36"/>
      <c r="H2118" s="36"/>
      <c r="I2118" s="36"/>
      <c r="J2118" s="36"/>
      <c r="K2118" s="36"/>
    </row>
    <row r="2119" spans="7:11" ht="15.75" customHeight="1">
      <c r="G2119" s="36"/>
      <c r="H2119" s="36"/>
      <c r="I2119" s="36"/>
      <c r="J2119" s="36"/>
      <c r="K2119" s="36"/>
    </row>
    <row r="2120" spans="7:11" ht="15.75" customHeight="1">
      <c r="G2120" s="36"/>
      <c r="H2120" s="36"/>
      <c r="I2120" s="36"/>
      <c r="J2120" s="36"/>
      <c r="K2120" s="36"/>
    </row>
    <row r="2121" spans="7:11" ht="15.75" customHeight="1">
      <c r="G2121" s="36"/>
      <c r="H2121" s="36"/>
      <c r="I2121" s="36"/>
      <c r="J2121" s="36"/>
      <c r="K2121" s="36"/>
    </row>
    <row r="2122" spans="7:11" ht="15.75" customHeight="1">
      <c r="G2122" s="36"/>
      <c r="H2122" s="36"/>
      <c r="I2122" s="36"/>
      <c r="J2122" s="36"/>
      <c r="K2122" s="36"/>
    </row>
    <row r="2123" spans="7:11" ht="15.75" customHeight="1">
      <c r="G2123" s="36"/>
      <c r="H2123" s="36"/>
      <c r="I2123" s="36"/>
      <c r="J2123" s="36"/>
      <c r="K2123" s="36"/>
    </row>
    <row r="2124" spans="7:11" ht="15.75" customHeight="1">
      <c r="G2124" s="36"/>
      <c r="H2124" s="36"/>
      <c r="I2124" s="36"/>
      <c r="J2124" s="36"/>
      <c r="K2124" s="36"/>
    </row>
    <row r="2125" spans="7:11" ht="15.75" customHeight="1">
      <c r="G2125" s="36"/>
      <c r="H2125" s="36"/>
      <c r="I2125" s="36"/>
      <c r="J2125" s="36"/>
      <c r="K2125" s="36"/>
    </row>
    <row r="2126" spans="7:11" ht="15.75" customHeight="1">
      <c r="G2126" s="36"/>
      <c r="H2126" s="36"/>
      <c r="I2126" s="36"/>
      <c r="J2126" s="36"/>
      <c r="K2126" s="36"/>
    </row>
    <row r="2127" spans="7:11" ht="15.75" customHeight="1">
      <c r="G2127" s="36"/>
      <c r="H2127" s="36"/>
      <c r="I2127" s="36"/>
      <c r="J2127" s="36"/>
      <c r="K2127" s="36"/>
    </row>
    <row r="2128" spans="7:11" ht="15.75" customHeight="1">
      <c r="G2128" s="36"/>
      <c r="H2128" s="36"/>
      <c r="I2128" s="36"/>
      <c r="J2128" s="36"/>
      <c r="K2128" s="36"/>
    </row>
    <row r="2129" spans="7:11" ht="15.75" customHeight="1">
      <c r="G2129" s="36"/>
      <c r="H2129" s="36"/>
      <c r="I2129" s="36"/>
      <c r="J2129" s="36"/>
      <c r="K2129" s="36"/>
    </row>
    <row r="2130" spans="7:11" ht="15.75" customHeight="1">
      <c r="G2130" s="36"/>
      <c r="H2130" s="36"/>
      <c r="I2130" s="36"/>
      <c r="J2130" s="36"/>
      <c r="K2130" s="36"/>
    </row>
    <row r="2131" spans="7:11" ht="15.75" customHeight="1">
      <c r="G2131" s="36"/>
      <c r="H2131" s="36"/>
      <c r="I2131" s="36"/>
      <c r="J2131" s="36"/>
      <c r="K2131" s="36"/>
    </row>
    <row r="2132" spans="7:11" ht="15.75" customHeight="1">
      <c r="G2132" s="36"/>
      <c r="H2132" s="36"/>
      <c r="I2132" s="36"/>
      <c r="J2132" s="36"/>
      <c r="K2132" s="36"/>
    </row>
    <row r="2133" spans="7:11" ht="15.75" customHeight="1">
      <c r="G2133" s="36"/>
      <c r="H2133" s="36"/>
      <c r="I2133" s="36"/>
      <c r="J2133" s="36"/>
      <c r="K2133" s="36"/>
    </row>
    <row r="2134" spans="7:11" ht="15.75" customHeight="1">
      <c r="G2134" s="36"/>
      <c r="H2134" s="36"/>
      <c r="I2134" s="36"/>
      <c r="J2134" s="36"/>
      <c r="K2134" s="36"/>
    </row>
    <row r="2135" spans="7:11" ht="15.75" customHeight="1">
      <c r="G2135" s="36"/>
      <c r="H2135" s="36"/>
      <c r="I2135" s="36"/>
      <c r="J2135" s="36"/>
      <c r="K2135" s="36"/>
    </row>
    <row r="2136" spans="7:11" ht="15.75" customHeight="1">
      <c r="G2136" s="36"/>
      <c r="H2136" s="36"/>
      <c r="I2136" s="36"/>
      <c r="J2136" s="36"/>
      <c r="K2136" s="36"/>
    </row>
    <row r="2137" spans="7:11" ht="15.75" customHeight="1">
      <c r="G2137" s="36"/>
      <c r="H2137" s="36"/>
      <c r="I2137" s="36"/>
      <c r="J2137" s="36"/>
      <c r="K2137" s="36"/>
    </row>
    <row r="2138" spans="7:11" ht="15.75" customHeight="1">
      <c r="G2138" s="36"/>
      <c r="H2138" s="36"/>
      <c r="I2138" s="36"/>
      <c r="J2138" s="36"/>
      <c r="K2138" s="36"/>
    </row>
    <row r="2139" spans="7:11" ht="15.75" customHeight="1">
      <c r="G2139" s="36"/>
      <c r="H2139" s="36"/>
      <c r="I2139" s="36"/>
      <c r="J2139" s="36"/>
      <c r="K2139" s="36"/>
    </row>
    <row r="2140" spans="7:11" ht="15.75" customHeight="1">
      <c r="G2140" s="36"/>
      <c r="H2140" s="36"/>
      <c r="I2140" s="36"/>
      <c r="J2140" s="36"/>
      <c r="K2140" s="36"/>
    </row>
    <row r="2141" spans="7:11" ht="15.75" customHeight="1">
      <c r="G2141" s="36"/>
      <c r="H2141" s="36"/>
      <c r="I2141" s="36"/>
      <c r="J2141" s="36"/>
      <c r="K2141" s="36"/>
    </row>
    <row r="2142" spans="7:11" ht="15.75" customHeight="1">
      <c r="G2142" s="36"/>
      <c r="H2142" s="36"/>
      <c r="I2142" s="36"/>
      <c r="J2142" s="36"/>
      <c r="K2142" s="36"/>
    </row>
    <row r="2143" spans="7:11" ht="15.75" customHeight="1">
      <c r="G2143" s="36"/>
      <c r="H2143" s="36"/>
      <c r="I2143" s="36"/>
      <c r="J2143" s="36"/>
      <c r="K2143" s="36"/>
    </row>
    <row r="2144" spans="7:11" ht="15.75" customHeight="1">
      <c r="G2144" s="36"/>
      <c r="H2144" s="36"/>
      <c r="I2144" s="36"/>
      <c r="J2144" s="36"/>
      <c r="K2144" s="36"/>
    </row>
    <row r="2145" spans="7:11" ht="15.75" customHeight="1">
      <c r="G2145" s="36"/>
      <c r="H2145" s="36"/>
      <c r="I2145" s="36"/>
      <c r="J2145" s="36"/>
      <c r="K2145" s="36"/>
    </row>
    <row r="2146" spans="7:11" ht="15.75" customHeight="1">
      <c r="G2146" s="36"/>
      <c r="H2146" s="36"/>
      <c r="I2146" s="36"/>
      <c r="J2146" s="36"/>
      <c r="K2146" s="36"/>
    </row>
    <row r="2147" spans="7:11" ht="15.75" customHeight="1">
      <c r="G2147" s="36"/>
      <c r="H2147" s="36"/>
      <c r="I2147" s="36"/>
      <c r="J2147" s="36"/>
      <c r="K2147" s="36"/>
    </row>
    <row r="2148" spans="7:11" ht="15.75" customHeight="1">
      <c r="G2148" s="36"/>
      <c r="H2148" s="36"/>
      <c r="I2148" s="36"/>
      <c r="J2148" s="36"/>
      <c r="K2148" s="36"/>
    </row>
    <row r="2149" spans="7:11" ht="15.75" customHeight="1">
      <c r="G2149" s="36"/>
      <c r="H2149" s="36"/>
      <c r="I2149" s="36"/>
      <c r="J2149" s="36"/>
      <c r="K2149" s="36"/>
    </row>
    <row r="2150" spans="7:11" ht="15.75" customHeight="1">
      <c r="G2150" s="36"/>
      <c r="H2150" s="36"/>
      <c r="I2150" s="36"/>
      <c r="J2150" s="36"/>
      <c r="K2150" s="36"/>
    </row>
    <row r="2151" spans="7:11" ht="15.75" customHeight="1">
      <c r="G2151" s="36"/>
      <c r="H2151" s="36"/>
      <c r="I2151" s="36"/>
      <c r="J2151" s="36"/>
      <c r="K2151" s="36"/>
    </row>
    <row r="2152" spans="7:11" ht="15.75" customHeight="1">
      <c r="G2152" s="36"/>
      <c r="H2152" s="36"/>
      <c r="I2152" s="36"/>
      <c r="J2152" s="36"/>
      <c r="K2152" s="36"/>
    </row>
    <row r="2153" spans="7:11" ht="15.75" customHeight="1">
      <c r="G2153" s="36"/>
      <c r="H2153" s="36"/>
      <c r="I2153" s="36"/>
      <c r="J2153" s="36"/>
      <c r="K2153" s="36"/>
    </row>
    <row r="2154" spans="7:11" ht="15.75" customHeight="1">
      <c r="G2154" s="36"/>
      <c r="H2154" s="36"/>
      <c r="I2154" s="36"/>
      <c r="J2154" s="36"/>
      <c r="K2154" s="36"/>
    </row>
    <row r="2155" spans="7:11" ht="15.75" customHeight="1">
      <c r="G2155" s="36"/>
      <c r="H2155" s="36"/>
      <c r="I2155" s="36"/>
      <c r="J2155" s="36"/>
      <c r="K2155" s="36"/>
    </row>
    <row r="2156" spans="7:11" ht="15.75" customHeight="1">
      <c r="G2156" s="36"/>
      <c r="H2156" s="36"/>
      <c r="I2156" s="36"/>
      <c r="J2156" s="36"/>
      <c r="K2156" s="36"/>
    </row>
    <row r="2157" spans="7:11" ht="15.75" customHeight="1">
      <c r="G2157" s="36"/>
      <c r="H2157" s="36"/>
      <c r="I2157" s="36"/>
      <c r="J2157" s="36"/>
      <c r="K2157" s="36"/>
    </row>
    <row r="2158" spans="7:11" ht="15.75" customHeight="1">
      <c r="G2158" s="36"/>
      <c r="H2158" s="36"/>
      <c r="I2158" s="36"/>
      <c r="J2158" s="36"/>
      <c r="K2158" s="36"/>
    </row>
    <row r="2159" spans="7:11" ht="15.75" customHeight="1">
      <c r="G2159" s="36"/>
      <c r="H2159" s="36"/>
      <c r="I2159" s="36"/>
      <c r="J2159" s="36"/>
      <c r="K2159" s="36"/>
    </row>
    <row r="2160" spans="7:11" ht="15.75" customHeight="1">
      <c r="G2160" s="36"/>
      <c r="H2160" s="36"/>
      <c r="I2160" s="36"/>
      <c r="J2160" s="36"/>
      <c r="K2160" s="36"/>
    </row>
    <row r="2161" spans="7:11" ht="15.75" customHeight="1">
      <c r="G2161" s="36"/>
      <c r="H2161" s="36"/>
      <c r="I2161" s="36"/>
      <c r="J2161" s="36"/>
      <c r="K2161" s="36"/>
    </row>
    <row r="2162" spans="7:11" ht="15.75" customHeight="1">
      <c r="G2162" s="36"/>
      <c r="H2162" s="36"/>
      <c r="I2162" s="36"/>
      <c r="J2162" s="36"/>
      <c r="K2162" s="36"/>
    </row>
    <row r="2163" spans="7:11" ht="15.75" customHeight="1">
      <c r="G2163" s="36"/>
      <c r="H2163" s="36"/>
      <c r="I2163" s="36"/>
      <c r="J2163" s="36"/>
      <c r="K2163" s="36"/>
    </row>
    <row r="2164" spans="7:11" ht="15.75" customHeight="1">
      <c r="G2164" s="36"/>
      <c r="H2164" s="36"/>
      <c r="I2164" s="36"/>
      <c r="J2164" s="36"/>
      <c r="K2164" s="36"/>
    </row>
    <row r="2165" spans="7:11" ht="15.75" customHeight="1">
      <c r="G2165" s="36"/>
      <c r="H2165" s="36"/>
      <c r="I2165" s="36"/>
      <c r="J2165" s="36"/>
      <c r="K2165" s="36"/>
    </row>
    <row r="2166" spans="7:11" ht="15.75" customHeight="1">
      <c r="G2166" s="36"/>
      <c r="H2166" s="36"/>
      <c r="I2166" s="36"/>
      <c r="J2166" s="36"/>
      <c r="K2166" s="36"/>
    </row>
    <row r="2167" spans="7:11" ht="15.75" customHeight="1">
      <c r="G2167" s="36"/>
      <c r="H2167" s="36"/>
      <c r="I2167" s="36"/>
      <c r="J2167" s="36"/>
      <c r="K2167" s="36"/>
    </row>
    <row r="2168" spans="7:11" ht="15.75" customHeight="1">
      <c r="G2168" s="36"/>
      <c r="H2168" s="36"/>
      <c r="I2168" s="36"/>
      <c r="J2168" s="36"/>
      <c r="K2168" s="36"/>
    </row>
    <row r="2169" spans="7:11" ht="15.75" customHeight="1">
      <c r="G2169" s="36"/>
      <c r="H2169" s="36"/>
      <c r="I2169" s="36"/>
      <c r="J2169" s="36"/>
      <c r="K2169" s="36"/>
    </row>
    <row r="2170" spans="7:11" ht="15.75" customHeight="1">
      <c r="G2170" s="36"/>
      <c r="H2170" s="36"/>
      <c r="I2170" s="36"/>
      <c r="J2170" s="36"/>
      <c r="K2170" s="36"/>
    </row>
    <row r="2171" spans="7:11" ht="15.75" customHeight="1">
      <c r="G2171" s="36"/>
      <c r="H2171" s="36"/>
      <c r="I2171" s="36"/>
      <c r="J2171" s="36"/>
      <c r="K2171" s="36"/>
    </row>
    <row r="2172" spans="7:11" ht="15.75" customHeight="1">
      <c r="G2172" s="36"/>
      <c r="H2172" s="36"/>
      <c r="I2172" s="36"/>
      <c r="J2172" s="36"/>
      <c r="K2172" s="36"/>
    </row>
    <row r="2173" spans="7:11" ht="15.75" customHeight="1">
      <c r="G2173" s="36"/>
      <c r="H2173" s="36"/>
      <c r="I2173" s="36"/>
      <c r="J2173" s="36"/>
      <c r="K2173" s="36"/>
    </row>
    <row r="2174" spans="7:11" ht="15.75" customHeight="1">
      <c r="G2174" s="36"/>
      <c r="H2174" s="36"/>
      <c r="I2174" s="36"/>
      <c r="J2174" s="36"/>
      <c r="K2174" s="36"/>
    </row>
    <row r="2175" spans="7:11" ht="15.75" customHeight="1">
      <c r="G2175" s="36"/>
      <c r="H2175" s="36"/>
      <c r="I2175" s="36"/>
      <c r="J2175" s="36"/>
      <c r="K2175" s="36"/>
    </row>
    <row r="2176" spans="7:11" ht="15.75" customHeight="1">
      <c r="G2176" s="36"/>
      <c r="H2176" s="36"/>
      <c r="I2176" s="36"/>
      <c r="J2176" s="36"/>
      <c r="K2176" s="36"/>
    </row>
    <row r="2177" spans="7:11" ht="15.75" customHeight="1">
      <c r="G2177" s="36"/>
      <c r="H2177" s="36"/>
      <c r="I2177" s="36"/>
      <c r="J2177" s="36"/>
      <c r="K2177" s="36"/>
    </row>
    <row r="2178" spans="7:11" ht="15.75" customHeight="1">
      <c r="G2178" s="36"/>
      <c r="H2178" s="36"/>
      <c r="I2178" s="36"/>
      <c r="J2178" s="36"/>
      <c r="K2178" s="36"/>
    </row>
    <row r="2179" spans="7:11" ht="15.75" customHeight="1">
      <c r="G2179" s="36"/>
      <c r="H2179" s="36"/>
      <c r="I2179" s="36"/>
      <c r="J2179" s="36"/>
      <c r="K2179" s="36"/>
    </row>
    <row r="2180" spans="7:11" ht="15.75" customHeight="1">
      <c r="G2180" s="36"/>
      <c r="H2180" s="36"/>
      <c r="I2180" s="36"/>
      <c r="J2180" s="36"/>
      <c r="K2180" s="36"/>
    </row>
    <row r="2181" spans="7:11" ht="15.75" customHeight="1">
      <c r="G2181" s="36"/>
      <c r="H2181" s="36"/>
      <c r="I2181" s="36"/>
      <c r="J2181" s="36"/>
      <c r="K2181" s="36"/>
    </row>
    <row r="2182" spans="7:11" ht="15.75" customHeight="1">
      <c r="G2182" s="36"/>
      <c r="H2182" s="36"/>
      <c r="I2182" s="36"/>
      <c r="J2182" s="36"/>
      <c r="K2182" s="36"/>
    </row>
    <row r="2183" spans="7:11" ht="15.75" customHeight="1">
      <c r="G2183" s="36"/>
      <c r="H2183" s="36"/>
      <c r="I2183" s="36"/>
      <c r="J2183" s="36"/>
      <c r="K2183" s="36"/>
    </row>
    <row r="2184" spans="7:11" ht="15.75" customHeight="1">
      <c r="G2184" s="36"/>
      <c r="H2184" s="36"/>
      <c r="I2184" s="36"/>
      <c r="J2184" s="36"/>
      <c r="K2184" s="36"/>
    </row>
    <row r="2185" spans="7:11" ht="15.75" customHeight="1">
      <c r="G2185" s="36"/>
      <c r="H2185" s="36"/>
      <c r="I2185" s="36"/>
      <c r="J2185" s="36"/>
      <c r="K2185" s="36"/>
    </row>
    <row r="2186" spans="7:11" ht="15.75" customHeight="1">
      <c r="G2186" s="36"/>
      <c r="H2186" s="36"/>
      <c r="I2186" s="36"/>
      <c r="J2186" s="36"/>
      <c r="K2186" s="36"/>
    </row>
    <row r="2187" spans="7:11" ht="15.75" customHeight="1">
      <c r="G2187" s="36"/>
      <c r="H2187" s="36"/>
      <c r="I2187" s="36"/>
      <c r="J2187" s="36"/>
      <c r="K2187" s="36"/>
    </row>
    <row r="2188" spans="7:11" ht="15.75" customHeight="1">
      <c r="G2188" s="36"/>
      <c r="H2188" s="36"/>
      <c r="I2188" s="36"/>
      <c r="J2188" s="36"/>
      <c r="K2188" s="36"/>
    </row>
    <row r="2189" spans="7:11" ht="15.75" customHeight="1">
      <c r="G2189" s="36"/>
      <c r="H2189" s="36"/>
      <c r="I2189" s="36"/>
      <c r="J2189" s="36"/>
      <c r="K2189" s="36"/>
    </row>
    <row r="2190" spans="7:11" ht="15.75" customHeight="1">
      <c r="G2190" s="36"/>
      <c r="H2190" s="36"/>
      <c r="I2190" s="36"/>
      <c r="J2190" s="36"/>
      <c r="K2190" s="36"/>
    </row>
    <row r="2191" spans="7:11" ht="15.75" customHeight="1">
      <c r="G2191" s="36"/>
      <c r="H2191" s="36"/>
      <c r="I2191" s="36"/>
      <c r="J2191" s="36"/>
      <c r="K2191" s="36"/>
    </row>
    <row r="2192" spans="7:11" ht="15.75" customHeight="1">
      <c r="G2192" s="36"/>
      <c r="H2192" s="36"/>
      <c r="I2192" s="36"/>
      <c r="J2192" s="36"/>
      <c r="K2192" s="36"/>
    </row>
    <row r="2193" spans="7:11" ht="15.75" customHeight="1">
      <c r="G2193" s="36"/>
      <c r="H2193" s="36"/>
      <c r="I2193" s="36"/>
      <c r="J2193" s="36"/>
      <c r="K2193" s="36"/>
    </row>
    <row r="2194" spans="7:11" ht="15.75" customHeight="1">
      <c r="G2194" s="36"/>
      <c r="H2194" s="36"/>
      <c r="I2194" s="36"/>
      <c r="J2194" s="36"/>
      <c r="K2194" s="36"/>
    </row>
    <row r="2195" spans="7:11" ht="15.75" customHeight="1">
      <c r="G2195" s="36"/>
      <c r="H2195" s="36"/>
      <c r="I2195" s="36"/>
      <c r="J2195" s="36"/>
      <c r="K2195" s="36"/>
    </row>
    <row r="2196" spans="7:11" ht="15.75" customHeight="1">
      <c r="G2196" s="36"/>
      <c r="H2196" s="36"/>
      <c r="I2196" s="36"/>
      <c r="J2196" s="36"/>
      <c r="K2196" s="36"/>
    </row>
    <row r="2197" spans="7:11" ht="15.75" customHeight="1">
      <c r="G2197" s="36"/>
      <c r="H2197" s="36"/>
      <c r="I2197" s="36"/>
      <c r="J2197" s="36"/>
      <c r="K2197" s="36"/>
    </row>
    <row r="2198" spans="7:11" ht="15.75" customHeight="1">
      <c r="G2198" s="36"/>
      <c r="H2198" s="36"/>
      <c r="I2198" s="36"/>
      <c r="J2198" s="36"/>
      <c r="K2198" s="36"/>
    </row>
    <row r="2199" spans="7:11" ht="15.75" customHeight="1">
      <c r="G2199" s="36"/>
      <c r="H2199" s="36"/>
      <c r="I2199" s="36"/>
      <c r="J2199" s="36"/>
      <c r="K2199" s="36"/>
    </row>
    <row r="2200" spans="7:11" ht="15.75" customHeight="1">
      <c r="G2200" s="36"/>
      <c r="H2200" s="36"/>
      <c r="I2200" s="36"/>
      <c r="J2200" s="36"/>
      <c r="K2200" s="36"/>
    </row>
    <row r="2201" spans="7:11" ht="15.75" customHeight="1">
      <c r="G2201" s="36"/>
      <c r="H2201" s="36"/>
      <c r="I2201" s="36"/>
      <c r="J2201" s="36"/>
      <c r="K2201" s="36"/>
    </row>
    <row r="2202" spans="7:11" ht="15.75" customHeight="1">
      <c r="G2202" s="36"/>
      <c r="H2202" s="36"/>
      <c r="I2202" s="36"/>
      <c r="J2202" s="36"/>
      <c r="K2202" s="36"/>
    </row>
    <row r="2203" spans="7:11" ht="15.75" customHeight="1">
      <c r="G2203" s="36"/>
      <c r="H2203" s="36"/>
      <c r="I2203" s="36"/>
      <c r="J2203" s="36"/>
      <c r="K2203" s="36"/>
    </row>
    <row r="2204" spans="7:11" ht="15.75" customHeight="1">
      <c r="G2204" s="36"/>
      <c r="H2204" s="36"/>
      <c r="I2204" s="36"/>
      <c r="J2204" s="36"/>
      <c r="K2204" s="36"/>
    </row>
    <row r="2205" spans="7:11" ht="15.75" customHeight="1">
      <c r="G2205" s="36"/>
      <c r="H2205" s="36"/>
      <c r="I2205" s="36"/>
      <c r="J2205" s="36"/>
      <c r="K2205" s="36"/>
    </row>
    <row r="2206" spans="7:11" ht="15.75" customHeight="1">
      <c r="G2206" s="36"/>
      <c r="H2206" s="36"/>
      <c r="I2206" s="36"/>
      <c r="J2206" s="36"/>
      <c r="K2206" s="36"/>
    </row>
    <row r="2207" spans="7:11" ht="15.75" customHeight="1">
      <c r="G2207" s="36"/>
      <c r="H2207" s="36"/>
      <c r="I2207" s="36"/>
      <c r="J2207" s="36"/>
      <c r="K2207" s="36"/>
    </row>
    <row r="2208" spans="7:11" ht="15.75" customHeight="1">
      <c r="G2208" s="36"/>
      <c r="H2208" s="36"/>
      <c r="I2208" s="36"/>
      <c r="J2208" s="36"/>
      <c r="K2208" s="36"/>
    </row>
    <row r="2209" spans="7:11" ht="15.75" customHeight="1">
      <c r="G2209" s="36"/>
      <c r="H2209" s="36"/>
      <c r="I2209" s="36"/>
      <c r="J2209" s="36"/>
      <c r="K2209" s="36"/>
    </row>
    <row r="2210" spans="7:11" ht="15.75" customHeight="1">
      <c r="G2210" s="36"/>
      <c r="H2210" s="36"/>
      <c r="I2210" s="36"/>
      <c r="J2210" s="36"/>
      <c r="K2210" s="36"/>
    </row>
    <row r="2211" spans="7:11" ht="15.75" customHeight="1">
      <c r="G2211" s="36"/>
      <c r="H2211" s="36"/>
      <c r="I2211" s="36"/>
      <c r="J2211" s="36"/>
      <c r="K2211" s="36"/>
    </row>
    <row r="2212" spans="7:11" ht="15.75" customHeight="1">
      <c r="G2212" s="36"/>
      <c r="H2212" s="36"/>
      <c r="I2212" s="36"/>
      <c r="J2212" s="36"/>
      <c r="K2212" s="36"/>
    </row>
    <row r="2213" spans="7:11" ht="15.75" customHeight="1">
      <c r="G2213" s="36"/>
      <c r="H2213" s="36"/>
      <c r="I2213" s="36"/>
      <c r="J2213" s="36"/>
      <c r="K2213" s="36"/>
    </row>
    <row r="2214" spans="7:11" ht="15.75" customHeight="1">
      <c r="G2214" s="36"/>
      <c r="H2214" s="36"/>
      <c r="I2214" s="36"/>
      <c r="J2214" s="36"/>
      <c r="K2214" s="36"/>
    </row>
    <row r="2215" spans="7:11" ht="15.75" customHeight="1">
      <c r="G2215" s="36"/>
      <c r="H2215" s="36"/>
      <c r="I2215" s="36"/>
      <c r="J2215" s="36"/>
      <c r="K2215" s="36"/>
    </row>
    <row r="2216" spans="7:11" ht="15.75" customHeight="1">
      <c r="G2216" s="36"/>
      <c r="H2216" s="36"/>
      <c r="I2216" s="36"/>
      <c r="J2216" s="36"/>
      <c r="K2216" s="36"/>
    </row>
    <row r="2217" spans="7:11" ht="15.75" customHeight="1">
      <c r="G2217" s="36"/>
      <c r="H2217" s="36"/>
      <c r="I2217" s="36"/>
      <c r="J2217" s="36"/>
      <c r="K2217" s="36"/>
    </row>
    <row r="2218" spans="7:11" ht="15.75" customHeight="1">
      <c r="G2218" s="36"/>
      <c r="H2218" s="36"/>
      <c r="I2218" s="36"/>
      <c r="J2218" s="36"/>
      <c r="K2218" s="36"/>
    </row>
    <row r="2219" spans="7:11" ht="15.75" customHeight="1">
      <c r="G2219" s="36"/>
      <c r="H2219" s="36"/>
      <c r="I2219" s="36"/>
      <c r="J2219" s="36"/>
      <c r="K2219" s="36"/>
    </row>
    <row r="2220" spans="7:11" ht="15.75" customHeight="1">
      <c r="G2220" s="36"/>
      <c r="H2220" s="36"/>
      <c r="I2220" s="36"/>
      <c r="J2220" s="36"/>
      <c r="K2220" s="36"/>
    </row>
    <row r="2221" spans="7:11" ht="15.75" customHeight="1">
      <c r="G2221" s="36"/>
      <c r="H2221" s="36"/>
      <c r="I2221" s="36"/>
      <c r="J2221" s="36"/>
      <c r="K2221" s="36"/>
    </row>
    <row r="2222" spans="7:11" ht="15.75" customHeight="1">
      <c r="G2222" s="36"/>
      <c r="H2222" s="36"/>
      <c r="I2222" s="36"/>
      <c r="J2222" s="36"/>
      <c r="K2222" s="36"/>
    </row>
    <row r="2223" spans="7:11" ht="15.75" customHeight="1">
      <c r="G2223" s="36"/>
      <c r="H2223" s="36"/>
      <c r="I2223" s="36"/>
      <c r="J2223" s="36"/>
      <c r="K2223" s="36"/>
    </row>
    <row r="2224" spans="7:11" ht="15.75" customHeight="1">
      <c r="G2224" s="36"/>
      <c r="H2224" s="36"/>
      <c r="I2224" s="36"/>
      <c r="J2224" s="36"/>
      <c r="K2224" s="36"/>
    </row>
    <row r="2225" spans="7:11" ht="15.75" customHeight="1">
      <c r="G2225" s="36"/>
      <c r="H2225" s="36"/>
      <c r="I2225" s="36"/>
      <c r="J2225" s="36"/>
      <c r="K2225" s="36"/>
    </row>
    <row r="2226" spans="7:11" ht="15.75" customHeight="1">
      <c r="G2226" s="36"/>
      <c r="H2226" s="36"/>
      <c r="I2226" s="36"/>
      <c r="J2226" s="36"/>
      <c r="K2226" s="36"/>
    </row>
    <row r="2227" spans="7:11" ht="15.75" customHeight="1">
      <c r="G2227" s="36"/>
      <c r="H2227" s="36"/>
      <c r="I2227" s="36"/>
      <c r="J2227" s="36"/>
      <c r="K2227" s="36"/>
    </row>
    <row r="2228" spans="7:11" ht="15.75" customHeight="1">
      <c r="G2228" s="36"/>
      <c r="H2228" s="36"/>
      <c r="I2228" s="36"/>
      <c r="J2228" s="36"/>
      <c r="K2228" s="36"/>
    </row>
    <row r="2229" spans="7:11" ht="15.75" customHeight="1">
      <c r="G2229" s="36"/>
      <c r="H2229" s="36"/>
      <c r="I2229" s="36"/>
      <c r="J2229" s="36"/>
      <c r="K2229" s="36"/>
    </row>
    <row r="2230" spans="7:11" ht="15.75" customHeight="1">
      <c r="G2230" s="36"/>
      <c r="H2230" s="36"/>
      <c r="I2230" s="36"/>
      <c r="J2230" s="36"/>
      <c r="K2230" s="36"/>
    </row>
    <row r="2231" spans="7:11" ht="15.75" customHeight="1">
      <c r="G2231" s="36"/>
      <c r="H2231" s="36"/>
      <c r="I2231" s="36"/>
      <c r="J2231" s="36"/>
      <c r="K2231" s="36"/>
    </row>
    <row r="2232" spans="7:11" ht="15.75" customHeight="1">
      <c r="G2232" s="36"/>
      <c r="H2232" s="36"/>
      <c r="I2232" s="36"/>
      <c r="J2232" s="36"/>
      <c r="K2232" s="36"/>
    </row>
    <row r="2233" spans="7:11" ht="15.75" customHeight="1">
      <c r="G2233" s="36"/>
      <c r="H2233" s="36"/>
      <c r="I2233" s="36"/>
      <c r="J2233" s="36"/>
      <c r="K2233" s="36"/>
    </row>
    <row r="2234" spans="7:11" ht="15.75" customHeight="1">
      <c r="G2234" s="36"/>
      <c r="H2234" s="36"/>
      <c r="I2234" s="36"/>
      <c r="J2234" s="36"/>
      <c r="K2234" s="36"/>
    </row>
    <row r="2235" spans="7:11" ht="15.75" customHeight="1">
      <c r="G2235" s="36"/>
      <c r="H2235" s="36"/>
      <c r="I2235" s="36"/>
      <c r="J2235" s="36"/>
      <c r="K2235" s="36"/>
    </row>
    <row r="2236" spans="7:11" ht="15.75" customHeight="1">
      <c r="G2236" s="36"/>
      <c r="H2236" s="36"/>
      <c r="I2236" s="36"/>
      <c r="J2236" s="36"/>
      <c r="K2236" s="36"/>
    </row>
    <row r="2237" spans="7:11" ht="15.75" customHeight="1">
      <c r="G2237" s="36"/>
      <c r="H2237" s="36"/>
      <c r="I2237" s="36"/>
      <c r="J2237" s="36"/>
      <c r="K2237" s="36"/>
    </row>
    <row r="2238" spans="7:11" ht="15.75" customHeight="1">
      <c r="G2238" s="36"/>
      <c r="H2238" s="36"/>
      <c r="I2238" s="36"/>
      <c r="J2238" s="36"/>
      <c r="K2238" s="36"/>
    </row>
    <row r="2239" spans="7:11" ht="15.75" customHeight="1">
      <c r="G2239" s="36"/>
      <c r="H2239" s="36"/>
      <c r="I2239" s="36"/>
      <c r="J2239" s="36"/>
      <c r="K2239" s="36"/>
    </row>
    <row r="2240" spans="7:11" ht="15.75" customHeight="1">
      <c r="G2240" s="36"/>
      <c r="H2240" s="36"/>
      <c r="I2240" s="36"/>
      <c r="J2240" s="36"/>
      <c r="K2240" s="36"/>
    </row>
    <row r="2241" spans="7:11" ht="15.75" customHeight="1">
      <c r="G2241" s="36"/>
      <c r="H2241" s="36"/>
      <c r="I2241" s="36"/>
      <c r="J2241" s="36"/>
      <c r="K2241" s="36"/>
    </row>
    <row r="2242" spans="7:11" ht="15.75" customHeight="1">
      <c r="G2242" s="36"/>
      <c r="H2242" s="36"/>
      <c r="I2242" s="36"/>
      <c r="J2242" s="36"/>
      <c r="K2242" s="36"/>
    </row>
    <row r="2243" spans="7:11" ht="15.75" customHeight="1">
      <c r="G2243" s="36"/>
      <c r="H2243" s="36"/>
      <c r="I2243" s="36"/>
      <c r="J2243" s="36"/>
      <c r="K2243" s="36"/>
    </row>
    <row r="2244" spans="7:11" ht="15.75" customHeight="1">
      <c r="G2244" s="36"/>
      <c r="H2244" s="36"/>
      <c r="I2244" s="36"/>
      <c r="J2244" s="36"/>
      <c r="K2244" s="36"/>
    </row>
    <row r="2245" spans="7:11" ht="15.75" customHeight="1">
      <c r="G2245" s="36"/>
      <c r="H2245" s="36"/>
      <c r="I2245" s="36"/>
      <c r="J2245" s="36"/>
      <c r="K2245" s="36"/>
    </row>
    <row r="2246" spans="7:11" ht="15.75" customHeight="1">
      <c r="G2246" s="36"/>
      <c r="H2246" s="36"/>
      <c r="I2246" s="36"/>
      <c r="J2246" s="36"/>
      <c r="K2246" s="36"/>
    </row>
    <row r="2247" spans="7:11" ht="15.75" customHeight="1">
      <c r="G2247" s="36"/>
      <c r="H2247" s="36"/>
      <c r="I2247" s="36"/>
      <c r="J2247" s="36"/>
      <c r="K2247" s="36"/>
    </row>
    <row r="2248" spans="7:11" ht="15.75" customHeight="1">
      <c r="G2248" s="36"/>
      <c r="H2248" s="36"/>
      <c r="I2248" s="36"/>
      <c r="J2248" s="36"/>
      <c r="K2248" s="36"/>
    </row>
    <row r="2249" spans="7:11" ht="15.75" customHeight="1">
      <c r="G2249" s="36"/>
      <c r="H2249" s="36"/>
      <c r="I2249" s="36"/>
      <c r="J2249" s="36"/>
      <c r="K2249" s="36"/>
    </row>
    <row r="2250" spans="7:11" ht="15.75" customHeight="1">
      <c r="G2250" s="36"/>
      <c r="H2250" s="36"/>
      <c r="I2250" s="36"/>
      <c r="J2250" s="36"/>
      <c r="K2250" s="36"/>
    </row>
    <row r="2251" spans="7:11" ht="15.75" customHeight="1">
      <c r="G2251" s="36"/>
      <c r="H2251" s="36"/>
      <c r="I2251" s="36"/>
      <c r="J2251" s="36"/>
      <c r="K2251" s="36"/>
    </row>
    <row r="2252" spans="7:11" ht="15.75" customHeight="1">
      <c r="G2252" s="36"/>
      <c r="H2252" s="36"/>
      <c r="I2252" s="36"/>
      <c r="J2252" s="36"/>
      <c r="K2252" s="36"/>
    </row>
    <row r="2253" spans="7:11" ht="15.75" customHeight="1">
      <c r="G2253" s="36"/>
      <c r="H2253" s="36"/>
      <c r="I2253" s="36"/>
      <c r="J2253" s="36"/>
      <c r="K2253" s="36"/>
    </row>
    <row r="2254" spans="7:11" ht="15.75" customHeight="1">
      <c r="G2254" s="36"/>
      <c r="H2254" s="36"/>
      <c r="I2254" s="36"/>
      <c r="J2254" s="36"/>
      <c r="K2254" s="36"/>
    </row>
    <row r="2255" spans="7:11" ht="15.75" customHeight="1">
      <c r="G2255" s="36"/>
      <c r="H2255" s="36"/>
      <c r="I2255" s="36"/>
      <c r="J2255" s="36"/>
      <c r="K2255" s="36"/>
    </row>
    <row r="2256" spans="7:11" ht="15.75" customHeight="1">
      <c r="G2256" s="36"/>
      <c r="H2256" s="36"/>
      <c r="I2256" s="36"/>
      <c r="J2256" s="36"/>
      <c r="K2256" s="36"/>
    </row>
    <row r="2257" spans="7:11" ht="15.75" customHeight="1">
      <c r="G2257" s="36"/>
      <c r="H2257" s="36"/>
      <c r="I2257" s="36"/>
      <c r="J2257" s="36"/>
      <c r="K2257" s="36"/>
    </row>
    <row r="2258" spans="7:11" ht="15.75" customHeight="1">
      <c r="G2258" s="36"/>
      <c r="H2258" s="36"/>
      <c r="I2258" s="36"/>
      <c r="J2258" s="36"/>
      <c r="K2258" s="36"/>
    </row>
    <row r="2259" spans="7:11" ht="15.75" customHeight="1">
      <c r="G2259" s="36"/>
      <c r="H2259" s="36"/>
      <c r="I2259" s="36"/>
      <c r="J2259" s="36"/>
      <c r="K2259" s="36"/>
    </row>
    <row r="2260" spans="7:11" ht="15.75" customHeight="1">
      <c r="G2260" s="36"/>
      <c r="H2260" s="36"/>
      <c r="I2260" s="36"/>
      <c r="J2260" s="36"/>
      <c r="K2260" s="36"/>
    </row>
    <row r="2261" spans="7:11" ht="15.75" customHeight="1">
      <c r="G2261" s="36"/>
      <c r="H2261" s="36"/>
      <c r="I2261" s="36"/>
      <c r="J2261" s="36"/>
      <c r="K2261" s="36"/>
    </row>
    <row r="2262" spans="7:11" ht="15.75" customHeight="1">
      <c r="G2262" s="36"/>
      <c r="H2262" s="36"/>
      <c r="I2262" s="36"/>
      <c r="J2262" s="36"/>
      <c r="K2262" s="36"/>
    </row>
    <row r="2263" spans="7:11" ht="15.75" customHeight="1">
      <c r="G2263" s="36"/>
      <c r="H2263" s="36"/>
      <c r="I2263" s="36"/>
      <c r="J2263" s="36"/>
      <c r="K2263" s="36"/>
    </row>
    <row r="2264" spans="7:11" ht="15.75" customHeight="1">
      <c r="G2264" s="36"/>
      <c r="H2264" s="36"/>
      <c r="I2264" s="36"/>
      <c r="J2264" s="36"/>
      <c r="K2264" s="36"/>
    </row>
    <row r="2265" spans="7:11" ht="15.75" customHeight="1">
      <c r="G2265" s="36"/>
      <c r="H2265" s="36"/>
      <c r="I2265" s="36"/>
      <c r="J2265" s="36"/>
      <c r="K2265" s="36"/>
    </row>
    <row r="2266" spans="7:11" ht="15.75" customHeight="1">
      <c r="G2266" s="36"/>
      <c r="H2266" s="36"/>
      <c r="I2266" s="36"/>
      <c r="J2266" s="36"/>
      <c r="K2266" s="36"/>
    </row>
    <row r="2267" spans="7:11" ht="15.75" customHeight="1">
      <c r="G2267" s="36"/>
      <c r="H2267" s="36"/>
      <c r="I2267" s="36"/>
      <c r="J2267" s="36"/>
      <c r="K2267" s="36"/>
    </row>
    <row r="2268" spans="7:11" ht="15.75" customHeight="1">
      <c r="G2268" s="36"/>
      <c r="H2268" s="36"/>
      <c r="I2268" s="36"/>
      <c r="J2268" s="36"/>
      <c r="K2268" s="36"/>
    </row>
    <row r="2269" spans="7:11" ht="15.75" customHeight="1">
      <c r="G2269" s="36"/>
      <c r="H2269" s="36"/>
      <c r="I2269" s="36"/>
      <c r="J2269" s="36"/>
      <c r="K2269" s="36"/>
    </row>
    <row r="2270" spans="7:11" ht="15.75" customHeight="1">
      <c r="G2270" s="36"/>
      <c r="H2270" s="36"/>
      <c r="I2270" s="36"/>
      <c r="J2270" s="36"/>
      <c r="K2270" s="36"/>
    </row>
    <row r="2271" spans="7:11" ht="15.75" customHeight="1">
      <c r="G2271" s="36"/>
      <c r="H2271" s="36"/>
      <c r="I2271" s="36"/>
      <c r="J2271" s="36"/>
      <c r="K2271" s="36"/>
    </row>
    <row r="2272" spans="7:11" ht="15.75" customHeight="1">
      <c r="G2272" s="36"/>
      <c r="H2272" s="36"/>
      <c r="I2272" s="36"/>
      <c r="J2272" s="36"/>
      <c r="K2272" s="36"/>
    </row>
    <row r="2273" spans="7:11" ht="15.75" customHeight="1">
      <c r="G2273" s="36"/>
      <c r="H2273" s="36"/>
      <c r="I2273" s="36"/>
      <c r="J2273" s="36"/>
      <c r="K2273" s="36"/>
    </row>
    <row r="2274" spans="7:11" ht="15.75" customHeight="1">
      <c r="G2274" s="36"/>
      <c r="H2274" s="36"/>
      <c r="I2274" s="36"/>
      <c r="J2274" s="36"/>
      <c r="K2274" s="36"/>
    </row>
    <row r="2275" spans="7:11" ht="15.75" customHeight="1">
      <c r="G2275" s="36"/>
      <c r="H2275" s="36"/>
      <c r="I2275" s="36"/>
      <c r="J2275" s="36"/>
      <c r="K2275" s="36"/>
    </row>
    <row r="2276" spans="7:11" ht="15.75" customHeight="1">
      <c r="G2276" s="36"/>
      <c r="H2276" s="36"/>
      <c r="I2276" s="36"/>
      <c r="J2276" s="36"/>
      <c r="K2276" s="36"/>
    </row>
    <row r="2277" spans="7:11" ht="15.75" customHeight="1">
      <c r="G2277" s="36"/>
      <c r="H2277" s="36"/>
      <c r="I2277" s="36"/>
      <c r="J2277" s="36"/>
      <c r="K2277" s="36"/>
    </row>
    <row r="2278" spans="7:11" ht="15.75" customHeight="1">
      <c r="G2278" s="36"/>
      <c r="H2278" s="36"/>
      <c r="I2278" s="36"/>
      <c r="J2278" s="36"/>
      <c r="K2278" s="36"/>
    </row>
    <row r="2279" spans="7:11" ht="15.75" customHeight="1">
      <c r="G2279" s="36"/>
      <c r="H2279" s="36"/>
      <c r="I2279" s="36"/>
      <c r="J2279" s="36"/>
      <c r="K2279" s="36"/>
    </row>
    <row r="2280" spans="7:11" ht="15.75" customHeight="1">
      <c r="G2280" s="36"/>
      <c r="H2280" s="36"/>
      <c r="I2280" s="36"/>
      <c r="J2280" s="36"/>
      <c r="K2280" s="36"/>
    </row>
    <row r="2281" spans="7:11" ht="15.75" customHeight="1">
      <c r="G2281" s="36"/>
      <c r="H2281" s="36"/>
      <c r="I2281" s="36"/>
      <c r="J2281" s="36"/>
      <c r="K2281" s="36"/>
    </row>
    <row r="2282" spans="7:11" ht="15.75" customHeight="1">
      <c r="G2282" s="36"/>
      <c r="H2282" s="36"/>
      <c r="I2282" s="36"/>
      <c r="J2282" s="36"/>
      <c r="K2282" s="36"/>
    </row>
    <row r="2283" spans="7:11" ht="15.75" customHeight="1">
      <c r="G2283" s="36"/>
      <c r="H2283" s="36"/>
      <c r="I2283" s="36"/>
      <c r="J2283" s="36"/>
      <c r="K2283" s="36"/>
    </row>
    <row r="2284" spans="7:11" ht="15.75" customHeight="1">
      <c r="G2284" s="36"/>
      <c r="H2284" s="36"/>
      <c r="I2284" s="36"/>
      <c r="J2284" s="36"/>
      <c r="K2284" s="36"/>
    </row>
    <row r="2285" spans="7:11" ht="15.75" customHeight="1">
      <c r="G2285" s="36"/>
      <c r="H2285" s="36"/>
      <c r="I2285" s="36"/>
      <c r="J2285" s="36"/>
      <c r="K2285" s="36"/>
    </row>
    <row r="2286" spans="7:11" ht="15.75" customHeight="1">
      <c r="G2286" s="36"/>
      <c r="H2286" s="36"/>
      <c r="I2286" s="36"/>
      <c r="J2286" s="36"/>
      <c r="K2286" s="36"/>
    </row>
    <row r="2287" spans="7:11" ht="15.75" customHeight="1">
      <c r="G2287" s="36"/>
      <c r="H2287" s="36"/>
      <c r="I2287" s="36"/>
      <c r="J2287" s="36"/>
      <c r="K2287" s="36"/>
    </row>
    <row r="2288" spans="7:11" ht="15.75" customHeight="1">
      <c r="G2288" s="36"/>
      <c r="H2288" s="36"/>
      <c r="I2288" s="36"/>
      <c r="J2288" s="36"/>
      <c r="K2288" s="36"/>
    </row>
    <row r="2289" spans="7:11" ht="15.75" customHeight="1">
      <c r="G2289" s="36"/>
      <c r="H2289" s="36"/>
      <c r="I2289" s="36"/>
      <c r="J2289" s="36"/>
      <c r="K2289" s="36"/>
    </row>
    <row r="2290" spans="7:11" ht="15.75" customHeight="1">
      <c r="G2290" s="36"/>
      <c r="H2290" s="36"/>
      <c r="I2290" s="36"/>
      <c r="J2290" s="36"/>
      <c r="K2290" s="36"/>
    </row>
    <row r="2291" spans="7:11" ht="15.75" customHeight="1">
      <c r="G2291" s="36"/>
      <c r="H2291" s="36"/>
      <c r="I2291" s="36"/>
      <c r="J2291" s="36"/>
      <c r="K2291" s="36"/>
    </row>
    <row r="2292" spans="7:11" ht="15.75" customHeight="1">
      <c r="G2292" s="36"/>
      <c r="H2292" s="36"/>
      <c r="I2292" s="36"/>
      <c r="J2292" s="36"/>
      <c r="K2292" s="36"/>
    </row>
    <row r="2293" spans="7:11" ht="15.75" customHeight="1">
      <c r="G2293" s="36"/>
      <c r="H2293" s="36"/>
      <c r="I2293" s="36"/>
      <c r="J2293" s="36"/>
      <c r="K2293" s="36"/>
    </row>
    <row r="2294" spans="7:11" ht="15.75" customHeight="1">
      <c r="G2294" s="36"/>
      <c r="H2294" s="36"/>
      <c r="I2294" s="36"/>
      <c r="J2294" s="36"/>
      <c r="K2294" s="36"/>
    </row>
    <row r="2295" spans="7:11" ht="15.75" customHeight="1">
      <c r="G2295" s="36"/>
      <c r="H2295" s="36"/>
      <c r="I2295" s="36"/>
      <c r="J2295" s="36"/>
      <c r="K2295" s="36"/>
    </row>
    <row r="2296" spans="7:11" ht="15.75" customHeight="1">
      <c r="G2296" s="36"/>
      <c r="H2296" s="36"/>
      <c r="I2296" s="36"/>
      <c r="J2296" s="36"/>
      <c r="K2296" s="36"/>
    </row>
    <row r="2297" spans="7:11" ht="15.75" customHeight="1">
      <c r="G2297" s="36"/>
      <c r="H2297" s="36"/>
      <c r="I2297" s="36"/>
      <c r="J2297" s="36"/>
      <c r="K2297" s="36"/>
    </row>
    <row r="2298" spans="7:11" ht="15.75" customHeight="1">
      <c r="G2298" s="36"/>
      <c r="H2298" s="36"/>
      <c r="I2298" s="36"/>
      <c r="J2298" s="36"/>
      <c r="K2298" s="36"/>
    </row>
    <row r="2299" spans="7:11" ht="15.75" customHeight="1">
      <c r="G2299" s="36"/>
      <c r="H2299" s="36"/>
      <c r="I2299" s="36"/>
      <c r="J2299" s="36"/>
      <c r="K2299" s="36"/>
    </row>
    <row r="2300" spans="7:11" ht="15.75" customHeight="1">
      <c r="G2300" s="36"/>
      <c r="H2300" s="36"/>
      <c r="I2300" s="36"/>
      <c r="J2300" s="36"/>
      <c r="K2300" s="36"/>
    </row>
    <row r="2301" spans="7:11" ht="15.75" customHeight="1">
      <c r="G2301" s="36"/>
      <c r="H2301" s="36"/>
      <c r="I2301" s="36"/>
      <c r="J2301" s="36"/>
      <c r="K2301" s="36"/>
    </row>
    <row r="2302" spans="7:11" ht="15.75" customHeight="1">
      <c r="G2302" s="36"/>
      <c r="H2302" s="36"/>
      <c r="I2302" s="36"/>
      <c r="J2302" s="36"/>
      <c r="K2302" s="36"/>
    </row>
    <row r="2303" spans="7:11" ht="15.75" customHeight="1">
      <c r="G2303" s="36"/>
      <c r="H2303" s="36"/>
      <c r="I2303" s="36"/>
      <c r="J2303" s="36"/>
      <c r="K2303" s="36"/>
    </row>
    <row r="2304" spans="7:11" ht="15.75" customHeight="1">
      <c r="G2304" s="36"/>
      <c r="H2304" s="36"/>
      <c r="I2304" s="36"/>
      <c r="J2304" s="36"/>
      <c r="K2304" s="36"/>
    </row>
    <row r="2305" spans="7:11" ht="15.75" customHeight="1">
      <c r="G2305" s="36"/>
      <c r="H2305" s="36"/>
      <c r="I2305" s="36"/>
      <c r="J2305" s="36"/>
      <c r="K2305" s="36"/>
    </row>
    <row r="2306" spans="7:11" ht="15.75" customHeight="1">
      <c r="G2306" s="36"/>
      <c r="H2306" s="36"/>
      <c r="I2306" s="36"/>
      <c r="J2306" s="36"/>
      <c r="K2306" s="36"/>
    </row>
    <row r="2307" spans="7:11" ht="15.75" customHeight="1">
      <c r="G2307" s="36"/>
      <c r="H2307" s="36"/>
      <c r="I2307" s="36"/>
      <c r="J2307" s="36"/>
      <c r="K2307" s="36"/>
    </row>
    <row r="2308" spans="7:11" ht="15.75" customHeight="1">
      <c r="G2308" s="36"/>
      <c r="H2308" s="36"/>
      <c r="I2308" s="36"/>
      <c r="J2308" s="36"/>
      <c r="K2308" s="36"/>
    </row>
    <row r="2309" spans="7:11" ht="15.75" customHeight="1">
      <c r="G2309" s="36"/>
      <c r="H2309" s="36"/>
      <c r="I2309" s="36"/>
      <c r="J2309" s="36"/>
      <c r="K2309" s="36"/>
    </row>
    <row r="2310" spans="7:11" ht="15.75" customHeight="1">
      <c r="G2310" s="36"/>
      <c r="H2310" s="36"/>
      <c r="I2310" s="36"/>
      <c r="J2310" s="36"/>
      <c r="K2310" s="36"/>
    </row>
    <row r="2311" spans="7:11" ht="15.75" customHeight="1">
      <c r="G2311" s="36"/>
      <c r="H2311" s="36"/>
      <c r="I2311" s="36"/>
      <c r="J2311" s="36"/>
      <c r="K2311" s="36"/>
    </row>
    <row r="2312" spans="7:11" ht="15.75" customHeight="1">
      <c r="G2312" s="36"/>
      <c r="H2312" s="36"/>
      <c r="I2312" s="36"/>
      <c r="J2312" s="36"/>
      <c r="K2312" s="36"/>
    </row>
    <row r="2313" spans="7:11" ht="15.75" customHeight="1">
      <c r="G2313" s="36"/>
      <c r="H2313" s="36"/>
      <c r="I2313" s="36"/>
      <c r="J2313" s="36"/>
      <c r="K2313" s="36"/>
    </row>
    <row r="2314" spans="7:11" ht="15.75" customHeight="1">
      <c r="G2314" s="36"/>
      <c r="H2314" s="36"/>
      <c r="I2314" s="36"/>
      <c r="J2314" s="36"/>
      <c r="K2314" s="36"/>
    </row>
    <row r="2315" spans="7:11" ht="15.75" customHeight="1">
      <c r="G2315" s="36"/>
      <c r="H2315" s="36"/>
      <c r="I2315" s="36"/>
      <c r="J2315" s="36"/>
      <c r="K2315" s="36"/>
    </row>
    <row r="2316" spans="7:11" ht="15.75" customHeight="1">
      <c r="G2316" s="36"/>
      <c r="H2316" s="36"/>
      <c r="I2316" s="36"/>
      <c r="J2316" s="36"/>
      <c r="K2316" s="36"/>
    </row>
    <row r="2317" spans="7:11" ht="15.75" customHeight="1">
      <c r="G2317" s="36"/>
      <c r="H2317" s="36"/>
      <c r="I2317" s="36"/>
      <c r="J2317" s="36"/>
      <c r="K2317" s="36"/>
    </row>
    <row r="2318" spans="7:11" ht="15.75" customHeight="1">
      <c r="G2318" s="36"/>
      <c r="H2318" s="36"/>
      <c r="I2318" s="36"/>
      <c r="J2318" s="36"/>
      <c r="K2318" s="36"/>
    </row>
    <row r="2319" spans="7:11" ht="15.75" customHeight="1">
      <c r="G2319" s="36"/>
      <c r="H2319" s="36"/>
      <c r="I2319" s="36"/>
      <c r="J2319" s="36"/>
      <c r="K2319" s="36"/>
    </row>
    <row r="2320" spans="7:11" ht="15.75" customHeight="1">
      <c r="G2320" s="36"/>
      <c r="H2320" s="36"/>
      <c r="I2320" s="36"/>
      <c r="J2320" s="36"/>
      <c r="K2320" s="36"/>
    </row>
    <row r="2321" spans="7:11" ht="15.75" customHeight="1">
      <c r="G2321" s="36"/>
      <c r="H2321" s="36"/>
      <c r="I2321" s="36"/>
      <c r="J2321" s="36"/>
      <c r="K2321" s="36"/>
    </row>
    <row r="2322" spans="7:11" ht="15.75" customHeight="1">
      <c r="G2322" s="36"/>
      <c r="H2322" s="36"/>
      <c r="I2322" s="36"/>
      <c r="J2322" s="36"/>
      <c r="K2322" s="36"/>
    </row>
    <row r="2323" spans="7:11" ht="15.75" customHeight="1">
      <c r="G2323" s="36"/>
      <c r="H2323" s="36"/>
      <c r="I2323" s="36"/>
      <c r="J2323" s="36"/>
      <c r="K2323" s="36"/>
    </row>
    <row r="2324" spans="7:11" ht="15.75" customHeight="1">
      <c r="G2324" s="36"/>
      <c r="H2324" s="36"/>
      <c r="I2324" s="36"/>
      <c r="J2324" s="36"/>
      <c r="K2324" s="36"/>
    </row>
    <row r="2325" spans="7:11" ht="15.75" customHeight="1">
      <c r="G2325" s="36"/>
      <c r="H2325" s="36"/>
      <c r="I2325" s="36"/>
      <c r="J2325" s="36"/>
      <c r="K2325" s="36"/>
    </row>
    <row r="2326" spans="7:11" ht="15.75" customHeight="1">
      <c r="G2326" s="36"/>
      <c r="H2326" s="36"/>
      <c r="I2326" s="36"/>
      <c r="J2326" s="36"/>
      <c r="K2326" s="36"/>
    </row>
    <row r="2327" spans="7:11" ht="15.75" customHeight="1">
      <c r="G2327" s="36"/>
      <c r="H2327" s="36"/>
      <c r="I2327" s="36"/>
      <c r="J2327" s="36"/>
      <c r="K2327" s="36"/>
    </row>
    <row r="2328" spans="7:11" ht="15.75" customHeight="1">
      <c r="G2328" s="36"/>
      <c r="H2328" s="36"/>
      <c r="I2328" s="36"/>
      <c r="J2328" s="36"/>
      <c r="K2328" s="36"/>
    </row>
    <row r="2329" spans="7:11" ht="15.75" customHeight="1">
      <c r="G2329" s="36"/>
      <c r="H2329" s="36"/>
      <c r="I2329" s="36"/>
      <c r="J2329" s="36"/>
      <c r="K2329" s="36"/>
    </row>
    <row r="2330" spans="7:11" ht="15.75" customHeight="1">
      <c r="G2330" s="36"/>
      <c r="H2330" s="36"/>
      <c r="I2330" s="36"/>
      <c r="J2330" s="36"/>
      <c r="K2330" s="36"/>
    </row>
    <row r="2331" spans="7:11" ht="15.75" customHeight="1">
      <c r="G2331" s="36"/>
      <c r="H2331" s="36"/>
      <c r="I2331" s="36"/>
      <c r="J2331" s="36"/>
      <c r="K2331" s="36"/>
    </row>
    <row r="2332" spans="7:11" ht="15.75" customHeight="1">
      <c r="G2332" s="36"/>
      <c r="H2332" s="36"/>
      <c r="I2332" s="36"/>
      <c r="J2332" s="36"/>
      <c r="K2332" s="36"/>
    </row>
    <row r="2333" spans="7:11" ht="15.75" customHeight="1">
      <c r="G2333" s="36"/>
      <c r="H2333" s="36"/>
      <c r="I2333" s="36"/>
      <c r="J2333" s="36"/>
      <c r="K2333" s="36"/>
    </row>
    <row r="2334" spans="7:11" ht="15.75" customHeight="1">
      <c r="G2334" s="36"/>
      <c r="H2334" s="36"/>
      <c r="I2334" s="36"/>
      <c r="J2334" s="36"/>
      <c r="K2334" s="36"/>
    </row>
    <row r="2335" spans="7:11" ht="15.75" customHeight="1">
      <c r="G2335" s="36"/>
      <c r="H2335" s="36"/>
      <c r="I2335" s="36"/>
      <c r="J2335" s="36"/>
      <c r="K2335" s="36"/>
    </row>
    <row r="2336" spans="7:11" ht="15.75" customHeight="1">
      <c r="G2336" s="36"/>
      <c r="H2336" s="36"/>
      <c r="I2336" s="36"/>
      <c r="J2336" s="36"/>
      <c r="K2336" s="36"/>
    </row>
    <row r="2337" spans="7:11" ht="15.75" customHeight="1">
      <c r="G2337" s="36"/>
      <c r="H2337" s="36"/>
      <c r="I2337" s="36"/>
      <c r="J2337" s="36"/>
      <c r="K2337" s="36"/>
    </row>
    <row r="2338" spans="7:11" ht="15.75" customHeight="1">
      <c r="G2338" s="36"/>
      <c r="H2338" s="36"/>
      <c r="I2338" s="36"/>
      <c r="J2338" s="36"/>
      <c r="K2338" s="36"/>
    </row>
    <row r="2339" spans="7:11" ht="15.75" customHeight="1">
      <c r="G2339" s="36"/>
      <c r="H2339" s="36"/>
      <c r="I2339" s="36"/>
      <c r="J2339" s="36"/>
      <c r="K2339" s="36"/>
    </row>
    <row r="2340" spans="7:11" ht="15.75" customHeight="1">
      <c r="G2340" s="36"/>
      <c r="H2340" s="36"/>
      <c r="I2340" s="36"/>
      <c r="J2340" s="36"/>
      <c r="K2340" s="36"/>
    </row>
    <row r="2341" spans="7:11" ht="15.75" customHeight="1">
      <c r="G2341" s="36"/>
      <c r="H2341" s="36"/>
      <c r="I2341" s="36"/>
      <c r="J2341" s="36"/>
      <c r="K2341" s="36"/>
    </row>
    <row r="2342" spans="7:11" ht="15.75" customHeight="1">
      <c r="G2342" s="36"/>
      <c r="H2342" s="36"/>
      <c r="I2342" s="36"/>
      <c r="J2342" s="36"/>
      <c r="K2342" s="36"/>
    </row>
    <row r="2343" spans="7:11" ht="15.75" customHeight="1">
      <c r="G2343" s="36"/>
      <c r="H2343" s="36"/>
      <c r="I2343" s="36"/>
      <c r="J2343" s="36"/>
      <c r="K2343" s="36"/>
    </row>
    <row r="2344" spans="7:11" ht="15.75" customHeight="1">
      <c r="G2344" s="36"/>
      <c r="H2344" s="36"/>
      <c r="I2344" s="36"/>
      <c r="J2344" s="36"/>
      <c r="K2344" s="36"/>
    </row>
    <row r="2345" spans="7:11" ht="15.75" customHeight="1">
      <c r="G2345" s="36"/>
      <c r="H2345" s="36"/>
      <c r="I2345" s="36"/>
      <c r="J2345" s="36"/>
      <c r="K2345" s="36"/>
    </row>
    <row r="2346" spans="7:11" ht="15.75" customHeight="1">
      <c r="G2346" s="36"/>
      <c r="H2346" s="36"/>
      <c r="I2346" s="36"/>
      <c r="J2346" s="36"/>
      <c r="K2346" s="36"/>
    </row>
    <row r="2347" spans="7:11" ht="15.75" customHeight="1">
      <c r="G2347" s="36"/>
      <c r="H2347" s="36"/>
      <c r="I2347" s="36"/>
      <c r="J2347" s="36"/>
      <c r="K2347" s="36"/>
    </row>
    <row r="2348" spans="7:11" ht="15.75" customHeight="1">
      <c r="G2348" s="36"/>
      <c r="H2348" s="36"/>
      <c r="I2348" s="36"/>
      <c r="J2348" s="36"/>
      <c r="K2348" s="36"/>
    </row>
    <row r="2349" spans="7:11" ht="15.75" customHeight="1">
      <c r="G2349" s="36"/>
      <c r="H2349" s="36"/>
      <c r="I2349" s="36"/>
      <c r="J2349" s="36"/>
      <c r="K2349" s="36"/>
    </row>
    <row r="2350" spans="7:11" ht="15.75" customHeight="1">
      <c r="G2350" s="36"/>
      <c r="H2350" s="36"/>
      <c r="I2350" s="36"/>
      <c r="J2350" s="36"/>
      <c r="K2350" s="36"/>
    </row>
    <row r="2351" spans="7:11" ht="15.75" customHeight="1">
      <c r="G2351" s="36"/>
      <c r="H2351" s="36"/>
      <c r="I2351" s="36"/>
      <c r="J2351" s="36"/>
      <c r="K2351" s="36"/>
    </row>
    <row r="2352" spans="7:11" ht="15.75" customHeight="1">
      <c r="G2352" s="36"/>
      <c r="H2352" s="36"/>
      <c r="I2352" s="36"/>
      <c r="J2352" s="36"/>
      <c r="K2352" s="36"/>
    </row>
    <row r="2353" spans="7:11" ht="15.75" customHeight="1">
      <c r="G2353" s="36"/>
      <c r="H2353" s="36"/>
      <c r="I2353" s="36"/>
      <c r="J2353" s="36"/>
      <c r="K2353" s="36"/>
    </row>
    <row r="2354" spans="7:11" ht="15.75" customHeight="1">
      <c r="G2354" s="36"/>
      <c r="H2354" s="36"/>
      <c r="I2354" s="36"/>
      <c r="J2354" s="36"/>
      <c r="K2354" s="36"/>
    </row>
    <row r="2355" spans="7:11" ht="15.75" customHeight="1">
      <c r="G2355" s="36"/>
      <c r="H2355" s="36"/>
      <c r="I2355" s="36"/>
      <c r="J2355" s="36"/>
      <c r="K2355" s="36"/>
    </row>
    <row r="2356" spans="7:11" ht="15.75" customHeight="1">
      <c r="G2356" s="36"/>
      <c r="H2356" s="36"/>
      <c r="I2356" s="36"/>
      <c r="J2356" s="36"/>
      <c r="K2356" s="36"/>
    </row>
    <row r="2357" spans="7:11" ht="15.75" customHeight="1">
      <c r="G2357" s="36"/>
      <c r="H2357" s="36"/>
      <c r="I2357" s="36"/>
      <c r="J2357" s="36"/>
      <c r="K2357" s="36"/>
    </row>
    <row r="2358" spans="7:11" ht="15.75" customHeight="1">
      <c r="G2358" s="36"/>
      <c r="H2358" s="36"/>
      <c r="I2358" s="36"/>
      <c r="J2358" s="36"/>
      <c r="K2358" s="36"/>
    </row>
    <row r="2359" spans="7:11" ht="15.75" customHeight="1">
      <c r="G2359" s="36"/>
      <c r="H2359" s="36"/>
      <c r="I2359" s="36"/>
      <c r="J2359" s="36"/>
      <c r="K2359" s="36"/>
    </row>
    <row r="2360" spans="7:11" ht="15.75" customHeight="1">
      <c r="G2360" s="36"/>
      <c r="H2360" s="36"/>
      <c r="I2360" s="36"/>
      <c r="J2360" s="36"/>
      <c r="K2360" s="36"/>
    </row>
    <row r="2361" spans="7:11" ht="15.75" customHeight="1">
      <c r="G2361" s="36"/>
      <c r="H2361" s="36"/>
      <c r="I2361" s="36"/>
      <c r="J2361" s="36"/>
      <c r="K2361" s="36"/>
    </row>
    <row r="2362" spans="7:11" ht="15.75" customHeight="1">
      <c r="G2362" s="36"/>
      <c r="H2362" s="36"/>
      <c r="I2362" s="36"/>
      <c r="J2362" s="36"/>
      <c r="K2362" s="36"/>
    </row>
    <row r="2363" spans="7:11" ht="15.75" customHeight="1">
      <c r="G2363" s="36"/>
      <c r="H2363" s="36"/>
      <c r="I2363" s="36"/>
      <c r="J2363" s="36"/>
      <c r="K2363" s="36"/>
    </row>
    <row r="2364" spans="7:11" ht="15.75" customHeight="1">
      <c r="G2364" s="36"/>
      <c r="H2364" s="36"/>
      <c r="I2364" s="36"/>
      <c r="J2364" s="36"/>
      <c r="K2364" s="36"/>
    </row>
    <row r="2365" spans="7:11" ht="15.75" customHeight="1">
      <c r="G2365" s="36"/>
      <c r="H2365" s="36"/>
      <c r="I2365" s="36"/>
      <c r="J2365" s="36"/>
      <c r="K2365" s="36"/>
    </row>
    <row r="2366" spans="7:11" ht="15.75" customHeight="1">
      <c r="G2366" s="36"/>
      <c r="H2366" s="36"/>
      <c r="I2366" s="36"/>
      <c r="J2366" s="36"/>
      <c r="K2366" s="36"/>
    </row>
    <row r="2367" spans="7:11" ht="15.75" customHeight="1">
      <c r="G2367" s="36"/>
      <c r="H2367" s="36"/>
      <c r="I2367" s="36"/>
      <c r="J2367" s="36"/>
      <c r="K2367" s="36"/>
    </row>
    <row r="2368" spans="7:11" ht="15.75" customHeight="1">
      <c r="G2368" s="36"/>
      <c r="H2368" s="36"/>
      <c r="I2368" s="36"/>
      <c r="J2368" s="36"/>
      <c r="K2368" s="36"/>
    </row>
    <row r="2369" spans="7:11" ht="15.75" customHeight="1">
      <c r="G2369" s="36"/>
      <c r="H2369" s="36"/>
      <c r="I2369" s="36"/>
      <c r="J2369" s="36"/>
      <c r="K2369" s="36"/>
    </row>
    <row r="2370" spans="7:11" ht="15.75" customHeight="1">
      <c r="G2370" s="36"/>
      <c r="H2370" s="36"/>
      <c r="I2370" s="36"/>
      <c r="J2370" s="36"/>
      <c r="K2370" s="36"/>
    </row>
    <row r="2371" spans="7:11" ht="15.75" customHeight="1">
      <c r="G2371" s="36"/>
      <c r="H2371" s="36"/>
      <c r="I2371" s="36"/>
      <c r="J2371" s="36"/>
      <c r="K2371" s="36"/>
    </row>
    <row r="2372" spans="7:11" ht="15.75" customHeight="1">
      <c r="G2372" s="36"/>
      <c r="H2372" s="36"/>
      <c r="I2372" s="36"/>
      <c r="J2372" s="36"/>
      <c r="K2372" s="36"/>
    </row>
    <row r="2373" spans="7:11" ht="15.75" customHeight="1">
      <c r="G2373" s="36"/>
      <c r="H2373" s="36"/>
      <c r="I2373" s="36"/>
      <c r="J2373" s="36"/>
      <c r="K2373" s="36"/>
    </row>
    <row r="2374" spans="7:11" ht="15.75" customHeight="1">
      <c r="G2374" s="36"/>
      <c r="H2374" s="36"/>
      <c r="I2374" s="36"/>
      <c r="J2374" s="36"/>
      <c r="K2374" s="36"/>
    </row>
    <row r="2375" spans="7:11" ht="15.75" customHeight="1">
      <c r="G2375" s="36"/>
      <c r="H2375" s="36"/>
      <c r="I2375" s="36"/>
      <c r="J2375" s="36"/>
      <c r="K2375" s="36"/>
    </row>
    <row r="2376" spans="7:11" ht="15.75" customHeight="1">
      <c r="G2376" s="36"/>
      <c r="H2376" s="36"/>
      <c r="I2376" s="36"/>
      <c r="J2376" s="36"/>
      <c r="K2376" s="36"/>
    </row>
    <row r="2377" spans="7:11" ht="15.75" customHeight="1">
      <c r="G2377" s="36"/>
      <c r="H2377" s="36"/>
      <c r="I2377" s="36"/>
      <c r="J2377" s="36"/>
      <c r="K2377" s="36"/>
    </row>
    <row r="2378" spans="7:11" ht="15.75" customHeight="1">
      <c r="G2378" s="36"/>
      <c r="H2378" s="36"/>
      <c r="I2378" s="36"/>
      <c r="J2378" s="36"/>
      <c r="K2378" s="36"/>
    </row>
    <row r="2379" spans="7:11" ht="15.75" customHeight="1">
      <c r="G2379" s="36"/>
      <c r="H2379" s="36"/>
      <c r="I2379" s="36"/>
      <c r="J2379" s="36"/>
      <c r="K2379" s="36"/>
    </row>
    <row r="2380" spans="7:11" ht="15.75" customHeight="1">
      <c r="G2380" s="36"/>
      <c r="H2380" s="36"/>
      <c r="I2380" s="36"/>
      <c r="J2380" s="36"/>
      <c r="K2380" s="36"/>
    </row>
    <row r="2381" spans="7:11" ht="15.75" customHeight="1">
      <c r="G2381" s="36"/>
      <c r="H2381" s="36"/>
      <c r="I2381" s="36"/>
      <c r="J2381" s="36"/>
      <c r="K2381" s="36"/>
    </row>
    <row r="2382" spans="7:11" ht="15.75" customHeight="1">
      <c r="G2382" s="36"/>
      <c r="H2382" s="36"/>
      <c r="I2382" s="36"/>
      <c r="J2382" s="36"/>
      <c r="K2382" s="36"/>
    </row>
    <row r="2383" spans="7:11" ht="15.75" customHeight="1">
      <c r="G2383" s="36"/>
      <c r="H2383" s="36"/>
      <c r="I2383" s="36"/>
      <c r="J2383" s="36"/>
      <c r="K2383" s="36"/>
    </row>
    <row r="2384" spans="7:11" ht="15.75" customHeight="1">
      <c r="G2384" s="36"/>
      <c r="H2384" s="36"/>
      <c r="I2384" s="36"/>
      <c r="J2384" s="36"/>
      <c r="K2384" s="36"/>
    </row>
    <row r="2385" spans="7:11" ht="15.75" customHeight="1">
      <c r="G2385" s="36"/>
      <c r="H2385" s="36"/>
      <c r="I2385" s="36"/>
      <c r="J2385" s="36"/>
      <c r="K2385" s="36"/>
    </row>
    <row r="2386" spans="7:11" ht="15.75" customHeight="1">
      <c r="G2386" s="36"/>
      <c r="H2386" s="36"/>
      <c r="I2386" s="36"/>
      <c r="J2386" s="36"/>
      <c r="K2386" s="36"/>
    </row>
    <row r="2387" spans="7:11" ht="15.75" customHeight="1">
      <c r="G2387" s="36"/>
      <c r="H2387" s="36"/>
      <c r="I2387" s="36"/>
      <c r="J2387" s="36"/>
      <c r="K2387" s="36"/>
    </row>
    <row r="2388" spans="7:11" ht="15.75" customHeight="1">
      <c r="G2388" s="36"/>
      <c r="H2388" s="36"/>
      <c r="I2388" s="36"/>
      <c r="J2388" s="36"/>
      <c r="K2388" s="36"/>
    </row>
    <row r="2389" spans="7:11" ht="15.75" customHeight="1">
      <c r="G2389" s="36"/>
      <c r="H2389" s="36"/>
      <c r="I2389" s="36"/>
      <c r="J2389" s="36"/>
      <c r="K2389" s="36"/>
    </row>
    <row r="2390" spans="7:11" ht="15.75" customHeight="1">
      <c r="G2390" s="36"/>
      <c r="H2390" s="36"/>
      <c r="I2390" s="36"/>
      <c r="J2390" s="36"/>
      <c r="K2390" s="36"/>
    </row>
    <row r="2391" spans="7:11" ht="15.75" customHeight="1">
      <c r="G2391" s="36"/>
      <c r="H2391" s="36"/>
      <c r="I2391" s="36"/>
      <c r="J2391" s="36"/>
      <c r="K2391" s="36"/>
    </row>
    <row r="2392" spans="7:11" ht="15.75" customHeight="1">
      <c r="G2392" s="36"/>
      <c r="H2392" s="36"/>
      <c r="I2392" s="36"/>
      <c r="J2392" s="36"/>
      <c r="K2392" s="36"/>
    </row>
    <row r="2393" spans="7:11" ht="15.75" customHeight="1">
      <c r="G2393" s="36"/>
      <c r="H2393" s="36"/>
      <c r="I2393" s="36"/>
      <c r="J2393" s="36"/>
      <c r="K2393" s="36"/>
    </row>
    <row r="2394" spans="7:11" ht="15.75" customHeight="1">
      <c r="G2394" s="36"/>
      <c r="H2394" s="36"/>
      <c r="I2394" s="36"/>
      <c r="J2394" s="36"/>
      <c r="K2394" s="36"/>
    </row>
    <row r="2395" spans="7:11" ht="15.75" customHeight="1">
      <c r="G2395" s="36"/>
      <c r="H2395" s="36"/>
      <c r="I2395" s="36"/>
      <c r="J2395" s="36"/>
      <c r="K2395" s="36"/>
    </row>
    <row r="2396" spans="7:11" ht="15.75" customHeight="1">
      <c r="G2396" s="36"/>
      <c r="H2396" s="36"/>
      <c r="I2396" s="36"/>
      <c r="J2396" s="36"/>
      <c r="K2396" s="36"/>
    </row>
    <row r="2397" spans="7:11" ht="15.75" customHeight="1">
      <c r="G2397" s="36"/>
      <c r="H2397" s="36"/>
      <c r="I2397" s="36"/>
      <c r="J2397" s="36"/>
      <c r="K2397" s="36"/>
    </row>
    <row r="2398" spans="7:11" ht="15.75" customHeight="1">
      <c r="G2398" s="36"/>
      <c r="H2398" s="36"/>
      <c r="I2398" s="36"/>
      <c r="J2398" s="36"/>
      <c r="K2398" s="36"/>
    </row>
    <row r="2399" spans="7:11" ht="15.75" customHeight="1">
      <c r="G2399" s="36"/>
      <c r="H2399" s="36"/>
      <c r="I2399" s="36"/>
      <c r="J2399" s="36"/>
      <c r="K2399" s="36"/>
    </row>
    <row r="2400" spans="7:11" ht="15.75" customHeight="1">
      <c r="G2400" s="36"/>
      <c r="H2400" s="36"/>
      <c r="I2400" s="36"/>
      <c r="J2400" s="36"/>
      <c r="K2400" s="36"/>
    </row>
    <row r="2401" spans="7:11" ht="15.75" customHeight="1">
      <c r="G2401" s="36"/>
      <c r="H2401" s="36"/>
      <c r="I2401" s="36"/>
      <c r="J2401" s="36"/>
      <c r="K2401" s="36"/>
    </row>
    <row r="2402" spans="7:11" ht="15.75" customHeight="1">
      <c r="G2402" s="36"/>
      <c r="H2402" s="36"/>
      <c r="I2402" s="36"/>
      <c r="J2402" s="36"/>
      <c r="K2402" s="36"/>
    </row>
    <row r="2403" spans="7:11" ht="15.75" customHeight="1">
      <c r="G2403" s="36"/>
      <c r="H2403" s="36"/>
      <c r="I2403" s="36"/>
      <c r="J2403" s="36"/>
      <c r="K2403" s="36"/>
    </row>
    <row r="2404" spans="7:11" ht="15.75" customHeight="1">
      <c r="G2404" s="36"/>
      <c r="H2404" s="36"/>
      <c r="I2404" s="36"/>
      <c r="J2404" s="36"/>
      <c r="K2404" s="36"/>
    </row>
    <row r="2405" spans="7:11" ht="15.75" customHeight="1">
      <c r="G2405" s="36"/>
      <c r="H2405" s="36"/>
      <c r="I2405" s="36"/>
      <c r="J2405" s="36"/>
      <c r="K2405" s="36"/>
    </row>
    <row r="2406" spans="7:11" ht="15.75" customHeight="1">
      <c r="G2406" s="36"/>
      <c r="H2406" s="36"/>
      <c r="I2406" s="36"/>
      <c r="J2406" s="36"/>
      <c r="K2406" s="36"/>
    </row>
    <row r="2407" spans="7:11" ht="15.75" customHeight="1">
      <c r="G2407" s="36"/>
      <c r="H2407" s="36"/>
      <c r="I2407" s="36"/>
      <c r="J2407" s="36"/>
      <c r="K2407" s="36"/>
    </row>
    <row r="2408" spans="7:11" ht="15.75" customHeight="1">
      <c r="G2408" s="36"/>
      <c r="H2408" s="36"/>
      <c r="I2408" s="36"/>
      <c r="J2408" s="36"/>
      <c r="K2408" s="36"/>
    </row>
    <row r="2409" spans="7:11" ht="15.75" customHeight="1">
      <c r="G2409" s="36"/>
      <c r="H2409" s="36"/>
      <c r="I2409" s="36"/>
      <c r="J2409" s="36"/>
      <c r="K2409" s="36"/>
    </row>
    <row r="2410" spans="7:11" ht="15.75" customHeight="1">
      <c r="G2410" s="36"/>
      <c r="H2410" s="36"/>
      <c r="I2410" s="36"/>
      <c r="J2410" s="36"/>
      <c r="K2410" s="36"/>
    </row>
    <row r="2411" spans="7:11" ht="15.75" customHeight="1">
      <c r="G2411" s="36"/>
      <c r="H2411" s="36"/>
      <c r="I2411" s="36"/>
      <c r="J2411" s="36"/>
      <c r="K2411" s="36"/>
    </row>
    <row r="2412" spans="7:11" ht="15.75" customHeight="1">
      <c r="G2412" s="36"/>
      <c r="H2412" s="36"/>
      <c r="I2412" s="36"/>
      <c r="J2412" s="36"/>
      <c r="K2412" s="36"/>
    </row>
    <row r="2413" spans="7:11" ht="15.75" customHeight="1">
      <c r="G2413" s="36"/>
      <c r="H2413" s="36"/>
      <c r="I2413" s="36"/>
      <c r="J2413" s="36"/>
      <c r="K2413" s="36"/>
    </row>
    <row r="2414" spans="7:11" ht="15.75" customHeight="1">
      <c r="G2414" s="36"/>
      <c r="H2414" s="36"/>
      <c r="I2414" s="36"/>
      <c r="J2414" s="36"/>
      <c r="K2414" s="36"/>
    </row>
    <row r="2415" spans="7:11" ht="15.75" customHeight="1">
      <c r="G2415" s="36"/>
      <c r="H2415" s="36"/>
      <c r="I2415" s="36"/>
      <c r="J2415" s="36"/>
      <c r="K2415" s="36"/>
    </row>
    <row r="2416" spans="7:11" ht="15.75" customHeight="1">
      <c r="G2416" s="36"/>
      <c r="H2416" s="36"/>
      <c r="I2416" s="36"/>
      <c r="J2416" s="36"/>
      <c r="K2416" s="36"/>
    </row>
    <row r="2417" spans="7:11" ht="15.75" customHeight="1">
      <c r="G2417" s="36"/>
      <c r="H2417" s="36"/>
      <c r="I2417" s="36"/>
      <c r="J2417" s="36"/>
      <c r="K2417" s="36"/>
    </row>
    <row r="2418" spans="7:11" ht="15.75" customHeight="1">
      <c r="G2418" s="36"/>
      <c r="H2418" s="36"/>
      <c r="I2418" s="36"/>
      <c r="J2418" s="36"/>
      <c r="K2418" s="36"/>
    </row>
    <row r="2419" spans="7:11" ht="15.75" customHeight="1">
      <c r="G2419" s="36"/>
      <c r="H2419" s="36"/>
      <c r="I2419" s="36"/>
      <c r="J2419" s="36"/>
      <c r="K2419" s="36"/>
    </row>
    <row r="2420" spans="7:11" ht="15.75" customHeight="1">
      <c r="G2420" s="36"/>
      <c r="H2420" s="36"/>
      <c r="I2420" s="36"/>
      <c r="J2420" s="36"/>
      <c r="K2420" s="36"/>
    </row>
    <row r="2421" spans="7:11" ht="15.75" customHeight="1">
      <c r="G2421" s="36"/>
      <c r="H2421" s="36"/>
      <c r="I2421" s="36"/>
      <c r="J2421" s="36"/>
      <c r="K2421" s="36"/>
    </row>
    <row r="2422" spans="7:11" ht="15.75" customHeight="1">
      <c r="G2422" s="36"/>
      <c r="H2422" s="36"/>
      <c r="I2422" s="36"/>
      <c r="J2422" s="36"/>
      <c r="K2422" s="36"/>
    </row>
    <row r="2423" spans="7:11" ht="15.75" customHeight="1">
      <c r="G2423" s="36"/>
      <c r="H2423" s="36"/>
      <c r="I2423" s="36"/>
      <c r="J2423" s="36"/>
      <c r="K2423" s="36"/>
    </row>
    <row r="2424" spans="7:11" ht="15.75" customHeight="1">
      <c r="G2424" s="36"/>
      <c r="H2424" s="36"/>
      <c r="I2424" s="36"/>
      <c r="J2424" s="36"/>
      <c r="K2424" s="36"/>
    </row>
    <row r="2425" spans="7:11" ht="15.75" customHeight="1">
      <c r="G2425" s="36"/>
      <c r="H2425" s="36"/>
      <c r="I2425" s="36"/>
      <c r="J2425" s="36"/>
      <c r="K2425" s="36"/>
    </row>
    <row r="2426" spans="7:11" ht="15.75" customHeight="1">
      <c r="G2426" s="36"/>
      <c r="H2426" s="36"/>
      <c r="I2426" s="36"/>
      <c r="J2426" s="36"/>
      <c r="K2426" s="36"/>
    </row>
    <row r="2427" spans="7:11" ht="15.75" customHeight="1">
      <c r="G2427" s="36"/>
      <c r="H2427" s="36"/>
      <c r="I2427" s="36"/>
      <c r="J2427" s="36"/>
      <c r="K2427" s="36"/>
    </row>
    <row r="2428" spans="7:11" ht="15.75" customHeight="1">
      <c r="G2428" s="36"/>
      <c r="H2428" s="36"/>
      <c r="I2428" s="36"/>
      <c r="J2428" s="36"/>
      <c r="K2428" s="36"/>
    </row>
    <row r="2429" spans="7:11" ht="15.75" customHeight="1">
      <c r="G2429" s="36"/>
      <c r="H2429" s="36"/>
      <c r="I2429" s="36"/>
      <c r="J2429" s="36"/>
      <c r="K2429" s="36"/>
    </row>
    <row r="2430" spans="7:11" ht="15.75" customHeight="1">
      <c r="G2430" s="36"/>
      <c r="H2430" s="36"/>
      <c r="I2430" s="36"/>
      <c r="J2430" s="36"/>
      <c r="K2430" s="36"/>
    </row>
    <row r="2431" spans="7:11" ht="15.75" customHeight="1">
      <c r="G2431" s="36"/>
      <c r="H2431" s="36"/>
      <c r="I2431" s="36"/>
      <c r="J2431" s="36"/>
      <c r="K2431" s="36"/>
    </row>
    <row r="2432" spans="7:11" ht="15.75" customHeight="1">
      <c r="G2432" s="36"/>
      <c r="H2432" s="36"/>
      <c r="I2432" s="36"/>
      <c r="J2432" s="36"/>
      <c r="K2432" s="36"/>
    </row>
    <row r="2433" spans="7:11" ht="15.75" customHeight="1">
      <c r="G2433" s="36"/>
      <c r="H2433" s="36"/>
      <c r="I2433" s="36"/>
      <c r="J2433" s="36"/>
      <c r="K2433" s="36"/>
    </row>
    <row r="2434" spans="7:11" ht="15.75" customHeight="1">
      <c r="G2434" s="36"/>
      <c r="H2434" s="36"/>
      <c r="I2434" s="36"/>
      <c r="J2434" s="36"/>
      <c r="K2434" s="36"/>
    </row>
    <row r="2435" spans="7:11" ht="15.75" customHeight="1">
      <c r="G2435" s="36"/>
      <c r="H2435" s="36"/>
      <c r="I2435" s="36"/>
      <c r="J2435" s="36"/>
      <c r="K2435" s="36"/>
    </row>
    <row r="2436" spans="7:11" ht="15.75" customHeight="1">
      <c r="G2436" s="36"/>
      <c r="H2436" s="36"/>
      <c r="I2436" s="36"/>
      <c r="J2436" s="36"/>
      <c r="K2436" s="36"/>
    </row>
    <row r="2437" spans="7:11" ht="15.75" customHeight="1">
      <c r="G2437" s="36"/>
      <c r="H2437" s="36"/>
      <c r="I2437" s="36"/>
      <c r="J2437" s="36"/>
      <c r="K2437" s="36"/>
    </row>
    <row r="2438" spans="7:11" ht="15.75" customHeight="1">
      <c r="G2438" s="36"/>
      <c r="H2438" s="36"/>
      <c r="I2438" s="36"/>
      <c r="J2438" s="36"/>
      <c r="K2438" s="36"/>
    </row>
    <row r="2439" spans="7:11" ht="15.75" customHeight="1">
      <c r="G2439" s="36"/>
      <c r="H2439" s="36"/>
      <c r="I2439" s="36"/>
      <c r="J2439" s="36"/>
      <c r="K2439" s="36"/>
    </row>
    <row r="2440" spans="7:11" ht="15.75" customHeight="1">
      <c r="G2440" s="36"/>
      <c r="H2440" s="36"/>
      <c r="I2440" s="36"/>
      <c r="J2440" s="36"/>
      <c r="K2440" s="36"/>
    </row>
    <row r="2441" spans="7:11" ht="15.75" customHeight="1">
      <c r="G2441" s="36"/>
      <c r="H2441" s="36"/>
      <c r="I2441" s="36"/>
      <c r="J2441" s="36"/>
      <c r="K2441" s="36"/>
    </row>
    <row r="2442" spans="7:11" ht="15.75" customHeight="1">
      <c r="G2442" s="36"/>
      <c r="H2442" s="36"/>
      <c r="I2442" s="36"/>
      <c r="J2442" s="36"/>
      <c r="K2442" s="36"/>
    </row>
    <row r="2443" spans="7:11" ht="15.75" customHeight="1">
      <c r="G2443" s="36"/>
      <c r="H2443" s="36"/>
      <c r="I2443" s="36"/>
      <c r="J2443" s="36"/>
      <c r="K2443" s="36"/>
    </row>
    <row r="2444" spans="7:11" ht="15.75" customHeight="1">
      <c r="G2444" s="36"/>
      <c r="H2444" s="36"/>
      <c r="I2444" s="36"/>
      <c r="J2444" s="36"/>
      <c r="K2444" s="36"/>
    </row>
    <row r="2445" spans="7:11" ht="15.75" customHeight="1">
      <c r="G2445" s="36"/>
      <c r="H2445" s="36"/>
      <c r="I2445" s="36"/>
      <c r="J2445" s="36"/>
      <c r="K2445" s="36"/>
    </row>
    <row r="2446" spans="7:11" ht="15.75" customHeight="1">
      <c r="G2446" s="36"/>
      <c r="H2446" s="36"/>
      <c r="I2446" s="36"/>
      <c r="J2446" s="36"/>
      <c r="K2446" s="36"/>
    </row>
    <row r="2447" spans="7:11" ht="15.75" customHeight="1">
      <c r="G2447" s="36"/>
      <c r="H2447" s="36"/>
      <c r="I2447" s="36"/>
      <c r="J2447" s="36"/>
      <c r="K2447" s="36"/>
    </row>
    <row r="2448" spans="7:11" ht="15.75" customHeight="1">
      <c r="G2448" s="36"/>
      <c r="H2448" s="36"/>
      <c r="I2448" s="36"/>
      <c r="J2448" s="36"/>
      <c r="K2448" s="36"/>
    </row>
    <row r="2449" spans="7:11" ht="15.75" customHeight="1">
      <c r="G2449" s="36"/>
      <c r="H2449" s="36"/>
      <c r="I2449" s="36"/>
      <c r="J2449" s="36"/>
      <c r="K2449" s="36"/>
    </row>
    <row r="2450" spans="7:11" ht="15.75" customHeight="1">
      <c r="G2450" s="36"/>
      <c r="H2450" s="36"/>
      <c r="I2450" s="36"/>
      <c r="J2450" s="36"/>
      <c r="K2450" s="36"/>
    </row>
    <row r="2451" spans="7:11" ht="15.75" customHeight="1">
      <c r="G2451" s="36"/>
      <c r="H2451" s="36"/>
      <c r="I2451" s="36"/>
      <c r="J2451" s="36"/>
      <c r="K2451" s="36"/>
    </row>
    <row r="2452" spans="7:11" ht="15.75" customHeight="1">
      <c r="G2452" s="36"/>
      <c r="H2452" s="36"/>
      <c r="I2452" s="36"/>
      <c r="J2452" s="36"/>
      <c r="K2452" s="36"/>
    </row>
    <row r="2453" spans="7:11" ht="15.75" customHeight="1">
      <c r="G2453" s="36"/>
      <c r="H2453" s="36"/>
      <c r="I2453" s="36"/>
      <c r="J2453" s="36"/>
      <c r="K2453" s="36"/>
    </row>
    <row r="2454" spans="7:11" ht="15.75" customHeight="1">
      <c r="G2454" s="36"/>
      <c r="H2454" s="36"/>
      <c r="I2454" s="36"/>
      <c r="J2454" s="36"/>
      <c r="K2454" s="36"/>
    </row>
    <row r="2455" spans="7:11" ht="15.75" customHeight="1">
      <c r="G2455" s="36"/>
      <c r="H2455" s="36"/>
      <c r="I2455" s="36"/>
      <c r="J2455" s="36"/>
      <c r="K2455" s="36"/>
    </row>
    <row r="2456" spans="7:11" ht="15.75" customHeight="1">
      <c r="G2456" s="36"/>
      <c r="H2456" s="36"/>
      <c r="I2456" s="36"/>
      <c r="J2456" s="36"/>
      <c r="K2456" s="36"/>
    </row>
    <row r="2457" spans="7:11" ht="15.75" customHeight="1">
      <c r="G2457" s="36"/>
      <c r="H2457" s="36"/>
      <c r="I2457" s="36"/>
      <c r="J2457" s="36"/>
      <c r="K2457" s="36"/>
    </row>
    <row r="2458" spans="7:11" ht="15.75" customHeight="1">
      <c r="G2458" s="36"/>
      <c r="H2458" s="36"/>
      <c r="I2458" s="36"/>
      <c r="J2458" s="36"/>
      <c r="K2458" s="36"/>
    </row>
    <row r="2459" spans="7:11" ht="15.75" customHeight="1">
      <c r="G2459" s="36"/>
      <c r="H2459" s="36"/>
      <c r="I2459" s="36"/>
      <c r="J2459" s="36"/>
      <c r="K2459" s="36"/>
    </row>
    <row r="2460" spans="7:11" ht="15.75" customHeight="1">
      <c r="G2460" s="36"/>
      <c r="H2460" s="36"/>
      <c r="I2460" s="36"/>
      <c r="J2460" s="36"/>
      <c r="K2460" s="36"/>
    </row>
    <row r="2461" spans="7:11" ht="15.75" customHeight="1">
      <c r="G2461" s="36"/>
      <c r="H2461" s="36"/>
      <c r="I2461" s="36"/>
      <c r="J2461" s="36"/>
      <c r="K2461" s="36"/>
    </row>
    <row r="2462" spans="7:11" ht="15.75" customHeight="1">
      <c r="G2462" s="36"/>
      <c r="H2462" s="36"/>
      <c r="I2462" s="36"/>
      <c r="J2462" s="36"/>
      <c r="K2462" s="36"/>
    </row>
    <row r="2463" spans="7:11" ht="15.75" customHeight="1">
      <c r="G2463" s="36"/>
      <c r="H2463" s="36"/>
      <c r="I2463" s="36"/>
      <c r="J2463" s="36"/>
      <c r="K2463" s="36"/>
    </row>
    <row r="2464" spans="7:11" ht="15.75" customHeight="1">
      <c r="G2464" s="36"/>
      <c r="H2464" s="36"/>
      <c r="I2464" s="36"/>
      <c r="J2464" s="36"/>
      <c r="K2464" s="36"/>
    </row>
    <row r="2465" spans="7:11" ht="15.75" customHeight="1">
      <c r="G2465" s="36"/>
      <c r="H2465" s="36"/>
      <c r="I2465" s="36"/>
      <c r="J2465" s="36"/>
      <c r="K2465" s="36"/>
    </row>
    <row r="2466" spans="7:11" ht="15.75" customHeight="1">
      <c r="G2466" s="36"/>
      <c r="H2466" s="36"/>
      <c r="I2466" s="36"/>
      <c r="J2466" s="36"/>
      <c r="K2466" s="36"/>
    </row>
    <row r="2467" spans="7:11" ht="15.75" customHeight="1">
      <c r="G2467" s="36"/>
      <c r="H2467" s="36"/>
      <c r="I2467" s="36"/>
      <c r="J2467" s="36"/>
      <c r="K2467" s="36"/>
    </row>
    <row r="2468" spans="7:11" ht="15.75" customHeight="1">
      <c r="G2468" s="36"/>
      <c r="H2468" s="36"/>
      <c r="I2468" s="36"/>
      <c r="J2468" s="36"/>
      <c r="K2468" s="36"/>
    </row>
    <row r="2469" spans="7:11" ht="15.75" customHeight="1">
      <c r="G2469" s="36"/>
      <c r="H2469" s="36"/>
      <c r="I2469" s="36"/>
      <c r="J2469" s="36"/>
      <c r="K2469" s="36"/>
    </row>
    <row r="2470" spans="7:11" ht="15.75" customHeight="1">
      <c r="G2470" s="36"/>
      <c r="H2470" s="36"/>
      <c r="I2470" s="36"/>
      <c r="J2470" s="36"/>
      <c r="K2470" s="36"/>
    </row>
    <row r="2471" spans="7:11" ht="15.75" customHeight="1">
      <c r="G2471" s="36"/>
      <c r="H2471" s="36"/>
      <c r="I2471" s="36"/>
      <c r="J2471" s="36"/>
      <c r="K2471" s="36"/>
    </row>
    <row r="2472" spans="7:11" ht="15.75" customHeight="1">
      <c r="G2472" s="36"/>
      <c r="H2472" s="36"/>
      <c r="I2472" s="36"/>
      <c r="J2472" s="36"/>
      <c r="K2472" s="36"/>
    </row>
    <row r="2473" spans="7:11" ht="15.75" customHeight="1">
      <c r="G2473" s="36"/>
      <c r="H2473" s="36"/>
      <c r="I2473" s="36"/>
      <c r="J2473" s="36"/>
      <c r="K2473" s="36"/>
    </row>
    <row r="2474" spans="7:11" ht="15.75" customHeight="1">
      <c r="G2474" s="36"/>
      <c r="H2474" s="36"/>
      <c r="I2474" s="36"/>
      <c r="J2474" s="36"/>
      <c r="K2474" s="36"/>
    </row>
    <row r="2475" spans="7:11" ht="15.75" customHeight="1">
      <c r="G2475" s="36"/>
      <c r="H2475" s="36"/>
      <c r="I2475" s="36"/>
      <c r="J2475" s="36"/>
      <c r="K2475" s="36"/>
    </row>
    <row r="2476" spans="7:11" ht="15.75" customHeight="1">
      <c r="G2476" s="36"/>
      <c r="H2476" s="36"/>
      <c r="I2476" s="36"/>
      <c r="J2476" s="36"/>
      <c r="K2476" s="36"/>
    </row>
    <row r="2477" spans="7:11" ht="15.75" customHeight="1">
      <c r="G2477" s="36"/>
      <c r="H2477" s="36"/>
      <c r="I2477" s="36"/>
      <c r="J2477" s="36"/>
      <c r="K2477" s="36"/>
    </row>
    <row r="2478" spans="7:11" ht="15.75" customHeight="1">
      <c r="G2478" s="36"/>
      <c r="H2478" s="36"/>
      <c r="I2478" s="36"/>
      <c r="J2478" s="36"/>
      <c r="K2478" s="36"/>
    </row>
    <row r="2479" spans="7:11" ht="15.75" customHeight="1">
      <c r="G2479" s="36"/>
      <c r="H2479" s="36"/>
      <c r="I2479" s="36"/>
      <c r="J2479" s="36"/>
      <c r="K2479" s="36"/>
    </row>
    <row r="2480" spans="7:11" ht="15.75" customHeight="1">
      <c r="G2480" s="36"/>
      <c r="H2480" s="36"/>
      <c r="I2480" s="36"/>
      <c r="J2480" s="36"/>
      <c r="K2480" s="36"/>
    </row>
    <row r="2481" spans="7:11" ht="15.75" customHeight="1">
      <c r="G2481" s="36"/>
      <c r="H2481" s="36"/>
      <c r="I2481" s="36"/>
      <c r="J2481" s="36"/>
      <c r="K2481" s="36"/>
    </row>
    <row r="2482" spans="7:11" ht="15.75" customHeight="1">
      <c r="G2482" s="36"/>
      <c r="H2482" s="36"/>
      <c r="I2482" s="36"/>
      <c r="J2482" s="36"/>
      <c r="K2482" s="36"/>
    </row>
    <row r="2483" spans="7:11" ht="15.75" customHeight="1">
      <c r="G2483" s="36"/>
      <c r="H2483" s="36"/>
      <c r="I2483" s="36"/>
      <c r="J2483" s="36"/>
      <c r="K2483" s="36"/>
    </row>
    <row r="2484" spans="7:11" ht="15.75" customHeight="1">
      <c r="G2484" s="36"/>
      <c r="H2484" s="36"/>
      <c r="I2484" s="36"/>
      <c r="J2484" s="36"/>
      <c r="K2484" s="36"/>
    </row>
    <row r="2485" spans="7:11" ht="15.75" customHeight="1">
      <c r="G2485" s="36"/>
      <c r="H2485" s="36"/>
      <c r="I2485" s="36"/>
      <c r="J2485" s="36"/>
      <c r="K2485" s="36"/>
    </row>
    <row r="2486" spans="7:11" ht="15.75" customHeight="1">
      <c r="G2486" s="36"/>
      <c r="H2486" s="36"/>
      <c r="I2486" s="36"/>
      <c r="J2486" s="36"/>
      <c r="K2486" s="36"/>
    </row>
    <row r="2487" spans="7:11" ht="15.75" customHeight="1">
      <c r="G2487" s="36"/>
      <c r="H2487" s="36"/>
      <c r="I2487" s="36"/>
      <c r="J2487" s="36"/>
      <c r="K2487" s="36"/>
    </row>
    <row r="2488" spans="7:11" ht="15.75" customHeight="1">
      <c r="G2488" s="36"/>
      <c r="H2488" s="36"/>
      <c r="I2488" s="36"/>
      <c r="J2488" s="36"/>
      <c r="K2488" s="36"/>
    </row>
    <row r="2489" spans="7:11" ht="15.75" customHeight="1">
      <c r="G2489" s="36"/>
      <c r="H2489" s="36"/>
      <c r="I2489" s="36"/>
      <c r="J2489" s="36"/>
      <c r="K2489" s="36"/>
    </row>
    <row r="2490" spans="7:11" ht="15.75" customHeight="1">
      <c r="G2490" s="36"/>
      <c r="H2490" s="36"/>
      <c r="I2490" s="36"/>
      <c r="J2490" s="36"/>
      <c r="K2490" s="36"/>
    </row>
    <row r="2491" spans="7:11" ht="15.75" customHeight="1">
      <c r="G2491" s="36"/>
      <c r="H2491" s="36"/>
      <c r="I2491" s="36"/>
      <c r="J2491" s="36"/>
      <c r="K2491" s="36"/>
    </row>
    <row r="2492" spans="7:11" ht="15.75" customHeight="1">
      <c r="G2492" s="36"/>
      <c r="H2492" s="36"/>
      <c r="I2492" s="36"/>
      <c r="J2492" s="36"/>
      <c r="K2492" s="36"/>
    </row>
    <row r="2493" spans="7:11" ht="15.75" customHeight="1">
      <c r="G2493" s="36"/>
      <c r="H2493" s="36"/>
      <c r="I2493" s="36"/>
      <c r="J2493" s="36"/>
      <c r="K2493" s="36"/>
    </row>
    <row r="2494" spans="7:11" ht="15.75" customHeight="1">
      <c r="G2494" s="36"/>
      <c r="H2494" s="36"/>
      <c r="I2494" s="36"/>
      <c r="J2494" s="36"/>
      <c r="K2494" s="36"/>
    </row>
    <row r="2495" spans="7:11" ht="15.75" customHeight="1">
      <c r="G2495" s="36"/>
      <c r="H2495" s="36"/>
      <c r="I2495" s="36"/>
      <c r="J2495" s="36"/>
      <c r="K2495" s="36"/>
    </row>
    <row r="2496" spans="7:11" ht="15.75" customHeight="1">
      <c r="G2496" s="36"/>
      <c r="H2496" s="36"/>
      <c r="I2496" s="36"/>
      <c r="J2496" s="36"/>
      <c r="K2496" s="36"/>
    </row>
    <row r="2497" spans="7:11" ht="15.75" customHeight="1">
      <c r="G2497" s="36"/>
      <c r="H2497" s="36"/>
      <c r="I2497" s="36"/>
      <c r="J2497" s="36"/>
      <c r="K2497" s="36"/>
    </row>
    <row r="2498" spans="7:11" ht="15.75" customHeight="1">
      <c r="G2498" s="36"/>
      <c r="H2498" s="36"/>
      <c r="I2498" s="36"/>
      <c r="J2498" s="36"/>
      <c r="K2498" s="36"/>
    </row>
    <row r="2499" spans="7:11" ht="15.75" customHeight="1">
      <c r="G2499" s="36"/>
      <c r="H2499" s="36"/>
      <c r="I2499" s="36"/>
      <c r="J2499" s="36"/>
      <c r="K2499" s="36"/>
    </row>
    <row r="2500" spans="7:11" ht="15.75" customHeight="1">
      <c r="G2500" s="36"/>
      <c r="H2500" s="36"/>
      <c r="I2500" s="36"/>
      <c r="J2500" s="36"/>
      <c r="K2500" s="36"/>
    </row>
    <row r="2501" spans="7:11" ht="15.75" customHeight="1">
      <c r="G2501" s="36"/>
      <c r="H2501" s="36"/>
      <c r="I2501" s="36"/>
      <c r="J2501" s="36"/>
      <c r="K2501" s="36"/>
    </row>
    <row r="2502" spans="7:11" ht="15.75" customHeight="1">
      <c r="G2502" s="36"/>
      <c r="H2502" s="36"/>
      <c r="I2502" s="36"/>
      <c r="J2502" s="36"/>
      <c r="K2502" s="36"/>
    </row>
    <row r="2503" spans="7:11" ht="15.75" customHeight="1">
      <c r="G2503" s="36"/>
      <c r="H2503" s="36"/>
      <c r="I2503" s="36"/>
      <c r="J2503" s="36"/>
      <c r="K2503" s="36"/>
    </row>
    <row r="2504" spans="7:11" ht="15.75" customHeight="1">
      <c r="G2504" s="36"/>
      <c r="H2504" s="36"/>
      <c r="I2504" s="36"/>
      <c r="J2504" s="36"/>
      <c r="K2504" s="36"/>
    </row>
    <row r="2505" spans="7:11" ht="15.75" customHeight="1">
      <c r="G2505" s="36"/>
      <c r="H2505" s="36"/>
      <c r="I2505" s="36"/>
      <c r="J2505" s="36"/>
      <c r="K2505" s="36"/>
    </row>
    <row r="2506" spans="7:11" ht="15.75" customHeight="1">
      <c r="G2506" s="36"/>
      <c r="H2506" s="36"/>
      <c r="I2506" s="36"/>
      <c r="J2506" s="36"/>
      <c r="K2506" s="36"/>
    </row>
    <row r="2507" spans="7:11" ht="15.75" customHeight="1">
      <c r="G2507" s="36"/>
      <c r="H2507" s="36"/>
      <c r="I2507" s="36"/>
      <c r="J2507" s="36"/>
      <c r="K2507" s="36"/>
    </row>
    <row r="2508" spans="7:11" ht="15.75" customHeight="1">
      <c r="G2508" s="36"/>
      <c r="H2508" s="36"/>
      <c r="I2508" s="36"/>
      <c r="J2508" s="36"/>
      <c r="K2508" s="36"/>
    </row>
    <row r="2509" spans="7:11" ht="15.75" customHeight="1">
      <c r="G2509" s="36"/>
      <c r="H2509" s="36"/>
      <c r="I2509" s="36"/>
      <c r="J2509" s="36"/>
      <c r="K2509" s="36"/>
    </row>
    <row r="2510" spans="7:11" ht="15.75" customHeight="1">
      <c r="G2510" s="36"/>
      <c r="H2510" s="36"/>
      <c r="I2510" s="36"/>
      <c r="J2510" s="36"/>
      <c r="K2510" s="36"/>
    </row>
    <row r="2511" spans="7:11" ht="15.75" customHeight="1">
      <c r="G2511" s="36"/>
      <c r="H2511" s="36"/>
      <c r="I2511" s="36"/>
      <c r="J2511" s="36"/>
      <c r="K2511" s="36"/>
    </row>
    <row r="2512" spans="7:11" ht="15.75" customHeight="1">
      <c r="G2512" s="36"/>
      <c r="H2512" s="36"/>
      <c r="I2512" s="36"/>
      <c r="J2512" s="36"/>
      <c r="K2512" s="36"/>
    </row>
    <row r="2513" spans="7:11" ht="15.75" customHeight="1">
      <c r="G2513" s="36"/>
      <c r="H2513" s="36"/>
      <c r="I2513" s="36"/>
      <c r="J2513" s="36"/>
      <c r="K2513" s="36"/>
    </row>
    <row r="2514" spans="7:11" ht="15.75" customHeight="1">
      <c r="G2514" s="36"/>
      <c r="H2514" s="36"/>
      <c r="I2514" s="36"/>
      <c r="J2514" s="36"/>
      <c r="K2514" s="36"/>
    </row>
    <row r="2515" spans="7:11" ht="15.75" customHeight="1">
      <c r="G2515" s="36"/>
      <c r="H2515" s="36"/>
      <c r="I2515" s="36"/>
      <c r="J2515" s="36"/>
      <c r="K2515" s="36"/>
    </row>
    <row r="2516" spans="7:11" ht="15.75" customHeight="1">
      <c r="G2516" s="36"/>
      <c r="H2516" s="36"/>
      <c r="I2516" s="36"/>
      <c r="J2516" s="36"/>
      <c r="K2516" s="36"/>
    </row>
    <row r="2517" spans="7:11" ht="15.75" customHeight="1">
      <c r="G2517" s="36"/>
      <c r="H2517" s="36"/>
      <c r="I2517" s="36"/>
      <c r="J2517" s="36"/>
      <c r="K2517" s="36"/>
    </row>
    <row r="2518" spans="7:11" ht="15.75" customHeight="1">
      <c r="G2518" s="36"/>
      <c r="H2518" s="36"/>
      <c r="I2518" s="36"/>
      <c r="J2518" s="36"/>
      <c r="K2518" s="36"/>
    </row>
    <row r="2519" spans="7:11" ht="15.75" customHeight="1">
      <c r="G2519" s="36"/>
      <c r="H2519" s="36"/>
      <c r="I2519" s="36"/>
      <c r="J2519" s="36"/>
      <c r="K2519" s="36"/>
    </row>
    <row r="2520" spans="7:11" ht="15.75" customHeight="1">
      <c r="G2520" s="36"/>
      <c r="H2520" s="36"/>
      <c r="I2520" s="36"/>
      <c r="J2520" s="36"/>
      <c r="K2520" s="36"/>
    </row>
    <row r="2521" spans="7:11" ht="15.75" customHeight="1">
      <c r="G2521" s="36"/>
      <c r="H2521" s="36"/>
      <c r="I2521" s="36"/>
      <c r="J2521" s="36"/>
      <c r="K2521" s="36"/>
    </row>
    <row r="2522" spans="7:11" ht="15.75" customHeight="1">
      <c r="G2522" s="36"/>
      <c r="H2522" s="36"/>
      <c r="I2522" s="36"/>
      <c r="J2522" s="36"/>
      <c r="K2522" s="36"/>
    </row>
    <row r="2523" spans="7:11" ht="15.75" customHeight="1">
      <c r="G2523" s="36"/>
      <c r="H2523" s="36"/>
      <c r="I2523" s="36"/>
      <c r="J2523" s="36"/>
      <c r="K2523" s="36"/>
    </row>
    <row r="2524" spans="7:11" ht="15.75" customHeight="1">
      <c r="G2524" s="36"/>
      <c r="H2524" s="36"/>
      <c r="I2524" s="36"/>
      <c r="J2524" s="36"/>
      <c r="K2524" s="36"/>
    </row>
    <row r="2525" spans="7:11" ht="15.75" customHeight="1">
      <c r="G2525" s="36"/>
      <c r="H2525" s="36"/>
      <c r="I2525" s="36"/>
      <c r="J2525" s="36"/>
      <c r="K2525" s="36"/>
    </row>
    <row r="2526" spans="7:11" ht="15.75" customHeight="1">
      <c r="G2526" s="36"/>
      <c r="H2526" s="36"/>
      <c r="I2526" s="36"/>
      <c r="J2526" s="36"/>
      <c r="K2526" s="36"/>
    </row>
    <row r="2527" spans="7:11" ht="15.75" customHeight="1">
      <c r="G2527" s="36"/>
      <c r="H2527" s="36"/>
      <c r="I2527" s="36"/>
      <c r="J2527" s="36"/>
      <c r="K2527" s="36"/>
    </row>
    <row r="2528" spans="7:11" ht="15.75" customHeight="1">
      <c r="G2528" s="36"/>
      <c r="H2528" s="36"/>
      <c r="I2528" s="36"/>
      <c r="J2528" s="36"/>
      <c r="K2528" s="36"/>
    </row>
    <row r="2529" spans="7:11" ht="15.75" customHeight="1">
      <c r="G2529" s="36"/>
      <c r="H2529" s="36"/>
      <c r="I2529" s="36"/>
      <c r="J2529" s="36"/>
      <c r="K2529" s="36"/>
    </row>
    <row r="2530" spans="7:11" ht="15.75" customHeight="1">
      <c r="G2530" s="36"/>
      <c r="H2530" s="36"/>
      <c r="I2530" s="36"/>
      <c r="J2530" s="36"/>
      <c r="K2530" s="36"/>
    </row>
    <row r="2531" spans="7:11" ht="15.75" customHeight="1">
      <c r="G2531" s="36"/>
      <c r="H2531" s="36"/>
      <c r="I2531" s="36"/>
      <c r="J2531" s="36"/>
      <c r="K2531" s="36"/>
    </row>
    <row r="2532" spans="7:11" ht="15.75" customHeight="1">
      <c r="G2532" s="36"/>
      <c r="H2532" s="36"/>
      <c r="I2532" s="36"/>
      <c r="J2532" s="36"/>
      <c r="K2532" s="36"/>
    </row>
    <row r="2533" spans="7:11" ht="15.75" customHeight="1">
      <c r="G2533" s="36"/>
      <c r="H2533" s="36"/>
      <c r="I2533" s="36"/>
      <c r="J2533" s="36"/>
      <c r="K2533" s="36"/>
    </row>
    <row r="2534" spans="7:11" ht="15.75" customHeight="1">
      <c r="G2534" s="36"/>
      <c r="H2534" s="36"/>
      <c r="I2534" s="36"/>
      <c r="J2534" s="36"/>
      <c r="K2534" s="36"/>
    </row>
    <row r="2535" spans="7:11" ht="15.75" customHeight="1">
      <c r="G2535" s="36"/>
      <c r="H2535" s="36"/>
      <c r="I2535" s="36"/>
      <c r="J2535" s="36"/>
      <c r="K2535" s="36"/>
    </row>
    <row r="2536" spans="7:11" ht="15.75" customHeight="1">
      <c r="G2536" s="36"/>
      <c r="H2536" s="36"/>
      <c r="I2536" s="36"/>
      <c r="J2536" s="36"/>
      <c r="K2536" s="36"/>
    </row>
    <row r="2537" spans="7:11" ht="15.75" customHeight="1">
      <c r="G2537" s="36"/>
      <c r="H2537" s="36"/>
      <c r="I2537" s="36"/>
      <c r="J2537" s="36"/>
      <c r="K2537" s="36"/>
    </row>
    <row r="2538" spans="7:11" ht="15.75" customHeight="1">
      <c r="G2538" s="36"/>
      <c r="H2538" s="36"/>
      <c r="I2538" s="36"/>
      <c r="J2538" s="36"/>
      <c r="K2538" s="36"/>
    </row>
    <row r="2539" spans="7:11" ht="15.75" customHeight="1">
      <c r="G2539" s="36"/>
      <c r="H2539" s="36"/>
      <c r="I2539" s="36"/>
      <c r="J2539" s="36"/>
      <c r="K2539" s="36"/>
    </row>
    <row r="2540" spans="7:11" ht="15.75" customHeight="1">
      <c r="G2540" s="36"/>
      <c r="H2540" s="36"/>
      <c r="I2540" s="36"/>
      <c r="J2540" s="36"/>
      <c r="K2540" s="36"/>
    </row>
    <row r="2541" spans="7:11" ht="15.75" customHeight="1">
      <c r="G2541" s="36"/>
      <c r="H2541" s="36"/>
      <c r="I2541" s="36"/>
      <c r="J2541" s="36"/>
      <c r="K2541" s="36"/>
    </row>
    <row r="2542" spans="7:11" ht="15.75" customHeight="1">
      <c r="G2542" s="36"/>
      <c r="H2542" s="36"/>
      <c r="I2542" s="36"/>
      <c r="J2542" s="36"/>
      <c r="K2542" s="36"/>
    </row>
    <row r="2543" spans="7:11" ht="15.75" customHeight="1">
      <c r="G2543" s="36"/>
      <c r="H2543" s="36"/>
      <c r="I2543" s="36"/>
      <c r="J2543" s="36"/>
      <c r="K2543" s="36"/>
    </row>
    <row r="2544" spans="7:11" ht="15.75" customHeight="1">
      <c r="G2544" s="36"/>
      <c r="H2544" s="36"/>
      <c r="I2544" s="36"/>
      <c r="J2544" s="36"/>
      <c r="K2544" s="36"/>
    </row>
    <row r="2545" spans="7:11" ht="15.75" customHeight="1">
      <c r="G2545" s="36"/>
      <c r="H2545" s="36"/>
      <c r="I2545" s="36"/>
      <c r="J2545" s="36"/>
      <c r="K2545" s="36"/>
    </row>
    <row r="2546" spans="7:11" ht="15.75" customHeight="1">
      <c r="G2546" s="36"/>
      <c r="H2546" s="36"/>
      <c r="I2546" s="36"/>
      <c r="J2546" s="36"/>
      <c r="K2546" s="36"/>
    </row>
    <row r="2547" spans="7:11" ht="15.75" customHeight="1">
      <c r="G2547" s="36"/>
      <c r="H2547" s="36"/>
      <c r="I2547" s="36"/>
      <c r="J2547" s="36"/>
      <c r="K2547" s="36"/>
    </row>
    <row r="2548" spans="7:11" ht="15.75" customHeight="1">
      <c r="G2548" s="36"/>
      <c r="H2548" s="36"/>
      <c r="I2548" s="36"/>
      <c r="J2548" s="36"/>
      <c r="K2548" s="36"/>
    </row>
    <row r="2549" spans="7:11" ht="15.75" customHeight="1">
      <c r="G2549" s="36"/>
      <c r="H2549" s="36"/>
      <c r="I2549" s="36"/>
      <c r="J2549" s="36"/>
      <c r="K2549" s="36"/>
    </row>
    <row r="2550" spans="7:11" ht="15.75" customHeight="1">
      <c r="G2550" s="36"/>
      <c r="H2550" s="36"/>
      <c r="I2550" s="36"/>
      <c r="J2550" s="36"/>
      <c r="K2550" s="36"/>
    </row>
    <row r="2551" spans="7:11" ht="15.75" customHeight="1">
      <c r="G2551" s="36"/>
      <c r="H2551" s="36"/>
      <c r="I2551" s="36"/>
      <c r="J2551" s="36"/>
      <c r="K2551" s="36"/>
    </row>
    <row r="2552" spans="7:11" ht="15.75" customHeight="1">
      <c r="G2552" s="36"/>
      <c r="H2552" s="36"/>
      <c r="I2552" s="36"/>
      <c r="J2552" s="36"/>
      <c r="K2552" s="36"/>
    </row>
    <row r="2553" spans="7:11" ht="15.75" customHeight="1">
      <c r="G2553" s="36"/>
      <c r="H2553" s="36"/>
      <c r="I2553" s="36"/>
      <c r="J2553" s="36"/>
      <c r="K2553" s="36"/>
    </row>
    <row r="2554" spans="7:11" ht="15.75" customHeight="1">
      <c r="G2554" s="36"/>
      <c r="H2554" s="36"/>
      <c r="I2554" s="36"/>
      <c r="J2554" s="36"/>
      <c r="K2554" s="36"/>
    </row>
    <row r="2555" spans="7:11" ht="15.75" customHeight="1">
      <c r="G2555" s="36"/>
      <c r="H2555" s="36"/>
      <c r="I2555" s="36"/>
      <c r="J2555" s="36"/>
      <c r="K2555" s="36"/>
    </row>
    <row r="2556" spans="7:11" ht="15.75" customHeight="1">
      <c r="G2556" s="36"/>
      <c r="H2556" s="36"/>
      <c r="I2556" s="36"/>
      <c r="J2556" s="36"/>
      <c r="K2556" s="36"/>
    </row>
    <row r="2557" spans="7:11" ht="15.75" customHeight="1">
      <c r="G2557" s="36"/>
      <c r="H2557" s="36"/>
      <c r="I2557" s="36"/>
      <c r="J2557" s="36"/>
      <c r="K2557" s="36"/>
    </row>
    <row r="2558" spans="7:11" ht="15.75" customHeight="1">
      <c r="G2558" s="36"/>
      <c r="H2558" s="36"/>
      <c r="I2558" s="36"/>
      <c r="J2558" s="36"/>
      <c r="K2558" s="36"/>
    </row>
    <row r="2559" spans="7:11" ht="15.75" customHeight="1">
      <c r="G2559" s="36"/>
      <c r="H2559" s="36"/>
      <c r="I2559" s="36"/>
      <c r="J2559" s="36"/>
      <c r="K2559" s="36"/>
    </row>
    <row r="2560" spans="7:11" ht="15.75" customHeight="1">
      <c r="G2560" s="36"/>
      <c r="H2560" s="36"/>
      <c r="I2560" s="36"/>
      <c r="J2560" s="36"/>
      <c r="K2560" s="36"/>
    </row>
    <row r="2561" spans="7:11" ht="15.75" customHeight="1">
      <c r="G2561" s="36"/>
      <c r="H2561" s="36"/>
      <c r="I2561" s="36"/>
      <c r="J2561" s="36"/>
      <c r="K2561" s="36"/>
    </row>
    <row r="2562" spans="7:11" ht="15.75" customHeight="1">
      <c r="G2562" s="36"/>
      <c r="H2562" s="36"/>
      <c r="I2562" s="36"/>
      <c r="J2562" s="36"/>
      <c r="K2562" s="36"/>
    </row>
    <row r="2563" spans="7:11" ht="15.75" customHeight="1">
      <c r="G2563" s="36"/>
      <c r="H2563" s="36"/>
      <c r="I2563" s="36"/>
      <c r="J2563" s="36"/>
      <c r="K2563" s="36"/>
    </row>
    <row r="2564" spans="7:11" ht="15.75" customHeight="1">
      <c r="G2564" s="36"/>
      <c r="H2564" s="36"/>
      <c r="I2564" s="36"/>
      <c r="J2564" s="36"/>
      <c r="K2564" s="36"/>
    </row>
    <row r="2565" spans="7:11" ht="15.75" customHeight="1">
      <c r="G2565" s="36"/>
      <c r="H2565" s="36"/>
      <c r="I2565" s="36"/>
      <c r="J2565" s="36"/>
      <c r="K2565" s="36"/>
    </row>
    <row r="2566" spans="7:11" ht="15.75" customHeight="1">
      <c r="G2566" s="36"/>
      <c r="H2566" s="36"/>
      <c r="I2566" s="36"/>
      <c r="J2566" s="36"/>
      <c r="K2566" s="36"/>
    </row>
    <row r="2567" spans="7:11" ht="15.75" customHeight="1">
      <c r="G2567" s="36"/>
      <c r="H2567" s="36"/>
      <c r="I2567" s="36"/>
      <c r="J2567" s="36"/>
      <c r="K2567" s="36"/>
    </row>
    <row r="2568" spans="7:11" ht="15.75" customHeight="1">
      <c r="G2568" s="36"/>
      <c r="H2568" s="36"/>
      <c r="I2568" s="36"/>
      <c r="J2568" s="36"/>
      <c r="K2568" s="36"/>
    </row>
    <row r="2569" spans="7:11" ht="15.75" customHeight="1">
      <c r="G2569" s="36"/>
      <c r="H2569" s="36"/>
      <c r="I2569" s="36"/>
      <c r="J2569" s="36"/>
      <c r="K2569" s="36"/>
    </row>
    <row r="2570" spans="7:11" ht="15.75" customHeight="1">
      <c r="G2570" s="36"/>
      <c r="H2570" s="36"/>
      <c r="I2570" s="36"/>
      <c r="J2570" s="36"/>
      <c r="K2570" s="36"/>
    </row>
    <row r="2571" spans="7:11" ht="15.75" customHeight="1">
      <c r="G2571" s="36"/>
      <c r="H2571" s="36"/>
      <c r="I2571" s="36"/>
      <c r="J2571" s="36"/>
      <c r="K2571" s="36"/>
    </row>
    <row r="2572" spans="7:11" ht="15.75" customHeight="1">
      <c r="G2572" s="36"/>
      <c r="H2572" s="36"/>
      <c r="I2572" s="36"/>
      <c r="J2572" s="36"/>
      <c r="K2572" s="36"/>
    </row>
    <row r="2573" spans="7:11" ht="15.75" customHeight="1">
      <c r="G2573" s="36"/>
      <c r="H2573" s="36"/>
      <c r="I2573" s="36"/>
      <c r="J2573" s="36"/>
      <c r="K2573" s="36"/>
    </row>
    <row r="2574" spans="7:11" ht="15.75" customHeight="1">
      <c r="G2574" s="36"/>
      <c r="H2574" s="36"/>
      <c r="I2574" s="36"/>
      <c r="J2574" s="36"/>
      <c r="K2574" s="36"/>
    </row>
    <row r="2575" spans="7:11" ht="15.75" customHeight="1">
      <c r="G2575" s="36"/>
      <c r="H2575" s="36"/>
      <c r="I2575" s="36"/>
      <c r="J2575" s="36"/>
      <c r="K2575" s="36"/>
    </row>
    <row r="2576" spans="7:11" ht="15.75" customHeight="1">
      <c r="G2576" s="36"/>
      <c r="H2576" s="36"/>
      <c r="I2576" s="36"/>
      <c r="J2576" s="36"/>
      <c r="K2576" s="36"/>
    </row>
    <row r="2577" spans="7:11" ht="15.75" customHeight="1">
      <c r="G2577" s="36"/>
      <c r="H2577" s="36"/>
      <c r="I2577" s="36"/>
      <c r="J2577" s="36"/>
      <c r="K2577" s="36"/>
    </row>
    <row r="2578" spans="7:11" ht="15.75" customHeight="1">
      <c r="G2578" s="36"/>
      <c r="H2578" s="36"/>
      <c r="I2578" s="36"/>
      <c r="J2578" s="36"/>
      <c r="K2578" s="36"/>
    </row>
    <row r="2579" spans="7:11" ht="15.75" customHeight="1">
      <c r="G2579" s="36"/>
      <c r="H2579" s="36"/>
      <c r="I2579" s="36"/>
      <c r="J2579" s="36"/>
      <c r="K2579" s="36"/>
    </row>
    <row r="2580" spans="7:11" ht="15.75" customHeight="1">
      <c r="G2580" s="36"/>
      <c r="H2580" s="36"/>
      <c r="I2580" s="36"/>
      <c r="J2580" s="36"/>
      <c r="K2580" s="36"/>
    </row>
    <row r="2581" spans="7:11" ht="15.75" customHeight="1">
      <c r="G2581" s="36"/>
      <c r="H2581" s="36"/>
      <c r="I2581" s="36"/>
      <c r="J2581" s="36"/>
      <c r="K2581" s="36"/>
    </row>
    <row r="2582" spans="7:11" ht="15.75" customHeight="1">
      <c r="G2582" s="36"/>
      <c r="H2582" s="36"/>
      <c r="I2582" s="36"/>
      <c r="J2582" s="36"/>
      <c r="K2582" s="36"/>
    </row>
    <row r="2583" spans="7:11" ht="15.75" customHeight="1">
      <c r="G2583" s="36"/>
      <c r="H2583" s="36"/>
      <c r="I2583" s="36"/>
      <c r="J2583" s="36"/>
      <c r="K2583" s="36"/>
    </row>
    <row r="2584" spans="7:11" ht="15.75" customHeight="1">
      <c r="G2584" s="36"/>
      <c r="H2584" s="36"/>
      <c r="I2584" s="36"/>
      <c r="J2584" s="36"/>
      <c r="K2584" s="36"/>
    </row>
    <row r="2585" spans="7:11" ht="15.75" customHeight="1">
      <c r="G2585" s="36"/>
      <c r="H2585" s="36"/>
      <c r="I2585" s="36"/>
      <c r="J2585" s="36"/>
      <c r="K2585" s="36"/>
    </row>
    <row r="2586" spans="7:11" ht="15.75" customHeight="1">
      <c r="G2586" s="36"/>
      <c r="H2586" s="36"/>
      <c r="I2586" s="36"/>
      <c r="J2586" s="36"/>
      <c r="K2586" s="36"/>
    </row>
    <row r="2587" spans="7:11" ht="15.75" customHeight="1">
      <c r="G2587" s="36"/>
      <c r="H2587" s="36"/>
      <c r="I2587" s="36"/>
      <c r="J2587" s="36"/>
      <c r="K2587" s="36"/>
    </row>
    <row r="2588" spans="7:11" ht="15.75" customHeight="1">
      <c r="G2588" s="36"/>
      <c r="H2588" s="36"/>
      <c r="I2588" s="36"/>
      <c r="J2588" s="36"/>
      <c r="K2588" s="36"/>
    </row>
    <row r="2589" spans="7:11" ht="15.75" customHeight="1">
      <c r="G2589" s="36"/>
      <c r="H2589" s="36"/>
      <c r="I2589" s="36"/>
      <c r="J2589" s="36"/>
      <c r="K2589" s="36"/>
    </row>
    <row r="2590" spans="7:11" ht="15.75" customHeight="1">
      <c r="G2590" s="36"/>
      <c r="H2590" s="36"/>
      <c r="I2590" s="36"/>
      <c r="J2590" s="36"/>
      <c r="K2590" s="36"/>
    </row>
    <row r="2591" spans="7:11" ht="15.75" customHeight="1">
      <c r="G2591" s="36"/>
      <c r="H2591" s="36"/>
      <c r="I2591" s="36"/>
      <c r="J2591" s="36"/>
      <c r="K2591" s="36"/>
    </row>
    <row r="2592" spans="7:11" ht="15.75" customHeight="1">
      <c r="G2592" s="36"/>
      <c r="H2592" s="36"/>
      <c r="I2592" s="36"/>
      <c r="J2592" s="36"/>
      <c r="K2592" s="36"/>
    </row>
    <row r="2593" spans="7:11" ht="15.75" customHeight="1">
      <c r="G2593" s="36"/>
      <c r="H2593" s="36"/>
      <c r="I2593" s="36"/>
      <c r="J2593" s="36"/>
      <c r="K2593" s="36"/>
    </row>
    <row r="2594" spans="7:11" ht="15.75" customHeight="1">
      <c r="G2594" s="36"/>
      <c r="H2594" s="36"/>
      <c r="I2594" s="36"/>
      <c r="J2594" s="36"/>
      <c r="K2594" s="36"/>
    </row>
    <row r="2595" spans="7:11" ht="15.75" customHeight="1">
      <c r="G2595" s="36"/>
      <c r="H2595" s="36"/>
      <c r="I2595" s="36"/>
      <c r="J2595" s="36"/>
      <c r="K2595" s="36"/>
    </row>
    <row r="2596" spans="7:11" ht="15.75" customHeight="1">
      <c r="G2596" s="36"/>
      <c r="H2596" s="36"/>
      <c r="I2596" s="36"/>
      <c r="J2596" s="36"/>
      <c r="K2596" s="36"/>
    </row>
    <row r="2597" spans="7:11" ht="15.75" customHeight="1">
      <c r="G2597" s="36"/>
      <c r="H2597" s="36"/>
      <c r="I2597" s="36"/>
      <c r="J2597" s="36"/>
      <c r="K2597" s="36"/>
    </row>
    <row r="2598" spans="7:11" ht="15.75" customHeight="1">
      <c r="G2598" s="36"/>
      <c r="H2598" s="36"/>
      <c r="I2598" s="36"/>
      <c r="J2598" s="36"/>
      <c r="K2598" s="36"/>
    </row>
    <row r="2599" spans="7:11" ht="15.75" customHeight="1">
      <c r="G2599" s="36"/>
      <c r="H2599" s="36"/>
      <c r="I2599" s="36"/>
      <c r="J2599" s="36"/>
      <c r="K2599" s="36"/>
    </row>
    <row r="2600" spans="7:11" ht="15.75" customHeight="1">
      <c r="G2600" s="36"/>
      <c r="H2600" s="36"/>
      <c r="I2600" s="36"/>
      <c r="J2600" s="36"/>
      <c r="K2600" s="36"/>
    </row>
    <row r="2601" spans="7:11" ht="15.75" customHeight="1">
      <c r="G2601" s="36"/>
      <c r="H2601" s="36"/>
      <c r="I2601" s="36"/>
      <c r="J2601" s="36"/>
      <c r="K2601" s="36"/>
    </row>
    <row r="2602" spans="7:11" ht="15.75" customHeight="1">
      <c r="G2602" s="36"/>
      <c r="H2602" s="36"/>
      <c r="I2602" s="36"/>
      <c r="J2602" s="36"/>
      <c r="K2602" s="36"/>
    </row>
    <row r="2603" spans="7:11" ht="15.75" customHeight="1">
      <c r="G2603" s="36"/>
      <c r="H2603" s="36"/>
      <c r="I2603" s="36"/>
      <c r="J2603" s="36"/>
      <c r="K2603" s="36"/>
    </row>
    <row r="2604" spans="7:11" ht="15.75" customHeight="1">
      <c r="G2604" s="36"/>
      <c r="H2604" s="36"/>
      <c r="I2604" s="36"/>
      <c r="J2604" s="36"/>
      <c r="K2604" s="36"/>
    </row>
    <row r="2605" spans="7:11" ht="15.75" customHeight="1">
      <c r="G2605" s="36"/>
      <c r="H2605" s="36"/>
      <c r="I2605" s="36"/>
      <c r="J2605" s="36"/>
      <c r="K2605" s="36"/>
    </row>
    <row r="2606" spans="7:11" ht="15.75" customHeight="1">
      <c r="G2606" s="36"/>
      <c r="H2606" s="36"/>
      <c r="I2606" s="36"/>
      <c r="J2606" s="36"/>
      <c r="K2606" s="36"/>
    </row>
    <row r="2607" spans="7:11" ht="15.75" customHeight="1">
      <c r="G2607" s="36"/>
      <c r="H2607" s="36"/>
      <c r="I2607" s="36"/>
      <c r="J2607" s="36"/>
      <c r="K2607" s="36"/>
    </row>
    <row r="2608" spans="7:11" ht="15.75" customHeight="1">
      <c r="G2608" s="36"/>
      <c r="H2608" s="36"/>
      <c r="I2608" s="36"/>
      <c r="J2608" s="36"/>
      <c r="K2608" s="36"/>
    </row>
    <row r="2609" spans="7:11" ht="15.75" customHeight="1">
      <c r="G2609" s="36"/>
      <c r="H2609" s="36"/>
      <c r="I2609" s="36"/>
      <c r="J2609" s="36"/>
      <c r="K2609" s="36"/>
    </row>
    <row r="2610" spans="7:11" ht="15.75" customHeight="1">
      <c r="G2610" s="36"/>
      <c r="H2610" s="36"/>
      <c r="I2610" s="36"/>
      <c r="J2610" s="36"/>
      <c r="K2610" s="36"/>
    </row>
    <row r="2611" spans="7:11" ht="15.75" customHeight="1">
      <c r="G2611" s="36"/>
      <c r="H2611" s="36"/>
      <c r="I2611" s="36"/>
      <c r="J2611" s="36"/>
      <c r="K2611" s="36"/>
    </row>
    <row r="2612" spans="7:11" ht="15.75" customHeight="1">
      <c r="G2612" s="36"/>
      <c r="H2612" s="36"/>
      <c r="I2612" s="36"/>
      <c r="J2612" s="36"/>
      <c r="K2612" s="36"/>
    </row>
    <row r="2613" spans="7:11" ht="15.75" customHeight="1">
      <c r="G2613" s="36"/>
      <c r="H2613" s="36"/>
      <c r="I2613" s="36"/>
      <c r="J2613" s="36"/>
      <c r="K2613" s="36"/>
    </row>
    <row r="2614" spans="7:11" ht="15.75" customHeight="1">
      <c r="G2614" s="36"/>
      <c r="H2614" s="36"/>
      <c r="I2614" s="36"/>
      <c r="J2614" s="36"/>
      <c r="K2614" s="36"/>
    </row>
    <row r="2615" spans="7:11" ht="15.75" customHeight="1">
      <c r="G2615" s="36"/>
      <c r="H2615" s="36"/>
      <c r="I2615" s="36"/>
      <c r="J2615" s="36"/>
      <c r="K2615" s="36"/>
    </row>
    <row r="2616" spans="7:11" ht="15.75" customHeight="1">
      <c r="G2616" s="36"/>
      <c r="H2616" s="36"/>
      <c r="I2616" s="36"/>
      <c r="J2616" s="36"/>
      <c r="K2616" s="36"/>
    </row>
    <row r="2617" spans="7:11" ht="15.75" customHeight="1">
      <c r="G2617" s="36"/>
      <c r="H2617" s="36"/>
      <c r="I2617" s="36"/>
      <c r="J2617" s="36"/>
      <c r="K2617" s="36"/>
    </row>
    <row r="2618" spans="7:11" ht="15.75" customHeight="1">
      <c r="G2618" s="36"/>
      <c r="H2618" s="36"/>
      <c r="I2618" s="36"/>
      <c r="J2618" s="36"/>
      <c r="K2618" s="36"/>
    </row>
    <row r="2619" spans="7:11" ht="15.75" customHeight="1">
      <c r="G2619" s="36"/>
      <c r="H2619" s="36"/>
      <c r="I2619" s="36"/>
      <c r="J2619" s="36"/>
      <c r="K2619" s="36"/>
    </row>
    <row r="2620" spans="7:11" ht="15.75" customHeight="1">
      <c r="G2620" s="36"/>
      <c r="H2620" s="36"/>
      <c r="I2620" s="36"/>
      <c r="J2620" s="36"/>
      <c r="K2620" s="36"/>
    </row>
    <row r="2621" spans="7:11" ht="15.75" customHeight="1">
      <c r="G2621" s="36"/>
      <c r="H2621" s="36"/>
      <c r="I2621" s="36"/>
      <c r="J2621" s="36"/>
      <c r="K2621" s="36"/>
    </row>
    <row r="2622" spans="7:11" ht="15.75" customHeight="1">
      <c r="G2622" s="36"/>
      <c r="H2622" s="36"/>
      <c r="I2622" s="36"/>
      <c r="J2622" s="36"/>
      <c r="K2622" s="36"/>
    </row>
    <row r="2623" spans="7:11" ht="15.75" customHeight="1">
      <c r="G2623" s="36"/>
      <c r="H2623" s="36"/>
      <c r="I2623" s="36"/>
      <c r="J2623" s="36"/>
      <c r="K2623" s="36"/>
    </row>
    <row r="2624" spans="7:11" ht="15.75" customHeight="1">
      <c r="G2624" s="36"/>
      <c r="H2624" s="36"/>
      <c r="I2624" s="36"/>
      <c r="J2624" s="36"/>
      <c r="K2624" s="36"/>
    </row>
    <row r="2625" spans="7:11" ht="15.75" customHeight="1">
      <c r="G2625" s="36"/>
      <c r="H2625" s="36"/>
      <c r="I2625" s="36"/>
      <c r="J2625" s="36"/>
      <c r="K2625" s="36"/>
    </row>
    <row r="2626" spans="7:11" ht="15.75" customHeight="1">
      <c r="G2626" s="36"/>
      <c r="H2626" s="36"/>
      <c r="I2626" s="36"/>
      <c r="J2626" s="36"/>
      <c r="K2626" s="36"/>
    </row>
    <row r="2627" spans="7:11" ht="15.75" customHeight="1">
      <c r="G2627" s="36"/>
      <c r="H2627" s="36"/>
      <c r="I2627" s="36"/>
      <c r="J2627" s="36"/>
      <c r="K2627" s="36"/>
    </row>
    <row r="2628" spans="7:11" ht="15.75" customHeight="1">
      <c r="G2628" s="36"/>
      <c r="H2628" s="36"/>
      <c r="I2628" s="36"/>
      <c r="J2628" s="36"/>
      <c r="K2628" s="36"/>
    </row>
    <row r="2629" spans="7:11" ht="15.75" customHeight="1">
      <c r="G2629" s="36"/>
      <c r="H2629" s="36"/>
      <c r="I2629" s="36"/>
      <c r="J2629" s="36"/>
      <c r="K2629" s="36"/>
    </row>
    <row r="2630" spans="7:11" ht="15.75" customHeight="1">
      <c r="G2630" s="36"/>
      <c r="H2630" s="36"/>
      <c r="I2630" s="36"/>
      <c r="J2630" s="36"/>
      <c r="K2630" s="36"/>
    </row>
    <row r="2631" spans="7:11" ht="15.75" customHeight="1">
      <c r="G2631" s="36"/>
      <c r="H2631" s="36"/>
      <c r="I2631" s="36"/>
      <c r="J2631" s="36"/>
      <c r="K2631" s="36"/>
    </row>
    <row r="2632" spans="7:11" ht="15.75" customHeight="1">
      <c r="G2632" s="36"/>
      <c r="H2632" s="36"/>
      <c r="I2632" s="36"/>
      <c r="J2632" s="36"/>
      <c r="K2632" s="36"/>
    </row>
    <row r="2633" spans="7:11" ht="15.75" customHeight="1">
      <c r="G2633" s="36"/>
      <c r="H2633" s="36"/>
      <c r="I2633" s="36"/>
      <c r="J2633" s="36"/>
      <c r="K2633" s="36"/>
    </row>
    <row r="2634" spans="7:11" ht="15.75" customHeight="1">
      <c r="G2634" s="36"/>
      <c r="H2634" s="36"/>
      <c r="I2634" s="36"/>
      <c r="J2634" s="36"/>
      <c r="K2634" s="36"/>
    </row>
    <row r="2635" spans="7:11" ht="15.75" customHeight="1">
      <c r="G2635" s="36"/>
      <c r="H2635" s="36"/>
      <c r="I2635" s="36"/>
      <c r="J2635" s="36"/>
      <c r="K2635" s="36"/>
    </row>
    <row r="2636" spans="7:11" ht="15.75" customHeight="1">
      <c r="G2636" s="36"/>
      <c r="H2636" s="36"/>
      <c r="I2636" s="36"/>
      <c r="J2636" s="36"/>
      <c r="K2636" s="36"/>
    </row>
    <row r="2637" spans="7:11" ht="15.75" customHeight="1">
      <c r="G2637" s="36"/>
      <c r="H2637" s="36"/>
      <c r="I2637" s="36"/>
      <c r="J2637" s="36"/>
      <c r="K2637" s="36"/>
    </row>
    <row r="2638" spans="7:11" ht="15.75" customHeight="1">
      <c r="G2638" s="36"/>
      <c r="H2638" s="36"/>
      <c r="I2638" s="36"/>
      <c r="J2638" s="36"/>
      <c r="K2638" s="36"/>
    </row>
    <row r="2639" spans="7:11" ht="15.75" customHeight="1">
      <c r="G2639" s="36"/>
      <c r="H2639" s="36"/>
      <c r="I2639" s="36"/>
      <c r="J2639" s="36"/>
      <c r="K2639" s="36"/>
    </row>
    <row r="2640" spans="7:11" ht="15.75" customHeight="1">
      <c r="G2640" s="36"/>
      <c r="H2640" s="36"/>
      <c r="I2640" s="36"/>
      <c r="J2640" s="36"/>
      <c r="K2640" s="36"/>
    </row>
    <row r="2641" spans="7:11" ht="15.75" customHeight="1">
      <c r="G2641" s="36"/>
      <c r="H2641" s="36"/>
      <c r="I2641" s="36"/>
      <c r="J2641" s="36"/>
      <c r="K2641" s="36"/>
    </row>
    <row r="2642" spans="7:11" ht="15.75" customHeight="1">
      <c r="G2642" s="36"/>
      <c r="H2642" s="36"/>
      <c r="I2642" s="36"/>
      <c r="J2642" s="36"/>
      <c r="K2642" s="36"/>
    </row>
    <row r="2643" spans="7:11" ht="15.75" customHeight="1">
      <c r="G2643" s="36"/>
      <c r="H2643" s="36"/>
      <c r="I2643" s="36"/>
      <c r="J2643" s="36"/>
      <c r="K2643" s="36"/>
    </row>
    <row r="2644" spans="7:11" ht="15.75" customHeight="1">
      <c r="G2644" s="36"/>
      <c r="H2644" s="36"/>
      <c r="I2644" s="36"/>
      <c r="J2644" s="36"/>
      <c r="K2644" s="36"/>
    </row>
    <row r="2645" spans="7:11" ht="15.75" customHeight="1">
      <c r="G2645" s="36"/>
      <c r="H2645" s="36"/>
      <c r="I2645" s="36"/>
      <c r="J2645" s="36"/>
      <c r="K2645" s="36"/>
    </row>
    <row r="2646" spans="7:11" ht="15.75" customHeight="1">
      <c r="G2646" s="36"/>
      <c r="H2646" s="36"/>
      <c r="I2646" s="36"/>
      <c r="J2646" s="36"/>
      <c r="K2646" s="36"/>
    </row>
    <row r="2647" spans="7:11" ht="15.75" customHeight="1">
      <c r="G2647" s="36"/>
      <c r="H2647" s="36"/>
      <c r="I2647" s="36"/>
      <c r="J2647" s="36"/>
      <c r="K2647" s="36"/>
    </row>
    <row r="2648" spans="7:11" ht="15.75" customHeight="1">
      <c r="G2648" s="36"/>
      <c r="H2648" s="36"/>
      <c r="I2648" s="36"/>
      <c r="J2648" s="36"/>
      <c r="K2648" s="36"/>
    </row>
    <row r="2649" spans="7:11" ht="15.75" customHeight="1">
      <c r="G2649" s="36"/>
      <c r="H2649" s="36"/>
      <c r="I2649" s="36"/>
      <c r="J2649" s="36"/>
      <c r="K2649" s="36"/>
    </row>
    <row r="2650" spans="7:11" ht="15.75" customHeight="1">
      <c r="G2650" s="36"/>
      <c r="H2650" s="36"/>
      <c r="I2650" s="36"/>
      <c r="J2650" s="36"/>
      <c r="K2650" s="36"/>
    </row>
    <row r="2651" spans="7:11" ht="15.75" customHeight="1">
      <c r="G2651" s="36"/>
      <c r="H2651" s="36"/>
      <c r="I2651" s="36"/>
      <c r="J2651" s="36"/>
      <c r="K2651" s="36"/>
    </row>
    <row r="2652" spans="7:11" ht="15.75" customHeight="1">
      <c r="G2652" s="36"/>
      <c r="H2652" s="36"/>
      <c r="I2652" s="36"/>
      <c r="J2652" s="36"/>
      <c r="K2652" s="36"/>
    </row>
    <row r="2653" spans="7:11" ht="15.75" customHeight="1">
      <c r="G2653" s="36"/>
      <c r="H2653" s="36"/>
      <c r="I2653" s="36"/>
      <c r="J2653" s="36"/>
      <c r="K2653" s="36"/>
    </row>
    <row r="2654" spans="7:11" ht="15.75" customHeight="1">
      <c r="G2654" s="36"/>
      <c r="H2654" s="36"/>
      <c r="I2654" s="36"/>
      <c r="J2654" s="36"/>
      <c r="K2654" s="36"/>
    </row>
    <row r="2655" spans="7:11" ht="15.75" customHeight="1">
      <c r="G2655" s="36"/>
      <c r="H2655" s="36"/>
      <c r="I2655" s="36"/>
      <c r="J2655" s="36"/>
      <c r="K2655" s="36"/>
    </row>
    <row r="2656" spans="7:11" ht="15.75" customHeight="1">
      <c r="G2656" s="36"/>
      <c r="H2656" s="36"/>
      <c r="I2656" s="36"/>
      <c r="J2656" s="36"/>
      <c r="K2656" s="36"/>
    </row>
    <row r="2657" spans="7:11" ht="15.75" customHeight="1">
      <c r="G2657" s="36"/>
      <c r="H2657" s="36"/>
      <c r="I2657" s="36"/>
      <c r="J2657" s="36"/>
      <c r="K2657" s="36"/>
    </row>
    <row r="2658" spans="7:11" ht="15.75" customHeight="1">
      <c r="G2658" s="36"/>
      <c r="H2658" s="36"/>
      <c r="I2658" s="36"/>
      <c r="J2658" s="36"/>
      <c r="K2658" s="36"/>
    </row>
    <row r="2659" spans="7:11" ht="15.75" customHeight="1">
      <c r="G2659" s="36"/>
      <c r="H2659" s="36"/>
      <c r="I2659" s="36"/>
      <c r="J2659" s="36"/>
      <c r="K2659" s="36"/>
    </row>
    <row r="2660" spans="7:11" ht="15.75" customHeight="1">
      <c r="G2660" s="36"/>
      <c r="H2660" s="36"/>
      <c r="I2660" s="36"/>
      <c r="J2660" s="36"/>
      <c r="K2660" s="36"/>
    </row>
    <row r="2661" spans="7:11" ht="15.75" customHeight="1">
      <c r="G2661" s="36"/>
      <c r="H2661" s="36"/>
      <c r="I2661" s="36"/>
      <c r="J2661" s="36"/>
      <c r="K2661" s="36"/>
    </row>
    <row r="2662" spans="7:11" ht="15.75" customHeight="1">
      <c r="G2662" s="36"/>
      <c r="H2662" s="36"/>
      <c r="I2662" s="36"/>
      <c r="J2662" s="36"/>
      <c r="K2662" s="36"/>
    </row>
    <row r="2663" spans="7:11" ht="15.75" customHeight="1">
      <c r="G2663" s="36"/>
      <c r="H2663" s="36"/>
      <c r="I2663" s="36"/>
      <c r="J2663" s="36"/>
      <c r="K2663" s="36"/>
    </row>
    <row r="2664" spans="7:11" ht="15.75" customHeight="1">
      <c r="G2664" s="36"/>
      <c r="H2664" s="36"/>
      <c r="I2664" s="36"/>
      <c r="J2664" s="36"/>
      <c r="K2664" s="36"/>
    </row>
    <row r="2665" spans="7:11" ht="15.75" customHeight="1">
      <c r="G2665" s="36"/>
      <c r="H2665" s="36"/>
      <c r="I2665" s="36"/>
      <c r="J2665" s="36"/>
      <c r="K2665" s="36"/>
    </row>
    <row r="2666" spans="7:11" ht="15.75" customHeight="1">
      <c r="G2666" s="36"/>
      <c r="H2666" s="36"/>
      <c r="I2666" s="36"/>
      <c r="J2666" s="36"/>
      <c r="K2666" s="36"/>
    </row>
    <row r="2667" spans="7:11" ht="15.75" customHeight="1">
      <c r="G2667" s="36"/>
      <c r="H2667" s="36"/>
      <c r="I2667" s="36"/>
      <c r="J2667" s="36"/>
      <c r="K2667" s="36"/>
    </row>
    <row r="2668" spans="7:11" ht="15.75" customHeight="1">
      <c r="G2668" s="36"/>
      <c r="H2668" s="36"/>
      <c r="I2668" s="36"/>
      <c r="J2668" s="36"/>
      <c r="K2668" s="36"/>
    </row>
    <row r="2669" spans="7:11" ht="15.75" customHeight="1">
      <c r="G2669" s="36"/>
      <c r="H2669" s="36"/>
      <c r="I2669" s="36"/>
      <c r="J2669" s="36"/>
      <c r="K2669" s="36"/>
    </row>
    <row r="2670" spans="7:11" ht="15.75" customHeight="1">
      <c r="G2670" s="36"/>
      <c r="H2670" s="36"/>
      <c r="I2670" s="36"/>
      <c r="J2670" s="36"/>
      <c r="K2670" s="36"/>
    </row>
    <row r="2671" spans="7:11" ht="15.75" customHeight="1">
      <c r="G2671" s="36"/>
      <c r="H2671" s="36"/>
      <c r="I2671" s="36"/>
      <c r="J2671" s="36"/>
      <c r="K2671" s="36"/>
    </row>
    <row r="2672" spans="7:11" ht="15.75" customHeight="1">
      <c r="G2672" s="36"/>
      <c r="H2672" s="36"/>
      <c r="I2672" s="36"/>
      <c r="J2672" s="36"/>
      <c r="K2672" s="36"/>
    </row>
    <row r="2673" spans="7:11" ht="15.75" customHeight="1">
      <c r="G2673" s="36"/>
      <c r="H2673" s="36"/>
      <c r="I2673" s="36"/>
      <c r="J2673" s="36"/>
      <c r="K2673" s="36"/>
    </row>
    <row r="2674" spans="7:11" ht="15.75" customHeight="1">
      <c r="G2674" s="36"/>
      <c r="H2674" s="36"/>
      <c r="I2674" s="36"/>
      <c r="J2674" s="36"/>
      <c r="K2674" s="36"/>
    </row>
    <row r="2675" spans="7:11" ht="15.75" customHeight="1">
      <c r="G2675" s="36"/>
      <c r="H2675" s="36"/>
      <c r="I2675" s="36"/>
      <c r="J2675" s="36"/>
      <c r="K2675" s="36"/>
    </row>
    <row r="2676" spans="7:11" ht="15.75" customHeight="1">
      <c r="G2676" s="36"/>
      <c r="H2676" s="36"/>
      <c r="I2676" s="36"/>
      <c r="J2676" s="36"/>
      <c r="K2676" s="36"/>
    </row>
    <row r="2677" spans="7:11" ht="15.75" customHeight="1">
      <c r="G2677" s="36"/>
      <c r="H2677" s="36"/>
      <c r="I2677" s="36"/>
      <c r="J2677" s="36"/>
      <c r="K2677" s="36"/>
    </row>
    <row r="2678" spans="7:11" ht="15.75" customHeight="1">
      <c r="G2678" s="36"/>
      <c r="H2678" s="36"/>
      <c r="I2678" s="36"/>
      <c r="J2678" s="36"/>
      <c r="K2678" s="36"/>
    </row>
    <row r="2679" spans="7:11" ht="15.75" customHeight="1">
      <c r="G2679" s="36"/>
      <c r="H2679" s="36"/>
      <c r="I2679" s="36"/>
      <c r="J2679" s="36"/>
      <c r="K2679" s="36"/>
    </row>
    <row r="2680" spans="7:11" ht="15.75" customHeight="1">
      <c r="G2680" s="36"/>
      <c r="H2680" s="36"/>
      <c r="I2680" s="36"/>
      <c r="J2680" s="36"/>
      <c r="K2680" s="36"/>
    </row>
    <row r="2681" spans="7:11" ht="15.75" customHeight="1">
      <c r="G2681" s="36"/>
      <c r="H2681" s="36"/>
      <c r="I2681" s="36"/>
      <c r="J2681" s="36"/>
      <c r="K2681" s="36"/>
    </row>
    <row r="2682" spans="7:11" ht="15.75" customHeight="1">
      <c r="G2682" s="36"/>
      <c r="H2682" s="36"/>
      <c r="I2682" s="36"/>
      <c r="J2682" s="36"/>
      <c r="K2682" s="36"/>
    </row>
    <row r="2683" spans="7:11" ht="15.75" customHeight="1">
      <c r="G2683" s="36"/>
      <c r="H2683" s="36"/>
      <c r="I2683" s="36"/>
      <c r="J2683" s="36"/>
      <c r="K2683" s="36"/>
    </row>
    <row r="2684" spans="7:11" ht="15.75" customHeight="1">
      <c r="G2684" s="36"/>
      <c r="H2684" s="36"/>
      <c r="I2684" s="36"/>
      <c r="J2684" s="36"/>
      <c r="K2684" s="36"/>
    </row>
    <row r="2685" spans="7:11" ht="15.75" customHeight="1">
      <c r="G2685" s="36"/>
      <c r="H2685" s="36"/>
      <c r="I2685" s="36"/>
      <c r="J2685" s="36"/>
      <c r="K2685" s="36"/>
    </row>
    <row r="2686" spans="7:11" ht="15.75" customHeight="1">
      <c r="G2686" s="36"/>
      <c r="H2686" s="36"/>
      <c r="I2686" s="36"/>
      <c r="J2686" s="36"/>
      <c r="K2686" s="36"/>
    </row>
    <row r="2687" spans="7:11" ht="15.75" customHeight="1">
      <c r="G2687" s="36"/>
      <c r="H2687" s="36"/>
      <c r="I2687" s="36"/>
      <c r="J2687" s="36"/>
      <c r="K2687" s="36"/>
    </row>
    <row r="2688" spans="7:11" ht="15.75" customHeight="1">
      <c r="G2688" s="36"/>
      <c r="H2688" s="36"/>
      <c r="I2688" s="36"/>
      <c r="J2688" s="36"/>
      <c r="K2688" s="36"/>
    </row>
    <row r="2689" spans="7:11" ht="15.75" customHeight="1">
      <c r="G2689" s="36"/>
      <c r="H2689" s="36"/>
      <c r="I2689" s="36"/>
      <c r="J2689" s="36"/>
      <c r="K2689" s="36"/>
    </row>
    <row r="2690" spans="7:11" ht="15.75" customHeight="1">
      <c r="G2690" s="36"/>
      <c r="H2690" s="36"/>
      <c r="I2690" s="36"/>
      <c r="J2690" s="36"/>
      <c r="K2690" s="36"/>
    </row>
    <row r="2691" spans="7:11" ht="15.75" customHeight="1">
      <c r="G2691" s="36"/>
      <c r="H2691" s="36"/>
      <c r="I2691" s="36"/>
      <c r="J2691" s="36"/>
      <c r="K2691" s="36"/>
    </row>
    <row r="2692" spans="7:11" ht="15.75" customHeight="1">
      <c r="G2692" s="36"/>
      <c r="H2692" s="36"/>
      <c r="I2692" s="36"/>
      <c r="J2692" s="36"/>
      <c r="K2692" s="36"/>
    </row>
    <row r="2693" spans="7:11" ht="15.75" customHeight="1">
      <c r="G2693" s="36"/>
      <c r="H2693" s="36"/>
      <c r="I2693" s="36"/>
      <c r="J2693" s="36"/>
      <c r="K2693" s="36"/>
    </row>
    <row r="2694" spans="7:11" ht="15.75" customHeight="1">
      <c r="G2694" s="36"/>
      <c r="H2694" s="36"/>
      <c r="I2694" s="36"/>
      <c r="J2694" s="36"/>
      <c r="K2694" s="36"/>
    </row>
    <row r="2695" spans="7:11" ht="15.75" customHeight="1">
      <c r="G2695" s="36"/>
      <c r="H2695" s="36"/>
      <c r="I2695" s="36"/>
      <c r="J2695" s="36"/>
      <c r="K2695" s="36"/>
    </row>
    <row r="2696" spans="7:11" ht="15.75" customHeight="1">
      <c r="G2696" s="36"/>
      <c r="H2696" s="36"/>
      <c r="I2696" s="36"/>
      <c r="J2696" s="36"/>
      <c r="K2696" s="36"/>
    </row>
    <row r="2697" spans="7:11" ht="15.75" customHeight="1">
      <c r="G2697" s="36"/>
      <c r="H2697" s="36"/>
      <c r="I2697" s="36"/>
      <c r="J2697" s="36"/>
      <c r="K2697" s="36"/>
    </row>
    <row r="2698" spans="7:11" ht="15.75" customHeight="1">
      <c r="G2698" s="36"/>
      <c r="H2698" s="36"/>
      <c r="I2698" s="36"/>
      <c r="J2698" s="36"/>
      <c r="K2698" s="36"/>
    </row>
    <row r="2699" spans="7:11" ht="15.75" customHeight="1">
      <c r="G2699" s="36"/>
      <c r="H2699" s="36"/>
      <c r="I2699" s="36"/>
      <c r="J2699" s="36"/>
      <c r="K2699" s="36"/>
    </row>
    <row r="2700" spans="7:11" ht="15.75" customHeight="1">
      <c r="G2700" s="36"/>
      <c r="H2700" s="36"/>
      <c r="I2700" s="36"/>
      <c r="J2700" s="36"/>
      <c r="K2700" s="36"/>
    </row>
    <row r="2701" spans="7:11" ht="15.75" customHeight="1">
      <c r="G2701" s="36"/>
      <c r="H2701" s="36"/>
      <c r="I2701" s="36"/>
      <c r="J2701" s="36"/>
      <c r="K2701" s="36"/>
    </row>
    <row r="2702" spans="7:11" ht="15.75" customHeight="1">
      <c r="G2702" s="36"/>
      <c r="H2702" s="36"/>
      <c r="I2702" s="36"/>
      <c r="J2702" s="36"/>
      <c r="K2702" s="36"/>
    </row>
    <row r="2703" spans="7:11" ht="15.75" customHeight="1">
      <c r="G2703" s="36"/>
      <c r="H2703" s="36"/>
      <c r="I2703" s="36"/>
      <c r="J2703" s="36"/>
      <c r="K2703" s="36"/>
    </row>
    <row r="2704" spans="7:11" ht="15.75" customHeight="1">
      <c r="G2704" s="36"/>
      <c r="H2704" s="36"/>
      <c r="I2704" s="36"/>
      <c r="J2704" s="36"/>
      <c r="K2704" s="36"/>
    </row>
    <row r="2705" spans="7:11" ht="15.75" customHeight="1">
      <c r="G2705" s="36"/>
      <c r="H2705" s="36"/>
      <c r="I2705" s="36"/>
      <c r="J2705" s="36"/>
      <c r="K2705" s="36"/>
    </row>
    <row r="2706" spans="7:11" ht="15.75" customHeight="1">
      <c r="G2706" s="36"/>
      <c r="H2706" s="36"/>
      <c r="I2706" s="36"/>
      <c r="J2706" s="36"/>
      <c r="K2706" s="36"/>
    </row>
    <row r="2707" spans="7:11" ht="15.75" customHeight="1">
      <c r="G2707" s="36"/>
      <c r="H2707" s="36"/>
      <c r="I2707" s="36"/>
      <c r="J2707" s="36"/>
      <c r="K2707" s="36"/>
    </row>
    <row r="2708" spans="7:11" ht="15.75" customHeight="1">
      <c r="G2708" s="36"/>
      <c r="H2708" s="36"/>
      <c r="I2708" s="36"/>
      <c r="J2708" s="36"/>
      <c r="K2708" s="36"/>
    </row>
    <row r="2709" spans="7:11" ht="15.75" customHeight="1">
      <c r="G2709" s="36"/>
      <c r="H2709" s="36"/>
      <c r="I2709" s="36"/>
      <c r="J2709" s="36"/>
      <c r="K2709" s="36"/>
    </row>
    <row r="2710" spans="7:11" ht="15.75" customHeight="1">
      <c r="G2710" s="36"/>
      <c r="H2710" s="36"/>
      <c r="I2710" s="36"/>
      <c r="J2710" s="36"/>
      <c r="K2710" s="36"/>
    </row>
    <row r="2711" spans="7:11" ht="15.75" customHeight="1">
      <c r="G2711" s="36"/>
      <c r="H2711" s="36"/>
      <c r="I2711" s="36"/>
      <c r="J2711" s="36"/>
      <c r="K2711" s="36"/>
    </row>
    <row r="2712" spans="7:11" ht="15.75" customHeight="1">
      <c r="G2712" s="36"/>
      <c r="H2712" s="36"/>
      <c r="I2712" s="36"/>
      <c r="J2712" s="36"/>
      <c r="K2712" s="36"/>
    </row>
    <row r="2713" spans="7:11" ht="15.75" customHeight="1">
      <c r="G2713" s="36"/>
      <c r="H2713" s="36"/>
      <c r="I2713" s="36"/>
      <c r="J2713" s="36"/>
      <c r="K2713" s="36"/>
    </row>
    <row r="2714" spans="7:11" ht="15.75" customHeight="1">
      <c r="G2714" s="36"/>
      <c r="H2714" s="36"/>
      <c r="I2714" s="36"/>
      <c r="J2714" s="36"/>
      <c r="K2714" s="36"/>
    </row>
    <row r="2715" spans="7:11" ht="15.75" customHeight="1">
      <c r="G2715" s="36"/>
      <c r="H2715" s="36"/>
      <c r="I2715" s="36"/>
      <c r="J2715" s="36"/>
      <c r="K2715" s="36"/>
    </row>
    <row r="2716" spans="7:11" ht="15.75" customHeight="1">
      <c r="G2716" s="36"/>
      <c r="H2716" s="36"/>
      <c r="I2716" s="36"/>
      <c r="J2716" s="36"/>
      <c r="K2716" s="36"/>
    </row>
    <row r="2717" spans="7:11" ht="15.75" customHeight="1">
      <c r="G2717" s="36"/>
      <c r="H2717" s="36"/>
      <c r="I2717" s="36"/>
      <c r="J2717" s="36"/>
      <c r="K2717" s="36"/>
    </row>
    <row r="2718" spans="7:11" ht="15.75" customHeight="1">
      <c r="G2718" s="36"/>
      <c r="H2718" s="36"/>
      <c r="I2718" s="36"/>
      <c r="J2718" s="36"/>
      <c r="K2718" s="36"/>
    </row>
    <row r="2719" spans="7:11" ht="15.75" customHeight="1">
      <c r="G2719" s="36"/>
      <c r="H2719" s="36"/>
      <c r="I2719" s="36"/>
      <c r="J2719" s="36"/>
      <c r="K2719" s="36"/>
    </row>
    <row r="2720" spans="7:11" ht="15.75" customHeight="1">
      <c r="G2720" s="36"/>
      <c r="H2720" s="36"/>
      <c r="I2720" s="36"/>
      <c r="J2720" s="36"/>
      <c r="K2720" s="36"/>
    </row>
    <row r="2721" spans="7:11" ht="15.75" customHeight="1">
      <c r="G2721" s="36"/>
      <c r="H2721" s="36"/>
      <c r="I2721" s="36"/>
      <c r="J2721" s="36"/>
      <c r="K2721" s="36"/>
    </row>
    <row r="2722" spans="7:11" ht="15.75" customHeight="1">
      <c r="G2722" s="36"/>
      <c r="H2722" s="36"/>
      <c r="I2722" s="36"/>
      <c r="J2722" s="36"/>
      <c r="K2722" s="36"/>
    </row>
    <row r="2723" spans="7:11" ht="15.75" customHeight="1">
      <c r="G2723" s="36"/>
      <c r="H2723" s="36"/>
      <c r="I2723" s="36"/>
      <c r="J2723" s="36"/>
      <c r="K2723" s="36"/>
    </row>
    <row r="2724" spans="7:11" ht="15.75" customHeight="1">
      <c r="G2724" s="36"/>
      <c r="H2724" s="36"/>
      <c r="I2724" s="36"/>
      <c r="J2724" s="36"/>
      <c r="K2724" s="36"/>
    </row>
    <row r="2725" spans="7:11" ht="15.75" customHeight="1">
      <c r="G2725" s="36"/>
      <c r="H2725" s="36"/>
      <c r="I2725" s="36"/>
      <c r="J2725" s="36"/>
      <c r="K2725" s="36"/>
    </row>
    <row r="2726" spans="7:11" ht="15.75" customHeight="1">
      <c r="G2726" s="36"/>
      <c r="H2726" s="36"/>
      <c r="I2726" s="36"/>
      <c r="J2726" s="36"/>
      <c r="K2726" s="36"/>
    </row>
    <row r="2727" spans="7:11" ht="15.75" customHeight="1">
      <c r="G2727" s="36"/>
      <c r="H2727" s="36"/>
      <c r="I2727" s="36"/>
      <c r="J2727" s="36"/>
      <c r="K2727" s="36"/>
    </row>
    <row r="2728" spans="7:11" ht="15.75" customHeight="1">
      <c r="G2728" s="36"/>
      <c r="H2728" s="36"/>
      <c r="I2728" s="36"/>
      <c r="J2728" s="36"/>
      <c r="K2728" s="36"/>
    </row>
    <row r="2729" spans="7:11" ht="15.75" customHeight="1">
      <c r="G2729" s="36"/>
      <c r="H2729" s="36"/>
      <c r="I2729" s="36"/>
      <c r="J2729" s="36"/>
      <c r="K2729" s="36"/>
    </row>
    <row r="2730" spans="7:11" ht="15.75" customHeight="1">
      <c r="G2730" s="36"/>
      <c r="H2730" s="36"/>
      <c r="I2730" s="36"/>
      <c r="J2730" s="36"/>
      <c r="K2730" s="36"/>
    </row>
    <row r="2731" spans="7:11" ht="15.75" customHeight="1">
      <c r="G2731" s="36"/>
      <c r="H2731" s="36"/>
      <c r="I2731" s="36"/>
      <c r="J2731" s="36"/>
      <c r="K2731" s="36"/>
    </row>
    <row r="2732" spans="7:11" ht="15.75" customHeight="1">
      <c r="G2732" s="36"/>
      <c r="H2732" s="36"/>
      <c r="I2732" s="36"/>
      <c r="J2732" s="36"/>
      <c r="K2732" s="36"/>
    </row>
    <row r="2733" spans="7:11" ht="15.75" customHeight="1">
      <c r="G2733" s="36"/>
      <c r="H2733" s="36"/>
      <c r="I2733" s="36"/>
      <c r="J2733" s="36"/>
      <c r="K2733" s="36"/>
    </row>
    <row r="2734" spans="7:11" ht="15.75" customHeight="1">
      <c r="G2734" s="36"/>
      <c r="H2734" s="36"/>
      <c r="I2734" s="36"/>
      <c r="J2734" s="36"/>
      <c r="K2734" s="36"/>
    </row>
    <row r="2735" spans="7:11" ht="15.75" customHeight="1">
      <c r="G2735" s="36"/>
      <c r="H2735" s="36"/>
      <c r="I2735" s="36"/>
      <c r="J2735" s="36"/>
      <c r="K2735" s="36"/>
    </row>
    <row r="2736" spans="7:11" ht="15.75" customHeight="1">
      <c r="G2736" s="36"/>
      <c r="H2736" s="36"/>
      <c r="I2736" s="36"/>
      <c r="J2736" s="36"/>
      <c r="K2736" s="36"/>
    </row>
    <row r="2737" spans="7:11" ht="15.75" customHeight="1">
      <c r="G2737" s="36"/>
      <c r="H2737" s="36"/>
      <c r="I2737" s="36"/>
      <c r="J2737" s="36"/>
      <c r="K2737" s="36"/>
    </row>
    <row r="2738" spans="7:11" ht="15.75" customHeight="1">
      <c r="G2738" s="36"/>
      <c r="H2738" s="36"/>
      <c r="I2738" s="36"/>
      <c r="J2738" s="36"/>
      <c r="K2738" s="36"/>
    </row>
    <row r="2739" spans="7:11" ht="15.75" customHeight="1">
      <c r="G2739" s="36"/>
      <c r="H2739" s="36"/>
      <c r="I2739" s="36"/>
      <c r="J2739" s="36"/>
      <c r="K2739" s="36"/>
    </row>
    <row r="2740" spans="7:11" ht="15.75" customHeight="1">
      <c r="G2740" s="36"/>
      <c r="H2740" s="36"/>
      <c r="I2740" s="36"/>
      <c r="J2740" s="36"/>
      <c r="K2740" s="36"/>
    </row>
    <row r="2741" spans="7:11" ht="15.75" customHeight="1">
      <c r="G2741" s="36"/>
      <c r="H2741" s="36"/>
      <c r="I2741" s="36"/>
      <c r="J2741" s="36"/>
      <c r="K2741" s="36"/>
    </row>
    <row r="2742" spans="7:11" ht="15.75" customHeight="1">
      <c r="G2742" s="36"/>
      <c r="H2742" s="36"/>
      <c r="I2742" s="36"/>
      <c r="J2742" s="36"/>
      <c r="K2742" s="36"/>
    </row>
    <row r="2743" spans="7:11" ht="15.75" customHeight="1">
      <c r="G2743" s="36"/>
      <c r="H2743" s="36"/>
      <c r="I2743" s="36"/>
      <c r="J2743" s="36"/>
      <c r="K2743" s="36"/>
    </row>
    <row r="2744" spans="7:11" ht="15.75" customHeight="1">
      <c r="G2744" s="36"/>
      <c r="H2744" s="36"/>
      <c r="I2744" s="36"/>
      <c r="J2744" s="36"/>
      <c r="K2744" s="36"/>
    </row>
    <row r="2745" spans="7:11" ht="15.75" customHeight="1">
      <c r="G2745" s="36"/>
      <c r="H2745" s="36"/>
      <c r="I2745" s="36"/>
      <c r="J2745" s="36"/>
      <c r="K2745" s="36"/>
    </row>
    <row r="2746" spans="7:11" ht="15.75" customHeight="1">
      <c r="G2746" s="36"/>
      <c r="H2746" s="36"/>
      <c r="I2746" s="36"/>
      <c r="J2746" s="36"/>
      <c r="K2746" s="36"/>
    </row>
    <row r="2747" spans="7:11" ht="15.75" customHeight="1">
      <c r="G2747" s="36"/>
      <c r="H2747" s="36"/>
      <c r="I2747" s="36"/>
      <c r="J2747" s="36"/>
      <c r="K2747" s="36"/>
    </row>
    <row r="2748" spans="7:11" ht="15.75" customHeight="1">
      <c r="G2748" s="36"/>
      <c r="H2748" s="36"/>
      <c r="I2748" s="36"/>
      <c r="J2748" s="36"/>
      <c r="K2748" s="36"/>
    </row>
    <row r="2749" spans="7:11" ht="15.75" customHeight="1">
      <c r="G2749" s="36"/>
      <c r="H2749" s="36"/>
      <c r="I2749" s="36"/>
      <c r="J2749" s="36"/>
      <c r="K2749" s="36"/>
    </row>
    <row r="2750" spans="7:11" ht="15.75" customHeight="1">
      <c r="G2750" s="36"/>
      <c r="H2750" s="36"/>
      <c r="I2750" s="36"/>
      <c r="J2750" s="36"/>
      <c r="K2750" s="36"/>
    </row>
    <row r="2751" spans="7:11" ht="15.75" customHeight="1">
      <c r="G2751" s="36"/>
      <c r="H2751" s="36"/>
      <c r="I2751" s="36"/>
      <c r="J2751" s="36"/>
      <c r="K2751" s="36"/>
    </row>
    <row r="2752" spans="7:11" ht="15.75" customHeight="1">
      <c r="G2752" s="36"/>
      <c r="H2752" s="36"/>
      <c r="I2752" s="36"/>
      <c r="J2752" s="36"/>
      <c r="K2752" s="36"/>
    </row>
    <row r="2753" spans="7:11" ht="15.75" customHeight="1">
      <c r="G2753" s="36"/>
      <c r="H2753" s="36"/>
      <c r="I2753" s="36"/>
      <c r="J2753" s="36"/>
      <c r="K2753" s="36"/>
    </row>
    <row r="2754" spans="7:11" ht="15.75" customHeight="1">
      <c r="G2754" s="36"/>
      <c r="H2754" s="36"/>
      <c r="I2754" s="36"/>
      <c r="J2754" s="36"/>
      <c r="K2754" s="36"/>
    </row>
    <row r="2755" spans="7:11" ht="15.75" customHeight="1">
      <c r="G2755" s="36"/>
      <c r="H2755" s="36"/>
      <c r="I2755" s="36"/>
      <c r="J2755" s="36"/>
      <c r="K2755" s="36"/>
    </row>
    <row r="2756" spans="7:11" ht="15.75" customHeight="1">
      <c r="G2756" s="36"/>
      <c r="H2756" s="36"/>
      <c r="I2756" s="36"/>
      <c r="J2756" s="36"/>
      <c r="K2756" s="36"/>
    </row>
    <row r="2757" spans="7:11" ht="15.75" customHeight="1">
      <c r="G2757" s="36"/>
      <c r="H2757" s="36"/>
      <c r="I2757" s="36"/>
      <c r="J2757" s="36"/>
      <c r="K2757" s="36"/>
    </row>
    <row r="2758" spans="7:11" ht="15.75" customHeight="1">
      <c r="G2758" s="36"/>
      <c r="H2758" s="36"/>
      <c r="I2758" s="36"/>
      <c r="J2758" s="36"/>
      <c r="K2758" s="36"/>
    </row>
    <row r="2759" spans="7:11" ht="15.75" customHeight="1">
      <c r="G2759" s="36"/>
      <c r="H2759" s="36"/>
      <c r="I2759" s="36"/>
      <c r="J2759" s="36"/>
      <c r="K2759" s="36"/>
    </row>
    <row r="2760" spans="7:11" ht="15.75" customHeight="1">
      <c r="G2760" s="36"/>
      <c r="H2760" s="36"/>
      <c r="I2760" s="36"/>
      <c r="J2760" s="36"/>
      <c r="K2760" s="36"/>
    </row>
    <row r="2761" spans="7:11" ht="15.75" customHeight="1">
      <c r="G2761" s="36"/>
      <c r="H2761" s="36"/>
      <c r="I2761" s="36"/>
      <c r="J2761" s="36"/>
      <c r="K2761" s="36"/>
    </row>
    <row r="2762" spans="7:11" ht="15.75" customHeight="1">
      <c r="G2762" s="36"/>
      <c r="H2762" s="36"/>
      <c r="I2762" s="36"/>
      <c r="J2762" s="36"/>
      <c r="K2762" s="36"/>
    </row>
    <row r="2763" spans="7:11" ht="15.75" customHeight="1">
      <c r="G2763" s="36"/>
      <c r="H2763" s="36"/>
      <c r="I2763" s="36"/>
      <c r="J2763" s="36"/>
      <c r="K2763" s="36"/>
    </row>
    <row r="2764" spans="7:11" ht="15.75" customHeight="1">
      <c r="G2764" s="36"/>
      <c r="H2764" s="36"/>
      <c r="I2764" s="36"/>
      <c r="J2764" s="36"/>
      <c r="K2764" s="36"/>
    </row>
    <row r="2765" spans="7:11" ht="15.75" customHeight="1">
      <c r="G2765" s="36"/>
      <c r="H2765" s="36"/>
      <c r="I2765" s="36"/>
      <c r="J2765" s="36"/>
      <c r="K2765" s="36"/>
    </row>
    <row r="2766" spans="7:11" ht="15.75" customHeight="1">
      <c r="G2766" s="36"/>
      <c r="H2766" s="36"/>
      <c r="I2766" s="36"/>
      <c r="J2766" s="36"/>
      <c r="K2766" s="36"/>
    </row>
    <row r="2767" spans="7:11" ht="15.75" customHeight="1">
      <c r="G2767" s="36"/>
      <c r="H2767" s="36"/>
      <c r="I2767" s="36"/>
      <c r="J2767" s="36"/>
      <c r="K2767" s="36"/>
    </row>
    <row r="2768" spans="7:11" ht="15.75" customHeight="1">
      <c r="G2768" s="36"/>
      <c r="H2768" s="36"/>
      <c r="I2768" s="36"/>
      <c r="J2768" s="36"/>
      <c r="K2768" s="36"/>
    </row>
    <row r="2769" spans="7:11" ht="15.75" customHeight="1">
      <c r="G2769" s="36"/>
      <c r="H2769" s="36"/>
      <c r="I2769" s="36"/>
      <c r="J2769" s="36"/>
      <c r="K2769" s="36"/>
    </row>
    <row r="2770" spans="7:11" ht="15.75" customHeight="1">
      <c r="G2770" s="36"/>
      <c r="H2770" s="36"/>
      <c r="I2770" s="36"/>
      <c r="J2770" s="36"/>
      <c r="K2770" s="36"/>
    </row>
    <row r="2771" spans="7:11" ht="15.75" customHeight="1">
      <c r="G2771" s="36"/>
      <c r="H2771" s="36"/>
      <c r="I2771" s="36"/>
      <c r="J2771" s="36"/>
      <c r="K2771" s="36"/>
    </row>
    <row r="2772" spans="7:11" ht="15.75" customHeight="1">
      <c r="G2772" s="36"/>
      <c r="H2772" s="36"/>
      <c r="I2772" s="36"/>
      <c r="J2772" s="36"/>
      <c r="K2772" s="36"/>
    </row>
    <row r="2773" spans="7:11" ht="15.75" customHeight="1">
      <c r="G2773" s="36"/>
      <c r="H2773" s="36"/>
      <c r="I2773" s="36"/>
      <c r="J2773" s="36"/>
      <c r="K2773" s="36"/>
    </row>
    <row r="2774" spans="7:11" ht="15.75" customHeight="1">
      <c r="G2774" s="36"/>
      <c r="H2774" s="36"/>
      <c r="I2774" s="36"/>
      <c r="J2774" s="36"/>
      <c r="K2774" s="36"/>
    </row>
    <row r="2775" spans="7:11" ht="15.75" customHeight="1">
      <c r="G2775" s="36"/>
      <c r="H2775" s="36"/>
      <c r="I2775" s="36"/>
      <c r="J2775" s="36"/>
      <c r="K2775" s="36"/>
    </row>
    <row r="2776" spans="7:11" ht="15.75" customHeight="1">
      <c r="G2776" s="36"/>
      <c r="H2776" s="36"/>
      <c r="I2776" s="36"/>
      <c r="J2776" s="36"/>
      <c r="K2776" s="36"/>
    </row>
    <row r="2777" spans="7:11" ht="15.75" customHeight="1">
      <c r="G2777" s="36"/>
      <c r="H2777" s="36"/>
      <c r="I2777" s="36"/>
      <c r="J2777" s="36"/>
      <c r="K2777" s="36"/>
    </row>
    <row r="2778" spans="7:11" ht="15.75" customHeight="1">
      <c r="G2778" s="36"/>
      <c r="H2778" s="36"/>
      <c r="I2778" s="36"/>
      <c r="J2778" s="36"/>
      <c r="K2778" s="36"/>
    </row>
    <row r="2779" spans="7:11" ht="15.75" customHeight="1">
      <c r="G2779" s="36"/>
      <c r="H2779" s="36"/>
      <c r="I2779" s="36"/>
      <c r="J2779" s="36"/>
      <c r="K2779" s="36"/>
    </row>
    <row r="2780" spans="7:11" ht="15.75" customHeight="1">
      <c r="G2780" s="36"/>
      <c r="H2780" s="36"/>
      <c r="I2780" s="36"/>
      <c r="J2780" s="36"/>
      <c r="K2780" s="36"/>
    </row>
    <row r="2781" spans="7:11" ht="15.75" customHeight="1">
      <c r="G2781" s="36"/>
      <c r="H2781" s="36"/>
      <c r="I2781" s="36"/>
      <c r="J2781" s="36"/>
      <c r="K2781" s="36"/>
    </row>
    <row r="2782" spans="7:11" ht="15.75" customHeight="1">
      <c r="G2782" s="36"/>
      <c r="H2782" s="36"/>
      <c r="I2782" s="36"/>
      <c r="J2782" s="36"/>
      <c r="K2782" s="36"/>
    </row>
    <row r="2783" spans="7:11" ht="15.75" customHeight="1">
      <c r="G2783" s="36"/>
      <c r="H2783" s="36"/>
      <c r="I2783" s="36"/>
      <c r="J2783" s="36"/>
      <c r="K2783" s="36"/>
    </row>
    <row r="2784" spans="7:11" ht="15.75" customHeight="1">
      <c r="G2784" s="36"/>
      <c r="H2784" s="36"/>
      <c r="I2784" s="36"/>
      <c r="J2784" s="36"/>
      <c r="K2784" s="36"/>
    </row>
    <row r="2785" spans="7:11" ht="15.75" customHeight="1">
      <c r="G2785" s="36"/>
      <c r="H2785" s="36"/>
      <c r="I2785" s="36"/>
      <c r="J2785" s="36"/>
      <c r="K2785" s="36"/>
    </row>
    <row r="2786" spans="7:11" ht="15.75" customHeight="1">
      <c r="G2786" s="36"/>
      <c r="H2786" s="36"/>
      <c r="I2786" s="36"/>
      <c r="J2786" s="36"/>
      <c r="K2786" s="36"/>
    </row>
    <row r="2787" spans="7:11" ht="15.75" customHeight="1">
      <c r="G2787" s="36"/>
      <c r="H2787" s="36"/>
      <c r="I2787" s="36"/>
      <c r="J2787" s="36"/>
      <c r="K2787" s="36"/>
    </row>
    <row r="2788" spans="7:11" ht="15.75" customHeight="1">
      <c r="G2788" s="36"/>
      <c r="H2788" s="36"/>
      <c r="I2788" s="36"/>
      <c r="J2788" s="36"/>
      <c r="K2788" s="36"/>
    </row>
    <row r="2789" spans="7:11" ht="15.75" customHeight="1">
      <c r="G2789" s="36"/>
      <c r="H2789" s="36"/>
      <c r="I2789" s="36"/>
      <c r="J2789" s="36"/>
      <c r="K2789" s="36"/>
    </row>
    <row r="2790" spans="7:11" ht="15.75" customHeight="1">
      <c r="G2790" s="36"/>
      <c r="H2790" s="36"/>
      <c r="I2790" s="36"/>
      <c r="J2790" s="36"/>
      <c r="K2790" s="36"/>
    </row>
    <row r="2791" spans="7:11" ht="15.75" customHeight="1">
      <c r="G2791" s="36"/>
      <c r="H2791" s="36"/>
      <c r="I2791" s="36"/>
      <c r="J2791" s="36"/>
      <c r="K2791" s="36"/>
    </row>
    <row r="2792" spans="7:11" ht="15.75" customHeight="1">
      <c r="G2792" s="36"/>
      <c r="H2792" s="36"/>
      <c r="I2792" s="36"/>
      <c r="J2792" s="36"/>
      <c r="K2792" s="36"/>
    </row>
    <row r="2793" spans="7:11" ht="15.75" customHeight="1">
      <c r="G2793" s="36"/>
      <c r="H2793" s="36"/>
      <c r="I2793" s="36"/>
      <c r="J2793" s="36"/>
      <c r="K2793" s="36"/>
    </row>
    <row r="2794" spans="7:11" ht="15.75" customHeight="1">
      <c r="G2794" s="36"/>
      <c r="H2794" s="36"/>
      <c r="I2794" s="36"/>
      <c r="J2794" s="36"/>
      <c r="K2794" s="36"/>
    </row>
    <row r="2795" spans="7:11" ht="15.75" customHeight="1">
      <c r="G2795" s="36"/>
      <c r="H2795" s="36"/>
      <c r="I2795" s="36"/>
      <c r="J2795" s="36"/>
      <c r="K2795" s="36"/>
    </row>
    <row r="2796" spans="7:11" ht="15.75" customHeight="1">
      <c r="G2796" s="36"/>
      <c r="H2796" s="36"/>
      <c r="I2796" s="36"/>
      <c r="J2796" s="36"/>
      <c r="K2796" s="36"/>
    </row>
    <row r="2797" spans="7:11" ht="15.75" customHeight="1">
      <c r="G2797" s="36"/>
      <c r="H2797" s="36"/>
      <c r="I2797" s="36"/>
      <c r="J2797" s="36"/>
      <c r="K2797" s="36"/>
    </row>
    <row r="2798" spans="7:11" ht="15.75" customHeight="1">
      <c r="G2798" s="36"/>
      <c r="H2798" s="36"/>
      <c r="I2798" s="36"/>
      <c r="J2798" s="36"/>
      <c r="K2798" s="36"/>
    </row>
    <row r="2799" spans="7:11" ht="15.75" customHeight="1">
      <c r="G2799" s="36"/>
      <c r="H2799" s="36"/>
      <c r="I2799" s="36"/>
      <c r="J2799" s="36"/>
      <c r="K2799" s="36"/>
    </row>
    <row r="2800" spans="7:11" ht="15.75" customHeight="1">
      <c r="G2800" s="36"/>
      <c r="H2800" s="36"/>
      <c r="I2800" s="36"/>
      <c r="J2800" s="36"/>
      <c r="K2800" s="36"/>
    </row>
    <row r="2801" spans="7:11" ht="15.75" customHeight="1">
      <c r="G2801" s="36"/>
      <c r="H2801" s="36"/>
      <c r="I2801" s="36"/>
      <c r="J2801" s="36"/>
      <c r="K2801" s="36"/>
    </row>
    <row r="2802" spans="7:11" ht="15.75" customHeight="1">
      <c r="G2802" s="36"/>
      <c r="H2802" s="36"/>
      <c r="I2802" s="36"/>
      <c r="J2802" s="36"/>
      <c r="K2802" s="36"/>
    </row>
    <row r="2803" spans="7:11" ht="15.75" customHeight="1">
      <c r="G2803" s="36"/>
      <c r="H2803" s="36"/>
      <c r="I2803" s="36"/>
      <c r="J2803" s="36"/>
      <c r="K2803" s="36"/>
    </row>
    <row r="2804" spans="7:11" ht="15.75" customHeight="1">
      <c r="G2804" s="36"/>
      <c r="H2804" s="36"/>
      <c r="I2804" s="36"/>
      <c r="J2804" s="36"/>
      <c r="K2804" s="36"/>
    </row>
    <row r="2805" spans="7:11" ht="15.75" customHeight="1">
      <c r="G2805" s="36"/>
      <c r="H2805" s="36"/>
      <c r="I2805" s="36"/>
      <c r="J2805" s="36"/>
      <c r="K2805" s="36"/>
    </row>
    <row r="2806" spans="7:11" ht="15.75" customHeight="1">
      <c r="G2806" s="36"/>
      <c r="H2806" s="36"/>
      <c r="I2806" s="36"/>
      <c r="J2806" s="36"/>
      <c r="K2806" s="36"/>
    </row>
    <row r="2807" spans="7:11" ht="15.75" customHeight="1">
      <c r="G2807" s="36"/>
      <c r="H2807" s="36"/>
      <c r="I2807" s="36"/>
      <c r="J2807" s="36"/>
      <c r="K2807" s="36"/>
    </row>
    <row r="2808" spans="7:11" ht="15.75" customHeight="1">
      <c r="G2808" s="36"/>
      <c r="H2808" s="36"/>
      <c r="I2808" s="36"/>
      <c r="J2808" s="36"/>
      <c r="K2808" s="36"/>
    </row>
    <row r="2809" spans="7:11" ht="15.75" customHeight="1">
      <c r="G2809" s="36"/>
      <c r="H2809" s="36"/>
      <c r="I2809" s="36"/>
      <c r="J2809" s="36"/>
      <c r="K2809" s="36"/>
    </row>
    <row r="2810" spans="7:11" ht="15.75" customHeight="1">
      <c r="G2810" s="36"/>
      <c r="H2810" s="36"/>
      <c r="I2810" s="36"/>
      <c r="J2810" s="36"/>
      <c r="K2810" s="36"/>
    </row>
    <row r="2811" spans="7:11" ht="15.75" customHeight="1">
      <c r="G2811" s="36"/>
      <c r="H2811" s="36"/>
      <c r="I2811" s="36"/>
      <c r="J2811" s="36"/>
      <c r="K2811" s="36"/>
    </row>
    <row r="2812" spans="7:11" ht="15.75" customHeight="1">
      <c r="G2812" s="36"/>
      <c r="H2812" s="36"/>
      <c r="I2812" s="36"/>
      <c r="J2812" s="36"/>
      <c r="K2812" s="36"/>
    </row>
    <row r="2813" spans="7:11" ht="15.75" customHeight="1">
      <c r="G2813" s="36"/>
      <c r="H2813" s="36"/>
      <c r="I2813" s="36"/>
      <c r="J2813" s="36"/>
      <c r="K2813" s="36"/>
    </row>
    <row r="2814" spans="7:11" ht="15.75" customHeight="1">
      <c r="G2814" s="36"/>
      <c r="H2814" s="36"/>
      <c r="I2814" s="36"/>
      <c r="J2814" s="36"/>
      <c r="K2814" s="36"/>
    </row>
    <row r="2815" spans="7:11" ht="15.75" customHeight="1">
      <c r="G2815" s="36"/>
      <c r="H2815" s="36"/>
      <c r="I2815" s="36"/>
      <c r="J2815" s="36"/>
      <c r="K2815" s="36"/>
    </row>
    <row r="2816" spans="7:11" ht="15.75" customHeight="1">
      <c r="G2816" s="36"/>
      <c r="H2816" s="36"/>
      <c r="I2816" s="36"/>
      <c r="J2816" s="36"/>
      <c r="K2816" s="36"/>
    </row>
    <row r="2817" spans="7:11" ht="15.75" customHeight="1">
      <c r="G2817" s="36"/>
      <c r="H2817" s="36"/>
      <c r="I2817" s="36"/>
      <c r="J2817" s="36"/>
      <c r="K2817" s="36"/>
    </row>
    <row r="2818" spans="7:11" ht="15.75" customHeight="1">
      <c r="G2818" s="36"/>
      <c r="H2818" s="36"/>
      <c r="I2818" s="36"/>
      <c r="J2818" s="36"/>
      <c r="K2818" s="36"/>
    </row>
    <row r="2819" spans="7:11" ht="15.75" customHeight="1">
      <c r="G2819" s="36"/>
      <c r="H2819" s="36"/>
      <c r="I2819" s="36"/>
      <c r="J2819" s="36"/>
      <c r="K2819" s="36"/>
    </row>
    <row r="2820" spans="7:11" ht="15.75" customHeight="1">
      <c r="G2820" s="36"/>
      <c r="H2820" s="36"/>
      <c r="I2820" s="36"/>
      <c r="J2820" s="36"/>
      <c r="K2820" s="36"/>
    </row>
    <row r="2821" spans="7:11" ht="15.75" customHeight="1">
      <c r="G2821" s="36"/>
      <c r="H2821" s="36"/>
      <c r="I2821" s="36"/>
      <c r="J2821" s="36"/>
      <c r="K2821" s="36"/>
    </row>
    <row r="2822" spans="7:11" ht="15.75" customHeight="1">
      <c r="G2822" s="36"/>
      <c r="H2822" s="36"/>
      <c r="I2822" s="36"/>
      <c r="J2822" s="36"/>
      <c r="K2822" s="36"/>
    </row>
    <row r="2823" spans="7:11" ht="15.75" customHeight="1">
      <c r="G2823" s="36"/>
      <c r="H2823" s="36"/>
      <c r="I2823" s="36"/>
      <c r="J2823" s="36"/>
      <c r="K2823" s="36"/>
    </row>
    <row r="2824" spans="7:11" ht="15.75" customHeight="1">
      <c r="G2824" s="36"/>
      <c r="H2824" s="36"/>
      <c r="I2824" s="36"/>
      <c r="J2824" s="36"/>
      <c r="K2824" s="36"/>
    </row>
    <row r="2825" spans="7:11" ht="15.75" customHeight="1">
      <c r="G2825" s="36"/>
      <c r="H2825" s="36"/>
      <c r="I2825" s="36"/>
      <c r="J2825" s="36"/>
      <c r="K2825" s="36"/>
    </row>
    <row r="2826" spans="7:11" ht="15.75" customHeight="1">
      <c r="G2826" s="36"/>
      <c r="H2826" s="36"/>
      <c r="I2826" s="36"/>
      <c r="J2826" s="36"/>
      <c r="K2826" s="36"/>
    </row>
    <row r="2827" spans="7:11" ht="15.75" customHeight="1">
      <c r="G2827" s="36"/>
      <c r="H2827" s="36"/>
      <c r="I2827" s="36"/>
      <c r="J2827" s="36"/>
      <c r="K2827" s="36"/>
    </row>
    <row r="2828" spans="7:11" ht="15.75" customHeight="1">
      <c r="G2828" s="36"/>
      <c r="H2828" s="36"/>
      <c r="I2828" s="36"/>
      <c r="J2828" s="36"/>
      <c r="K2828" s="36"/>
    </row>
    <row r="2829" spans="7:11" ht="15.75" customHeight="1">
      <c r="G2829" s="36"/>
      <c r="H2829" s="36"/>
      <c r="I2829" s="36"/>
      <c r="J2829" s="36"/>
      <c r="K2829" s="36"/>
    </row>
    <row r="2830" spans="7:11" ht="15.75" customHeight="1">
      <c r="G2830" s="36"/>
      <c r="H2830" s="36"/>
      <c r="I2830" s="36"/>
      <c r="J2830" s="36"/>
      <c r="K2830" s="36"/>
    </row>
    <row r="2831" spans="7:11" ht="15.75" customHeight="1">
      <c r="G2831" s="36"/>
      <c r="H2831" s="36"/>
      <c r="I2831" s="36"/>
      <c r="J2831" s="36"/>
      <c r="K2831" s="36"/>
    </row>
    <row r="2832" spans="7:11" ht="15.75" customHeight="1">
      <c r="G2832" s="36"/>
      <c r="H2832" s="36"/>
      <c r="I2832" s="36"/>
      <c r="J2832" s="36"/>
      <c r="K2832" s="36"/>
    </row>
    <row r="2833" spans="7:11" ht="15.75" customHeight="1">
      <c r="G2833" s="36"/>
      <c r="H2833" s="36"/>
      <c r="I2833" s="36"/>
      <c r="J2833" s="36"/>
      <c r="K2833" s="36"/>
    </row>
    <row r="2834" spans="7:11" ht="15.75" customHeight="1">
      <c r="G2834" s="36"/>
      <c r="H2834" s="36"/>
      <c r="I2834" s="36"/>
      <c r="J2834" s="36"/>
      <c r="K2834" s="36"/>
    </row>
    <row r="2835" spans="7:11" ht="15.75" customHeight="1">
      <c r="G2835" s="36"/>
      <c r="H2835" s="36"/>
      <c r="I2835" s="36"/>
      <c r="J2835" s="36"/>
      <c r="K2835" s="36"/>
    </row>
    <row r="2836" spans="7:11" ht="15.75" customHeight="1">
      <c r="G2836" s="36"/>
      <c r="H2836" s="36"/>
      <c r="I2836" s="36"/>
      <c r="J2836" s="36"/>
      <c r="K2836" s="36"/>
    </row>
    <row r="2837" spans="7:11" ht="15.75" customHeight="1">
      <c r="G2837" s="36"/>
      <c r="H2837" s="36"/>
      <c r="I2837" s="36"/>
      <c r="J2837" s="36"/>
      <c r="K2837" s="36"/>
    </row>
    <row r="2838" spans="7:11" ht="15.75" customHeight="1">
      <c r="G2838" s="36"/>
      <c r="H2838" s="36"/>
      <c r="I2838" s="36"/>
      <c r="J2838" s="36"/>
      <c r="K2838" s="36"/>
    </row>
    <row r="2839" spans="7:11" ht="15.75" customHeight="1">
      <c r="G2839" s="36"/>
      <c r="H2839" s="36"/>
      <c r="I2839" s="36"/>
      <c r="J2839" s="36"/>
      <c r="K2839" s="36"/>
    </row>
    <row r="2840" spans="7:11" ht="15.75" customHeight="1">
      <c r="G2840" s="36"/>
      <c r="H2840" s="36"/>
      <c r="I2840" s="36"/>
      <c r="J2840" s="36"/>
      <c r="K2840" s="36"/>
    </row>
    <row r="2841" spans="7:11" ht="15.75" customHeight="1">
      <c r="G2841" s="36"/>
      <c r="H2841" s="36"/>
      <c r="I2841" s="36"/>
      <c r="J2841" s="36"/>
      <c r="K2841" s="36"/>
    </row>
    <row r="2842" spans="7:11" ht="15.75" customHeight="1">
      <c r="G2842" s="36"/>
      <c r="H2842" s="36"/>
      <c r="I2842" s="36"/>
      <c r="J2842" s="36"/>
      <c r="K2842" s="36"/>
    </row>
    <row r="2843" spans="7:11" ht="15.75" customHeight="1">
      <c r="G2843" s="36"/>
      <c r="H2843" s="36"/>
      <c r="I2843" s="36"/>
      <c r="J2843" s="36"/>
      <c r="K2843" s="36"/>
    </row>
    <row r="2844" spans="7:11" ht="15.75" customHeight="1">
      <c r="G2844" s="36"/>
      <c r="H2844" s="36"/>
      <c r="I2844" s="36"/>
      <c r="J2844" s="36"/>
      <c r="K2844" s="36"/>
    </row>
    <row r="2845" spans="7:11" ht="15.75" customHeight="1">
      <c r="G2845" s="36"/>
      <c r="H2845" s="36"/>
      <c r="I2845" s="36"/>
      <c r="J2845" s="36"/>
      <c r="K2845" s="36"/>
    </row>
    <row r="2846" spans="7:11" ht="15.75" customHeight="1">
      <c r="G2846" s="36"/>
      <c r="H2846" s="36"/>
      <c r="I2846" s="36"/>
      <c r="J2846" s="36"/>
      <c r="K2846" s="36"/>
    </row>
    <row r="2847" spans="7:11" ht="15.75" customHeight="1">
      <c r="G2847" s="36"/>
      <c r="H2847" s="36"/>
      <c r="I2847" s="36"/>
      <c r="J2847" s="36"/>
      <c r="K2847" s="36"/>
    </row>
    <row r="2848" spans="7:11" ht="15.75" customHeight="1">
      <c r="G2848" s="36"/>
      <c r="H2848" s="36"/>
      <c r="I2848" s="36"/>
      <c r="J2848" s="36"/>
      <c r="K2848" s="36"/>
    </row>
    <row r="2849" spans="7:11" ht="15.75" customHeight="1">
      <c r="G2849" s="36"/>
      <c r="H2849" s="36"/>
      <c r="I2849" s="36"/>
      <c r="J2849" s="36"/>
      <c r="K2849" s="36"/>
    </row>
    <row r="2850" spans="7:11" ht="15.75" customHeight="1">
      <c r="G2850" s="36"/>
      <c r="H2850" s="36"/>
      <c r="I2850" s="36"/>
      <c r="J2850" s="36"/>
      <c r="K2850" s="36"/>
    </row>
    <row r="2851" spans="7:11" ht="15.75" customHeight="1">
      <c r="G2851" s="36"/>
      <c r="H2851" s="36"/>
      <c r="I2851" s="36"/>
      <c r="J2851" s="36"/>
      <c r="K2851" s="36"/>
    </row>
    <row r="2852" spans="7:11" ht="15.75" customHeight="1">
      <c r="G2852" s="36"/>
      <c r="H2852" s="36"/>
      <c r="I2852" s="36"/>
      <c r="J2852" s="36"/>
      <c r="K2852" s="36"/>
    </row>
    <row r="2853" spans="7:11" ht="15.75" customHeight="1">
      <c r="G2853" s="36"/>
      <c r="H2853" s="36"/>
      <c r="I2853" s="36"/>
      <c r="J2853" s="36"/>
      <c r="K2853" s="36"/>
    </row>
    <row r="2854" spans="7:11" ht="15.75" customHeight="1">
      <c r="G2854" s="36"/>
      <c r="H2854" s="36"/>
      <c r="I2854" s="36"/>
      <c r="J2854" s="36"/>
      <c r="K2854" s="36"/>
    </row>
    <row r="2855" spans="7:11" ht="15.75" customHeight="1">
      <c r="G2855" s="36"/>
      <c r="H2855" s="36"/>
      <c r="I2855" s="36"/>
      <c r="J2855" s="36"/>
      <c r="K2855" s="36"/>
    </row>
    <row r="2856" spans="7:11" ht="15.75" customHeight="1">
      <c r="G2856" s="36"/>
      <c r="H2856" s="36"/>
      <c r="I2856" s="36"/>
      <c r="J2856" s="36"/>
      <c r="K2856" s="36"/>
    </row>
    <row r="2857" spans="7:11" ht="15.75" customHeight="1">
      <c r="G2857" s="36"/>
      <c r="H2857" s="36"/>
      <c r="I2857" s="36"/>
      <c r="J2857" s="36"/>
      <c r="K2857" s="36"/>
    </row>
    <row r="2858" spans="7:11" ht="15.75" customHeight="1">
      <c r="G2858" s="36"/>
      <c r="H2858" s="36"/>
      <c r="I2858" s="36"/>
      <c r="J2858" s="36"/>
      <c r="K2858" s="36"/>
    </row>
    <row r="2859" spans="7:11" ht="15.75" customHeight="1">
      <c r="G2859" s="36"/>
      <c r="H2859" s="36"/>
      <c r="I2859" s="36"/>
      <c r="J2859" s="36"/>
      <c r="K2859" s="36"/>
    </row>
    <row r="2860" spans="7:11" ht="15.75" customHeight="1">
      <c r="G2860" s="36"/>
      <c r="H2860" s="36"/>
      <c r="I2860" s="36"/>
      <c r="J2860" s="36"/>
      <c r="K2860" s="36"/>
    </row>
    <row r="2861" spans="7:11" ht="15.75" customHeight="1">
      <c r="G2861" s="36"/>
      <c r="H2861" s="36"/>
      <c r="I2861" s="36"/>
      <c r="J2861" s="36"/>
      <c r="K2861" s="36"/>
    </row>
    <row r="2862" spans="7:11" ht="15.75" customHeight="1">
      <c r="G2862" s="36"/>
      <c r="H2862" s="36"/>
      <c r="I2862" s="36"/>
      <c r="J2862" s="36"/>
      <c r="K2862" s="36"/>
    </row>
    <row r="2863" spans="7:11" ht="15.75" customHeight="1">
      <c r="G2863" s="36"/>
      <c r="H2863" s="36"/>
      <c r="I2863" s="36"/>
      <c r="J2863" s="36"/>
      <c r="K2863" s="36"/>
    </row>
    <row r="2864" spans="7:11" ht="15.75" customHeight="1">
      <c r="G2864" s="36"/>
      <c r="H2864" s="36"/>
      <c r="I2864" s="36"/>
      <c r="J2864" s="36"/>
      <c r="K2864" s="36"/>
    </row>
    <row r="2865" spans="7:11" ht="15.75" customHeight="1">
      <c r="G2865" s="36"/>
      <c r="H2865" s="36"/>
      <c r="I2865" s="36"/>
      <c r="J2865" s="36"/>
      <c r="K2865" s="36"/>
    </row>
    <row r="2866" spans="7:11" ht="15.75" customHeight="1">
      <c r="G2866" s="36"/>
      <c r="H2866" s="36"/>
      <c r="I2866" s="36"/>
      <c r="J2866" s="36"/>
      <c r="K2866" s="36"/>
    </row>
    <row r="2867" spans="7:11" ht="15.75" customHeight="1">
      <c r="G2867" s="36"/>
      <c r="H2867" s="36"/>
      <c r="I2867" s="36"/>
      <c r="J2867" s="36"/>
      <c r="K2867" s="36"/>
    </row>
    <row r="2868" spans="7:11" ht="15.75" customHeight="1">
      <c r="G2868" s="36"/>
      <c r="H2868" s="36"/>
      <c r="I2868" s="36"/>
      <c r="J2868" s="36"/>
      <c r="K2868" s="36"/>
    </row>
    <row r="2869" spans="7:11" ht="15.75" customHeight="1">
      <c r="G2869" s="36"/>
      <c r="H2869" s="36"/>
      <c r="I2869" s="36"/>
      <c r="J2869" s="36"/>
      <c r="K2869" s="36"/>
    </row>
    <row r="2870" spans="7:11" ht="15.75" customHeight="1">
      <c r="G2870" s="36"/>
      <c r="H2870" s="36"/>
      <c r="I2870" s="36"/>
      <c r="J2870" s="36"/>
      <c r="K2870" s="36"/>
    </row>
    <row r="2871" spans="7:11" ht="15.75" customHeight="1">
      <c r="G2871" s="36"/>
      <c r="H2871" s="36"/>
      <c r="I2871" s="36"/>
      <c r="J2871" s="36"/>
      <c r="K2871" s="36"/>
    </row>
    <row r="2872" spans="7:11" ht="15.75" customHeight="1">
      <c r="G2872" s="36"/>
      <c r="H2872" s="36"/>
      <c r="I2872" s="36"/>
      <c r="J2872" s="36"/>
      <c r="K2872" s="36"/>
    </row>
    <row r="2873" spans="7:11" ht="15.75" customHeight="1">
      <c r="G2873" s="36"/>
      <c r="H2873" s="36"/>
      <c r="I2873" s="36"/>
      <c r="J2873" s="36"/>
      <c r="K2873" s="36"/>
    </row>
    <row r="2874" spans="7:11" ht="15.75" customHeight="1">
      <c r="G2874" s="36"/>
      <c r="H2874" s="36"/>
      <c r="I2874" s="36"/>
      <c r="J2874" s="36"/>
      <c r="K2874" s="36"/>
    </row>
    <row r="2875" spans="7:11" ht="15.75" customHeight="1">
      <c r="G2875" s="36"/>
      <c r="H2875" s="36"/>
      <c r="I2875" s="36"/>
      <c r="J2875" s="36"/>
      <c r="K2875" s="36"/>
    </row>
    <row r="2876" spans="7:11" ht="15.75" customHeight="1">
      <c r="G2876" s="36"/>
      <c r="H2876" s="36"/>
      <c r="I2876" s="36"/>
      <c r="J2876" s="36"/>
      <c r="K2876" s="36"/>
    </row>
    <row r="2877" spans="7:11" ht="15.75" customHeight="1">
      <c r="G2877" s="36"/>
      <c r="H2877" s="36"/>
      <c r="I2877" s="36"/>
      <c r="J2877" s="36"/>
      <c r="K2877" s="36"/>
    </row>
    <row r="2878" spans="7:11" ht="15.75" customHeight="1">
      <c r="G2878" s="36"/>
      <c r="H2878" s="36"/>
      <c r="I2878" s="36"/>
      <c r="J2878" s="36"/>
      <c r="K2878" s="36"/>
    </row>
    <row r="2879" spans="7:11" ht="15.75" customHeight="1">
      <c r="G2879" s="36"/>
      <c r="H2879" s="36"/>
      <c r="I2879" s="36"/>
      <c r="J2879" s="36"/>
      <c r="K2879" s="36"/>
    </row>
    <row r="2880" spans="7:11" ht="15.75" customHeight="1">
      <c r="G2880" s="36"/>
      <c r="H2880" s="36"/>
      <c r="I2880" s="36"/>
      <c r="J2880" s="36"/>
      <c r="K2880" s="36"/>
    </row>
    <row r="2881" spans="7:11" ht="15.75" customHeight="1">
      <c r="G2881" s="36"/>
      <c r="H2881" s="36"/>
      <c r="I2881" s="36"/>
      <c r="J2881" s="36"/>
      <c r="K2881" s="36"/>
    </row>
    <row r="2882" spans="7:11" ht="15.75" customHeight="1">
      <c r="G2882" s="36"/>
      <c r="H2882" s="36"/>
      <c r="I2882" s="36"/>
      <c r="J2882" s="36"/>
      <c r="K2882" s="36"/>
    </row>
    <row r="2883" spans="7:11" ht="15.75" customHeight="1">
      <c r="G2883" s="36"/>
      <c r="H2883" s="36"/>
      <c r="I2883" s="36"/>
      <c r="J2883" s="36"/>
      <c r="K2883" s="36"/>
    </row>
    <row r="2884" spans="7:11" ht="15.75" customHeight="1">
      <c r="G2884" s="36"/>
      <c r="H2884" s="36"/>
      <c r="I2884" s="36"/>
      <c r="J2884" s="36"/>
      <c r="K2884" s="36"/>
    </row>
    <row r="2885" spans="7:11" ht="15.75" customHeight="1">
      <c r="G2885" s="36"/>
      <c r="H2885" s="36"/>
      <c r="I2885" s="36"/>
      <c r="J2885" s="36"/>
      <c r="K2885" s="36"/>
    </row>
    <row r="2886" spans="7:11" ht="15.75" customHeight="1">
      <c r="G2886" s="36"/>
      <c r="H2886" s="36"/>
      <c r="I2886" s="36"/>
      <c r="J2886" s="36"/>
      <c r="K2886" s="36"/>
    </row>
    <row r="2887" spans="7:11" ht="15.75" customHeight="1">
      <c r="G2887" s="36"/>
      <c r="H2887" s="36"/>
      <c r="I2887" s="36"/>
      <c r="J2887" s="36"/>
      <c r="K2887" s="36"/>
    </row>
    <row r="2888" spans="7:11" ht="15.75" customHeight="1">
      <c r="G2888" s="36"/>
      <c r="H2888" s="36"/>
      <c r="I2888" s="36"/>
      <c r="J2888" s="36"/>
      <c r="K2888" s="36"/>
    </row>
    <row r="2889" spans="7:11" ht="15.75" customHeight="1">
      <c r="G2889" s="36"/>
      <c r="H2889" s="36"/>
      <c r="I2889" s="36"/>
      <c r="J2889" s="36"/>
      <c r="K2889" s="36"/>
    </row>
    <row r="2890" spans="7:11" ht="15.75" customHeight="1">
      <c r="G2890" s="36"/>
      <c r="H2890" s="36"/>
      <c r="I2890" s="36"/>
      <c r="J2890" s="36"/>
      <c r="K2890" s="36"/>
    </row>
    <row r="2891" spans="7:11" ht="15.75" customHeight="1">
      <c r="G2891" s="36"/>
      <c r="H2891" s="36"/>
      <c r="I2891" s="36"/>
      <c r="J2891" s="36"/>
      <c r="K2891" s="36"/>
    </row>
    <row r="2892" spans="7:11" ht="15.75" customHeight="1">
      <c r="G2892" s="36"/>
      <c r="H2892" s="36"/>
      <c r="I2892" s="36"/>
      <c r="J2892" s="36"/>
      <c r="K2892" s="36"/>
    </row>
    <row r="2893" spans="7:11" ht="15.75" customHeight="1">
      <c r="G2893" s="36"/>
      <c r="H2893" s="36"/>
      <c r="I2893" s="36"/>
      <c r="J2893" s="36"/>
      <c r="K2893" s="36"/>
    </row>
    <row r="2894" spans="7:11" ht="15.75" customHeight="1">
      <c r="G2894" s="36"/>
      <c r="H2894" s="36"/>
      <c r="I2894" s="36"/>
      <c r="J2894" s="36"/>
      <c r="K2894" s="36"/>
    </row>
    <row r="2895" spans="7:11" ht="15.75" customHeight="1">
      <c r="G2895" s="36"/>
      <c r="H2895" s="36"/>
      <c r="I2895" s="36"/>
      <c r="J2895" s="36"/>
      <c r="K2895" s="36"/>
    </row>
    <row r="2896" spans="7:11" ht="15.75" customHeight="1">
      <c r="G2896" s="36"/>
      <c r="H2896" s="36"/>
      <c r="I2896" s="36"/>
      <c r="J2896" s="36"/>
      <c r="K2896" s="36"/>
    </row>
    <row r="2897" spans="7:11" ht="15.75" customHeight="1">
      <c r="G2897" s="36"/>
      <c r="H2897" s="36"/>
      <c r="I2897" s="36"/>
      <c r="J2897" s="36"/>
      <c r="K2897" s="36"/>
    </row>
    <row r="2898" spans="7:11" ht="15.75" customHeight="1">
      <c r="G2898" s="36"/>
      <c r="H2898" s="36"/>
      <c r="I2898" s="36"/>
      <c r="J2898" s="36"/>
      <c r="K2898" s="36"/>
    </row>
    <row r="2899" spans="7:11" ht="15.75" customHeight="1">
      <c r="G2899" s="36"/>
      <c r="H2899" s="36"/>
      <c r="I2899" s="36"/>
      <c r="J2899" s="36"/>
      <c r="K2899" s="36"/>
    </row>
    <row r="2900" spans="7:11" ht="15.75" customHeight="1">
      <c r="G2900" s="36"/>
      <c r="H2900" s="36"/>
      <c r="I2900" s="36"/>
      <c r="J2900" s="36"/>
      <c r="K2900" s="36"/>
    </row>
    <row r="2901" spans="7:11" ht="15.75" customHeight="1">
      <c r="G2901" s="36"/>
      <c r="H2901" s="36"/>
      <c r="I2901" s="36"/>
      <c r="J2901" s="36"/>
      <c r="K2901" s="36"/>
    </row>
    <row r="2902" spans="7:11" ht="15.75" customHeight="1">
      <c r="G2902" s="36"/>
      <c r="H2902" s="36"/>
      <c r="I2902" s="36"/>
      <c r="J2902" s="36"/>
      <c r="K2902" s="36"/>
    </row>
    <row r="2903" spans="7:11" ht="15.75" customHeight="1">
      <c r="G2903" s="36"/>
      <c r="H2903" s="36"/>
      <c r="I2903" s="36"/>
      <c r="J2903" s="36"/>
      <c r="K2903" s="36"/>
    </row>
    <row r="2904" spans="7:11" ht="15.75" customHeight="1">
      <c r="G2904" s="36"/>
      <c r="H2904" s="36"/>
      <c r="I2904" s="36"/>
      <c r="J2904" s="36"/>
      <c r="K2904" s="36"/>
    </row>
    <row r="2905" spans="7:11" ht="15.75" customHeight="1">
      <c r="G2905" s="36"/>
      <c r="H2905" s="36"/>
      <c r="I2905" s="36"/>
      <c r="J2905" s="36"/>
      <c r="K2905" s="36"/>
    </row>
    <row r="2906" spans="7:11" ht="15.75" customHeight="1">
      <c r="G2906" s="36"/>
      <c r="H2906" s="36"/>
      <c r="I2906" s="36"/>
      <c r="J2906" s="36"/>
      <c r="K2906" s="36"/>
    </row>
    <row r="2907" spans="7:11" ht="15.75" customHeight="1">
      <c r="G2907" s="36"/>
      <c r="H2907" s="36"/>
      <c r="I2907" s="36"/>
      <c r="J2907" s="36"/>
      <c r="K2907" s="36"/>
    </row>
    <row r="2908" spans="7:11" ht="15.75" customHeight="1">
      <c r="G2908" s="36"/>
      <c r="H2908" s="36"/>
      <c r="I2908" s="36"/>
      <c r="J2908" s="36"/>
      <c r="K2908" s="36"/>
    </row>
    <row r="2909" spans="7:11" ht="15.75" customHeight="1">
      <c r="G2909" s="36"/>
      <c r="H2909" s="36"/>
      <c r="I2909" s="36"/>
      <c r="J2909" s="36"/>
      <c r="K2909" s="36"/>
    </row>
    <row r="2910" spans="7:11" ht="15.75" customHeight="1">
      <c r="G2910" s="36"/>
      <c r="H2910" s="36"/>
      <c r="I2910" s="36"/>
      <c r="J2910" s="36"/>
      <c r="K2910" s="36"/>
    </row>
    <row r="2911" spans="7:11" ht="15.75" customHeight="1">
      <c r="G2911" s="36"/>
      <c r="H2911" s="36"/>
      <c r="I2911" s="36"/>
      <c r="J2911" s="36"/>
      <c r="K2911" s="36"/>
    </row>
    <row r="2912" spans="7:11" ht="15.75" customHeight="1">
      <c r="G2912" s="36"/>
      <c r="H2912" s="36"/>
      <c r="I2912" s="36"/>
      <c r="J2912" s="36"/>
      <c r="K2912" s="36"/>
    </row>
    <row r="2913" spans="7:11" ht="15.75" customHeight="1">
      <c r="G2913" s="36"/>
      <c r="H2913" s="36"/>
      <c r="I2913" s="36"/>
      <c r="J2913" s="36"/>
      <c r="K2913" s="36"/>
    </row>
    <row r="2914" spans="7:11" ht="15.75" customHeight="1">
      <c r="G2914" s="36"/>
      <c r="H2914" s="36"/>
      <c r="I2914" s="36"/>
      <c r="J2914" s="36"/>
      <c r="K2914" s="36"/>
    </row>
    <row r="2915" spans="7:11" ht="15.75" customHeight="1">
      <c r="G2915" s="36"/>
      <c r="H2915" s="36"/>
      <c r="I2915" s="36"/>
      <c r="J2915" s="36"/>
      <c r="K2915" s="36"/>
    </row>
    <row r="2916" spans="7:11" ht="15.75" customHeight="1">
      <c r="G2916" s="36"/>
      <c r="H2916" s="36"/>
      <c r="I2916" s="36"/>
      <c r="J2916" s="36"/>
      <c r="K2916" s="36"/>
    </row>
    <row r="2917" spans="7:11" ht="15.75" customHeight="1">
      <c r="G2917" s="36"/>
      <c r="H2917" s="36"/>
      <c r="I2917" s="36"/>
      <c r="J2917" s="36"/>
      <c r="K2917" s="36"/>
    </row>
    <row r="2918" spans="7:11" ht="15.75" customHeight="1">
      <c r="G2918" s="36"/>
      <c r="H2918" s="36"/>
      <c r="I2918" s="36"/>
      <c r="J2918" s="36"/>
      <c r="K2918" s="36"/>
    </row>
    <row r="2919" spans="7:11" ht="15.75" customHeight="1">
      <c r="G2919" s="36"/>
      <c r="H2919" s="36"/>
      <c r="I2919" s="36"/>
      <c r="J2919" s="36"/>
      <c r="K2919" s="36"/>
    </row>
    <row r="2920" spans="7:11" ht="15.75" customHeight="1">
      <c r="G2920" s="36"/>
      <c r="H2920" s="36"/>
      <c r="I2920" s="36"/>
      <c r="J2920" s="36"/>
      <c r="K2920" s="36"/>
    </row>
    <row r="2921" spans="7:11" ht="15.75" customHeight="1">
      <c r="G2921" s="36"/>
      <c r="H2921" s="36"/>
      <c r="I2921" s="36"/>
      <c r="J2921" s="36"/>
      <c r="K2921" s="36"/>
    </row>
    <row r="2922" spans="7:11" ht="15.75" customHeight="1">
      <c r="G2922" s="36"/>
      <c r="H2922" s="36"/>
      <c r="I2922" s="36"/>
      <c r="J2922" s="36"/>
      <c r="K2922" s="36"/>
    </row>
    <row r="2923" spans="7:11" ht="15.75" customHeight="1">
      <c r="G2923" s="36"/>
      <c r="H2923" s="36"/>
      <c r="I2923" s="36"/>
      <c r="J2923" s="36"/>
      <c r="K2923" s="36"/>
    </row>
    <row r="2924" spans="7:11" ht="15.75" customHeight="1">
      <c r="G2924" s="36"/>
      <c r="H2924" s="36"/>
      <c r="I2924" s="36"/>
      <c r="J2924" s="36"/>
      <c r="K2924" s="36"/>
    </row>
    <row r="2925" spans="7:11" ht="15.75" customHeight="1">
      <c r="G2925" s="36"/>
      <c r="H2925" s="36"/>
      <c r="I2925" s="36"/>
      <c r="J2925" s="36"/>
      <c r="K2925" s="36"/>
    </row>
    <row r="2926" spans="7:11" ht="15.75" customHeight="1">
      <c r="G2926" s="36"/>
      <c r="H2926" s="36"/>
      <c r="I2926" s="36"/>
      <c r="J2926" s="36"/>
      <c r="K2926" s="36"/>
    </row>
    <row r="2927" spans="7:11" ht="15.75" customHeight="1">
      <c r="G2927" s="36"/>
      <c r="H2927" s="36"/>
      <c r="I2927" s="36"/>
      <c r="J2927" s="36"/>
      <c r="K2927" s="36"/>
    </row>
    <row r="2928" spans="7:11" ht="15.75" customHeight="1">
      <c r="G2928" s="36"/>
      <c r="H2928" s="36"/>
      <c r="I2928" s="36"/>
      <c r="J2928" s="36"/>
      <c r="K2928" s="36"/>
    </row>
    <row r="2929" spans="7:11" ht="15.75" customHeight="1">
      <c r="G2929" s="36"/>
      <c r="H2929" s="36"/>
      <c r="I2929" s="36"/>
      <c r="J2929" s="36"/>
      <c r="K2929" s="36"/>
    </row>
    <row r="2930" spans="7:11" ht="15.75" customHeight="1">
      <c r="G2930" s="36"/>
      <c r="H2930" s="36"/>
      <c r="I2930" s="36"/>
      <c r="J2930" s="36"/>
      <c r="K2930" s="36"/>
    </row>
    <row r="2931" spans="7:11" ht="15.75" customHeight="1">
      <c r="G2931" s="36"/>
      <c r="H2931" s="36"/>
      <c r="I2931" s="36"/>
      <c r="J2931" s="36"/>
      <c r="K2931" s="36"/>
    </row>
    <row r="2932" spans="7:11" ht="15.75" customHeight="1">
      <c r="G2932" s="36"/>
      <c r="H2932" s="36"/>
      <c r="I2932" s="36"/>
      <c r="J2932" s="36"/>
      <c r="K2932" s="36"/>
    </row>
    <row r="2933" spans="7:11" ht="15.75" customHeight="1">
      <c r="G2933" s="36"/>
      <c r="H2933" s="36"/>
      <c r="I2933" s="36"/>
      <c r="J2933" s="36"/>
      <c r="K2933" s="36"/>
    </row>
    <row r="2934" spans="7:11" ht="15.75" customHeight="1">
      <c r="G2934" s="36"/>
      <c r="H2934" s="36"/>
      <c r="I2934" s="36"/>
      <c r="J2934" s="36"/>
      <c r="K2934" s="36"/>
    </row>
    <row r="2935" spans="7:11" ht="15.75" customHeight="1">
      <c r="G2935" s="36"/>
      <c r="H2935" s="36"/>
      <c r="I2935" s="36"/>
      <c r="J2935" s="36"/>
      <c r="K2935" s="36"/>
    </row>
    <row r="2936" spans="7:11" ht="15.75" customHeight="1">
      <c r="G2936" s="36"/>
      <c r="H2936" s="36"/>
      <c r="I2936" s="36"/>
      <c r="J2936" s="36"/>
      <c r="K2936" s="36"/>
    </row>
    <row r="2937" spans="7:11" ht="15.75" customHeight="1">
      <c r="G2937" s="36"/>
      <c r="H2937" s="36"/>
      <c r="I2937" s="36"/>
      <c r="J2937" s="36"/>
      <c r="K2937" s="36"/>
    </row>
    <row r="2938" spans="7:11" ht="15.75" customHeight="1">
      <c r="G2938" s="36"/>
      <c r="H2938" s="36"/>
      <c r="I2938" s="36"/>
      <c r="J2938" s="36"/>
      <c r="K2938" s="36"/>
    </row>
    <row r="2939" spans="7:11" ht="15.75" customHeight="1">
      <c r="G2939" s="36"/>
      <c r="H2939" s="36"/>
      <c r="I2939" s="36"/>
      <c r="J2939" s="36"/>
      <c r="K2939" s="36"/>
    </row>
    <row r="2940" spans="7:11" ht="15.75" customHeight="1">
      <c r="G2940" s="36"/>
      <c r="H2940" s="36"/>
      <c r="I2940" s="36"/>
      <c r="J2940" s="36"/>
      <c r="K2940" s="36"/>
    </row>
    <row r="2941" spans="7:11" ht="15.75" customHeight="1">
      <c r="G2941" s="36"/>
      <c r="H2941" s="36"/>
      <c r="I2941" s="36"/>
      <c r="J2941" s="36"/>
      <c r="K2941" s="36"/>
    </row>
    <row r="2942" spans="7:11" ht="15.75" customHeight="1">
      <c r="G2942" s="36"/>
      <c r="H2942" s="36"/>
      <c r="I2942" s="36"/>
      <c r="J2942" s="36"/>
      <c r="K2942" s="36"/>
    </row>
    <row r="2943" spans="7:11" ht="15.75" customHeight="1">
      <c r="G2943" s="36"/>
      <c r="H2943" s="36"/>
      <c r="I2943" s="36"/>
      <c r="J2943" s="36"/>
      <c r="K2943" s="36"/>
    </row>
    <row r="2944" spans="7:11" ht="15.75" customHeight="1">
      <c r="G2944" s="36"/>
      <c r="H2944" s="36"/>
      <c r="I2944" s="36"/>
      <c r="J2944" s="36"/>
      <c r="K2944" s="36"/>
    </row>
    <row r="2945" spans="7:11" ht="15.75" customHeight="1">
      <c r="G2945" s="36"/>
      <c r="H2945" s="36"/>
      <c r="I2945" s="36"/>
      <c r="J2945" s="36"/>
      <c r="K2945" s="36"/>
    </row>
    <row r="2946" spans="7:11" ht="15.75" customHeight="1">
      <c r="G2946" s="36"/>
      <c r="H2946" s="36"/>
      <c r="I2946" s="36"/>
      <c r="J2946" s="36"/>
      <c r="K2946" s="36"/>
    </row>
    <row r="2947" spans="7:11" ht="15.75" customHeight="1">
      <c r="G2947" s="36"/>
      <c r="H2947" s="36"/>
      <c r="I2947" s="36"/>
      <c r="J2947" s="36"/>
      <c r="K2947" s="36"/>
    </row>
    <row r="2948" spans="7:11" ht="15.75" customHeight="1">
      <c r="G2948" s="36"/>
      <c r="H2948" s="36"/>
      <c r="I2948" s="36"/>
      <c r="J2948" s="36"/>
      <c r="K2948" s="36"/>
    </row>
    <row r="2949" spans="7:11" ht="15.75" customHeight="1">
      <c r="G2949" s="36"/>
      <c r="H2949" s="36"/>
      <c r="I2949" s="36"/>
      <c r="J2949" s="36"/>
      <c r="K2949" s="36"/>
    </row>
    <row r="2950" spans="7:11" ht="15.75" customHeight="1">
      <c r="G2950" s="36"/>
      <c r="H2950" s="36"/>
      <c r="I2950" s="36"/>
      <c r="J2950" s="36"/>
      <c r="K2950" s="36"/>
    </row>
    <row r="2951" spans="7:11" ht="15.75" customHeight="1">
      <c r="G2951" s="36"/>
      <c r="H2951" s="36"/>
      <c r="I2951" s="36"/>
      <c r="J2951" s="36"/>
      <c r="K2951" s="36"/>
    </row>
    <row r="2952" spans="7:11" ht="15.75" customHeight="1">
      <c r="G2952" s="36"/>
      <c r="H2952" s="36"/>
      <c r="I2952" s="36"/>
      <c r="J2952" s="36"/>
      <c r="K2952" s="36"/>
    </row>
    <row r="2953" spans="7:11" ht="15.75" customHeight="1">
      <c r="G2953" s="36"/>
      <c r="H2953" s="36"/>
      <c r="I2953" s="36"/>
      <c r="J2953" s="36"/>
      <c r="K2953" s="36"/>
    </row>
    <row r="2954" spans="7:11" ht="15.75" customHeight="1">
      <c r="G2954" s="36"/>
      <c r="H2954" s="36"/>
      <c r="I2954" s="36"/>
      <c r="J2954" s="36"/>
      <c r="K2954" s="36"/>
    </row>
    <row r="2955" spans="7:11" ht="15.75" customHeight="1">
      <c r="G2955" s="36"/>
      <c r="H2955" s="36"/>
      <c r="I2955" s="36"/>
      <c r="J2955" s="36"/>
      <c r="K2955" s="36"/>
    </row>
    <row r="2956" spans="7:11" ht="15.75" customHeight="1">
      <c r="G2956" s="36"/>
      <c r="H2956" s="36"/>
      <c r="I2956" s="36"/>
      <c r="J2956" s="36"/>
      <c r="K2956" s="36"/>
    </row>
    <row r="2957" spans="7:11" ht="15.75" customHeight="1">
      <c r="G2957" s="36"/>
      <c r="H2957" s="36"/>
      <c r="I2957" s="36"/>
      <c r="J2957" s="36"/>
      <c r="K2957" s="36"/>
    </row>
    <row r="2958" spans="7:11" ht="15.75" customHeight="1">
      <c r="G2958" s="36"/>
      <c r="H2958" s="36"/>
      <c r="I2958" s="36"/>
      <c r="J2958" s="36"/>
      <c r="K2958" s="36"/>
    </row>
    <row r="2959" spans="7:11" ht="15.75" customHeight="1">
      <c r="G2959" s="36"/>
      <c r="H2959" s="36"/>
      <c r="I2959" s="36"/>
      <c r="J2959" s="36"/>
      <c r="K2959" s="36"/>
    </row>
    <row r="2960" spans="7:11" ht="15.75" customHeight="1">
      <c r="G2960" s="36"/>
      <c r="H2960" s="36"/>
      <c r="I2960" s="36"/>
      <c r="J2960" s="36"/>
      <c r="K2960" s="36"/>
    </row>
    <row r="2961" spans="7:11" ht="15.75" customHeight="1">
      <c r="G2961" s="36"/>
      <c r="H2961" s="36"/>
      <c r="I2961" s="36"/>
      <c r="J2961" s="36"/>
      <c r="K2961" s="36"/>
    </row>
    <row r="2962" spans="7:11" ht="15.75" customHeight="1">
      <c r="G2962" s="36"/>
      <c r="H2962" s="36"/>
      <c r="I2962" s="36"/>
      <c r="J2962" s="36"/>
      <c r="K2962" s="36"/>
    </row>
    <row r="2963" spans="7:11" ht="15.75" customHeight="1">
      <c r="G2963" s="36"/>
      <c r="H2963" s="36"/>
      <c r="I2963" s="36"/>
      <c r="J2963" s="36"/>
      <c r="K2963" s="36"/>
    </row>
    <row r="2964" spans="7:11" ht="15.75" customHeight="1">
      <c r="G2964" s="36"/>
      <c r="H2964" s="36"/>
      <c r="I2964" s="36"/>
      <c r="J2964" s="36"/>
      <c r="K2964" s="36"/>
    </row>
    <row r="2965" spans="7:11" ht="15.75" customHeight="1">
      <c r="G2965" s="36"/>
      <c r="H2965" s="36"/>
      <c r="I2965" s="36"/>
      <c r="J2965" s="36"/>
      <c r="K2965" s="36"/>
    </row>
    <row r="2966" spans="7:11" ht="15.75" customHeight="1">
      <c r="G2966" s="36"/>
      <c r="H2966" s="36"/>
      <c r="I2966" s="36"/>
      <c r="J2966" s="36"/>
      <c r="K2966" s="36"/>
    </row>
    <row r="2967" spans="7:11" ht="15.75" customHeight="1">
      <c r="G2967" s="36"/>
      <c r="H2967" s="36"/>
      <c r="I2967" s="36"/>
      <c r="J2967" s="36"/>
      <c r="K2967" s="36"/>
    </row>
    <row r="2968" spans="7:11" ht="15.75" customHeight="1">
      <c r="G2968" s="36"/>
      <c r="H2968" s="36"/>
      <c r="I2968" s="36"/>
      <c r="J2968" s="36"/>
      <c r="K2968" s="36"/>
    </row>
    <row r="2969" spans="7:11" ht="15.75" customHeight="1">
      <c r="G2969" s="36"/>
      <c r="H2969" s="36"/>
      <c r="I2969" s="36"/>
      <c r="J2969" s="36"/>
      <c r="K2969" s="36"/>
    </row>
    <row r="2970" spans="7:11" ht="15.75" customHeight="1">
      <c r="G2970" s="36"/>
      <c r="H2970" s="36"/>
      <c r="I2970" s="36"/>
      <c r="J2970" s="36"/>
      <c r="K2970" s="36"/>
    </row>
    <row r="2971" spans="7:11" ht="15.75" customHeight="1">
      <c r="G2971" s="36"/>
      <c r="H2971" s="36"/>
      <c r="I2971" s="36"/>
      <c r="J2971" s="36"/>
      <c r="K2971" s="36"/>
    </row>
    <row r="2972" spans="7:11" ht="15.75" customHeight="1">
      <c r="G2972" s="36"/>
      <c r="H2972" s="36"/>
      <c r="I2972" s="36"/>
      <c r="J2972" s="36"/>
      <c r="K2972" s="36"/>
    </row>
    <row r="2973" spans="7:11" ht="15.75" customHeight="1">
      <c r="G2973" s="36"/>
      <c r="H2973" s="36"/>
      <c r="I2973" s="36"/>
      <c r="J2973" s="36"/>
      <c r="K2973" s="36"/>
    </row>
    <row r="2974" spans="7:11" ht="15.75" customHeight="1">
      <c r="G2974" s="36"/>
      <c r="H2974" s="36"/>
      <c r="I2974" s="36"/>
      <c r="J2974" s="36"/>
      <c r="K2974" s="36"/>
    </row>
    <row r="2975" spans="7:11" ht="15.75" customHeight="1">
      <c r="G2975" s="36"/>
      <c r="H2975" s="36"/>
      <c r="I2975" s="36"/>
      <c r="J2975" s="36"/>
      <c r="K2975" s="36"/>
    </row>
    <row r="2976" spans="7:11" ht="15.75" customHeight="1">
      <c r="G2976" s="36"/>
      <c r="H2976" s="36"/>
      <c r="I2976" s="36"/>
      <c r="J2976" s="36"/>
      <c r="K2976" s="36"/>
    </row>
    <row r="2977" spans="7:11" ht="15.75" customHeight="1">
      <c r="G2977" s="36"/>
      <c r="H2977" s="36"/>
      <c r="I2977" s="36"/>
      <c r="J2977" s="36"/>
      <c r="K2977" s="36"/>
    </row>
    <row r="2978" spans="7:11" ht="15.75" customHeight="1">
      <c r="G2978" s="36"/>
      <c r="H2978" s="36"/>
      <c r="I2978" s="36"/>
      <c r="J2978" s="36"/>
      <c r="K2978" s="36"/>
    </row>
    <row r="2979" spans="7:11" ht="15.75" customHeight="1">
      <c r="G2979" s="36"/>
      <c r="H2979" s="36"/>
      <c r="I2979" s="36"/>
      <c r="J2979" s="36"/>
      <c r="K2979" s="36"/>
    </row>
    <row r="2980" spans="7:11" ht="15.75" customHeight="1">
      <c r="G2980" s="36"/>
      <c r="H2980" s="36"/>
      <c r="I2980" s="36"/>
      <c r="J2980" s="36"/>
      <c r="K2980" s="36"/>
    </row>
    <row r="2981" spans="7:11" ht="15.75" customHeight="1">
      <c r="G2981" s="36"/>
      <c r="H2981" s="36"/>
      <c r="I2981" s="36"/>
      <c r="J2981" s="36"/>
      <c r="K2981" s="36"/>
    </row>
    <row r="2982" spans="7:11" ht="15.75" customHeight="1">
      <c r="G2982" s="36"/>
      <c r="H2982" s="36"/>
      <c r="I2982" s="36"/>
      <c r="J2982" s="36"/>
      <c r="K2982" s="36"/>
    </row>
    <row r="2983" spans="7:11" ht="15.75" customHeight="1">
      <c r="G2983" s="36"/>
      <c r="H2983" s="36"/>
      <c r="I2983" s="36"/>
      <c r="J2983" s="36"/>
      <c r="K2983" s="36"/>
    </row>
    <row r="2984" spans="7:11" ht="15.75" customHeight="1">
      <c r="G2984" s="36"/>
      <c r="H2984" s="36"/>
      <c r="I2984" s="36"/>
      <c r="J2984" s="36"/>
      <c r="K2984" s="36"/>
    </row>
    <row r="2985" spans="7:11" ht="15.75" customHeight="1">
      <c r="G2985" s="36"/>
      <c r="H2985" s="36"/>
      <c r="I2985" s="36"/>
      <c r="J2985" s="36"/>
      <c r="K2985" s="36"/>
    </row>
    <row r="2986" spans="7:11" ht="15.75" customHeight="1">
      <c r="G2986" s="36"/>
      <c r="H2986" s="36"/>
      <c r="I2986" s="36"/>
      <c r="J2986" s="36"/>
      <c r="K2986" s="36"/>
    </row>
    <row r="2987" spans="7:11" ht="15.75" customHeight="1">
      <c r="G2987" s="36"/>
      <c r="H2987" s="36"/>
      <c r="I2987" s="36"/>
      <c r="J2987" s="36"/>
      <c r="K2987" s="36"/>
    </row>
    <row r="2988" spans="7:11" ht="15.75" customHeight="1">
      <c r="G2988" s="36"/>
      <c r="H2988" s="36"/>
      <c r="I2988" s="36"/>
      <c r="J2988" s="36"/>
      <c r="K2988" s="36"/>
    </row>
    <row r="2989" spans="7:11" ht="15.75" customHeight="1">
      <c r="G2989" s="36"/>
      <c r="H2989" s="36"/>
      <c r="I2989" s="36"/>
      <c r="J2989" s="36"/>
      <c r="K2989" s="36"/>
    </row>
    <row r="2990" spans="7:11" ht="15.75" customHeight="1">
      <c r="G2990" s="36"/>
      <c r="H2990" s="36"/>
      <c r="I2990" s="36"/>
      <c r="J2990" s="36"/>
      <c r="K2990" s="36"/>
    </row>
    <row r="2991" spans="7:11" ht="15.75" customHeight="1">
      <c r="G2991" s="36"/>
      <c r="H2991" s="36"/>
      <c r="I2991" s="36"/>
      <c r="J2991" s="36"/>
      <c r="K2991" s="36"/>
    </row>
    <row r="2992" spans="7:11" ht="15.75" customHeight="1">
      <c r="G2992" s="36"/>
      <c r="H2992" s="36"/>
      <c r="I2992" s="36"/>
      <c r="J2992" s="36"/>
      <c r="K2992" s="36"/>
    </row>
    <row r="2993" spans="7:11" ht="15.75" customHeight="1">
      <c r="G2993" s="36"/>
      <c r="H2993" s="36"/>
      <c r="I2993" s="36"/>
      <c r="J2993" s="36"/>
      <c r="K2993" s="36"/>
    </row>
    <row r="2994" spans="7:11" ht="15.75" customHeight="1">
      <c r="G2994" s="36"/>
      <c r="H2994" s="36"/>
      <c r="I2994" s="36"/>
      <c r="J2994" s="36"/>
      <c r="K2994" s="36"/>
    </row>
    <row r="2995" spans="7:11" ht="15.75" customHeight="1">
      <c r="G2995" s="36"/>
      <c r="H2995" s="36"/>
      <c r="I2995" s="36"/>
      <c r="J2995" s="36"/>
      <c r="K2995" s="36"/>
    </row>
    <row r="2996" spans="7:11" ht="15.75" customHeight="1">
      <c r="G2996" s="36"/>
      <c r="H2996" s="36"/>
      <c r="I2996" s="36"/>
      <c r="J2996" s="36"/>
      <c r="K2996" s="36"/>
    </row>
    <row r="2997" spans="7:11" ht="15.75" customHeight="1">
      <c r="G2997" s="36"/>
      <c r="H2997" s="36"/>
      <c r="I2997" s="36"/>
      <c r="J2997" s="36"/>
      <c r="K2997" s="36"/>
    </row>
    <row r="2998" spans="7:11" ht="15.75" customHeight="1">
      <c r="G2998" s="36"/>
      <c r="H2998" s="36"/>
      <c r="I2998" s="36"/>
      <c r="J2998" s="36"/>
      <c r="K2998" s="36"/>
    </row>
    <row r="2999" spans="7:11" ht="15.75" customHeight="1">
      <c r="G2999" s="36"/>
      <c r="H2999" s="36"/>
      <c r="I2999" s="36"/>
      <c r="J2999" s="36"/>
      <c r="K2999" s="36"/>
    </row>
    <row r="3000" spans="7:11" ht="15.75" customHeight="1">
      <c r="G3000" s="36"/>
      <c r="H3000" s="36"/>
      <c r="I3000" s="36"/>
      <c r="J3000" s="36"/>
      <c r="K3000" s="36"/>
    </row>
    <row r="3001" spans="7:11" ht="15.75" customHeight="1">
      <c r="G3001" s="36"/>
      <c r="H3001" s="36"/>
      <c r="I3001" s="36"/>
      <c r="J3001" s="36"/>
      <c r="K3001" s="36"/>
    </row>
    <row r="3002" spans="7:11" ht="15.75" customHeight="1">
      <c r="G3002" s="36"/>
      <c r="H3002" s="36"/>
      <c r="I3002" s="36"/>
      <c r="J3002" s="36"/>
      <c r="K3002" s="36"/>
    </row>
    <row r="3003" spans="7:11" ht="15.75" customHeight="1">
      <c r="G3003" s="36"/>
      <c r="H3003" s="36"/>
      <c r="I3003" s="36"/>
      <c r="J3003" s="36"/>
      <c r="K3003" s="36"/>
    </row>
    <row r="3004" spans="7:11" ht="15.75" customHeight="1">
      <c r="G3004" s="36"/>
      <c r="H3004" s="36"/>
      <c r="I3004" s="36"/>
      <c r="J3004" s="36"/>
      <c r="K3004" s="36"/>
    </row>
    <row r="3005" spans="7:11" ht="15.75" customHeight="1">
      <c r="G3005" s="36"/>
      <c r="H3005" s="36"/>
      <c r="I3005" s="36"/>
      <c r="J3005" s="36"/>
      <c r="K3005" s="36"/>
    </row>
    <row r="3006" spans="7:11" ht="15.75" customHeight="1">
      <c r="G3006" s="36"/>
      <c r="H3006" s="36"/>
      <c r="I3006" s="36"/>
      <c r="J3006" s="36"/>
      <c r="K3006" s="36"/>
    </row>
    <row r="3007" spans="7:11" ht="15.75" customHeight="1">
      <c r="G3007" s="36"/>
      <c r="H3007" s="36"/>
      <c r="I3007" s="36"/>
      <c r="J3007" s="36"/>
      <c r="K3007" s="36"/>
    </row>
    <row r="3008" spans="7:11" ht="15.75" customHeight="1">
      <c r="G3008" s="36"/>
      <c r="H3008" s="36"/>
      <c r="I3008" s="36"/>
      <c r="J3008" s="36"/>
      <c r="K3008" s="36"/>
    </row>
    <row r="3009" spans="7:11" ht="15.75" customHeight="1">
      <c r="G3009" s="36"/>
      <c r="H3009" s="36"/>
      <c r="I3009" s="36"/>
      <c r="J3009" s="36"/>
      <c r="K3009" s="36"/>
    </row>
    <row r="3010" spans="7:11" ht="15.75" customHeight="1">
      <c r="G3010" s="36"/>
      <c r="H3010" s="36"/>
      <c r="I3010" s="36"/>
      <c r="J3010" s="36"/>
      <c r="K3010" s="36"/>
    </row>
    <row r="3011" spans="7:11" ht="15.75" customHeight="1">
      <c r="G3011" s="36"/>
      <c r="H3011" s="36"/>
      <c r="I3011" s="36"/>
      <c r="J3011" s="36"/>
      <c r="K3011" s="36"/>
    </row>
    <row r="3012" spans="7:11" ht="15.75" customHeight="1">
      <c r="G3012" s="36"/>
      <c r="H3012" s="36"/>
      <c r="I3012" s="36"/>
      <c r="J3012" s="36"/>
      <c r="K3012" s="36"/>
    </row>
    <row r="3013" spans="7:11" ht="15.75" customHeight="1">
      <c r="G3013" s="36"/>
      <c r="H3013" s="36"/>
      <c r="I3013" s="36"/>
      <c r="J3013" s="36"/>
      <c r="K3013" s="36"/>
    </row>
    <row r="3014" spans="7:11" ht="15.75" customHeight="1">
      <c r="G3014" s="36"/>
      <c r="H3014" s="36"/>
      <c r="I3014" s="36"/>
      <c r="J3014" s="36"/>
      <c r="K3014" s="36"/>
    </row>
    <row r="3015" spans="7:11" ht="15.75" customHeight="1">
      <c r="G3015" s="36"/>
      <c r="H3015" s="36"/>
      <c r="I3015" s="36"/>
      <c r="J3015" s="36"/>
      <c r="K3015" s="36"/>
    </row>
    <row r="3016" spans="7:11" ht="15.75" customHeight="1">
      <c r="G3016" s="36"/>
      <c r="H3016" s="36"/>
      <c r="I3016" s="36"/>
      <c r="J3016" s="36"/>
      <c r="K3016" s="36"/>
    </row>
    <row r="3017" spans="7:11" ht="15.75" customHeight="1">
      <c r="G3017" s="36"/>
      <c r="H3017" s="36"/>
      <c r="I3017" s="36"/>
      <c r="J3017" s="36"/>
      <c r="K3017" s="36"/>
    </row>
    <row r="3018" spans="7:11" ht="15.75" customHeight="1">
      <c r="G3018" s="36"/>
      <c r="H3018" s="36"/>
      <c r="I3018" s="36"/>
      <c r="J3018" s="36"/>
      <c r="K3018" s="36"/>
    </row>
    <row r="3019" spans="7:11" ht="15.75" customHeight="1">
      <c r="G3019" s="36"/>
      <c r="H3019" s="36"/>
      <c r="I3019" s="36"/>
      <c r="J3019" s="36"/>
      <c r="K3019" s="36"/>
    </row>
    <row r="3020" spans="7:11" ht="15.75" customHeight="1">
      <c r="G3020" s="36"/>
      <c r="H3020" s="36"/>
      <c r="I3020" s="36"/>
      <c r="J3020" s="36"/>
      <c r="K3020" s="36"/>
    </row>
    <row r="3021" spans="7:11" ht="15.75" customHeight="1">
      <c r="G3021" s="36"/>
      <c r="H3021" s="36"/>
      <c r="I3021" s="36"/>
      <c r="J3021" s="36"/>
      <c r="K3021" s="36"/>
    </row>
    <row r="3022" spans="7:11" ht="15.75" customHeight="1">
      <c r="G3022" s="36"/>
      <c r="H3022" s="36"/>
      <c r="I3022" s="36"/>
      <c r="J3022" s="36"/>
      <c r="K3022" s="36"/>
    </row>
    <row r="3023" spans="7:11" ht="15.75" customHeight="1">
      <c r="G3023" s="36"/>
      <c r="H3023" s="36"/>
      <c r="I3023" s="36"/>
      <c r="J3023" s="36"/>
      <c r="K3023" s="36"/>
    </row>
    <row r="3024" spans="7:11" ht="15.75" customHeight="1">
      <c r="G3024" s="36"/>
      <c r="H3024" s="36"/>
      <c r="I3024" s="36"/>
      <c r="J3024" s="36"/>
      <c r="K3024" s="36"/>
    </row>
    <row r="3025" spans="7:11" ht="15.75" customHeight="1">
      <c r="G3025" s="36"/>
      <c r="H3025" s="36"/>
      <c r="I3025" s="36"/>
      <c r="J3025" s="36"/>
      <c r="K3025" s="36"/>
    </row>
    <row r="3026" spans="7:11" ht="15.75" customHeight="1">
      <c r="G3026" s="36"/>
      <c r="H3026" s="36"/>
      <c r="I3026" s="36"/>
      <c r="J3026" s="36"/>
      <c r="K3026" s="36"/>
    </row>
    <row r="3027" spans="7:11" ht="15.75" customHeight="1">
      <c r="G3027" s="36"/>
      <c r="H3027" s="36"/>
      <c r="I3027" s="36"/>
      <c r="J3027" s="36"/>
      <c r="K3027" s="36"/>
    </row>
    <row r="3028" spans="7:11" ht="15.75" customHeight="1">
      <c r="G3028" s="36"/>
      <c r="H3028" s="36"/>
      <c r="I3028" s="36"/>
      <c r="J3028" s="36"/>
      <c r="K3028" s="36"/>
    </row>
    <row r="3029" spans="7:11" ht="15.75" customHeight="1">
      <c r="G3029" s="36"/>
      <c r="H3029" s="36"/>
      <c r="I3029" s="36"/>
      <c r="J3029" s="36"/>
      <c r="K3029" s="36"/>
    </row>
    <row r="3030" spans="7:11" ht="15.75" customHeight="1">
      <c r="G3030" s="36"/>
      <c r="H3030" s="36"/>
      <c r="I3030" s="36"/>
      <c r="J3030" s="36"/>
      <c r="K3030" s="36"/>
    </row>
    <row r="3031" spans="7:11" ht="15.75" customHeight="1">
      <c r="G3031" s="36"/>
      <c r="H3031" s="36"/>
      <c r="I3031" s="36"/>
      <c r="J3031" s="36"/>
      <c r="K3031" s="36"/>
    </row>
    <row r="3032" spans="7:11" ht="15.75" customHeight="1">
      <c r="G3032" s="36"/>
      <c r="H3032" s="36"/>
      <c r="I3032" s="36"/>
      <c r="J3032" s="36"/>
      <c r="K3032" s="36"/>
    </row>
    <row r="3033" spans="7:11" ht="15.75" customHeight="1">
      <c r="G3033" s="36"/>
      <c r="H3033" s="36"/>
      <c r="I3033" s="36"/>
      <c r="J3033" s="36"/>
      <c r="K3033" s="36"/>
    </row>
    <row r="3034" spans="7:11" ht="15.75" customHeight="1">
      <c r="G3034" s="36"/>
      <c r="H3034" s="36"/>
      <c r="I3034" s="36"/>
      <c r="J3034" s="36"/>
      <c r="K3034" s="36"/>
    </row>
    <row r="3035" spans="7:11" ht="15.75" customHeight="1">
      <c r="G3035" s="36"/>
      <c r="H3035" s="36"/>
      <c r="I3035" s="36"/>
      <c r="J3035" s="36"/>
      <c r="K3035" s="36"/>
    </row>
    <row r="3036" spans="7:11" ht="15.75" customHeight="1">
      <c r="G3036" s="36"/>
      <c r="H3036" s="36"/>
      <c r="I3036" s="36"/>
      <c r="J3036" s="36"/>
      <c r="K3036" s="36"/>
    </row>
    <row r="3037" spans="7:11" ht="15.75" customHeight="1">
      <c r="G3037" s="36"/>
      <c r="H3037" s="36"/>
      <c r="I3037" s="36"/>
      <c r="J3037" s="36"/>
      <c r="K3037" s="36"/>
    </row>
    <row r="3038" spans="7:11" ht="15.75" customHeight="1">
      <c r="G3038" s="36"/>
      <c r="H3038" s="36"/>
      <c r="I3038" s="36"/>
      <c r="J3038" s="36"/>
      <c r="K3038" s="36"/>
    </row>
    <row r="3039" spans="7:11" ht="15.75" customHeight="1">
      <c r="G3039" s="36"/>
      <c r="H3039" s="36"/>
      <c r="I3039" s="36"/>
      <c r="J3039" s="36"/>
      <c r="K3039" s="36"/>
    </row>
    <row r="3040" spans="7:11" ht="15.75" customHeight="1">
      <c r="G3040" s="36"/>
      <c r="H3040" s="36"/>
      <c r="I3040" s="36"/>
      <c r="J3040" s="36"/>
      <c r="K3040" s="36"/>
    </row>
    <row r="3041" spans="7:11" ht="15.75" customHeight="1">
      <c r="G3041" s="36"/>
      <c r="H3041" s="36"/>
      <c r="I3041" s="36"/>
      <c r="J3041" s="36"/>
      <c r="K3041" s="36"/>
    </row>
    <row r="3042" spans="7:11" ht="15.75" customHeight="1">
      <c r="G3042" s="36"/>
      <c r="H3042" s="36"/>
      <c r="I3042" s="36"/>
      <c r="J3042" s="36"/>
      <c r="K3042" s="36"/>
    </row>
    <row r="3043" spans="7:11" ht="15.75" customHeight="1">
      <c r="G3043" s="36"/>
      <c r="H3043" s="36"/>
      <c r="I3043" s="36"/>
      <c r="J3043" s="36"/>
      <c r="K3043" s="36"/>
    </row>
    <row r="3044" spans="7:11" ht="15.75" customHeight="1">
      <c r="G3044" s="36"/>
      <c r="H3044" s="36"/>
      <c r="I3044" s="36"/>
      <c r="J3044" s="36"/>
      <c r="K3044" s="36"/>
    </row>
    <row r="3045" spans="7:11" ht="15.75" customHeight="1">
      <c r="G3045" s="36"/>
      <c r="H3045" s="36"/>
      <c r="I3045" s="36"/>
      <c r="J3045" s="36"/>
      <c r="K3045" s="36"/>
    </row>
    <row r="3046" spans="7:11" ht="15.75" customHeight="1">
      <c r="G3046" s="36"/>
      <c r="H3046" s="36"/>
      <c r="I3046" s="36"/>
      <c r="J3046" s="36"/>
      <c r="K3046" s="36"/>
    </row>
    <row r="3047" spans="7:11" ht="15.75" customHeight="1">
      <c r="G3047" s="36"/>
      <c r="H3047" s="36"/>
      <c r="I3047" s="36"/>
      <c r="J3047" s="36"/>
      <c r="K3047" s="36"/>
    </row>
    <row r="3048" spans="7:11" ht="15.75" customHeight="1">
      <c r="G3048" s="36"/>
      <c r="H3048" s="36"/>
      <c r="I3048" s="36"/>
      <c r="J3048" s="36"/>
      <c r="K3048" s="36"/>
    </row>
    <row r="3049" spans="7:11" ht="15.75" customHeight="1">
      <c r="G3049" s="36"/>
      <c r="H3049" s="36"/>
      <c r="I3049" s="36"/>
      <c r="J3049" s="36"/>
      <c r="K3049" s="36"/>
    </row>
    <row r="3050" spans="7:11" ht="15.75" customHeight="1">
      <c r="G3050" s="36"/>
      <c r="H3050" s="36"/>
      <c r="I3050" s="36"/>
      <c r="J3050" s="36"/>
      <c r="K3050" s="36"/>
    </row>
    <row r="3051" spans="7:11" ht="15.75" customHeight="1">
      <c r="G3051" s="36"/>
      <c r="H3051" s="36"/>
      <c r="I3051" s="36"/>
      <c r="J3051" s="36"/>
      <c r="K3051" s="36"/>
    </row>
    <row r="3052" spans="7:11" ht="15.75" customHeight="1">
      <c r="G3052" s="36"/>
      <c r="H3052" s="36"/>
      <c r="I3052" s="36"/>
      <c r="J3052" s="36"/>
      <c r="K3052" s="36"/>
    </row>
    <row r="3053" spans="7:11" ht="15.75" customHeight="1">
      <c r="G3053" s="36"/>
      <c r="H3053" s="36"/>
      <c r="I3053" s="36"/>
      <c r="J3053" s="36"/>
      <c r="K3053" s="36"/>
    </row>
    <row r="3054" spans="7:11" ht="15.75" customHeight="1">
      <c r="G3054" s="36"/>
      <c r="H3054" s="36"/>
      <c r="I3054" s="36"/>
      <c r="J3054" s="36"/>
      <c r="K3054" s="36"/>
    </row>
    <row r="3055" spans="7:11" ht="15.75" customHeight="1">
      <c r="G3055" s="36"/>
      <c r="H3055" s="36"/>
      <c r="I3055" s="36"/>
      <c r="J3055" s="36"/>
      <c r="K3055" s="36"/>
    </row>
    <row r="3056" spans="7:11" ht="15.75" customHeight="1">
      <c r="G3056" s="36"/>
      <c r="H3056" s="36"/>
      <c r="I3056" s="36"/>
      <c r="J3056" s="36"/>
      <c r="K3056" s="36"/>
    </row>
    <row r="3057" spans="7:11" ht="15.75" customHeight="1">
      <c r="G3057" s="36"/>
      <c r="H3057" s="36"/>
      <c r="I3057" s="36"/>
      <c r="J3057" s="36"/>
      <c r="K3057" s="36"/>
    </row>
    <row r="3058" spans="7:11" ht="15.75" customHeight="1">
      <c r="G3058" s="36"/>
      <c r="H3058" s="36"/>
      <c r="I3058" s="36"/>
      <c r="J3058" s="36"/>
      <c r="K3058" s="36"/>
    </row>
    <row r="3059" spans="7:11" ht="15.75" customHeight="1">
      <c r="G3059" s="36"/>
      <c r="H3059" s="36"/>
      <c r="I3059" s="36"/>
      <c r="J3059" s="36"/>
      <c r="K3059" s="36"/>
    </row>
    <row r="3060" spans="7:11" ht="15.75" customHeight="1">
      <c r="G3060" s="36"/>
      <c r="H3060" s="36"/>
      <c r="I3060" s="36"/>
      <c r="J3060" s="36"/>
      <c r="K3060" s="36"/>
    </row>
    <row r="3061" spans="7:11" ht="15.75" customHeight="1">
      <c r="G3061" s="36"/>
      <c r="H3061" s="36"/>
      <c r="I3061" s="36"/>
      <c r="J3061" s="36"/>
      <c r="K3061" s="36"/>
    </row>
    <row r="3062" spans="7:11" ht="15.75" customHeight="1">
      <c r="G3062" s="36"/>
      <c r="H3062" s="36"/>
      <c r="I3062" s="36"/>
      <c r="J3062" s="36"/>
      <c r="K3062" s="36"/>
    </row>
    <row r="3063" spans="7:11" ht="15.75" customHeight="1">
      <c r="G3063" s="36"/>
      <c r="H3063" s="36"/>
      <c r="I3063" s="36"/>
      <c r="J3063" s="36"/>
      <c r="K3063" s="36"/>
    </row>
    <row r="3064" spans="7:11" ht="15.75" customHeight="1">
      <c r="G3064" s="36"/>
      <c r="H3064" s="36"/>
      <c r="I3064" s="36"/>
      <c r="J3064" s="36"/>
      <c r="K3064" s="36"/>
    </row>
    <row r="3065" spans="7:11" ht="15.75" customHeight="1">
      <c r="G3065" s="36"/>
      <c r="H3065" s="36"/>
      <c r="I3065" s="36"/>
      <c r="J3065" s="36"/>
      <c r="K3065" s="36"/>
    </row>
    <row r="3066" spans="7:11" ht="15.75" customHeight="1">
      <c r="G3066" s="36"/>
      <c r="H3066" s="36"/>
      <c r="I3066" s="36"/>
      <c r="J3066" s="36"/>
      <c r="K3066" s="36"/>
    </row>
    <row r="3067" spans="7:11" ht="15.75" customHeight="1">
      <c r="G3067" s="36"/>
      <c r="H3067" s="36"/>
      <c r="I3067" s="36"/>
      <c r="J3067" s="36"/>
      <c r="K3067" s="36"/>
    </row>
    <row r="3068" spans="7:11" ht="15.75" customHeight="1">
      <c r="G3068" s="36"/>
      <c r="H3068" s="36"/>
      <c r="I3068" s="36"/>
      <c r="J3068" s="36"/>
      <c r="K3068" s="36"/>
    </row>
    <row r="3069" spans="7:11" ht="15.75" customHeight="1">
      <c r="G3069" s="36"/>
      <c r="H3069" s="36"/>
      <c r="I3069" s="36"/>
      <c r="J3069" s="36"/>
      <c r="K3069" s="36"/>
    </row>
    <row r="3070" spans="7:11" ht="15.75" customHeight="1">
      <c r="G3070" s="36"/>
      <c r="H3070" s="36"/>
      <c r="I3070" s="36"/>
      <c r="J3070" s="36"/>
      <c r="K3070" s="36"/>
    </row>
    <row r="3071" spans="7:11" ht="15.75" customHeight="1">
      <c r="G3071" s="36"/>
      <c r="H3071" s="36"/>
      <c r="I3071" s="36"/>
      <c r="J3071" s="36"/>
      <c r="K3071" s="36"/>
    </row>
    <row r="3072" spans="7:11" ht="15.75" customHeight="1">
      <c r="G3072" s="36"/>
      <c r="H3072" s="36"/>
      <c r="I3072" s="36"/>
      <c r="J3072" s="36"/>
      <c r="K3072" s="36"/>
    </row>
    <row r="3073" spans="7:11" ht="15.75" customHeight="1">
      <c r="G3073" s="36"/>
      <c r="H3073" s="36"/>
      <c r="I3073" s="36"/>
      <c r="J3073" s="36"/>
      <c r="K3073" s="36"/>
    </row>
    <row r="3074" spans="7:11" ht="15.75" customHeight="1">
      <c r="G3074" s="36"/>
      <c r="H3074" s="36"/>
      <c r="I3074" s="36"/>
      <c r="J3074" s="36"/>
      <c r="K3074" s="36"/>
    </row>
    <row r="3075" spans="7:11" ht="15.75" customHeight="1">
      <c r="G3075" s="36"/>
      <c r="H3075" s="36"/>
      <c r="I3075" s="36"/>
      <c r="J3075" s="36"/>
      <c r="K3075" s="36"/>
    </row>
    <row r="3076" spans="7:11" ht="15.75" customHeight="1">
      <c r="G3076" s="36"/>
      <c r="H3076" s="36"/>
      <c r="I3076" s="36"/>
      <c r="J3076" s="36"/>
      <c r="K3076" s="36"/>
    </row>
    <row r="3077" spans="7:11" ht="15.75" customHeight="1">
      <c r="G3077" s="36"/>
      <c r="H3077" s="36"/>
      <c r="I3077" s="36"/>
      <c r="J3077" s="36"/>
      <c r="K3077" s="36"/>
    </row>
    <row r="3078" spans="7:11" ht="15.75" customHeight="1">
      <c r="G3078" s="36"/>
      <c r="H3078" s="36"/>
      <c r="I3078" s="36"/>
      <c r="J3078" s="36"/>
      <c r="K3078" s="36"/>
    </row>
    <row r="3079" spans="7:11" ht="15.75" customHeight="1">
      <c r="G3079" s="36"/>
      <c r="H3079" s="36"/>
      <c r="I3079" s="36"/>
      <c r="J3079" s="36"/>
      <c r="K3079" s="36"/>
    </row>
    <row r="3080" spans="7:11" ht="15.75" customHeight="1">
      <c r="G3080" s="36"/>
      <c r="H3080" s="36"/>
      <c r="I3080" s="36"/>
      <c r="J3080" s="36"/>
      <c r="K3080" s="36"/>
    </row>
    <row r="3081" spans="7:11" ht="15.75" customHeight="1">
      <c r="G3081" s="36"/>
      <c r="H3081" s="36"/>
      <c r="I3081" s="36"/>
      <c r="J3081" s="36"/>
      <c r="K3081" s="36"/>
    </row>
    <row r="3082" spans="7:11" ht="15.75" customHeight="1">
      <c r="G3082" s="36"/>
      <c r="H3082" s="36"/>
      <c r="I3082" s="36"/>
      <c r="J3082" s="36"/>
      <c r="K3082" s="36"/>
    </row>
    <row r="3083" spans="7:11" ht="15.75" customHeight="1">
      <c r="G3083" s="36"/>
      <c r="H3083" s="36"/>
      <c r="I3083" s="36"/>
      <c r="J3083" s="36"/>
      <c r="K3083" s="36"/>
    </row>
    <row r="3084" spans="7:11" ht="15.75" customHeight="1">
      <c r="G3084" s="36"/>
      <c r="H3084" s="36"/>
      <c r="I3084" s="36"/>
      <c r="J3084" s="36"/>
      <c r="K3084" s="36"/>
    </row>
    <row r="3085" spans="7:11" ht="15.75" customHeight="1">
      <c r="G3085" s="36"/>
      <c r="H3085" s="36"/>
      <c r="I3085" s="36"/>
      <c r="J3085" s="36"/>
      <c r="K3085" s="36"/>
    </row>
    <row r="3086" spans="7:11" ht="15.75" customHeight="1">
      <c r="G3086" s="36"/>
      <c r="H3086" s="36"/>
      <c r="I3086" s="36"/>
      <c r="J3086" s="36"/>
      <c r="K3086" s="36"/>
    </row>
    <row r="3087" spans="7:11" ht="15.75" customHeight="1">
      <c r="G3087" s="36"/>
      <c r="H3087" s="36"/>
      <c r="I3087" s="36"/>
      <c r="J3087" s="36"/>
      <c r="K3087" s="36"/>
    </row>
    <row r="3088" spans="7:11" ht="15.75" customHeight="1">
      <c r="G3088" s="36"/>
      <c r="H3088" s="36"/>
      <c r="I3088" s="36"/>
      <c r="J3088" s="36"/>
      <c r="K3088" s="36"/>
    </row>
    <row r="3089" spans="7:11" ht="15.75" customHeight="1">
      <c r="G3089" s="36"/>
      <c r="H3089" s="36"/>
      <c r="I3089" s="36"/>
      <c r="J3089" s="36"/>
      <c r="K3089" s="36"/>
    </row>
    <row r="3090" spans="7:11" ht="15.75" customHeight="1">
      <c r="G3090" s="36"/>
      <c r="H3090" s="36"/>
      <c r="I3090" s="36"/>
      <c r="J3090" s="36"/>
      <c r="K3090" s="36"/>
    </row>
    <row r="3091" spans="7:11" ht="15.75" customHeight="1">
      <c r="G3091" s="36"/>
      <c r="H3091" s="36"/>
      <c r="I3091" s="36"/>
      <c r="J3091" s="36"/>
      <c r="K3091" s="36"/>
    </row>
    <row r="3092" spans="7:11" ht="15.75" customHeight="1">
      <c r="G3092" s="36"/>
      <c r="H3092" s="36"/>
      <c r="I3092" s="36"/>
      <c r="J3092" s="36"/>
      <c r="K3092" s="36"/>
    </row>
    <row r="3093" spans="7:11" ht="15.75" customHeight="1">
      <c r="G3093" s="36"/>
      <c r="H3093" s="36"/>
      <c r="I3093" s="36"/>
      <c r="J3093" s="36"/>
      <c r="K3093" s="36"/>
    </row>
    <row r="3094" spans="7:11" ht="15.75" customHeight="1">
      <c r="G3094" s="36"/>
      <c r="H3094" s="36"/>
      <c r="I3094" s="36"/>
      <c r="J3094" s="36"/>
      <c r="K3094" s="36"/>
    </row>
    <row r="3095" spans="7:11" ht="15.75" customHeight="1">
      <c r="G3095" s="36"/>
      <c r="H3095" s="36"/>
      <c r="I3095" s="36"/>
      <c r="J3095" s="36"/>
      <c r="K3095" s="36"/>
    </row>
    <row r="3096" spans="7:11" ht="15.75" customHeight="1">
      <c r="G3096" s="36"/>
      <c r="H3096" s="36"/>
      <c r="I3096" s="36"/>
      <c r="J3096" s="36"/>
      <c r="K3096" s="36"/>
    </row>
    <row r="3097" spans="7:11" ht="15.75" customHeight="1">
      <c r="G3097" s="36"/>
      <c r="H3097" s="36"/>
      <c r="I3097" s="36"/>
      <c r="J3097" s="36"/>
      <c r="K3097" s="36"/>
    </row>
    <row r="3098" spans="7:11" ht="15.75" customHeight="1">
      <c r="G3098" s="36"/>
      <c r="H3098" s="36"/>
      <c r="I3098" s="36"/>
      <c r="J3098" s="36"/>
      <c r="K3098" s="36"/>
    </row>
    <row r="3099" spans="7:11" ht="15.75" customHeight="1">
      <c r="G3099" s="36"/>
      <c r="H3099" s="36"/>
      <c r="I3099" s="36"/>
      <c r="J3099" s="36"/>
      <c r="K3099" s="36"/>
    </row>
    <row r="3100" spans="7:11" ht="15.75" customHeight="1">
      <c r="G3100" s="36"/>
      <c r="H3100" s="36"/>
      <c r="I3100" s="36"/>
      <c r="J3100" s="36"/>
      <c r="K3100" s="36"/>
    </row>
    <row r="3101" spans="7:11" ht="15.75" customHeight="1">
      <c r="G3101" s="36"/>
      <c r="H3101" s="36"/>
      <c r="I3101" s="36"/>
      <c r="J3101" s="36"/>
      <c r="K3101" s="36"/>
    </row>
    <row r="3102" spans="7:11" ht="15.75" customHeight="1">
      <c r="G3102" s="36"/>
      <c r="H3102" s="36"/>
      <c r="I3102" s="36"/>
      <c r="J3102" s="36"/>
      <c r="K3102" s="36"/>
    </row>
    <row r="3103" spans="7:11" ht="15.75" customHeight="1">
      <c r="G3103" s="36"/>
      <c r="H3103" s="36"/>
      <c r="I3103" s="36"/>
      <c r="J3103" s="36"/>
      <c r="K3103" s="36"/>
    </row>
    <row r="3104" spans="7:11" ht="15.75" customHeight="1">
      <c r="G3104" s="36"/>
      <c r="H3104" s="36"/>
      <c r="I3104" s="36"/>
      <c r="J3104" s="36"/>
      <c r="K3104" s="36"/>
    </row>
    <row r="3105" spans="7:11" ht="15.75" customHeight="1">
      <c r="G3105" s="36"/>
      <c r="H3105" s="36"/>
      <c r="I3105" s="36"/>
      <c r="J3105" s="36"/>
      <c r="K3105" s="36"/>
    </row>
    <row r="3106" spans="7:11" ht="15.75" customHeight="1">
      <c r="G3106" s="36"/>
      <c r="H3106" s="36"/>
      <c r="I3106" s="36"/>
      <c r="J3106" s="36"/>
      <c r="K3106" s="36"/>
    </row>
    <row r="3107" spans="7:11" ht="15.75" customHeight="1">
      <c r="G3107" s="36"/>
      <c r="H3107" s="36"/>
      <c r="I3107" s="36"/>
      <c r="J3107" s="36"/>
      <c r="K3107" s="36"/>
    </row>
    <row r="3108" spans="7:11" ht="15.75" customHeight="1">
      <c r="G3108" s="36"/>
      <c r="H3108" s="36"/>
      <c r="I3108" s="36"/>
      <c r="J3108" s="36"/>
      <c r="K3108" s="36"/>
    </row>
    <row r="3109" spans="7:11" ht="15.75" customHeight="1">
      <c r="G3109" s="36"/>
      <c r="H3109" s="36"/>
      <c r="I3109" s="36"/>
      <c r="J3109" s="36"/>
      <c r="K3109" s="36"/>
    </row>
    <row r="3110" spans="7:11" ht="15.75" customHeight="1">
      <c r="G3110" s="36"/>
      <c r="H3110" s="36"/>
      <c r="I3110" s="36"/>
      <c r="J3110" s="36"/>
      <c r="K3110" s="36"/>
    </row>
    <row r="3111" spans="7:11" ht="15.75" customHeight="1">
      <c r="G3111" s="36"/>
      <c r="H3111" s="36"/>
      <c r="I3111" s="36"/>
      <c r="J3111" s="36"/>
      <c r="K3111" s="36"/>
    </row>
    <row r="3112" spans="7:11" ht="15.75" customHeight="1">
      <c r="G3112" s="36"/>
      <c r="H3112" s="36"/>
      <c r="I3112" s="36"/>
      <c r="J3112" s="36"/>
      <c r="K3112" s="36"/>
    </row>
    <row r="3113" spans="7:11" ht="15.75" customHeight="1">
      <c r="G3113" s="36"/>
      <c r="H3113" s="36"/>
      <c r="I3113" s="36"/>
      <c r="J3113" s="36"/>
      <c r="K3113" s="36"/>
    </row>
    <row r="3114" spans="7:11" ht="15.75" customHeight="1">
      <c r="G3114" s="36"/>
      <c r="H3114" s="36"/>
      <c r="I3114" s="36"/>
      <c r="J3114" s="36"/>
      <c r="K3114" s="36"/>
    </row>
    <row r="3115" spans="7:11" ht="15.75" customHeight="1">
      <c r="G3115" s="36"/>
      <c r="H3115" s="36"/>
      <c r="I3115" s="36"/>
      <c r="J3115" s="36"/>
      <c r="K3115" s="36"/>
    </row>
    <row r="3116" spans="7:11" ht="15.75" customHeight="1">
      <c r="G3116" s="36"/>
      <c r="H3116" s="36"/>
      <c r="I3116" s="36"/>
      <c r="J3116" s="36"/>
      <c r="K3116" s="36"/>
    </row>
    <row r="3117" spans="7:11" ht="15.75" customHeight="1">
      <c r="G3117" s="36"/>
      <c r="H3117" s="36"/>
      <c r="I3117" s="36"/>
      <c r="J3117" s="36"/>
      <c r="K3117" s="36"/>
    </row>
    <row r="3118" spans="7:11" ht="15.75" customHeight="1">
      <c r="G3118" s="36"/>
      <c r="H3118" s="36"/>
      <c r="I3118" s="36"/>
      <c r="J3118" s="36"/>
      <c r="K3118" s="36"/>
    </row>
    <row r="3119" spans="7:11" ht="15.75" customHeight="1">
      <c r="G3119" s="36"/>
      <c r="H3119" s="36"/>
      <c r="I3119" s="36"/>
      <c r="J3119" s="36"/>
      <c r="K3119" s="36"/>
    </row>
    <row r="3120" spans="7:11" ht="15.75" customHeight="1">
      <c r="G3120" s="36"/>
      <c r="H3120" s="36"/>
      <c r="I3120" s="36"/>
      <c r="J3120" s="36"/>
      <c r="K3120" s="36"/>
    </row>
    <row r="3121" spans="7:11" ht="15.75" customHeight="1">
      <c r="G3121" s="36"/>
      <c r="H3121" s="36"/>
      <c r="I3121" s="36"/>
      <c r="J3121" s="36"/>
      <c r="K3121" s="36"/>
    </row>
    <row r="3122" spans="7:11" ht="15.75" customHeight="1">
      <c r="G3122" s="36"/>
      <c r="H3122" s="36"/>
      <c r="I3122" s="36"/>
      <c r="J3122" s="36"/>
      <c r="K3122" s="36"/>
    </row>
    <row r="3123" spans="7:11" ht="15.75" customHeight="1">
      <c r="G3123" s="36"/>
      <c r="H3123" s="36"/>
      <c r="I3123" s="36"/>
      <c r="J3123" s="36"/>
      <c r="K3123" s="36"/>
    </row>
    <row r="3124" spans="7:11" ht="15.75" customHeight="1">
      <c r="G3124" s="36"/>
      <c r="H3124" s="36"/>
      <c r="I3124" s="36"/>
      <c r="J3124" s="36"/>
      <c r="K3124" s="36"/>
    </row>
    <row r="3125" spans="7:11" ht="15.75" customHeight="1">
      <c r="G3125" s="36"/>
      <c r="H3125" s="36"/>
      <c r="I3125" s="36"/>
      <c r="J3125" s="36"/>
      <c r="K3125" s="36"/>
    </row>
    <row r="3126" spans="7:11" ht="15.75" customHeight="1">
      <c r="G3126" s="36"/>
      <c r="H3126" s="36"/>
      <c r="I3126" s="36"/>
      <c r="J3126" s="36"/>
      <c r="K3126" s="36"/>
    </row>
    <row r="3127" spans="7:11" ht="15.75" customHeight="1">
      <c r="G3127" s="36"/>
      <c r="H3127" s="36"/>
      <c r="I3127" s="36"/>
      <c r="J3127" s="36"/>
      <c r="K3127" s="36"/>
    </row>
    <row r="3128" spans="7:11" ht="15.75" customHeight="1">
      <c r="G3128" s="36"/>
      <c r="H3128" s="36"/>
      <c r="I3128" s="36"/>
      <c r="J3128" s="36"/>
      <c r="K3128" s="36"/>
    </row>
    <row r="3129" spans="7:11" ht="15.75" customHeight="1">
      <c r="G3129" s="36"/>
      <c r="H3129" s="36"/>
      <c r="I3129" s="36"/>
      <c r="J3129" s="36"/>
      <c r="K3129" s="36"/>
    </row>
    <row r="3130" spans="7:11" ht="15.75" customHeight="1">
      <c r="G3130" s="36"/>
      <c r="H3130" s="36"/>
      <c r="I3130" s="36"/>
      <c r="J3130" s="36"/>
      <c r="K3130" s="36"/>
    </row>
    <row r="3131" spans="7:11" ht="15.75" customHeight="1">
      <c r="G3131" s="36"/>
      <c r="H3131" s="36"/>
      <c r="I3131" s="36"/>
      <c r="J3131" s="36"/>
      <c r="K3131" s="36"/>
    </row>
    <row r="3132" spans="7:11" ht="15.75" customHeight="1">
      <c r="G3132" s="36"/>
      <c r="H3132" s="36"/>
      <c r="I3132" s="36"/>
      <c r="J3132" s="36"/>
      <c r="K3132" s="36"/>
    </row>
    <row r="3133" spans="7:11" ht="15.75" customHeight="1">
      <c r="G3133" s="36"/>
      <c r="H3133" s="36"/>
      <c r="I3133" s="36"/>
      <c r="J3133" s="36"/>
      <c r="K3133" s="36"/>
    </row>
    <row r="3134" spans="7:11" ht="15.75" customHeight="1">
      <c r="G3134" s="36"/>
      <c r="H3134" s="36"/>
      <c r="I3134" s="36"/>
      <c r="J3134" s="36"/>
      <c r="K3134" s="36"/>
    </row>
    <row r="3135" spans="7:11" ht="15.75" customHeight="1">
      <c r="G3135" s="36"/>
      <c r="H3135" s="36"/>
      <c r="I3135" s="36"/>
      <c r="J3135" s="36"/>
      <c r="K3135" s="36"/>
    </row>
    <row r="3136" spans="7:11" ht="15.75" customHeight="1">
      <c r="G3136" s="36"/>
      <c r="H3136" s="36"/>
      <c r="I3136" s="36"/>
      <c r="J3136" s="36"/>
      <c r="K3136" s="36"/>
    </row>
    <row r="3137" spans="7:11" ht="15.75" customHeight="1">
      <c r="G3137" s="36"/>
      <c r="H3137" s="36"/>
      <c r="I3137" s="36"/>
      <c r="J3137" s="36"/>
      <c r="K3137" s="36"/>
    </row>
    <row r="3138" spans="7:11" ht="15.75" customHeight="1">
      <c r="G3138" s="36"/>
      <c r="H3138" s="36"/>
      <c r="I3138" s="36"/>
      <c r="J3138" s="36"/>
      <c r="K3138" s="36"/>
    </row>
    <row r="3139" spans="7:11" ht="15.75" customHeight="1">
      <c r="G3139" s="36"/>
      <c r="H3139" s="36"/>
      <c r="I3139" s="36"/>
      <c r="J3139" s="36"/>
      <c r="K3139" s="36"/>
    </row>
    <row r="3140" spans="7:11" ht="15.75" customHeight="1">
      <c r="G3140" s="36"/>
      <c r="H3140" s="36"/>
      <c r="I3140" s="36"/>
      <c r="J3140" s="36"/>
      <c r="K3140" s="36"/>
    </row>
    <row r="3141" spans="7:11" ht="15.75" customHeight="1">
      <c r="G3141" s="36"/>
      <c r="H3141" s="36"/>
      <c r="I3141" s="36"/>
      <c r="J3141" s="36"/>
      <c r="K3141" s="36"/>
    </row>
    <row r="3142" spans="7:11" ht="15.75" customHeight="1">
      <c r="G3142" s="36"/>
      <c r="H3142" s="36"/>
      <c r="I3142" s="36"/>
      <c r="J3142" s="36"/>
      <c r="K3142" s="36"/>
    </row>
    <row r="3143" spans="7:11" ht="15.75" customHeight="1">
      <c r="G3143" s="36"/>
      <c r="H3143" s="36"/>
      <c r="I3143" s="36"/>
      <c r="J3143" s="36"/>
      <c r="K3143" s="36"/>
    </row>
    <row r="3144" spans="7:11" ht="15.75" customHeight="1">
      <c r="G3144" s="36"/>
      <c r="H3144" s="36"/>
      <c r="I3144" s="36"/>
      <c r="J3144" s="36"/>
      <c r="K3144" s="36"/>
    </row>
    <row r="3145" spans="7:11" ht="15.75" customHeight="1">
      <c r="G3145" s="36"/>
      <c r="H3145" s="36"/>
      <c r="I3145" s="36"/>
      <c r="J3145" s="36"/>
      <c r="K3145" s="36"/>
    </row>
    <row r="3146" spans="7:11" ht="15.75" customHeight="1">
      <c r="G3146" s="36"/>
      <c r="H3146" s="36"/>
      <c r="I3146" s="36"/>
      <c r="J3146" s="36"/>
      <c r="K3146" s="36"/>
    </row>
    <row r="3147" spans="7:11" ht="15.75" customHeight="1">
      <c r="G3147" s="36"/>
      <c r="H3147" s="36"/>
      <c r="I3147" s="36"/>
      <c r="J3147" s="36"/>
      <c r="K3147" s="36"/>
    </row>
    <row r="3148" spans="7:11" ht="15.75" customHeight="1">
      <c r="G3148" s="36"/>
      <c r="H3148" s="36"/>
      <c r="I3148" s="36"/>
      <c r="J3148" s="36"/>
      <c r="K3148" s="36"/>
    </row>
    <row r="3149" spans="7:11" ht="15.75" customHeight="1">
      <c r="G3149" s="36"/>
      <c r="H3149" s="36"/>
      <c r="I3149" s="36"/>
      <c r="J3149" s="36"/>
      <c r="K3149" s="36"/>
    </row>
    <row r="3150" spans="7:11" ht="15.75" customHeight="1">
      <c r="G3150" s="36"/>
      <c r="H3150" s="36"/>
      <c r="I3150" s="36"/>
      <c r="J3150" s="36"/>
      <c r="K3150" s="36"/>
    </row>
    <row r="3151" spans="7:11" ht="15.75" customHeight="1">
      <c r="G3151" s="36"/>
      <c r="H3151" s="36"/>
      <c r="I3151" s="36"/>
      <c r="J3151" s="36"/>
      <c r="K3151" s="36"/>
    </row>
    <row r="3152" spans="7:11" ht="15.75" customHeight="1">
      <c r="G3152" s="36"/>
      <c r="H3152" s="36"/>
      <c r="I3152" s="36"/>
      <c r="J3152" s="36"/>
      <c r="K3152" s="36"/>
    </row>
    <row r="3153" spans="7:11" ht="15.75" customHeight="1">
      <c r="G3153" s="36"/>
      <c r="H3153" s="36"/>
      <c r="I3153" s="36"/>
      <c r="J3153" s="36"/>
      <c r="K3153" s="36"/>
    </row>
    <row r="3154" spans="7:11" ht="15.75" customHeight="1">
      <c r="G3154" s="36"/>
      <c r="H3154" s="36"/>
      <c r="I3154" s="36"/>
      <c r="J3154" s="36"/>
      <c r="K3154" s="36"/>
    </row>
    <row r="3155" spans="7:11" ht="15.75" customHeight="1">
      <c r="G3155" s="36"/>
      <c r="H3155" s="36"/>
      <c r="I3155" s="36"/>
      <c r="J3155" s="36"/>
      <c r="K3155" s="36"/>
    </row>
    <row r="3156" spans="7:11" ht="15.75" customHeight="1">
      <c r="G3156" s="36"/>
      <c r="H3156" s="36"/>
      <c r="I3156" s="36"/>
      <c r="J3156" s="36"/>
      <c r="K3156" s="36"/>
    </row>
    <row r="3157" spans="7:11" ht="15.75" customHeight="1">
      <c r="G3157" s="36"/>
      <c r="H3157" s="36"/>
      <c r="I3157" s="36"/>
      <c r="J3157" s="36"/>
      <c r="K3157" s="36"/>
    </row>
    <row r="3158" spans="7:11" ht="15.75" customHeight="1">
      <c r="G3158" s="36"/>
      <c r="H3158" s="36"/>
      <c r="I3158" s="36"/>
      <c r="J3158" s="36"/>
      <c r="K3158" s="36"/>
    </row>
    <row r="3159" spans="7:11" ht="15.75" customHeight="1">
      <c r="G3159" s="36"/>
      <c r="H3159" s="36"/>
      <c r="I3159" s="36"/>
      <c r="J3159" s="36"/>
      <c r="K3159" s="36"/>
    </row>
    <row r="3160" spans="7:11" ht="15.75" customHeight="1">
      <c r="G3160" s="36"/>
      <c r="H3160" s="36"/>
      <c r="I3160" s="36"/>
      <c r="J3160" s="36"/>
      <c r="K3160" s="36"/>
    </row>
    <row r="3161" spans="7:11" ht="15.75" customHeight="1">
      <c r="G3161" s="36"/>
      <c r="H3161" s="36"/>
      <c r="I3161" s="36"/>
      <c r="J3161" s="36"/>
      <c r="K3161" s="36"/>
    </row>
    <row r="3162" spans="7:11" ht="15.75" customHeight="1">
      <c r="G3162" s="36"/>
      <c r="H3162" s="36"/>
      <c r="I3162" s="36"/>
      <c r="J3162" s="36"/>
      <c r="K3162" s="36"/>
    </row>
    <row r="3163" spans="7:11" ht="15.75" customHeight="1">
      <c r="G3163" s="36"/>
      <c r="H3163" s="36"/>
      <c r="I3163" s="36"/>
      <c r="J3163" s="36"/>
      <c r="K3163" s="36"/>
    </row>
    <row r="3164" spans="7:11" ht="15.75" customHeight="1">
      <c r="G3164" s="36"/>
      <c r="H3164" s="36"/>
      <c r="I3164" s="36"/>
      <c r="J3164" s="36"/>
      <c r="K3164" s="36"/>
    </row>
    <row r="3165" spans="7:11" ht="15.75" customHeight="1">
      <c r="G3165" s="36"/>
      <c r="H3165" s="36"/>
      <c r="I3165" s="36"/>
      <c r="J3165" s="36"/>
      <c r="K3165" s="36"/>
    </row>
    <row r="3166" spans="7:11" ht="15.75" customHeight="1">
      <c r="G3166" s="36"/>
      <c r="H3166" s="36"/>
      <c r="I3166" s="36"/>
      <c r="J3166" s="36"/>
      <c r="K3166" s="36"/>
    </row>
    <row r="3167" spans="7:11" ht="15.75" customHeight="1">
      <c r="G3167" s="36"/>
      <c r="H3167" s="36"/>
      <c r="I3167" s="36"/>
      <c r="J3167" s="36"/>
      <c r="K3167" s="36"/>
    </row>
    <row r="3168" spans="7:11" ht="15.75" customHeight="1">
      <c r="G3168" s="36"/>
      <c r="H3168" s="36"/>
      <c r="I3168" s="36"/>
      <c r="J3168" s="36"/>
      <c r="K3168" s="36"/>
    </row>
    <row r="3169" spans="7:11" ht="15.75" customHeight="1">
      <c r="G3169" s="36"/>
      <c r="H3169" s="36"/>
      <c r="I3169" s="36"/>
      <c r="J3169" s="36"/>
      <c r="K3169" s="36"/>
    </row>
    <row r="3170" spans="7:11" ht="15.75" customHeight="1">
      <c r="G3170" s="36"/>
      <c r="H3170" s="36"/>
      <c r="I3170" s="36"/>
      <c r="J3170" s="36"/>
      <c r="K3170" s="36"/>
    </row>
    <row r="3171" spans="7:11" ht="15.75" customHeight="1">
      <c r="G3171" s="36"/>
      <c r="H3171" s="36"/>
      <c r="I3171" s="36"/>
      <c r="J3171" s="36"/>
      <c r="K3171" s="36"/>
    </row>
    <row r="3172" spans="7:11" ht="15.75" customHeight="1">
      <c r="G3172" s="36"/>
      <c r="H3172" s="36"/>
      <c r="I3172" s="36"/>
      <c r="J3172" s="36"/>
      <c r="K3172" s="36"/>
    </row>
    <row r="3173" spans="7:11" ht="15.75" customHeight="1">
      <c r="G3173" s="36"/>
      <c r="H3173" s="36"/>
      <c r="I3173" s="36"/>
      <c r="J3173" s="36"/>
      <c r="K3173" s="36"/>
    </row>
    <row r="3174" spans="7:11" ht="15.75" customHeight="1">
      <c r="G3174" s="36"/>
      <c r="H3174" s="36"/>
      <c r="I3174" s="36"/>
      <c r="J3174" s="36"/>
      <c r="K3174" s="36"/>
    </row>
    <row r="3175" spans="7:11" ht="15.75" customHeight="1">
      <c r="G3175" s="36"/>
      <c r="H3175" s="36"/>
      <c r="I3175" s="36"/>
      <c r="J3175" s="36"/>
      <c r="K3175" s="36"/>
    </row>
    <row r="3176" spans="7:11" ht="15.75" customHeight="1">
      <c r="G3176" s="36"/>
      <c r="H3176" s="36"/>
      <c r="I3176" s="36"/>
      <c r="J3176" s="36"/>
      <c r="K3176" s="36"/>
    </row>
    <row r="3177" spans="7:11" ht="15.75" customHeight="1">
      <c r="G3177" s="36"/>
      <c r="H3177" s="36"/>
      <c r="I3177" s="36"/>
      <c r="J3177" s="36"/>
      <c r="K3177" s="36"/>
    </row>
    <row r="3178" spans="7:11" ht="15.75" customHeight="1">
      <c r="G3178" s="36"/>
      <c r="H3178" s="36"/>
      <c r="I3178" s="36"/>
      <c r="J3178" s="36"/>
      <c r="K3178" s="36"/>
    </row>
    <row r="3179" spans="7:11" ht="15.75" customHeight="1">
      <c r="G3179" s="36"/>
      <c r="H3179" s="36"/>
      <c r="I3179" s="36"/>
      <c r="J3179" s="36"/>
      <c r="K3179" s="36"/>
    </row>
    <row r="3180" spans="7:11" ht="15.75" customHeight="1">
      <c r="G3180" s="36"/>
      <c r="H3180" s="36"/>
      <c r="I3180" s="36"/>
      <c r="J3180" s="36"/>
      <c r="K3180" s="36"/>
    </row>
    <row r="3181" spans="7:11" ht="15.75" customHeight="1">
      <c r="G3181" s="36"/>
      <c r="H3181" s="36"/>
      <c r="I3181" s="36"/>
      <c r="J3181" s="36"/>
      <c r="K3181" s="36"/>
    </row>
    <row r="3182" spans="7:11" ht="15.75" customHeight="1">
      <c r="G3182" s="36"/>
      <c r="H3182" s="36"/>
      <c r="I3182" s="36"/>
      <c r="J3182" s="36"/>
      <c r="K3182" s="36"/>
    </row>
    <row r="3183" spans="7:11" ht="15.75" customHeight="1">
      <c r="G3183" s="36"/>
      <c r="H3183" s="36"/>
      <c r="I3183" s="36"/>
      <c r="J3183" s="36"/>
      <c r="K3183" s="36"/>
    </row>
    <row r="3184" spans="7:11" ht="15.75" customHeight="1">
      <c r="G3184" s="36"/>
      <c r="H3184" s="36"/>
      <c r="I3184" s="36"/>
      <c r="J3184" s="36"/>
      <c r="K3184" s="36"/>
    </row>
    <row r="3185" spans="7:11" ht="15.75" customHeight="1">
      <c r="G3185" s="36"/>
      <c r="H3185" s="36"/>
      <c r="I3185" s="36"/>
      <c r="J3185" s="36"/>
      <c r="K3185" s="36"/>
    </row>
    <row r="3186" spans="7:11" ht="15.75" customHeight="1">
      <c r="G3186" s="36"/>
      <c r="H3186" s="36"/>
      <c r="I3186" s="36"/>
      <c r="J3186" s="36"/>
      <c r="K3186" s="36"/>
    </row>
    <row r="3187" spans="7:11" ht="15.75" customHeight="1">
      <c r="G3187" s="36"/>
      <c r="H3187" s="36"/>
      <c r="I3187" s="36"/>
      <c r="J3187" s="36"/>
      <c r="K3187" s="36"/>
    </row>
    <row r="3188" spans="7:11" ht="15.75" customHeight="1">
      <c r="G3188" s="36"/>
      <c r="H3188" s="36"/>
      <c r="I3188" s="36"/>
      <c r="J3188" s="36"/>
      <c r="K3188" s="36"/>
    </row>
    <row r="3189" spans="7:11" ht="15.75" customHeight="1">
      <c r="G3189" s="36"/>
      <c r="H3189" s="36"/>
      <c r="I3189" s="36"/>
      <c r="J3189" s="36"/>
      <c r="K3189" s="36"/>
    </row>
    <row r="3190" spans="7:11" ht="15.75" customHeight="1">
      <c r="G3190" s="36"/>
      <c r="H3190" s="36"/>
      <c r="I3190" s="36"/>
      <c r="J3190" s="36"/>
      <c r="K3190" s="36"/>
    </row>
    <row r="3191" spans="7:11" ht="15.75" customHeight="1">
      <c r="G3191" s="36"/>
      <c r="H3191" s="36"/>
      <c r="I3191" s="36"/>
      <c r="J3191" s="36"/>
      <c r="K3191" s="36"/>
    </row>
    <row r="3192" spans="7:11" ht="15.75" customHeight="1">
      <c r="G3192" s="36"/>
      <c r="H3192" s="36"/>
      <c r="I3192" s="36"/>
      <c r="J3192" s="36"/>
      <c r="K3192" s="36"/>
    </row>
    <row r="3193" spans="7:11" ht="15.75" customHeight="1">
      <c r="G3193" s="36"/>
      <c r="H3193" s="36"/>
      <c r="I3193" s="36"/>
      <c r="J3193" s="36"/>
      <c r="K3193" s="36"/>
    </row>
    <row r="3194" spans="7:11" ht="15.75" customHeight="1">
      <c r="G3194" s="36"/>
      <c r="H3194" s="36"/>
      <c r="I3194" s="36"/>
      <c r="J3194" s="36"/>
      <c r="K3194" s="36"/>
    </row>
    <row r="3195" spans="7:11" ht="15.75" customHeight="1">
      <c r="G3195" s="36"/>
      <c r="H3195" s="36"/>
      <c r="I3195" s="36"/>
      <c r="J3195" s="36"/>
      <c r="K3195" s="36"/>
    </row>
    <row r="3196" spans="7:11" ht="15.75" customHeight="1">
      <c r="G3196" s="36"/>
      <c r="H3196" s="36"/>
      <c r="I3196" s="36"/>
      <c r="J3196" s="36"/>
      <c r="K3196" s="36"/>
    </row>
    <row r="3197" spans="7:11" ht="15.75" customHeight="1">
      <c r="G3197" s="36"/>
      <c r="H3197" s="36"/>
      <c r="I3197" s="36"/>
      <c r="J3197" s="36"/>
      <c r="K3197" s="36"/>
    </row>
    <row r="3198" spans="7:11" ht="15.75" customHeight="1">
      <c r="G3198" s="36"/>
      <c r="H3198" s="36"/>
      <c r="I3198" s="36"/>
      <c r="J3198" s="36"/>
      <c r="K3198" s="36"/>
    </row>
    <row r="3199" spans="7:11" ht="15.75" customHeight="1">
      <c r="G3199" s="36"/>
      <c r="H3199" s="36"/>
      <c r="I3199" s="36"/>
      <c r="J3199" s="36"/>
      <c r="K3199" s="36"/>
    </row>
    <row r="3200" spans="7:11" ht="15.75" customHeight="1">
      <c r="G3200" s="36"/>
      <c r="H3200" s="36"/>
      <c r="I3200" s="36"/>
      <c r="J3200" s="36"/>
      <c r="K3200" s="36"/>
    </row>
    <row r="3201" spans="7:11" ht="15.75" customHeight="1">
      <c r="G3201" s="36"/>
      <c r="H3201" s="36"/>
      <c r="I3201" s="36"/>
      <c r="J3201" s="36"/>
      <c r="K3201" s="36"/>
    </row>
    <row r="3202" spans="7:11" ht="15.75" customHeight="1">
      <c r="G3202" s="36"/>
      <c r="H3202" s="36"/>
      <c r="I3202" s="36"/>
      <c r="J3202" s="36"/>
      <c r="K3202" s="36"/>
    </row>
    <row r="3203" spans="7:11" ht="15.75" customHeight="1">
      <c r="G3203" s="36"/>
      <c r="H3203" s="36"/>
      <c r="I3203" s="36"/>
      <c r="J3203" s="36"/>
      <c r="K3203" s="36"/>
    </row>
    <row r="3204" spans="7:11" ht="15.75" customHeight="1">
      <c r="G3204" s="36"/>
      <c r="H3204" s="36"/>
      <c r="I3204" s="36"/>
      <c r="J3204" s="36"/>
      <c r="K3204" s="36"/>
    </row>
    <row r="3205" spans="7:11" ht="15.75" customHeight="1">
      <c r="G3205" s="36"/>
      <c r="H3205" s="36"/>
      <c r="I3205" s="36"/>
      <c r="J3205" s="36"/>
      <c r="K3205" s="36"/>
    </row>
    <row r="3206" spans="7:11" ht="15.75" customHeight="1">
      <c r="G3206" s="36"/>
      <c r="H3206" s="36"/>
      <c r="I3206" s="36"/>
      <c r="J3206" s="36"/>
      <c r="K3206" s="36"/>
    </row>
    <row r="3207" spans="7:11" ht="15.75" customHeight="1">
      <c r="G3207" s="36"/>
      <c r="H3207" s="36"/>
      <c r="I3207" s="36"/>
      <c r="J3207" s="36"/>
      <c r="K3207" s="36"/>
    </row>
    <row r="3208" spans="7:11" ht="15.75" customHeight="1">
      <c r="G3208" s="36"/>
      <c r="H3208" s="36"/>
      <c r="I3208" s="36"/>
      <c r="J3208" s="36"/>
      <c r="K3208" s="36"/>
    </row>
    <row r="3209" spans="7:11" ht="15.75" customHeight="1">
      <c r="G3209" s="36"/>
      <c r="H3209" s="36"/>
      <c r="I3209" s="36"/>
      <c r="J3209" s="36"/>
      <c r="K3209" s="36"/>
    </row>
    <row r="3210" spans="7:11" ht="15.75" customHeight="1">
      <c r="G3210" s="36"/>
      <c r="H3210" s="36"/>
      <c r="I3210" s="36"/>
      <c r="J3210" s="36"/>
      <c r="K3210" s="36"/>
    </row>
    <row r="3211" spans="7:11" ht="15.75" customHeight="1">
      <c r="G3211" s="36"/>
      <c r="H3211" s="36"/>
      <c r="I3211" s="36"/>
      <c r="J3211" s="36"/>
      <c r="K3211" s="36"/>
    </row>
    <row r="3212" spans="7:11" ht="15.75" customHeight="1">
      <c r="G3212" s="36"/>
      <c r="H3212" s="36"/>
      <c r="I3212" s="36"/>
      <c r="J3212" s="36"/>
      <c r="K3212" s="36"/>
    </row>
    <row r="3213" spans="7:11" ht="15.75" customHeight="1">
      <c r="G3213" s="36"/>
      <c r="H3213" s="36"/>
      <c r="I3213" s="36"/>
      <c r="J3213" s="36"/>
      <c r="K3213" s="36"/>
    </row>
    <row r="3214" spans="7:11" ht="15.75" customHeight="1">
      <c r="G3214" s="36"/>
      <c r="H3214" s="36"/>
      <c r="I3214" s="36"/>
      <c r="J3214" s="36"/>
      <c r="K3214" s="36"/>
    </row>
    <row r="3215" spans="7:11" ht="15.75" customHeight="1">
      <c r="G3215" s="36"/>
      <c r="H3215" s="36"/>
      <c r="I3215" s="36"/>
      <c r="J3215" s="36"/>
      <c r="K3215" s="36"/>
    </row>
    <row r="3216" spans="7:11" ht="15.75" customHeight="1">
      <c r="G3216" s="36"/>
      <c r="H3216" s="36"/>
      <c r="I3216" s="36"/>
      <c r="J3216" s="36"/>
      <c r="K3216" s="36"/>
    </row>
    <row r="3217" spans="7:11" ht="15.75" customHeight="1">
      <c r="G3217" s="36"/>
      <c r="H3217" s="36"/>
      <c r="I3217" s="36"/>
      <c r="J3217" s="36"/>
      <c r="K3217" s="36"/>
    </row>
    <row r="3218" spans="7:11" ht="15.75" customHeight="1">
      <c r="G3218" s="36"/>
      <c r="H3218" s="36"/>
      <c r="I3218" s="36"/>
      <c r="J3218" s="36"/>
      <c r="K3218" s="36"/>
    </row>
    <row r="3219" spans="7:11" ht="15.75" customHeight="1">
      <c r="G3219" s="36"/>
      <c r="H3219" s="36"/>
      <c r="I3219" s="36"/>
      <c r="J3219" s="36"/>
      <c r="K3219" s="36"/>
    </row>
    <row r="3220" spans="7:11" ht="15.75" customHeight="1">
      <c r="G3220" s="36"/>
      <c r="H3220" s="36"/>
      <c r="I3220" s="36"/>
      <c r="J3220" s="36"/>
      <c r="K3220" s="36"/>
    </row>
    <row r="3221" spans="7:11" ht="15.75" customHeight="1">
      <c r="G3221" s="36"/>
      <c r="H3221" s="36"/>
      <c r="I3221" s="36"/>
      <c r="J3221" s="36"/>
      <c r="K3221" s="36"/>
    </row>
    <row r="3222" spans="7:11" ht="15.75" customHeight="1">
      <c r="G3222" s="36"/>
      <c r="H3222" s="36"/>
      <c r="I3222" s="36"/>
      <c r="J3222" s="36"/>
      <c r="K3222" s="36"/>
    </row>
    <row r="3223" spans="7:11" ht="15.75" customHeight="1">
      <c r="G3223" s="36"/>
      <c r="H3223" s="36"/>
      <c r="I3223" s="36"/>
      <c r="J3223" s="36"/>
      <c r="K3223" s="36"/>
    </row>
    <row r="3224" spans="7:11" ht="15.75" customHeight="1">
      <c r="G3224" s="36"/>
      <c r="H3224" s="36"/>
      <c r="I3224" s="36"/>
      <c r="J3224" s="36"/>
      <c r="K3224" s="36"/>
    </row>
    <row r="3225" spans="7:11" ht="15.75" customHeight="1">
      <c r="G3225" s="36"/>
      <c r="H3225" s="36"/>
      <c r="I3225" s="36"/>
      <c r="J3225" s="36"/>
      <c r="K3225" s="36"/>
    </row>
    <row r="3226" spans="7:11" ht="15.75" customHeight="1">
      <c r="G3226" s="36"/>
      <c r="H3226" s="36"/>
      <c r="I3226" s="36"/>
      <c r="J3226" s="36"/>
      <c r="K3226" s="36"/>
    </row>
    <row r="3227" spans="7:11" ht="15.75" customHeight="1">
      <c r="G3227" s="36"/>
      <c r="H3227" s="36"/>
      <c r="I3227" s="36"/>
      <c r="J3227" s="36"/>
      <c r="K3227" s="36"/>
    </row>
    <row r="3228" spans="7:11" ht="15.75" customHeight="1">
      <c r="G3228" s="36"/>
      <c r="H3228" s="36"/>
      <c r="I3228" s="36"/>
      <c r="J3228" s="36"/>
      <c r="K3228" s="36"/>
    </row>
    <row r="3229" spans="7:11" ht="15.75" customHeight="1">
      <c r="G3229" s="36"/>
      <c r="H3229" s="36"/>
      <c r="I3229" s="36"/>
      <c r="J3229" s="36"/>
      <c r="K3229" s="36"/>
    </row>
    <row r="3230" spans="7:11" ht="15.75" customHeight="1">
      <c r="G3230" s="36"/>
      <c r="H3230" s="36"/>
      <c r="I3230" s="36"/>
      <c r="J3230" s="36"/>
      <c r="K3230" s="36"/>
    </row>
    <row r="3231" spans="7:11" ht="15.75" customHeight="1">
      <c r="G3231" s="36"/>
      <c r="H3231" s="36"/>
      <c r="I3231" s="36"/>
      <c r="J3231" s="36"/>
      <c r="K3231" s="36"/>
    </row>
    <row r="3232" spans="7:11" ht="15.75" customHeight="1">
      <c r="G3232" s="36"/>
      <c r="H3232" s="36"/>
      <c r="I3232" s="36"/>
      <c r="J3232" s="36"/>
      <c r="K3232" s="36"/>
    </row>
    <row r="3233" spans="7:11" ht="15.75" customHeight="1">
      <c r="G3233" s="36"/>
      <c r="H3233" s="36"/>
      <c r="I3233" s="36"/>
      <c r="J3233" s="36"/>
      <c r="K3233" s="36"/>
    </row>
    <row r="3234" spans="7:11" ht="15.75" customHeight="1">
      <c r="G3234" s="36"/>
      <c r="H3234" s="36"/>
      <c r="I3234" s="36"/>
      <c r="J3234" s="36"/>
      <c r="K3234" s="36"/>
    </row>
    <row r="3235" spans="7:11" ht="15.75" customHeight="1">
      <c r="G3235" s="36"/>
      <c r="H3235" s="36"/>
      <c r="I3235" s="36"/>
      <c r="J3235" s="36"/>
      <c r="K3235" s="36"/>
    </row>
    <row r="3236" spans="7:11" ht="15.75" customHeight="1">
      <c r="G3236" s="36"/>
      <c r="H3236" s="36"/>
      <c r="I3236" s="36"/>
      <c r="J3236" s="36"/>
      <c r="K3236" s="36"/>
    </row>
    <row r="3237" spans="7:11" ht="15.75" customHeight="1">
      <c r="G3237" s="36"/>
      <c r="H3237" s="36"/>
      <c r="I3237" s="36"/>
      <c r="J3237" s="36"/>
      <c r="K3237" s="36"/>
    </row>
    <row r="3238" spans="7:11" ht="15.75" customHeight="1">
      <c r="G3238" s="36"/>
      <c r="H3238" s="36"/>
      <c r="I3238" s="36"/>
      <c r="J3238" s="36"/>
      <c r="K3238" s="36"/>
    </row>
    <row r="3239" spans="7:11" ht="15.75" customHeight="1">
      <c r="G3239" s="36"/>
      <c r="H3239" s="36"/>
      <c r="I3239" s="36"/>
      <c r="J3239" s="36"/>
      <c r="K3239" s="36"/>
    </row>
    <row r="3240" spans="7:11" ht="15.75" customHeight="1">
      <c r="G3240" s="36"/>
      <c r="H3240" s="36"/>
      <c r="I3240" s="36"/>
      <c r="J3240" s="36"/>
      <c r="K3240" s="36"/>
    </row>
    <row r="3241" spans="7:11" ht="15.75" customHeight="1">
      <c r="G3241" s="36"/>
      <c r="H3241" s="36"/>
      <c r="I3241" s="36"/>
      <c r="J3241" s="36"/>
      <c r="K3241" s="36"/>
    </row>
    <row r="3242" spans="7:11" ht="15.75" customHeight="1">
      <c r="G3242" s="36"/>
      <c r="H3242" s="36"/>
      <c r="I3242" s="36"/>
      <c r="J3242" s="36"/>
      <c r="K3242" s="36"/>
    </row>
    <row r="3243" spans="7:11" ht="15.75" customHeight="1">
      <c r="G3243" s="36"/>
      <c r="H3243" s="36"/>
      <c r="I3243" s="36"/>
      <c r="J3243" s="36"/>
      <c r="K3243" s="36"/>
    </row>
    <row r="3244" spans="7:11" ht="15.75" customHeight="1">
      <c r="G3244" s="36"/>
      <c r="H3244" s="36"/>
      <c r="I3244" s="36"/>
      <c r="J3244" s="36"/>
      <c r="K3244" s="36"/>
    </row>
    <row r="3245" spans="7:11" ht="15.75" customHeight="1">
      <c r="G3245" s="36"/>
      <c r="H3245" s="36"/>
      <c r="I3245" s="36"/>
      <c r="J3245" s="36"/>
      <c r="K3245" s="36"/>
    </row>
    <row r="3246" spans="7:11" ht="15.75" customHeight="1">
      <c r="G3246" s="36"/>
      <c r="H3246" s="36"/>
      <c r="I3246" s="36"/>
      <c r="J3246" s="36"/>
      <c r="K3246" s="36"/>
    </row>
    <row r="3247" spans="7:11" ht="15.75" customHeight="1">
      <c r="G3247" s="36"/>
      <c r="H3247" s="36"/>
      <c r="I3247" s="36"/>
      <c r="J3247" s="36"/>
      <c r="K3247" s="36"/>
    </row>
    <row r="3248" spans="7:11" ht="15.75" customHeight="1">
      <c r="G3248" s="36"/>
      <c r="H3248" s="36"/>
      <c r="I3248" s="36"/>
      <c r="J3248" s="36"/>
      <c r="K3248" s="36"/>
    </row>
    <row r="3249" spans="7:11" ht="15.75" customHeight="1">
      <c r="G3249" s="36"/>
      <c r="H3249" s="36"/>
      <c r="I3249" s="36"/>
      <c r="J3249" s="36"/>
      <c r="K3249" s="36"/>
    </row>
    <row r="3250" spans="7:11" ht="15.75" customHeight="1">
      <c r="G3250" s="36"/>
      <c r="H3250" s="36"/>
      <c r="I3250" s="36"/>
      <c r="J3250" s="36"/>
      <c r="K3250" s="36"/>
    </row>
    <row r="3251" spans="7:11" ht="15.75" customHeight="1">
      <c r="G3251" s="36"/>
      <c r="H3251" s="36"/>
      <c r="I3251" s="36"/>
      <c r="J3251" s="36"/>
      <c r="K3251" s="36"/>
    </row>
    <row r="3252" spans="7:11" ht="15.75" customHeight="1">
      <c r="G3252" s="36"/>
      <c r="H3252" s="36"/>
      <c r="I3252" s="36"/>
      <c r="J3252" s="36"/>
      <c r="K3252" s="36"/>
    </row>
    <row r="3253" spans="7:11" ht="15.75" customHeight="1">
      <c r="G3253" s="36"/>
      <c r="H3253" s="36"/>
      <c r="I3253" s="36"/>
      <c r="J3253" s="36"/>
      <c r="K3253" s="36"/>
    </row>
    <row r="3254" spans="7:11" ht="15.75" customHeight="1">
      <c r="G3254" s="36"/>
      <c r="H3254" s="36"/>
      <c r="I3254" s="36"/>
      <c r="J3254" s="36"/>
      <c r="K3254" s="36"/>
    </row>
    <row r="3255" spans="7:11" ht="15.75" customHeight="1">
      <c r="G3255" s="36"/>
      <c r="H3255" s="36"/>
      <c r="I3255" s="36"/>
      <c r="J3255" s="36"/>
      <c r="K3255" s="36"/>
    </row>
    <row r="3256" spans="7:11" ht="15.75" customHeight="1">
      <c r="G3256" s="36"/>
      <c r="H3256" s="36"/>
      <c r="I3256" s="36"/>
      <c r="J3256" s="36"/>
      <c r="K3256" s="36"/>
    </row>
    <row r="3257" spans="7:11" ht="15.75" customHeight="1">
      <c r="G3257" s="36"/>
      <c r="H3257" s="36"/>
      <c r="I3257" s="36"/>
      <c r="J3257" s="36"/>
      <c r="K3257" s="36"/>
    </row>
    <row r="3258" spans="7:11" ht="15.75" customHeight="1">
      <c r="G3258" s="36"/>
      <c r="H3258" s="36"/>
      <c r="I3258" s="36"/>
      <c r="J3258" s="36"/>
      <c r="K3258" s="36"/>
    </row>
    <row r="3259" spans="7:11" ht="15.75" customHeight="1">
      <c r="G3259" s="36"/>
      <c r="H3259" s="36"/>
      <c r="I3259" s="36"/>
      <c r="J3259" s="36"/>
      <c r="K3259" s="36"/>
    </row>
    <row r="3260" spans="7:11" ht="15.75" customHeight="1">
      <c r="G3260" s="36"/>
      <c r="H3260" s="36"/>
      <c r="I3260" s="36"/>
      <c r="J3260" s="36"/>
      <c r="K3260" s="36"/>
    </row>
    <row r="3261" spans="7:11" ht="15.75" customHeight="1">
      <c r="G3261" s="36"/>
      <c r="H3261" s="36"/>
      <c r="I3261" s="36"/>
      <c r="J3261" s="36"/>
      <c r="K3261" s="36"/>
    </row>
    <row r="3262" spans="7:11" ht="15.75" customHeight="1">
      <c r="G3262" s="36"/>
      <c r="H3262" s="36"/>
      <c r="I3262" s="36"/>
      <c r="J3262" s="36"/>
      <c r="K3262" s="36"/>
    </row>
    <row r="3263" spans="7:11" ht="15.75" customHeight="1">
      <c r="G3263" s="36"/>
      <c r="H3263" s="36"/>
      <c r="I3263" s="36"/>
      <c r="J3263" s="36"/>
      <c r="K3263" s="36"/>
    </row>
    <row r="3264" spans="7:11" ht="15.75" customHeight="1">
      <c r="G3264" s="36"/>
      <c r="H3264" s="36"/>
      <c r="I3264" s="36"/>
      <c r="J3264" s="36"/>
      <c r="K3264" s="36"/>
    </row>
    <row r="3265" spans="7:11" ht="15.75" customHeight="1">
      <c r="G3265" s="36"/>
      <c r="H3265" s="36"/>
      <c r="I3265" s="36"/>
      <c r="J3265" s="36"/>
      <c r="K3265" s="36"/>
    </row>
    <row r="3266" spans="7:11" ht="15.75" customHeight="1">
      <c r="G3266" s="36"/>
      <c r="H3266" s="36"/>
      <c r="I3266" s="36"/>
      <c r="J3266" s="36"/>
      <c r="K3266" s="36"/>
    </row>
    <row r="3267" spans="7:11" ht="15.75" customHeight="1">
      <c r="G3267" s="36"/>
      <c r="H3267" s="36"/>
      <c r="I3267" s="36"/>
      <c r="J3267" s="36"/>
      <c r="K3267" s="36"/>
    </row>
    <row r="3268" spans="7:11" ht="15.75" customHeight="1">
      <c r="G3268" s="36"/>
      <c r="H3268" s="36"/>
      <c r="I3268" s="36"/>
      <c r="J3268" s="36"/>
      <c r="K3268" s="36"/>
    </row>
    <row r="3269" spans="7:11" ht="15.75" customHeight="1">
      <c r="G3269" s="36"/>
      <c r="H3269" s="36"/>
      <c r="I3269" s="36"/>
      <c r="J3269" s="36"/>
      <c r="K3269" s="36"/>
    </row>
    <row r="3270" spans="7:11" ht="15.75" customHeight="1">
      <c r="G3270" s="36"/>
      <c r="H3270" s="36"/>
      <c r="I3270" s="36"/>
      <c r="J3270" s="36"/>
      <c r="K3270" s="36"/>
    </row>
    <row r="3271" spans="7:11" ht="15.75" customHeight="1">
      <c r="G3271" s="36"/>
      <c r="H3271" s="36"/>
      <c r="I3271" s="36"/>
      <c r="J3271" s="36"/>
      <c r="K3271" s="36"/>
    </row>
    <row r="3272" spans="7:11" ht="15.75" customHeight="1">
      <c r="G3272" s="36"/>
      <c r="H3272" s="36"/>
      <c r="I3272" s="36"/>
      <c r="J3272" s="36"/>
      <c r="K3272" s="36"/>
    </row>
    <row r="3273" spans="7:11" ht="15.75" customHeight="1">
      <c r="G3273" s="36"/>
      <c r="H3273" s="36"/>
      <c r="I3273" s="36"/>
      <c r="J3273" s="36"/>
      <c r="K3273" s="36"/>
    </row>
    <row r="3274" spans="7:11" ht="15.75" customHeight="1">
      <c r="G3274" s="36"/>
      <c r="H3274" s="36"/>
      <c r="I3274" s="36"/>
      <c r="J3274" s="36"/>
      <c r="K3274" s="36"/>
    </row>
    <row r="3275" spans="7:11" ht="15.75" customHeight="1">
      <c r="G3275" s="36"/>
      <c r="H3275" s="36"/>
      <c r="I3275" s="36"/>
      <c r="J3275" s="36"/>
      <c r="K3275" s="36"/>
    </row>
    <row r="3276" spans="7:11" ht="15.75" customHeight="1">
      <c r="G3276" s="36"/>
      <c r="H3276" s="36"/>
      <c r="I3276" s="36"/>
      <c r="J3276" s="36"/>
      <c r="K3276" s="36"/>
    </row>
    <row r="3277" spans="7:11" ht="15.75" customHeight="1">
      <c r="G3277" s="36"/>
      <c r="H3277" s="36"/>
      <c r="I3277" s="36"/>
      <c r="J3277" s="36"/>
      <c r="K3277" s="36"/>
    </row>
    <row r="3278" spans="7:11" ht="15.75" customHeight="1">
      <c r="G3278" s="36"/>
      <c r="H3278" s="36"/>
      <c r="I3278" s="36"/>
      <c r="J3278" s="36"/>
      <c r="K3278" s="36"/>
    </row>
    <row r="3279" spans="7:11" ht="15.75" customHeight="1">
      <c r="G3279" s="36"/>
      <c r="H3279" s="36"/>
      <c r="I3279" s="36"/>
      <c r="J3279" s="36"/>
      <c r="K3279" s="36"/>
    </row>
    <row r="3280" spans="7:11" ht="15.75" customHeight="1">
      <c r="G3280" s="36"/>
      <c r="H3280" s="36"/>
      <c r="I3280" s="36"/>
      <c r="J3280" s="36"/>
      <c r="K3280" s="36"/>
    </row>
    <row r="3281" spans="7:11" ht="15.75" customHeight="1">
      <c r="G3281" s="36"/>
      <c r="H3281" s="36"/>
      <c r="I3281" s="36"/>
      <c r="J3281" s="36"/>
      <c r="K3281" s="36"/>
    </row>
    <row r="3282" spans="7:11" ht="15.75" customHeight="1">
      <c r="G3282" s="36"/>
      <c r="H3282" s="36"/>
      <c r="I3282" s="36"/>
      <c r="J3282" s="36"/>
      <c r="K3282" s="36"/>
    </row>
    <row r="3283" spans="7:11" ht="15.75" customHeight="1">
      <c r="G3283" s="36"/>
      <c r="H3283" s="36"/>
      <c r="I3283" s="36"/>
      <c r="J3283" s="36"/>
      <c r="K3283" s="36"/>
    </row>
    <row r="3284" spans="7:11" ht="15.75" customHeight="1">
      <c r="G3284" s="36"/>
      <c r="H3284" s="36"/>
      <c r="I3284" s="36"/>
      <c r="J3284" s="36"/>
      <c r="K3284" s="36"/>
    </row>
    <row r="3285" spans="7:11" ht="15.75" customHeight="1">
      <c r="G3285" s="36"/>
      <c r="H3285" s="36"/>
      <c r="I3285" s="36"/>
      <c r="J3285" s="36"/>
      <c r="K3285" s="36"/>
    </row>
    <row r="3286" spans="7:11" ht="15.75" customHeight="1">
      <c r="G3286" s="36"/>
      <c r="H3286" s="36"/>
      <c r="I3286" s="36"/>
      <c r="J3286" s="36"/>
      <c r="K3286" s="36"/>
    </row>
    <row r="3287" spans="7:11" ht="15.75" customHeight="1">
      <c r="G3287" s="36"/>
      <c r="H3287" s="36"/>
      <c r="I3287" s="36"/>
      <c r="J3287" s="36"/>
      <c r="K3287" s="36"/>
    </row>
    <row r="3288" spans="7:11" ht="15.75" customHeight="1">
      <c r="G3288" s="36"/>
      <c r="H3288" s="36"/>
      <c r="I3288" s="36"/>
      <c r="J3288" s="36"/>
      <c r="K3288" s="36"/>
    </row>
    <row r="3289" spans="7:11" ht="15.75" customHeight="1">
      <c r="G3289" s="36"/>
      <c r="H3289" s="36"/>
      <c r="I3289" s="36"/>
      <c r="J3289" s="36"/>
      <c r="K3289" s="36"/>
    </row>
    <row r="3290" spans="7:11" ht="15.75" customHeight="1">
      <c r="G3290" s="36"/>
      <c r="H3290" s="36"/>
      <c r="I3290" s="36"/>
      <c r="J3290" s="36"/>
      <c r="K3290" s="36"/>
    </row>
    <row r="3291" spans="7:11" ht="15.75" customHeight="1">
      <c r="G3291" s="36"/>
      <c r="H3291" s="36"/>
      <c r="I3291" s="36"/>
      <c r="J3291" s="36"/>
      <c r="K3291" s="36"/>
    </row>
    <row r="3292" spans="7:11" ht="15.75" customHeight="1">
      <c r="G3292" s="36"/>
      <c r="H3292" s="36"/>
      <c r="I3292" s="36"/>
      <c r="J3292" s="36"/>
      <c r="K3292" s="36"/>
    </row>
    <row r="3293" spans="7:11" ht="15.75" customHeight="1">
      <c r="G3293" s="36"/>
      <c r="H3293" s="36"/>
      <c r="I3293" s="36"/>
      <c r="J3293" s="36"/>
      <c r="K3293" s="36"/>
    </row>
    <row r="3294" spans="7:11" ht="15.75" customHeight="1">
      <c r="G3294" s="36"/>
      <c r="H3294" s="36"/>
      <c r="I3294" s="36"/>
      <c r="J3294" s="36"/>
      <c r="K3294" s="36"/>
    </row>
    <row r="3295" spans="7:11" ht="15.75" customHeight="1">
      <c r="G3295" s="36"/>
      <c r="H3295" s="36"/>
      <c r="I3295" s="36"/>
      <c r="J3295" s="36"/>
      <c r="K3295" s="36"/>
    </row>
    <row r="3296" spans="7:11" ht="15.75" customHeight="1">
      <c r="G3296" s="36"/>
      <c r="H3296" s="36"/>
      <c r="I3296" s="36"/>
      <c r="J3296" s="36"/>
      <c r="K3296" s="36"/>
    </row>
    <row r="3297" spans="7:11" ht="15.75" customHeight="1">
      <c r="G3297" s="36"/>
      <c r="H3297" s="36"/>
      <c r="I3297" s="36"/>
      <c r="J3297" s="36"/>
      <c r="K3297" s="36"/>
    </row>
    <row r="3298" spans="7:11" ht="15.75" customHeight="1">
      <c r="G3298" s="36"/>
      <c r="H3298" s="36"/>
      <c r="I3298" s="36"/>
      <c r="J3298" s="36"/>
      <c r="K3298" s="36"/>
    </row>
    <row r="3299" spans="7:11" ht="15.75" customHeight="1">
      <c r="G3299" s="36"/>
      <c r="H3299" s="36"/>
      <c r="I3299" s="36"/>
      <c r="J3299" s="36"/>
      <c r="K3299" s="36"/>
    </row>
    <row r="3300" spans="7:11" ht="15.75" customHeight="1">
      <c r="G3300" s="36"/>
      <c r="H3300" s="36"/>
      <c r="I3300" s="36"/>
      <c r="J3300" s="36"/>
      <c r="K3300" s="36"/>
    </row>
    <row r="3301" spans="7:11" ht="15.75" customHeight="1">
      <c r="G3301" s="36"/>
      <c r="H3301" s="36"/>
      <c r="I3301" s="36"/>
      <c r="J3301" s="36"/>
      <c r="K3301" s="36"/>
    </row>
    <row r="3302" spans="7:11" ht="15.75" customHeight="1">
      <c r="G3302" s="36"/>
      <c r="H3302" s="36"/>
      <c r="I3302" s="36"/>
      <c r="J3302" s="36"/>
      <c r="K3302" s="36"/>
    </row>
    <row r="3303" spans="7:11" ht="15.75" customHeight="1">
      <c r="G3303" s="36"/>
      <c r="H3303" s="36"/>
      <c r="I3303" s="36"/>
      <c r="J3303" s="36"/>
      <c r="K3303" s="36"/>
    </row>
    <row r="3304" spans="7:11" ht="15.75" customHeight="1">
      <c r="G3304" s="36"/>
      <c r="H3304" s="36"/>
      <c r="I3304" s="36"/>
      <c r="J3304" s="36"/>
      <c r="K3304" s="36"/>
    </row>
    <row r="3305" spans="7:11" ht="15.75" customHeight="1">
      <c r="G3305" s="36"/>
      <c r="H3305" s="36"/>
      <c r="I3305" s="36"/>
      <c r="J3305" s="36"/>
      <c r="K3305" s="36"/>
    </row>
    <row r="3306" spans="7:11" ht="15.75" customHeight="1">
      <c r="G3306" s="36"/>
      <c r="H3306" s="36"/>
      <c r="I3306" s="36"/>
      <c r="J3306" s="36"/>
      <c r="K3306" s="36"/>
    </row>
    <row r="3307" spans="7:11" ht="15.75" customHeight="1">
      <c r="G3307" s="36"/>
      <c r="H3307" s="36"/>
      <c r="I3307" s="36"/>
      <c r="J3307" s="36"/>
      <c r="K3307" s="36"/>
    </row>
    <row r="3308" spans="7:11" ht="15.75" customHeight="1">
      <c r="G3308" s="36"/>
      <c r="H3308" s="36"/>
      <c r="I3308" s="36"/>
      <c r="J3308" s="36"/>
      <c r="K3308" s="36"/>
    </row>
    <row r="3309" spans="7:11" ht="15.75" customHeight="1">
      <c r="G3309" s="36"/>
      <c r="H3309" s="36"/>
      <c r="I3309" s="36"/>
      <c r="J3309" s="36"/>
      <c r="K3309" s="36"/>
    </row>
    <row r="3310" spans="7:11" ht="15.75" customHeight="1">
      <c r="G3310" s="36"/>
      <c r="H3310" s="36"/>
      <c r="I3310" s="36"/>
      <c r="J3310" s="36"/>
      <c r="K3310" s="36"/>
    </row>
    <row r="3311" spans="7:11" ht="15.75" customHeight="1">
      <c r="G3311" s="36"/>
      <c r="H3311" s="36"/>
      <c r="I3311" s="36"/>
      <c r="J3311" s="36"/>
      <c r="K3311" s="36"/>
    </row>
    <row r="3312" spans="7:11" ht="15.75" customHeight="1">
      <c r="G3312" s="36"/>
      <c r="H3312" s="36"/>
      <c r="I3312" s="36"/>
      <c r="J3312" s="36"/>
      <c r="K3312" s="36"/>
    </row>
    <row r="3313" spans="7:11" ht="15.75" customHeight="1">
      <c r="G3313" s="36"/>
      <c r="H3313" s="36"/>
      <c r="I3313" s="36"/>
      <c r="J3313" s="36"/>
      <c r="K3313" s="36"/>
    </row>
    <row r="3314" spans="7:11" ht="15.75" customHeight="1">
      <c r="G3314" s="36"/>
      <c r="H3314" s="36"/>
      <c r="I3314" s="36"/>
      <c r="J3314" s="36"/>
      <c r="K3314" s="36"/>
    </row>
    <row r="3315" spans="7:11" ht="15.75" customHeight="1">
      <c r="G3315" s="36"/>
      <c r="H3315" s="36"/>
      <c r="I3315" s="36"/>
      <c r="J3315" s="36"/>
      <c r="K3315" s="36"/>
    </row>
    <row r="3316" spans="7:11" ht="15.75" customHeight="1">
      <c r="G3316" s="36"/>
      <c r="H3316" s="36"/>
      <c r="I3316" s="36"/>
      <c r="J3316" s="36"/>
      <c r="K3316" s="36"/>
    </row>
    <row r="3317" spans="7:11" ht="15.75" customHeight="1">
      <c r="G3317" s="36"/>
      <c r="H3317" s="36"/>
      <c r="I3317" s="36"/>
      <c r="J3317" s="36"/>
      <c r="K3317" s="36"/>
    </row>
    <row r="3318" spans="7:11" ht="15.75" customHeight="1">
      <c r="G3318" s="36"/>
      <c r="H3318" s="36"/>
      <c r="I3318" s="36"/>
      <c r="J3318" s="36"/>
      <c r="K3318" s="36"/>
    </row>
    <row r="3319" spans="7:11" ht="15.75" customHeight="1">
      <c r="G3319" s="36"/>
      <c r="H3319" s="36"/>
      <c r="I3319" s="36"/>
      <c r="J3319" s="36"/>
      <c r="K3319" s="36"/>
    </row>
    <row r="3320" spans="7:11" ht="15.75" customHeight="1">
      <c r="G3320" s="36"/>
      <c r="H3320" s="36"/>
      <c r="I3320" s="36"/>
      <c r="J3320" s="36"/>
      <c r="K3320" s="36"/>
    </row>
    <row r="3321" spans="7:11" ht="15.75" customHeight="1">
      <c r="G3321" s="36"/>
      <c r="H3321" s="36"/>
      <c r="I3321" s="36"/>
      <c r="J3321" s="36"/>
      <c r="K3321" s="36"/>
    </row>
    <row r="3322" spans="7:11" ht="15.75" customHeight="1">
      <c r="G3322" s="36"/>
      <c r="H3322" s="36"/>
      <c r="I3322" s="36"/>
      <c r="J3322" s="36"/>
      <c r="K3322" s="36"/>
    </row>
    <row r="3323" spans="7:11" ht="15.75" customHeight="1">
      <c r="G3323" s="36"/>
      <c r="H3323" s="36"/>
      <c r="I3323" s="36"/>
      <c r="J3323" s="36"/>
      <c r="K3323" s="36"/>
    </row>
    <row r="3324" spans="7:11" ht="15.75" customHeight="1">
      <c r="G3324" s="36"/>
      <c r="H3324" s="36"/>
      <c r="I3324" s="36"/>
      <c r="J3324" s="36"/>
      <c r="K3324" s="36"/>
    </row>
    <row r="3325" spans="7:11" ht="15.75" customHeight="1">
      <c r="G3325" s="36"/>
      <c r="H3325" s="36"/>
      <c r="I3325" s="36"/>
      <c r="J3325" s="36"/>
      <c r="K3325" s="36"/>
    </row>
    <row r="3326" spans="7:11" ht="15.75" customHeight="1">
      <c r="G3326" s="36"/>
      <c r="H3326" s="36"/>
      <c r="I3326" s="36"/>
      <c r="J3326" s="36"/>
      <c r="K3326" s="36"/>
    </row>
    <row r="3327" spans="7:11" ht="15.75" customHeight="1">
      <c r="G3327" s="36"/>
      <c r="H3327" s="36"/>
      <c r="I3327" s="36"/>
      <c r="J3327" s="36"/>
      <c r="K3327" s="36"/>
    </row>
    <row r="3328" spans="7:11" ht="15.75" customHeight="1">
      <c r="G3328" s="36"/>
      <c r="H3328" s="36"/>
      <c r="I3328" s="36"/>
      <c r="J3328" s="36"/>
      <c r="K3328" s="36"/>
    </row>
    <row r="3329" spans="7:11" ht="15.75" customHeight="1">
      <c r="G3329" s="36"/>
      <c r="H3329" s="36"/>
      <c r="I3329" s="36"/>
      <c r="J3329" s="36"/>
      <c r="K3329" s="36"/>
    </row>
    <row r="3330" spans="7:11" ht="15.75" customHeight="1">
      <c r="G3330" s="36"/>
      <c r="H3330" s="36"/>
      <c r="I3330" s="36"/>
      <c r="J3330" s="36"/>
      <c r="K3330" s="36"/>
    </row>
    <row r="3331" spans="7:11" ht="15.75" customHeight="1">
      <c r="G3331" s="36"/>
      <c r="H3331" s="36"/>
      <c r="I3331" s="36"/>
      <c r="J3331" s="36"/>
      <c r="K3331" s="36"/>
    </row>
    <row r="3332" spans="7:11" ht="15.75" customHeight="1">
      <c r="G3332" s="36"/>
      <c r="H3332" s="36"/>
      <c r="I3332" s="36"/>
      <c r="J3332" s="36"/>
      <c r="K3332" s="36"/>
    </row>
    <row r="3333" spans="7:11" ht="15.75" customHeight="1">
      <c r="G3333" s="36"/>
      <c r="H3333" s="36"/>
      <c r="I3333" s="36"/>
      <c r="J3333" s="36"/>
      <c r="K3333" s="36"/>
    </row>
    <row r="3334" spans="7:11" ht="15.75" customHeight="1">
      <c r="G3334" s="36"/>
      <c r="H3334" s="36"/>
      <c r="I3334" s="36"/>
      <c r="J3334" s="36"/>
      <c r="K3334" s="36"/>
    </row>
    <row r="3335" spans="7:11" ht="15.75" customHeight="1">
      <c r="G3335" s="36"/>
      <c r="H3335" s="36"/>
      <c r="I3335" s="36"/>
      <c r="J3335" s="36"/>
      <c r="K3335" s="36"/>
    </row>
    <row r="3336" spans="7:11" ht="15.75" customHeight="1">
      <c r="G3336" s="36"/>
      <c r="H3336" s="36"/>
      <c r="I3336" s="36"/>
      <c r="J3336" s="36"/>
      <c r="K3336" s="36"/>
    </row>
    <row r="3337" spans="7:11" ht="15.75" customHeight="1">
      <c r="G3337" s="36"/>
      <c r="H3337" s="36"/>
      <c r="I3337" s="36"/>
      <c r="J3337" s="36"/>
      <c r="K3337" s="36"/>
    </row>
    <row r="3338" spans="7:11" ht="15.75" customHeight="1">
      <c r="G3338" s="36"/>
      <c r="H3338" s="36"/>
      <c r="I3338" s="36"/>
      <c r="J3338" s="36"/>
      <c r="K3338" s="36"/>
    </row>
    <row r="3339" spans="7:11" ht="15.75" customHeight="1">
      <c r="G3339" s="36"/>
      <c r="H3339" s="36"/>
      <c r="I3339" s="36"/>
      <c r="J3339" s="36"/>
      <c r="K3339" s="36"/>
    </row>
    <row r="3340" spans="7:11" ht="15.75" customHeight="1">
      <c r="G3340" s="36"/>
      <c r="H3340" s="36"/>
      <c r="I3340" s="36"/>
      <c r="J3340" s="36"/>
      <c r="K3340" s="36"/>
    </row>
    <row r="3341" spans="7:11" ht="15.75" customHeight="1">
      <c r="G3341" s="36"/>
      <c r="H3341" s="36"/>
      <c r="I3341" s="36"/>
      <c r="J3341" s="36"/>
      <c r="K3341" s="36"/>
    </row>
    <row r="3342" spans="7:11" ht="15.75" customHeight="1">
      <c r="G3342" s="36"/>
      <c r="H3342" s="36"/>
      <c r="I3342" s="36"/>
      <c r="J3342" s="36"/>
      <c r="K3342" s="36"/>
    </row>
    <row r="3343" spans="7:11" ht="15.75" customHeight="1">
      <c r="G3343" s="36"/>
      <c r="H3343" s="36"/>
      <c r="I3343" s="36"/>
      <c r="J3343" s="36"/>
      <c r="K3343" s="36"/>
    </row>
    <row r="3344" spans="7:11" ht="15.75" customHeight="1">
      <c r="G3344" s="36"/>
      <c r="H3344" s="36"/>
      <c r="I3344" s="36"/>
      <c r="J3344" s="36"/>
      <c r="K3344" s="36"/>
    </row>
    <row r="3345" spans="7:11" ht="15.75" customHeight="1">
      <c r="G3345" s="36"/>
      <c r="H3345" s="36"/>
      <c r="I3345" s="36"/>
      <c r="J3345" s="36"/>
      <c r="K3345" s="36"/>
    </row>
    <row r="3346" spans="7:11" ht="15.75" customHeight="1">
      <c r="G3346" s="36"/>
      <c r="H3346" s="36"/>
      <c r="I3346" s="36"/>
      <c r="J3346" s="36"/>
      <c r="K3346" s="36"/>
    </row>
    <row r="3347" spans="7:11" ht="15.75" customHeight="1">
      <c r="G3347" s="36"/>
      <c r="H3347" s="36"/>
      <c r="I3347" s="36"/>
      <c r="J3347" s="36"/>
      <c r="K3347" s="36"/>
    </row>
    <row r="3348" spans="7:11" ht="15.75" customHeight="1">
      <c r="G3348" s="36"/>
      <c r="H3348" s="36"/>
      <c r="I3348" s="36"/>
      <c r="J3348" s="36"/>
      <c r="K3348" s="36"/>
    </row>
    <row r="3349" spans="7:11" ht="15.75" customHeight="1">
      <c r="G3349" s="36"/>
      <c r="H3349" s="36"/>
      <c r="I3349" s="36"/>
      <c r="J3349" s="36"/>
      <c r="K3349" s="36"/>
    </row>
    <row r="3350" spans="7:11" ht="15.75" customHeight="1">
      <c r="G3350" s="36"/>
      <c r="H3350" s="36"/>
      <c r="I3350" s="36"/>
      <c r="J3350" s="36"/>
      <c r="K3350" s="36"/>
    </row>
    <row r="3351" spans="7:11" ht="15.75" customHeight="1">
      <c r="G3351" s="36"/>
      <c r="H3351" s="36"/>
      <c r="I3351" s="36"/>
      <c r="J3351" s="36"/>
      <c r="K3351" s="36"/>
    </row>
    <row r="3352" spans="7:11" ht="15.75" customHeight="1">
      <c r="G3352" s="36"/>
      <c r="H3352" s="36"/>
      <c r="I3352" s="36"/>
      <c r="J3352" s="36"/>
      <c r="K3352" s="36"/>
    </row>
    <row r="3353" spans="7:11" ht="15.75" customHeight="1">
      <c r="G3353" s="36"/>
      <c r="H3353" s="36"/>
      <c r="I3353" s="36"/>
      <c r="J3353" s="36"/>
      <c r="K3353" s="36"/>
    </row>
    <row r="3354" spans="7:11" ht="15.75" customHeight="1">
      <c r="G3354" s="36"/>
      <c r="H3354" s="36"/>
      <c r="I3354" s="36"/>
      <c r="J3354" s="36"/>
      <c r="K3354" s="36"/>
    </row>
    <row r="3355" spans="7:11" ht="15.75" customHeight="1">
      <c r="G3355" s="36"/>
      <c r="H3355" s="36"/>
      <c r="I3355" s="36"/>
      <c r="J3355" s="36"/>
      <c r="K3355" s="36"/>
    </row>
    <row r="3356" spans="7:11" ht="15.75" customHeight="1">
      <c r="G3356" s="36"/>
      <c r="H3356" s="36"/>
      <c r="I3356" s="36"/>
      <c r="J3356" s="36"/>
      <c r="K3356" s="36"/>
    </row>
    <row r="3357" spans="7:11" ht="15.75" customHeight="1">
      <c r="G3357" s="36"/>
      <c r="H3357" s="36"/>
      <c r="I3357" s="36"/>
      <c r="J3357" s="36"/>
      <c r="K3357" s="36"/>
    </row>
    <row r="3358" spans="7:11" ht="15.75" customHeight="1">
      <c r="G3358" s="36"/>
      <c r="H3358" s="36"/>
      <c r="I3358" s="36"/>
      <c r="J3358" s="36"/>
      <c r="K3358" s="36"/>
    </row>
    <row r="3359" spans="7:11" ht="15.75" customHeight="1">
      <c r="G3359" s="36"/>
      <c r="H3359" s="36"/>
      <c r="I3359" s="36"/>
      <c r="J3359" s="36"/>
      <c r="K3359" s="36"/>
    </row>
    <row r="3360" spans="7:11" ht="15.75" customHeight="1">
      <c r="G3360" s="36"/>
      <c r="H3360" s="36"/>
      <c r="I3360" s="36"/>
      <c r="J3360" s="36"/>
      <c r="K3360" s="36"/>
    </row>
    <row r="3361" spans="7:11" ht="15.75" customHeight="1">
      <c r="G3361" s="36"/>
      <c r="H3361" s="36"/>
      <c r="I3361" s="36"/>
      <c r="J3361" s="36"/>
      <c r="K3361" s="36"/>
    </row>
    <row r="3362" spans="7:11" ht="15.75" customHeight="1">
      <c r="G3362" s="36"/>
      <c r="H3362" s="36"/>
      <c r="I3362" s="36"/>
      <c r="J3362" s="36"/>
      <c r="K3362" s="36"/>
    </row>
    <row r="3363" spans="7:11" ht="15.75" customHeight="1">
      <c r="G3363" s="36"/>
      <c r="H3363" s="36"/>
      <c r="I3363" s="36"/>
      <c r="J3363" s="36"/>
      <c r="K3363" s="36"/>
    </row>
    <row r="3364" spans="7:11" ht="15.75" customHeight="1">
      <c r="G3364" s="36"/>
      <c r="H3364" s="36"/>
      <c r="I3364" s="36"/>
      <c r="J3364" s="36"/>
      <c r="K3364" s="36"/>
    </row>
    <row r="3365" spans="7:11" ht="15.75" customHeight="1">
      <c r="G3365" s="36"/>
      <c r="H3365" s="36"/>
      <c r="I3365" s="36"/>
      <c r="J3365" s="36"/>
      <c r="K3365" s="36"/>
    </row>
    <row r="3366" spans="7:11" ht="15.75" customHeight="1">
      <c r="G3366" s="36"/>
      <c r="H3366" s="36"/>
      <c r="I3366" s="36"/>
      <c r="J3366" s="36"/>
      <c r="K3366" s="36"/>
    </row>
    <row r="3367" spans="7:11" ht="15.75" customHeight="1">
      <c r="G3367" s="36"/>
      <c r="H3367" s="36"/>
      <c r="I3367" s="36"/>
      <c r="J3367" s="36"/>
      <c r="K3367" s="36"/>
    </row>
    <row r="3368" spans="7:11" ht="15.75" customHeight="1">
      <c r="G3368" s="36"/>
      <c r="H3368" s="36"/>
      <c r="I3368" s="36"/>
      <c r="J3368" s="36"/>
      <c r="K3368" s="36"/>
    </row>
    <row r="3369" spans="7:11" ht="15.75" customHeight="1">
      <c r="G3369" s="36"/>
      <c r="H3369" s="36"/>
      <c r="I3369" s="36"/>
      <c r="J3369" s="36"/>
      <c r="K3369" s="36"/>
    </row>
    <row r="3370" spans="7:11" ht="15.75" customHeight="1">
      <c r="G3370" s="36"/>
      <c r="H3370" s="36"/>
      <c r="I3370" s="36"/>
      <c r="J3370" s="36"/>
      <c r="K3370" s="36"/>
    </row>
    <row r="3371" spans="7:11" ht="15.75" customHeight="1">
      <c r="G3371" s="36"/>
      <c r="H3371" s="36"/>
      <c r="I3371" s="36"/>
      <c r="J3371" s="36"/>
      <c r="K3371" s="36"/>
    </row>
    <row r="3372" spans="7:11" ht="15.75" customHeight="1">
      <c r="G3372" s="36"/>
      <c r="H3372" s="36"/>
      <c r="I3372" s="36"/>
      <c r="J3372" s="36"/>
      <c r="K3372" s="36"/>
    </row>
    <row r="3373" spans="7:11" ht="15.75" customHeight="1">
      <c r="G3373" s="36"/>
      <c r="H3373" s="36"/>
      <c r="I3373" s="36"/>
      <c r="J3373" s="36"/>
      <c r="K3373" s="36"/>
    </row>
    <row r="3374" spans="7:11" ht="15.75" customHeight="1">
      <c r="G3374" s="36"/>
      <c r="H3374" s="36"/>
      <c r="I3374" s="36"/>
      <c r="J3374" s="36"/>
      <c r="K3374" s="36"/>
    </row>
    <row r="3375" spans="7:11" ht="15.75" customHeight="1">
      <c r="G3375" s="36"/>
      <c r="H3375" s="36"/>
      <c r="I3375" s="36"/>
      <c r="J3375" s="36"/>
      <c r="K3375" s="36"/>
    </row>
    <row r="3376" spans="7:11" ht="15.75" customHeight="1">
      <c r="G3376" s="36"/>
      <c r="H3376" s="36"/>
      <c r="I3376" s="36"/>
      <c r="J3376" s="36"/>
      <c r="K3376" s="36"/>
    </row>
    <row r="3377" spans="7:11" ht="15.75" customHeight="1">
      <c r="G3377" s="36"/>
      <c r="H3377" s="36"/>
      <c r="I3377" s="36"/>
      <c r="J3377" s="36"/>
      <c r="K3377" s="36"/>
    </row>
    <row r="3378" spans="7:11" ht="15.75" customHeight="1">
      <c r="G3378" s="36"/>
      <c r="H3378" s="36"/>
      <c r="I3378" s="36"/>
      <c r="J3378" s="36"/>
      <c r="K3378" s="36"/>
    </row>
    <row r="3379" spans="7:11" ht="15.75" customHeight="1">
      <c r="G3379" s="36"/>
      <c r="H3379" s="36"/>
      <c r="I3379" s="36"/>
      <c r="J3379" s="36"/>
      <c r="K3379" s="36"/>
    </row>
    <row r="3380" spans="7:11" ht="15.75" customHeight="1">
      <c r="G3380" s="36"/>
      <c r="H3380" s="36"/>
      <c r="I3380" s="36"/>
      <c r="J3380" s="36"/>
      <c r="K3380" s="36"/>
    </row>
    <row r="3381" spans="7:11" ht="15.75" customHeight="1">
      <c r="G3381" s="36"/>
      <c r="H3381" s="36"/>
      <c r="I3381" s="36"/>
      <c r="J3381" s="36"/>
      <c r="K3381" s="36"/>
    </row>
    <row r="3382" spans="7:11" ht="15.75" customHeight="1">
      <c r="G3382" s="36"/>
      <c r="H3382" s="36"/>
      <c r="I3382" s="36"/>
      <c r="J3382" s="36"/>
      <c r="K3382" s="36"/>
    </row>
    <row r="3383" spans="7:11" ht="15.75" customHeight="1">
      <c r="G3383" s="36"/>
      <c r="H3383" s="36"/>
      <c r="I3383" s="36"/>
      <c r="J3383" s="36"/>
      <c r="K3383" s="36"/>
    </row>
    <row r="3384" spans="7:11" ht="15.75" customHeight="1">
      <c r="G3384" s="36"/>
      <c r="H3384" s="36"/>
      <c r="I3384" s="36"/>
      <c r="J3384" s="36"/>
      <c r="K3384" s="36"/>
    </row>
    <row r="3385" spans="7:11" ht="15.75" customHeight="1">
      <c r="G3385" s="36"/>
      <c r="H3385" s="36"/>
      <c r="I3385" s="36"/>
      <c r="J3385" s="36"/>
      <c r="K3385" s="36"/>
    </row>
    <row r="3386" spans="7:11" ht="15.75" customHeight="1">
      <c r="G3386" s="36"/>
      <c r="H3386" s="36"/>
      <c r="I3386" s="36"/>
      <c r="J3386" s="36"/>
      <c r="K3386" s="36"/>
    </row>
    <row r="3387" spans="7:11" ht="15.75" customHeight="1">
      <c r="G3387" s="36"/>
      <c r="H3387" s="36"/>
      <c r="I3387" s="36"/>
      <c r="J3387" s="36"/>
      <c r="K3387" s="36"/>
    </row>
    <row r="3388" spans="7:11" ht="15.75" customHeight="1">
      <c r="G3388" s="36"/>
      <c r="H3388" s="36"/>
      <c r="I3388" s="36"/>
      <c r="J3388" s="36"/>
      <c r="K3388" s="36"/>
    </row>
    <row r="3389" spans="7:11" ht="15.75" customHeight="1">
      <c r="G3389" s="36"/>
      <c r="H3389" s="36"/>
      <c r="I3389" s="36"/>
      <c r="J3389" s="36"/>
      <c r="K3389" s="36"/>
    </row>
    <row r="3390" spans="7:11" ht="15.75" customHeight="1">
      <c r="G3390" s="36"/>
      <c r="H3390" s="36"/>
      <c r="I3390" s="36"/>
      <c r="J3390" s="36"/>
      <c r="K3390" s="36"/>
    </row>
    <row r="3391" spans="7:11" ht="15.75" customHeight="1">
      <c r="G3391" s="36"/>
      <c r="H3391" s="36"/>
      <c r="I3391" s="36"/>
      <c r="J3391" s="36"/>
      <c r="K3391" s="36"/>
    </row>
    <row r="3392" spans="7:11" ht="15.75" customHeight="1">
      <c r="G3392" s="36"/>
      <c r="H3392" s="36"/>
      <c r="I3392" s="36"/>
      <c r="J3392" s="36"/>
      <c r="K3392" s="36"/>
    </row>
    <row r="3393" spans="7:11" ht="15.75" customHeight="1">
      <c r="G3393" s="36"/>
      <c r="H3393" s="36"/>
      <c r="I3393" s="36"/>
      <c r="J3393" s="36"/>
      <c r="K3393" s="36"/>
    </row>
    <row r="3394" spans="7:11" ht="15.75" customHeight="1">
      <c r="G3394" s="36"/>
      <c r="H3394" s="36"/>
      <c r="I3394" s="36"/>
      <c r="J3394" s="36"/>
      <c r="K3394" s="36"/>
    </row>
    <row r="3395" spans="7:11" ht="15.75" customHeight="1">
      <c r="G3395" s="36"/>
      <c r="H3395" s="36"/>
      <c r="I3395" s="36"/>
      <c r="J3395" s="36"/>
      <c r="K3395" s="36"/>
    </row>
    <row r="3396" spans="7:11" ht="15.75" customHeight="1">
      <c r="G3396" s="36"/>
      <c r="H3396" s="36"/>
      <c r="I3396" s="36"/>
      <c r="J3396" s="36"/>
      <c r="K3396" s="36"/>
    </row>
    <row r="3397" spans="7:11" ht="15.75" customHeight="1">
      <c r="G3397" s="36"/>
      <c r="H3397" s="36"/>
      <c r="I3397" s="36"/>
      <c r="J3397" s="36"/>
      <c r="K3397" s="36"/>
    </row>
    <row r="3398" spans="7:11" ht="15.75" customHeight="1">
      <c r="G3398" s="36"/>
      <c r="H3398" s="36"/>
      <c r="I3398" s="36"/>
      <c r="J3398" s="36"/>
      <c r="K3398" s="36"/>
    </row>
    <row r="3399" spans="7:11" ht="15.75" customHeight="1">
      <c r="G3399" s="36"/>
      <c r="H3399" s="36"/>
      <c r="I3399" s="36"/>
      <c r="J3399" s="36"/>
      <c r="K3399" s="36"/>
    </row>
    <row r="3400" spans="7:11" ht="15.75" customHeight="1">
      <c r="G3400" s="36"/>
      <c r="H3400" s="36"/>
      <c r="I3400" s="36"/>
      <c r="J3400" s="36"/>
      <c r="K3400" s="36"/>
    </row>
    <row r="3401" spans="7:11" ht="15.75" customHeight="1">
      <c r="G3401" s="36"/>
      <c r="H3401" s="36"/>
      <c r="I3401" s="36"/>
      <c r="J3401" s="36"/>
      <c r="K3401" s="36"/>
    </row>
    <row r="3402" spans="7:11" ht="15.75" customHeight="1">
      <c r="G3402" s="36"/>
      <c r="H3402" s="36"/>
      <c r="I3402" s="36"/>
      <c r="J3402" s="36"/>
      <c r="K3402" s="36"/>
    </row>
    <row r="3403" spans="7:11" ht="15.75" customHeight="1">
      <c r="G3403" s="36"/>
      <c r="H3403" s="36"/>
      <c r="I3403" s="36"/>
      <c r="J3403" s="36"/>
      <c r="K3403" s="36"/>
    </row>
    <row r="3404" spans="7:11" ht="15.75" customHeight="1">
      <c r="G3404" s="36"/>
      <c r="H3404" s="36"/>
      <c r="I3404" s="36"/>
      <c r="J3404" s="36"/>
      <c r="K3404" s="36"/>
    </row>
    <row r="3405" spans="7:11" ht="15.75" customHeight="1">
      <c r="G3405" s="36"/>
      <c r="H3405" s="36"/>
      <c r="I3405" s="36"/>
      <c r="J3405" s="36"/>
      <c r="K3405" s="36"/>
    </row>
    <row r="3406" spans="7:11" ht="15.75" customHeight="1">
      <c r="G3406" s="36"/>
      <c r="H3406" s="36"/>
      <c r="I3406" s="36"/>
      <c r="J3406" s="36"/>
      <c r="K3406" s="36"/>
    </row>
    <row r="3407" spans="7:11" ht="15.75" customHeight="1">
      <c r="G3407" s="36"/>
      <c r="H3407" s="36"/>
      <c r="I3407" s="36"/>
      <c r="J3407" s="36"/>
      <c r="K3407" s="36"/>
    </row>
    <row r="3408" spans="7:11" ht="15.75" customHeight="1">
      <c r="G3408" s="36"/>
      <c r="H3408" s="36"/>
      <c r="I3408" s="36"/>
      <c r="J3408" s="36"/>
      <c r="K3408" s="36"/>
    </row>
    <row r="3409" spans="7:11" ht="15.75" customHeight="1">
      <c r="G3409" s="36"/>
      <c r="H3409" s="36"/>
      <c r="I3409" s="36"/>
      <c r="J3409" s="36"/>
      <c r="K3409" s="36"/>
    </row>
    <row r="3410" spans="7:11" ht="15.75" customHeight="1">
      <c r="G3410" s="36"/>
      <c r="H3410" s="36"/>
      <c r="I3410" s="36"/>
      <c r="J3410" s="36"/>
      <c r="K3410" s="36"/>
    </row>
    <row r="3411" spans="7:11" ht="15.75" customHeight="1">
      <c r="G3411" s="36"/>
      <c r="H3411" s="36"/>
      <c r="I3411" s="36"/>
      <c r="J3411" s="36"/>
      <c r="K3411" s="36"/>
    </row>
    <row r="3412" spans="7:11" ht="15.75" customHeight="1">
      <c r="G3412" s="36"/>
      <c r="H3412" s="36"/>
      <c r="I3412" s="36"/>
      <c r="J3412" s="36"/>
      <c r="K3412" s="36"/>
    </row>
    <row r="3413" spans="7:11" ht="15.75" customHeight="1">
      <c r="G3413" s="36"/>
      <c r="H3413" s="36"/>
      <c r="I3413" s="36"/>
      <c r="J3413" s="36"/>
      <c r="K3413" s="36"/>
    </row>
    <row r="3414" spans="7:11" ht="15.75" customHeight="1">
      <c r="G3414" s="36"/>
      <c r="H3414" s="36"/>
      <c r="I3414" s="36"/>
      <c r="J3414" s="36"/>
      <c r="K3414" s="36"/>
    </row>
    <row r="3415" spans="7:11" ht="15.75" customHeight="1">
      <c r="G3415" s="36"/>
      <c r="H3415" s="36"/>
      <c r="I3415" s="36"/>
      <c r="J3415" s="36"/>
      <c r="K3415" s="36"/>
    </row>
    <row r="3416" spans="7:11" ht="15.75" customHeight="1">
      <c r="G3416" s="36"/>
      <c r="H3416" s="36"/>
      <c r="I3416" s="36"/>
      <c r="J3416" s="36"/>
      <c r="K3416" s="36"/>
    </row>
    <row r="3417" spans="7:11" ht="15.75" customHeight="1">
      <c r="G3417" s="36"/>
      <c r="H3417" s="36"/>
      <c r="I3417" s="36"/>
      <c r="J3417" s="36"/>
      <c r="K3417" s="36"/>
    </row>
    <row r="3418" spans="7:11" ht="15.75" customHeight="1">
      <c r="G3418" s="36"/>
      <c r="H3418" s="36"/>
      <c r="I3418" s="36"/>
      <c r="J3418" s="36"/>
      <c r="K3418" s="36"/>
    </row>
    <row r="3419" spans="7:11" ht="15.75" customHeight="1">
      <c r="G3419" s="36"/>
      <c r="H3419" s="36"/>
      <c r="I3419" s="36"/>
      <c r="J3419" s="36"/>
      <c r="K3419" s="36"/>
    </row>
    <row r="3420" spans="7:11" ht="15.75" customHeight="1">
      <c r="G3420" s="36"/>
      <c r="H3420" s="36"/>
      <c r="I3420" s="36"/>
      <c r="J3420" s="36"/>
      <c r="K3420" s="36"/>
    </row>
    <row r="3421" spans="7:11" ht="15.75" customHeight="1">
      <c r="G3421" s="36"/>
      <c r="H3421" s="36"/>
      <c r="I3421" s="36"/>
      <c r="J3421" s="36"/>
      <c r="K3421" s="36"/>
    </row>
    <row r="3422" spans="7:11" ht="15.75" customHeight="1">
      <c r="G3422" s="36"/>
      <c r="H3422" s="36"/>
      <c r="I3422" s="36"/>
      <c r="J3422" s="36"/>
      <c r="K3422" s="36"/>
    </row>
    <row r="3423" spans="7:11" ht="15.75" customHeight="1">
      <c r="G3423" s="36"/>
      <c r="H3423" s="36"/>
      <c r="I3423" s="36"/>
      <c r="J3423" s="36"/>
      <c r="K3423" s="36"/>
    </row>
    <row r="3424" spans="7:11" ht="15.75" customHeight="1">
      <c r="G3424" s="36"/>
      <c r="H3424" s="36"/>
      <c r="I3424" s="36"/>
      <c r="J3424" s="36"/>
      <c r="K3424" s="36"/>
    </row>
    <row r="3425" spans="7:11" ht="15.75" customHeight="1">
      <c r="G3425" s="36"/>
      <c r="H3425" s="36"/>
      <c r="I3425" s="36"/>
      <c r="J3425" s="36"/>
      <c r="K3425" s="36"/>
    </row>
    <row r="3426" spans="7:11" ht="15.75" customHeight="1">
      <c r="G3426" s="36"/>
      <c r="H3426" s="36"/>
      <c r="I3426" s="36"/>
      <c r="J3426" s="36"/>
      <c r="K3426" s="36"/>
    </row>
    <row r="3427" spans="7:11" ht="15.75" customHeight="1">
      <c r="G3427" s="36"/>
      <c r="H3427" s="36"/>
      <c r="I3427" s="36"/>
      <c r="J3427" s="36"/>
      <c r="K3427" s="36"/>
    </row>
    <row r="3428" spans="7:11" ht="15.75" customHeight="1">
      <c r="G3428" s="36"/>
      <c r="H3428" s="36"/>
      <c r="I3428" s="36"/>
      <c r="J3428" s="36"/>
      <c r="K3428" s="36"/>
    </row>
    <row r="3429" spans="7:11" ht="15.75" customHeight="1">
      <c r="G3429" s="36"/>
      <c r="H3429" s="36"/>
      <c r="I3429" s="36"/>
      <c r="J3429" s="36"/>
      <c r="K3429" s="36"/>
    </row>
    <row r="3430" spans="7:11" ht="15.75" customHeight="1">
      <c r="G3430" s="36"/>
      <c r="H3430" s="36"/>
      <c r="I3430" s="36"/>
      <c r="J3430" s="36"/>
      <c r="K3430" s="36"/>
    </row>
    <row r="3431" spans="7:11" ht="15.75" customHeight="1">
      <c r="G3431" s="36"/>
      <c r="H3431" s="36"/>
      <c r="I3431" s="36"/>
      <c r="J3431" s="36"/>
      <c r="K3431" s="36"/>
    </row>
    <row r="3432" spans="7:11" ht="15.75" customHeight="1">
      <c r="G3432" s="36"/>
      <c r="H3432" s="36"/>
      <c r="I3432" s="36"/>
      <c r="J3432" s="36"/>
      <c r="K3432" s="36"/>
    </row>
    <row r="3433" spans="7:11" ht="15.75" customHeight="1">
      <c r="G3433" s="36"/>
      <c r="H3433" s="36"/>
      <c r="I3433" s="36"/>
      <c r="J3433" s="36"/>
      <c r="K3433" s="36"/>
    </row>
    <row r="3434" spans="7:11" ht="15.75" customHeight="1">
      <c r="G3434" s="36"/>
      <c r="H3434" s="36"/>
      <c r="I3434" s="36"/>
      <c r="J3434" s="36"/>
      <c r="K3434" s="36"/>
    </row>
    <row r="3435" spans="7:11" ht="15.75" customHeight="1">
      <c r="G3435" s="36"/>
      <c r="H3435" s="36"/>
      <c r="I3435" s="36"/>
      <c r="J3435" s="36"/>
      <c r="K3435" s="36"/>
    </row>
    <row r="3436" spans="7:11" ht="15.75" customHeight="1">
      <c r="G3436" s="36"/>
      <c r="H3436" s="36"/>
      <c r="I3436" s="36"/>
      <c r="J3436" s="36"/>
      <c r="K3436" s="36"/>
    </row>
    <row r="3437" spans="7:11" ht="15.75" customHeight="1">
      <c r="G3437" s="36"/>
      <c r="H3437" s="36"/>
      <c r="I3437" s="36"/>
      <c r="J3437" s="36"/>
      <c r="K3437" s="36"/>
    </row>
    <row r="3438" spans="7:11" ht="15.75" customHeight="1">
      <c r="G3438" s="36"/>
      <c r="H3438" s="36"/>
      <c r="I3438" s="36"/>
      <c r="J3438" s="36"/>
      <c r="K3438" s="36"/>
    </row>
    <row r="3439" spans="7:11" ht="15.75" customHeight="1">
      <c r="G3439" s="36"/>
      <c r="H3439" s="36"/>
      <c r="I3439" s="36"/>
      <c r="J3439" s="36"/>
      <c r="K3439" s="36"/>
    </row>
    <row r="3440" spans="7:11" ht="15.75" customHeight="1">
      <c r="G3440" s="36"/>
      <c r="H3440" s="36"/>
      <c r="I3440" s="36"/>
      <c r="J3440" s="36"/>
      <c r="K3440" s="36"/>
    </row>
    <row r="3441" spans="7:11" ht="15.75" customHeight="1">
      <c r="G3441" s="36"/>
      <c r="H3441" s="36"/>
      <c r="I3441" s="36"/>
      <c r="J3441" s="36"/>
      <c r="K3441" s="36"/>
    </row>
    <row r="3442" spans="7:11" ht="15.75" customHeight="1">
      <c r="G3442" s="36"/>
      <c r="H3442" s="36"/>
      <c r="I3442" s="36"/>
      <c r="J3442" s="36"/>
      <c r="K3442" s="36"/>
    </row>
    <row r="3443" spans="7:11" ht="15.75" customHeight="1">
      <c r="G3443" s="36"/>
      <c r="H3443" s="36"/>
      <c r="I3443" s="36"/>
      <c r="J3443" s="36"/>
      <c r="K3443" s="36"/>
    </row>
    <row r="3444" spans="7:11" ht="15.75" customHeight="1">
      <c r="G3444" s="36"/>
      <c r="H3444" s="36"/>
      <c r="I3444" s="36"/>
      <c r="J3444" s="36"/>
      <c r="K3444" s="36"/>
    </row>
    <row r="3445" spans="7:11" ht="15.75" customHeight="1">
      <c r="G3445" s="36"/>
      <c r="H3445" s="36"/>
      <c r="I3445" s="36"/>
      <c r="J3445" s="36"/>
      <c r="K3445" s="36"/>
    </row>
    <row r="3446" spans="7:11" ht="15.75" customHeight="1">
      <c r="G3446" s="36"/>
      <c r="H3446" s="36"/>
      <c r="I3446" s="36"/>
      <c r="J3446" s="36"/>
      <c r="K3446" s="36"/>
    </row>
    <row r="3447" spans="7:11" ht="15.75" customHeight="1">
      <c r="G3447" s="36"/>
      <c r="H3447" s="36"/>
      <c r="I3447" s="36"/>
      <c r="J3447" s="36"/>
      <c r="K3447" s="36"/>
    </row>
    <row r="3448" spans="7:11" ht="15.75" customHeight="1">
      <c r="G3448" s="36"/>
      <c r="H3448" s="36"/>
      <c r="I3448" s="36"/>
      <c r="J3448" s="36"/>
      <c r="K3448" s="36"/>
    </row>
    <row r="3449" spans="7:11" ht="15.75" customHeight="1">
      <c r="G3449" s="36"/>
      <c r="H3449" s="36"/>
      <c r="I3449" s="36"/>
      <c r="J3449" s="36"/>
      <c r="K3449" s="36"/>
    </row>
    <row r="3450" spans="7:11" ht="15.75" customHeight="1">
      <c r="G3450" s="36"/>
      <c r="H3450" s="36"/>
      <c r="I3450" s="36"/>
      <c r="J3450" s="36"/>
      <c r="K3450" s="36"/>
    </row>
    <row r="3451" spans="7:11" ht="15.75" customHeight="1">
      <c r="G3451" s="36"/>
      <c r="H3451" s="36"/>
      <c r="I3451" s="36"/>
      <c r="J3451" s="36"/>
      <c r="K3451" s="36"/>
    </row>
    <row r="3452" spans="7:11" ht="15.75" customHeight="1">
      <c r="G3452" s="36"/>
      <c r="H3452" s="36"/>
      <c r="I3452" s="36"/>
      <c r="J3452" s="36"/>
      <c r="K3452" s="36"/>
    </row>
    <row r="3453" spans="7:11" ht="15.75" customHeight="1">
      <c r="G3453" s="36"/>
      <c r="H3453" s="36"/>
      <c r="I3453" s="36"/>
      <c r="J3453" s="36"/>
      <c r="K3453" s="36"/>
    </row>
    <row r="3454" spans="7:11" ht="15.75" customHeight="1">
      <c r="G3454" s="36"/>
      <c r="H3454" s="36"/>
      <c r="I3454" s="36"/>
      <c r="J3454" s="36"/>
      <c r="K3454" s="36"/>
    </row>
    <row r="3455" spans="7:11" ht="15.75" customHeight="1">
      <c r="G3455" s="36"/>
      <c r="H3455" s="36"/>
      <c r="I3455" s="36"/>
      <c r="J3455" s="36"/>
      <c r="K3455" s="36"/>
    </row>
    <row r="3456" spans="7:11" ht="15.75" customHeight="1">
      <c r="G3456" s="36"/>
      <c r="H3456" s="36"/>
      <c r="I3456" s="36"/>
      <c r="J3456" s="36"/>
      <c r="K3456" s="36"/>
    </row>
    <row r="3457" spans="7:11" ht="15.75" customHeight="1">
      <c r="G3457" s="36"/>
      <c r="H3457" s="36"/>
      <c r="I3457" s="36"/>
      <c r="J3457" s="36"/>
      <c r="K3457" s="36"/>
    </row>
    <row r="3458" spans="7:11" ht="15.75" customHeight="1">
      <c r="G3458" s="36"/>
      <c r="H3458" s="36"/>
      <c r="I3458" s="36"/>
      <c r="J3458" s="36"/>
      <c r="K3458" s="36"/>
    </row>
    <row r="3459" spans="7:11" ht="15.75" customHeight="1">
      <c r="G3459" s="36"/>
      <c r="H3459" s="36"/>
      <c r="I3459" s="36"/>
      <c r="J3459" s="36"/>
      <c r="K3459" s="36"/>
    </row>
    <row r="3460" spans="7:11" ht="15.75" customHeight="1">
      <c r="G3460" s="36"/>
      <c r="H3460" s="36"/>
      <c r="I3460" s="36"/>
      <c r="J3460" s="36"/>
      <c r="K3460" s="36"/>
    </row>
    <row r="3461" spans="7:11" ht="15.75" customHeight="1">
      <c r="G3461" s="36"/>
      <c r="H3461" s="36"/>
      <c r="I3461" s="36"/>
      <c r="J3461" s="36"/>
      <c r="K3461" s="36"/>
    </row>
    <row r="3462" spans="7:11" ht="15.75" customHeight="1">
      <c r="G3462" s="36"/>
      <c r="H3462" s="36"/>
      <c r="I3462" s="36"/>
      <c r="J3462" s="36"/>
      <c r="K3462" s="36"/>
    </row>
    <row r="3463" spans="7:11" ht="15.75" customHeight="1">
      <c r="G3463" s="36"/>
      <c r="H3463" s="36"/>
      <c r="I3463" s="36"/>
      <c r="J3463" s="36"/>
      <c r="K3463" s="36"/>
    </row>
    <row r="3464" spans="7:11" ht="15.75" customHeight="1">
      <c r="G3464" s="36"/>
      <c r="H3464" s="36"/>
      <c r="I3464" s="36"/>
      <c r="J3464" s="36"/>
      <c r="K3464" s="36"/>
    </row>
    <row r="3465" spans="7:11" ht="15.75" customHeight="1">
      <c r="G3465" s="36"/>
      <c r="H3465" s="36"/>
      <c r="I3465" s="36"/>
      <c r="J3465" s="36"/>
      <c r="K3465" s="36"/>
    </row>
    <row r="3466" spans="7:11" ht="15.75" customHeight="1">
      <c r="G3466" s="36"/>
      <c r="H3466" s="36"/>
      <c r="I3466" s="36"/>
      <c r="J3466" s="36"/>
      <c r="K3466" s="36"/>
    </row>
    <row r="3467" spans="7:11" ht="15.75" customHeight="1">
      <c r="G3467" s="36"/>
      <c r="H3467" s="36"/>
      <c r="I3467" s="36"/>
      <c r="J3467" s="36"/>
      <c r="K3467" s="36"/>
    </row>
    <row r="3468" spans="7:11" ht="15.75" customHeight="1">
      <c r="G3468" s="36"/>
      <c r="H3468" s="36"/>
      <c r="I3468" s="36"/>
      <c r="J3468" s="36"/>
      <c r="K3468" s="36"/>
    </row>
    <row r="3469" spans="7:11" ht="15.75" customHeight="1">
      <c r="G3469" s="36"/>
      <c r="H3469" s="36"/>
      <c r="I3469" s="36"/>
      <c r="J3469" s="36"/>
      <c r="K3469" s="36"/>
    </row>
    <row r="3470" spans="7:11" ht="15.75" customHeight="1">
      <c r="G3470" s="36"/>
      <c r="H3470" s="36"/>
      <c r="I3470" s="36"/>
      <c r="J3470" s="36"/>
      <c r="K3470" s="36"/>
    </row>
    <row r="3471" spans="7:11" ht="15.75" customHeight="1">
      <c r="G3471" s="36"/>
      <c r="H3471" s="36"/>
      <c r="I3471" s="36"/>
      <c r="J3471" s="36"/>
      <c r="K3471" s="36"/>
    </row>
    <row r="3472" spans="7:11" ht="15.75" customHeight="1">
      <c r="G3472" s="36"/>
      <c r="H3472" s="36"/>
      <c r="I3472" s="36"/>
      <c r="J3472" s="36"/>
      <c r="K3472" s="36"/>
    </row>
    <row r="3473" spans="7:11" ht="15.75" customHeight="1">
      <c r="G3473" s="36"/>
      <c r="H3473" s="36"/>
      <c r="I3473" s="36"/>
      <c r="J3473" s="36"/>
      <c r="K3473" s="36"/>
    </row>
    <row r="3474" spans="7:11" ht="15.75" customHeight="1">
      <c r="G3474" s="36"/>
      <c r="H3474" s="36"/>
      <c r="I3474" s="36"/>
      <c r="J3474" s="36"/>
      <c r="K3474" s="36"/>
    </row>
    <row r="3475" spans="7:11" ht="15.75" customHeight="1">
      <c r="G3475" s="36"/>
      <c r="H3475" s="36"/>
      <c r="I3475" s="36"/>
      <c r="J3475" s="36"/>
      <c r="K3475" s="36"/>
    </row>
    <row r="3476" spans="7:11" ht="15.75" customHeight="1">
      <c r="G3476" s="36"/>
      <c r="H3476" s="36"/>
      <c r="I3476" s="36"/>
      <c r="J3476" s="36"/>
      <c r="K3476" s="36"/>
    </row>
    <row r="3477" spans="7:11" ht="15.75" customHeight="1">
      <c r="G3477" s="36"/>
      <c r="H3477" s="36"/>
      <c r="I3477" s="36"/>
      <c r="J3477" s="36"/>
      <c r="K3477" s="36"/>
    </row>
    <row r="3478" spans="7:11" ht="15.75" customHeight="1">
      <c r="G3478" s="36"/>
      <c r="H3478" s="36"/>
      <c r="I3478" s="36"/>
      <c r="J3478" s="36"/>
      <c r="K3478" s="36"/>
    </row>
    <row r="3479" spans="7:11" ht="15.75" customHeight="1">
      <c r="G3479" s="36"/>
      <c r="H3479" s="36"/>
      <c r="I3479" s="36"/>
      <c r="J3479" s="36"/>
      <c r="K3479" s="36"/>
    </row>
    <row r="3480" spans="7:11" ht="15.75" customHeight="1">
      <c r="G3480" s="36"/>
      <c r="H3480" s="36"/>
      <c r="I3480" s="36"/>
      <c r="J3480" s="36"/>
      <c r="K3480" s="36"/>
    </row>
    <row r="3481" spans="7:11" ht="15.75" customHeight="1">
      <c r="G3481" s="36"/>
      <c r="H3481" s="36"/>
      <c r="I3481" s="36"/>
      <c r="J3481" s="36"/>
      <c r="K3481" s="36"/>
    </row>
    <row r="3482" spans="7:11" ht="15.75" customHeight="1">
      <c r="G3482" s="36"/>
      <c r="H3482" s="36"/>
      <c r="I3482" s="36"/>
      <c r="J3482" s="36"/>
      <c r="K3482" s="36"/>
    </row>
    <row r="3483" spans="7:11" ht="15.75" customHeight="1">
      <c r="G3483" s="36"/>
      <c r="H3483" s="36"/>
      <c r="I3483" s="36"/>
      <c r="J3483" s="36"/>
      <c r="K3483" s="36"/>
    </row>
    <row r="3484" spans="7:11" ht="15.75" customHeight="1">
      <c r="G3484" s="36"/>
      <c r="H3484" s="36"/>
      <c r="I3484" s="36"/>
      <c r="J3484" s="36"/>
      <c r="K3484" s="36"/>
    </row>
    <row r="3485" spans="7:11" ht="15.75" customHeight="1">
      <c r="G3485" s="36"/>
      <c r="H3485" s="36"/>
      <c r="I3485" s="36"/>
      <c r="J3485" s="36"/>
      <c r="K3485" s="36"/>
    </row>
    <row r="3486" spans="7:11" ht="15.75" customHeight="1">
      <c r="G3486" s="36"/>
      <c r="H3486" s="36"/>
      <c r="I3486" s="36"/>
      <c r="J3486" s="36"/>
      <c r="K3486" s="36"/>
    </row>
    <row r="3487" spans="7:11" ht="15.75" customHeight="1">
      <c r="G3487" s="36"/>
      <c r="H3487" s="36"/>
      <c r="I3487" s="36"/>
      <c r="J3487" s="36"/>
      <c r="K3487" s="36"/>
    </row>
    <row r="3488" spans="7:11" ht="15.75" customHeight="1">
      <c r="G3488" s="36"/>
      <c r="H3488" s="36"/>
      <c r="I3488" s="36"/>
      <c r="J3488" s="36"/>
      <c r="K3488" s="36"/>
    </row>
    <row r="3489" spans="7:11" ht="15.75" customHeight="1">
      <c r="G3489" s="36"/>
      <c r="H3489" s="36"/>
      <c r="I3489" s="36"/>
      <c r="J3489" s="36"/>
      <c r="K3489" s="36"/>
    </row>
    <row r="3490" spans="7:11" ht="15.75" customHeight="1">
      <c r="G3490" s="36"/>
      <c r="H3490" s="36"/>
      <c r="I3490" s="36"/>
      <c r="J3490" s="36"/>
      <c r="K3490" s="36"/>
    </row>
    <row r="3491" spans="7:11" ht="15.75" customHeight="1">
      <c r="G3491" s="36"/>
      <c r="H3491" s="36"/>
      <c r="I3491" s="36"/>
      <c r="J3491" s="36"/>
      <c r="K3491" s="36"/>
    </row>
    <row r="3492" spans="7:11" ht="15.75" customHeight="1">
      <c r="G3492" s="36"/>
      <c r="H3492" s="36"/>
      <c r="I3492" s="36"/>
      <c r="J3492" s="36"/>
      <c r="K3492" s="36"/>
    </row>
    <row r="3493" spans="7:11" ht="15.75" customHeight="1">
      <c r="G3493" s="36"/>
      <c r="H3493" s="36"/>
      <c r="I3493" s="36"/>
      <c r="J3493" s="36"/>
      <c r="K3493" s="36"/>
    </row>
    <row r="3494" spans="7:11" ht="15.75" customHeight="1">
      <c r="G3494" s="36"/>
      <c r="H3494" s="36"/>
      <c r="I3494" s="36"/>
      <c r="J3494" s="36"/>
      <c r="K3494" s="36"/>
    </row>
    <row r="3495" spans="7:11" ht="15.75" customHeight="1">
      <c r="G3495" s="36"/>
      <c r="H3495" s="36"/>
      <c r="I3495" s="36"/>
      <c r="J3495" s="36"/>
      <c r="K3495" s="36"/>
    </row>
    <row r="3496" spans="7:11" ht="15.75" customHeight="1">
      <c r="G3496" s="36"/>
      <c r="H3496" s="36"/>
      <c r="I3496" s="36"/>
      <c r="J3496" s="36"/>
      <c r="K3496" s="36"/>
    </row>
    <row r="3497" spans="7:11" ht="15.75" customHeight="1">
      <c r="G3497" s="36"/>
      <c r="H3497" s="36"/>
      <c r="I3497" s="36"/>
      <c r="J3497" s="36"/>
      <c r="K3497" s="36"/>
    </row>
    <row r="3498" spans="7:11" ht="15.75" customHeight="1">
      <c r="G3498" s="36"/>
      <c r="H3498" s="36"/>
      <c r="I3498" s="36"/>
      <c r="J3498" s="36"/>
      <c r="K3498" s="36"/>
    </row>
    <row r="3499" spans="7:11" ht="15.75" customHeight="1">
      <c r="G3499" s="36"/>
      <c r="H3499" s="36"/>
      <c r="I3499" s="36"/>
      <c r="J3499" s="36"/>
      <c r="K3499" s="36"/>
    </row>
    <row r="3500" spans="7:11" ht="15.75" customHeight="1">
      <c r="G3500" s="36"/>
      <c r="H3500" s="36"/>
      <c r="I3500" s="36"/>
      <c r="J3500" s="36"/>
      <c r="K3500" s="36"/>
    </row>
    <row r="3501" spans="7:11" ht="15.75" customHeight="1">
      <c r="G3501" s="36"/>
      <c r="H3501" s="36"/>
      <c r="I3501" s="36"/>
      <c r="J3501" s="36"/>
      <c r="K3501" s="36"/>
    </row>
    <row r="3502" spans="7:11" ht="15.75" customHeight="1">
      <c r="G3502" s="36"/>
      <c r="H3502" s="36"/>
      <c r="I3502" s="36"/>
      <c r="J3502" s="36"/>
      <c r="K3502" s="36"/>
    </row>
    <row r="3503" spans="7:11" ht="15.75" customHeight="1">
      <c r="G3503" s="36"/>
      <c r="H3503" s="36"/>
      <c r="I3503" s="36"/>
      <c r="J3503" s="36"/>
      <c r="K3503" s="36"/>
    </row>
    <row r="3504" spans="7:11" ht="15.75" customHeight="1">
      <c r="G3504" s="36"/>
      <c r="H3504" s="36"/>
      <c r="I3504" s="36"/>
      <c r="J3504" s="36"/>
      <c r="K3504" s="36"/>
    </row>
    <row r="3505" spans="7:11" ht="15.75" customHeight="1">
      <c r="G3505" s="36"/>
      <c r="H3505" s="36"/>
      <c r="I3505" s="36"/>
      <c r="J3505" s="36"/>
      <c r="K3505" s="36"/>
    </row>
    <row r="3506" spans="7:11" ht="15.75" customHeight="1">
      <c r="G3506" s="36"/>
      <c r="H3506" s="36"/>
      <c r="I3506" s="36"/>
      <c r="J3506" s="36"/>
      <c r="K3506" s="36"/>
    </row>
    <row r="3507" spans="7:11" ht="15.75" customHeight="1">
      <c r="G3507" s="36"/>
      <c r="H3507" s="36"/>
      <c r="I3507" s="36"/>
      <c r="J3507" s="36"/>
      <c r="K3507" s="36"/>
    </row>
    <row r="3508" spans="7:11" ht="15.75" customHeight="1">
      <c r="G3508" s="36"/>
      <c r="H3508" s="36"/>
      <c r="I3508" s="36"/>
      <c r="J3508" s="36"/>
      <c r="K3508" s="36"/>
    </row>
    <row r="3509" spans="7:11" ht="15.75" customHeight="1">
      <c r="G3509" s="36"/>
      <c r="H3509" s="36"/>
      <c r="I3509" s="36"/>
      <c r="J3509" s="36"/>
      <c r="K3509" s="36"/>
    </row>
    <row r="3510" spans="7:11" ht="15.75" customHeight="1">
      <c r="G3510" s="36"/>
      <c r="H3510" s="36"/>
      <c r="I3510" s="36"/>
      <c r="J3510" s="36"/>
      <c r="K3510" s="36"/>
    </row>
    <row r="3511" spans="7:11" ht="15.75" customHeight="1">
      <c r="G3511" s="36"/>
      <c r="H3511" s="36"/>
      <c r="I3511" s="36"/>
      <c r="J3511" s="36"/>
      <c r="K3511" s="36"/>
    </row>
    <row r="3512" spans="7:11" ht="15.75" customHeight="1">
      <c r="G3512" s="36"/>
      <c r="H3512" s="36"/>
      <c r="I3512" s="36"/>
      <c r="J3512" s="36"/>
      <c r="K3512" s="36"/>
    </row>
    <row r="3513" spans="7:11" ht="15.75" customHeight="1">
      <c r="G3513" s="36"/>
      <c r="H3513" s="36"/>
      <c r="I3513" s="36"/>
      <c r="J3513" s="36"/>
      <c r="K3513" s="36"/>
    </row>
    <row r="3514" spans="7:11" ht="15.75" customHeight="1">
      <c r="G3514" s="36"/>
      <c r="H3514" s="36"/>
      <c r="I3514" s="36"/>
      <c r="J3514" s="36"/>
      <c r="K3514" s="36"/>
    </row>
    <row r="3515" spans="7:11" ht="15.75" customHeight="1">
      <c r="G3515" s="36"/>
      <c r="H3515" s="36"/>
      <c r="I3515" s="36"/>
      <c r="J3515" s="36"/>
      <c r="K3515" s="36"/>
    </row>
    <row r="3516" spans="7:11" ht="15.75" customHeight="1">
      <c r="G3516" s="36"/>
      <c r="H3516" s="36"/>
      <c r="I3516" s="36"/>
      <c r="J3516" s="36"/>
      <c r="K3516" s="36"/>
    </row>
    <row r="3517" spans="7:11" ht="15.75" customHeight="1">
      <c r="G3517" s="36"/>
      <c r="H3517" s="36"/>
      <c r="I3517" s="36"/>
      <c r="J3517" s="36"/>
      <c r="K3517" s="36"/>
    </row>
    <row r="3518" spans="7:11" ht="15.75" customHeight="1">
      <c r="G3518" s="36"/>
      <c r="H3518" s="36"/>
      <c r="I3518" s="36"/>
      <c r="J3518" s="36"/>
      <c r="K3518" s="36"/>
    </row>
    <row r="3519" spans="7:11" ht="15.75" customHeight="1">
      <c r="G3519" s="36"/>
      <c r="H3519" s="36"/>
      <c r="I3519" s="36"/>
      <c r="J3519" s="36"/>
      <c r="K3519" s="36"/>
    </row>
    <row r="3520" spans="7:11" ht="15.75" customHeight="1">
      <c r="G3520" s="36"/>
      <c r="H3520" s="36"/>
      <c r="I3520" s="36"/>
      <c r="J3520" s="36"/>
      <c r="K3520" s="36"/>
    </row>
    <row r="3521" spans="7:11" ht="15.75" customHeight="1">
      <c r="G3521" s="36"/>
      <c r="H3521" s="36"/>
      <c r="I3521" s="36"/>
      <c r="J3521" s="36"/>
      <c r="K3521" s="36"/>
    </row>
    <row r="3522" spans="7:11" ht="15.75" customHeight="1">
      <c r="G3522" s="36"/>
      <c r="H3522" s="36"/>
      <c r="I3522" s="36"/>
      <c r="J3522" s="36"/>
      <c r="K3522" s="36"/>
    </row>
    <row r="3523" spans="7:11" ht="15.75" customHeight="1">
      <c r="G3523" s="36"/>
      <c r="H3523" s="36"/>
      <c r="I3523" s="36"/>
      <c r="J3523" s="36"/>
      <c r="K3523" s="36"/>
    </row>
    <row r="3524" spans="7:11" ht="15.75" customHeight="1">
      <c r="G3524" s="36"/>
      <c r="H3524" s="36"/>
      <c r="I3524" s="36"/>
      <c r="J3524" s="36"/>
      <c r="K3524" s="36"/>
    </row>
    <row r="3525" spans="7:11" ht="15.75" customHeight="1">
      <c r="G3525" s="36"/>
      <c r="H3525" s="36"/>
      <c r="I3525" s="36"/>
      <c r="J3525" s="36"/>
      <c r="K3525" s="36"/>
    </row>
    <row r="3526" spans="7:11" ht="15.75" customHeight="1">
      <c r="G3526" s="36"/>
      <c r="H3526" s="36"/>
      <c r="I3526" s="36"/>
      <c r="J3526" s="36"/>
      <c r="K3526" s="36"/>
    </row>
    <row r="3527" spans="7:11" ht="15.75" customHeight="1">
      <c r="G3527" s="36"/>
      <c r="H3527" s="36"/>
      <c r="I3527" s="36"/>
      <c r="J3527" s="36"/>
      <c r="K3527" s="36"/>
    </row>
    <row r="3528" spans="7:11" ht="15.75" customHeight="1">
      <c r="G3528" s="36"/>
      <c r="H3528" s="36"/>
      <c r="I3528" s="36"/>
      <c r="J3528" s="36"/>
      <c r="K3528" s="36"/>
    </row>
    <row r="3529" spans="7:11" ht="15.75" customHeight="1">
      <c r="G3529" s="36"/>
      <c r="H3529" s="36"/>
      <c r="I3529" s="36"/>
      <c r="J3529" s="36"/>
      <c r="K3529" s="36"/>
    </row>
    <row r="3530" spans="7:11" ht="15.75" customHeight="1">
      <c r="G3530" s="36"/>
      <c r="H3530" s="36"/>
      <c r="I3530" s="36"/>
      <c r="J3530" s="36"/>
      <c r="K3530" s="36"/>
    </row>
    <row r="3531" spans="7:11" ht="15.75" customHeight="1">
      <c r="G3531" s="36"/>
      <c r="H3531" s="36"/>
      <c r="I3531" s="36"/>
      <c r="J3531" s="36"/>
      <c r="K3531" s="36"/>
    </row>
    <row r="3532" spans="7:11" ht="15.75" customHeight="1">
      <c r="G3532" s="36"/>
      <c r="H3532" s="36"/>
      <c r="I3532" s="36"/>
      <c r="J3532" s="36"/>
      <c r="K3532" s="36"/>
    </row>
    <row r="3533" spans="7:11" ht="15.75" customHeight="1">
      <c r="G3533" s="36"/>
      <c r="H3533" s="36"/>
      <c r="I3533" s="36"/>
      <c r="J3533" s="36"/>
      <c r="K3533" s="36"/>
    </row>
    <row r="3534" spans="7:11" ht="15.75" customHeight="1">
      <c r="G3534" s="36"/>
      <c r="H3534" s="36"/>
      <c r="I3534" s="36"/>
      <c r="J3534" s="36"/>
      <c r="K3534" s="36"/>
    </row>
    <row r="3535" spans="7:11" ht="15.75" customHeight="1">
      <c r="G3535" s="36"/>
      <c r="H3535" s="36"/>
      <c r="I3535" s="36"/>
      <c r="J3535" s="36"/>
      <c r="K3535" s="36"/>
    </row>
    <row r="3536" spans="7:11" ht="15.75" customHeight="1">
      <c r="G3536" s="36"/>
      <c r="H3536" s="36"/>
      <c r="I3536" s="36"/>
      <c r="J3536" s="36"/>
      <c r="K3536" s="36"/>
    </row>
    <row r="3537" spans="7:11" ht="15.75" customHeight="1">
      <c r="G3537" s="36"/>
      <c r="H3537" s="36"/>
      <c r="I3537" s="36"/>
      <c r="J3537" s="36"/>
      <c r="K3537" s="36"/>
    </row>
    <row r="3538" spans="7:11" ht="15.75" customHeight="1">
      <c r="G3538" s="36"/>
      <c r="H3538" s="36"/>
      <c r="I3538" s="36"/>
      <c r="J3538" s="36"/>
      <c r="K3538" s="36"/>
    </row>
    <row r="3539" spans="7:11" ht="15.75" customHeight="1">
      <c r="G3539" s="36"/>
      <c r="H3539" s="36"/>
      <c r="I3539" s="36"/>
      <c r="J3539" s="36"/>
      <c r="K3539" s="36"/>
    </row>
    <row r="3540" spans="7:11" ht="15.75" customHeight="1">
      <c r="G3540" s="36"/>
      <c r="H3540" s="36"/>
      <c r="I3540" s="36"/>
      <c r="J3540" s="36"/>
      <c r="K3540" s="36"/>
    </row>
    <row r="3541" spans="7:11" ht="15.75" customHeight="1">
      <c r="G3541" s="36"/>
      <c r="H3541" s="36"/>
      <c r="I3541" s="36"/>
      <c r="J3541" s="36"/>
      <c r="K3541" s="36"/>
    </row>
    <row r="3542" spans="7:11" ht="15.75" customHeight="1">
      <c r="G3542" s="36"/>
      <c r="H3542" s="36"/>
      <c r="I3542" s="36"/>
      <c r="J3542" s="36"/>
      <c r="K3542" s="36"/>
    </row>
    <row r="3543" spans="7:11" ht="15.75" customHeight="1">
      <c r="G3543" s="36"/>
      <c r="H3543" s="36"/>
      <c r="I3543" s="36"/>
      <c r="J3543" s="36"/>
      <c r="K3543" s="36"/>
    </row>
    <row r="3544" spans="7:11" ht="15.75" customHeight="1">
      <c r="G3544" s="36"/>
      <c r="H3544" s="36"/>
      <c r="I3544" s="36"/>
      <c r="J3544" s="36"/>
      <c r="K3544" s="36"/>
    </row>
    <row r="3545" spans="7:11" ht="15.75" customHeight="1">
      <c r="G3545" s="36"/>
      <c r="H3545" s="36"/>
      <c r="I3545" s="36"/>
      <c r="J3545" s="36"/>
      <c r="K3545" s="36"/>
    </row>
    <row r="3546" spans="7:11" ht="15.75" customHeight="1">
      <c r="G3546" s="36"/>
      <c r="H3546" s="36"/>
      <c r="I3546" s="36"/>
      <c r="J3546" s="36"/>
      <c r="K3546" s="36"/>
    </row>
    <row r="3547" spans="7:11" ht="15.75" customHeight="1">
      <c r="G3547" s="36"/>
      <c r="H3547" s="36"/>
      <c r="I3547" s="36"/>
      <c r="J3547" s="36"/>
      <c r="K3547" s="36"/>
    </row>
    <row r="3548" spans="7:11" ht="15.75" customHeight="1">
      <c r="G3548" s="36"/>
      <c r="H3548" s="36"/>
      <c r="I3548" s="36"/>
      <c r="J3548" s="36"/>
      <c r="K3548" s="36"/>
    </row>
    <row r="3549" spans="7:11" ht="15.75" customHeight="1">
      <c r="G3549" s="36"/>
      <c r="H3549" s="36"/>
      <c r="I3549" s="36"/>
      <c r="J3549" s="36"/>
      <c r="K3549" s="36"/>
    </row>
    <row r="3550" spans="7:11" ht="15.75" customHeight="1">
      <c r="G3550" s="36"/>
      <c r="H3550" s="36"/>
      <c r="I3550" s="36"/>
      <c r="J3550" s="36"/>
      <c r="K3550" s="36"/>
    </row>
    <row r="3551" spans="7:11" ht="15.75" customHeight="1">
      <c r="G3551" s="36"/>
      <c r="H3551" s="36"/>
      <c r="I3551" s="36"/>
      <c r="J3551" s="36"/>
      <c r="K3551" s="36"/>
    </row>
    <row r="3552" spans="7:11" ht="15.75" customHeight="1">
      <c r="G3552" s="36"/>
      <c r="H3552" s="36"/>
      <c r="I3552" s="36"/>
      <c r="J3552" s="36"/>
      <c r="K3552" s="36"/>
    </row>
    <row r="3553" spans="7:11" ht="15.75" customHeight="1">
      <c r="G3553" s="36"/>
      <c r="H3553" s="36"/>
      <c r="I3553" s="36"/>
      <c r="J3553" s="36"/>
      <c r="K3553" s="36"/>
    </row>
    <row r="3554" spans="7:11" ht="15.75" customHeight="1">
      <c r="G3554" s="36"/>
      <c r="H3554" s="36"/>
      <c r="I3554" s="36"/>
      <c r="J3554" s="36"/>
      <c r="K3554" s="36"/>
    </row>
    <row r="3555" spans="7:11" ht="15.75" customHeight="1">
      <c r="G3555" s="36"/>
      <c r="H3555" s="36"/>
      <c r="I3555" s="36"/>
      <c r="J3555" s="36"/>
      <c r="K3555" s="36"/>
    </row>
    <row r="3556" spans="7:11" ht="15.75" customHeight="1">
      <c r="G3556" s="36"/>
      <c r="H3556" s="36"/>
      <c r="I3556" s="36"/>
      <c r="J3556" s="36"/>
      <c r="K3556" s="36"/>
    </row>
    <row r="3557" spans="7:11" ht="15.75" customHeight="1">
      <c r="G3557" s="36"/>
      <c r="H3557" s="36"/>
      <c r="I3557" s="36"/>
      <c r="J3557" s="36"/>
      <c r="K3557" s="36"/>
    </row>
    <row r="3558" spans="7:11" ht="15.75" customHeight="1">
      <c r="G3558" s="36"/>
      <c r="H3558" s="36"/>
      <c r="I3558" s="36"/>
      <c r="J3558" s="36"/>
      <c r="K3558" s="36"/>
    </row>
    <row r="3559" spans="7:11" ht="15.75" customHeight="1">
      <c r="G3559" s="36"/>
      <c r="H3559" s="36"/>
      <c r="I3559" s="36"/>
      <c r="J3559" s="36"/>
      <c r="K3559" s="36"/>
    </row>
    <row r="3560" spans="7:11" ht="15.75" customHeight="1">
      <c r="G3560" s="36"/>
      <c r="H3560" s="36"/>
      <c r="I3560" s="36"/>
      <c r="J3560" s="36"/>
      <c r="K3560" s="36"/>
    </row>
    <row r="3561" spans="7:11" ht="15.75" customHeight="1">
      <c r="G3561" s="36"/>
      <c r="H3561" s="36"/>
      <c r="I3561" s="36"/>
      <c r="J3561" s="36"/>
      <c r="K3561" s="36"/>
    </row>
    <row r="3562" spans="7:11" ht="15.75" customHeight="1">
      <c r="G3562" s="36"/>
      <c r="H3562" s="36"/>
      <c r="I3562" s="36"/>
      <c r="J3562" s="36"/>
      <c r="K3562" s="36"/>
    </row>
    <row r="3563" spans="7:11" ht="15.75" customHeight="1">
      <c r="G3563" s="36"/>
      <c r="H3563" s="36"/>
      <c r="I3563" s="36"/>
      <c r="J3563" s="36"/>
      <c r="K3563" s="36"/>
    </row>
    <row r="3564" spans="7:11" ht="15.75" customHeight="1">
      <c r="G3564" s="36"/>
      <c r="H3564" s="36"/>
      <c r="I3564" s="36"/>
      <c r="J3564" s="36"/>
      <c r="K3564" s="36"/>
    </row>
    <row r="3565" spans="7:11" ht="15.75" customHeight="1">
      <c r="G3565" s="36"/>
      <c r="H3565" s="36"/>
      <c r="I3565" s="36"/>
      <c r="J3565" s="36"/>
      <c r="K3565" s="36"/>
    </row>
    <row r="3566" spans="7:11" ht="15.75" customHeight="1">
      <c r="G3566" s="36"/>
      <c r="H3566" s="36"/>
      <c r="I3566" s="36"/>
      <c r="J3566" s="36"/>
      <c r="K3566" s="36"/>
    </row>
    <row r="3567" spans="7:11" ht="15.75" customHeight="1">
      <c r="G3567" s="36"/>
      <c r="H3567" s="36"/>
      <c r="I3567" s="36"/>
      <c r="J3567" s="36"/>
      <c r="K3567" s="36"/>
    </row>
    <row r="3568" spans="7:11" ht="15.75" customHeight="1">
      <c r="G3568" s="36"/>
      <c r="H3568" s="36"/>
      <c r="I3568" s="36"/>
      <c r="J3568" s="36"/>
      <c r="K3568" s="36"/>
    </row>
    <row r="3569" spans="7:11" ht="15.75" customHeight="1">
      <c r="G3569" s="36"/>
      <c r="H3569" s="36"/>
      <c r="I3569" s="36"/>
      <c r="J3569" s="36"/>
      <c r="K3569" s="36"/>
    </row>
    <row r="3570" spans="7:11" ht="15.75" customHeight="1">
      <c r="G3570" s="36"/>
      <c r="H3570" s="36"/>
      <c r="I3570" s="36"/>
      <c r="J3570" s="36"/>
      <c r="K3570" s="36"/>
    </row>
    <row r="3571" spans="7:11" ht="15.75" customHeight="1">
      <c r="G3571" s="36"/>
      <c r="H3571" s="36"/>
      <c r="I3571" s="36"/>
      <c r="J3571" s="36"/>
      <c r="K3571" s="36"/>
    </row>
    <row r="3572" spans="7:11" ht="15.75" customHeight="1">
      <c r="G3572" s="36"/>
      <c r="H3572" s="36"/>
      <c r="I3572" s="36"/>
      <c r="J3572" s="36"/>
      <c r="K3572" s="36"/>
    </row>
    <row r="3573" spans="7:11" ht="15.75" customHeight="1">
      <c r="G3573" s="36"/>
      <c r="H3573" s="36"/>
      <c r="I3573" s="36"/>
      <c r="J3573" s="36"/>
      <c r="K3573" s="36"/>
    </row>
    <row r="3574" spans="7:11" ht="15.75" customHeight="1">
      <c r="G3574" s="36"/>
      <c r="H3574" s="36"/>
      <c r="I3574" s="36"/>
      <c r="J3574" s="36"/>
      <c r="K3574" s="36"/>
    </row>
    <row r="3575" spans="7:11" ht="15.75" customHeight="1">
      <c r="G3575" s="36"/>
      <c r="H3575" s="36"/>
      <c r="I3575" s="36"/>
      <c r="J3575" s="36"/>
      <c r="K3575" s="36"/>
    </row>
    <row r="3576" spans="7:11" ht="15.75" customHeight="1">
      <c r="G3576" s="36"/>
      <c r="H3576" s="36"/>
      <c r="I3576" s="36"/>
      <c r="J3576" s="36"/>
      <c r="K3576" s="36"/>
    </row>
    <row r="3577" spans="7:11" ht="15.75" customHeight="1">
      <c r="G3577" s="36"/>
      <c r="H3577" s="36"/>
      <c r="I3577" s="36"/>
      <c r="J3577" s="36"/>
      <c r="K3577" s="36"/>
    </row>
    <row r="3578" spans="7:11" ht="15.75" customHeight="1">
      <c r="G3578" s="36"/>
      <c r="H3578" s="36"/>
      <c r="I3578" s="36"/>
      <c r="J3578" s="36"/>
      <c r="K3578" s="36"/>
    </row>
    <row r="3579" spans="7:11" ht="15.75" customHeight="1">
      <c r="G3579" s="36"/>
      <c r="H3579" s="36"/>
      <c r="I3579" s="36"/>
      <c r="J3579" s="36"/>
      <c r="K3579" s="36"/>
    </row>
    <row r="3580" spans="7:11" ht="15.75" customHeight="1">
      <c r="G3580" s="36"/>
      <c r="H3580" s="36"/>
      <c r="I3580" s="36"/>
      <c r="J3580" s="36"/>
      <c r="K3580" s="36"/>
    </row>
    <row r="3581" spans="7:11" ht="15.75" customHeight="1">
      <c r="G3581" s="36"/>
      <c r="H3581" s="36"/>
      <c r="I3581" s="36"/>
      <c r="J3581" s="36"/>
      <c r="K3581" s="36"/>
    </row>
    <row r="3582" spans="7:11" ht="15.75" customHeight="1">
      <c r="G3582" s="36"/>
      <c r="H3582" s="36"/>
      <c r="I3582" s="36"/>
      <c r="J3582" s="36"/>
      <c r="K3582" s="36"/>
    </row>
    <row r="3583" spans="7:11" ht="15.75" customHeight="1">
      <c r="G3583" s="36"/>
      <c r="H3583" s="36"/>
      <c r="I3583" s="36"/>
      <c r="J3583" s="36"/>
      <c r="K3583" s="36"/>
    </row>
    <row r="3584" spans="7:11" ht="15.75" customHeight="1">
      <c r="G3584" s="36"/>
      <c r="H3584" s="36"/>
      <c r="I3584" s="36"/>
      <c r="J3584" s="36"/>
      <c r="K3584" s="36"/>
    </row>
    <row r="3585" spans="7:11" ht="15.75" customHeight="1">
      <c r="G3585" s="36"/>
      <c r="H3585" s="36"/>
      <c r="I3585" s="36"/>
      <c r="J3585" s="36"/>
      <c r="K3585" s="36"/>
    </row>
    <row r="3586" spans="7:11" ht="15.75" customHeight="1">
      <c r="G3586" s="36"/>
      <c r="H3586" s="36"/>
      <c r="I3586" s="36"/>
      <c r="J3586" s="36"/>
      <c r="K3586" s="36"/>
    </row>
    <row r="3587" spans="7:11" ht="15.75" customHeight="1">
      <c r="G3587" s="36"/>
      <c r="H3587" s="36"/>
      <c r="I3587" s="36"/>
      <c r="J3587" s="36"/>
      <c r="K3587" s="36"/>
    </row>
    <row r="3588" spans="7:11" ht="15.75" customHeight="1">
      <c r="G3588" s="36"/>
      <c r="H3588" s="36"/>
      <c r="I3588" s="36"/>
      <c r="J3588" s="36"/>
      <c r="K3588" s="36"/>
    </row>
    <row r="3589" spans="7:11" ht="15.75" customHeight="1">
      <c r="G3589" s="36"/>
      <c r="H3589" s="36"/>
      <c r="I3589" s="36"/>
      <c r="J3589" s="36"/>
      <c r="K3589" s="36"/>
    </row>
    <row r="3590" spans="7:11" ht="15.75" customHeight="1">
      <c r="G3590" s="36"/>
      <c r="H3590" s="36"/>
      <c r="I3590" s="36"/>
      <c r="J3590" s="36"/>
      <c r="K3590" s="36"/>
    </row>
    <row r="3591" spans="7:11" ht="15.75" customHeight="1">
      <c r="G3591" s="36"/>
      <c r="H3591" s="36"/>
      <c r="I3591" s="36"/>
      <c r="J3591" s="36"/>
      <c r="K3591" s="36"/>
    </row>
    <row r="3592" spans="7:11" ht="15.75" customHeight="1">
      <c r="G3592" s="36"/>
      <c r="H3592" s="36"/>
      <c r="I3592" s="36"/>
      <c r="J3592" s="36"/>
      <c r="K3592" s="36"/>
    </row>
    <row r="3593" spans="7:11" ht="15.75" customHeight="1">
      <c r="G3593" s="36"/>
      <c r="H3593" s="36"/>
      <c r="I3593" s="36"/>
      <c r="J3593" s="36"/>
      <c r="K3593" s="36"/>
    </row>
    <row r="3594" spans="7:11" ht="15.75" customHeight="1">
      <c r="G3594" s="36"/>
      <c r="H3594" s="36"/>
      <c r="I3594" s="36"/>
      <c r="J3594" s="36"/>
      <c r="K3594" s="36"/>
    </row>
    <row r="3595" spans="7:11" ht="15.75" customHeight="1">
      <c r="G3595" s="36"/>
      <c r="H3595" s="36"/>
      <c r="I3595" s="36"/>
      <c r="J3595" s="36"/>
      <c r="K3595" s="36"/>
    </row>
    <row r="3596" spans="7:11" ht="15.75" customHeight="1">
      <c r="G3596" s="36"/>
      <c r="H3596" s="36"/>
      <c r="I3596" s="36"/>
      <c r="J3596" s="36"/>
      <c r="K3596" s="36"/>
    </row>
    <row r="3597" spans="7:11" ht="15.75" customHeight="1">
      <c r="G3597" s="36"/>
      <c r="H3597" s="36"/>
      <c r="I3597" s="36"/>
      <c r="J3597" s="36"/>
      <c r="K3597" s="36"/>
    </row>
    <row r="3598" spans="7:11" ht="15.75" customHeight="1">
      <c r="G3598" s="36"/>
      <c r="H3598" s="36"/>
      <c r="I3598" s="36"/>
      <c r="J3598" s="36"/>
      <c r="K3598" s="36"/>
    </row>
    <row r="3599" spans="7:11" ht="15.75" customHeight="1">
      <c r="G3599" s="36"/>
      <c r="H3599" s="36"/>
      <c r="I3599" s="36"/>
      <c r="J3599" s="36"/>
      <c r="K3599" s="36"/>
    </row>
    <row r="3600" spans="7:11" ht="15.75" customHeight="1">
      <c r="G3600" s="36"/>
      <c r="H3600" s="36"/>
      <c r="I3600" s="36"/>
      <c r="J3600" s="36"/>
      <c r="K3600" s="36"/>
    </row>
    <row r="3601" spans="7:11" ht="15.75" customHeight="1">
      <c r="G3601" s="36"/>
      <c r="H3601" s="36"/>
      <c r="I3601" s="36"/>
      <c r="J3601" s="36"/>
      <c r="K3601" s="36"/>
    </row>
    <row r="3602" spans="7:11" ht="15.75" customHeight="1">
      <c r="G3602" s="36"/>
      <c r="H3602" s="36"/>
      <c r="I3602" s="36"/>
      <c r="J3602" s="36"/>
      <c r="K3602" s="36"/>
    </row>
    <row r="3603" spans="7:11" ht="15.75" customHeight="1">
      <c r="G3603" s="36"/>
      <c r="H3603" s="36"/>
      <c r="I3603" s="36"/>
      <c r="J3603" s="36"/>
      <c r="K3603" s="36"/>
    </row>
    <row r="3604" spans="7:11" ht="15.75" customHeight="1">
      <c r="G3604" s="36"/>
      <c r="H3604" s="36"/>
      <c r="I3604" s="36"/>
      <c r="J3604" s="36"/>
      <c r="K3604" s="36"/>
    </row>
    <row r="3605" spans="7:11" ht="15.75" customHeight="1">
      <c r="G3605" s="36"/>
      <c r="H3605" s="36"/>
      <c r="I3605" s="36"/>
      <c r="J3605" s="36"/>
      <c r="K3605" s="36"/>
    </row>
    <row r="3606" spans="7:11" ht="15.75" customHeight="1">
      <c r="G3606" s="36"/>
      <c r="H3606" s="36"/>
      <c r="I3606" s="36"/>
      <c r="J3606" s="36"/>
      <c r="K3606" s="36"/>
    </row>
    <row r="3607" spans="7:11" ht="15.75" customHeight="1">
      <c r="G3607" s="36"/>
      <c r="H3607" s="36"/>
      <c r="I3607" s="36"/>
      <c r="J3607" s="36"/>
      <c r="K3607" s="36"/>
    </row>
    <row r="3608" spans="7:11" ht="15.75" customHeight="1">
      <c r="G3608" s="36"/>
      <c r="H3608" s="36"/>
      <c r="I3608" s="36"/>
      <c r="J3608" s="36"/>
      <c r="K3608" s="36"/>
    </row>
    <row r="3609" spans="7:11" ht="15.75" customHeight="1">
      <c r="G3609" s="36"/>
      <c r="H3609" s="36"/>
      <c r="I3609" s="36"/>
      <c r="J3609" s="36"/>
      <c r="K3609" s="36"/>
    </row>
    <row r="3610" spans="7:11" ht="15.75" customHeight="1">
      <c r="G3610" s="36"/>
      <c r="H3610" s="36"/>
      <c r="I3610" s="36"/>
      <c r="J3610" s="36"/>
      <c r="K3610" s="36"/>
    </row>
    <row r="3611" spans="7:11" ht="15.75" customHeight="1">
      <c r="G3611" s="36"/>
      <c r="H3611" s="36"/>
      <c r="I3611" s="36"/>
      <c r="J3611" s="36"/>
      <c r="K3611" s="36"/>
    </row>
    <row r="3612" spans="7:11" ht="15.75" customHeight="1">
      <c r="G3612" s="36"/>
      <c r="H3612" s="36"/>
      <c r="I3612" s="36"/>
      <c r="J3612" s="36"/>
      <c r="K3612" s="36"/>
    </row>
    <row r="3613" spans="7:11" ht="15.75" customHeight="1">
      <c r="G3613" s="36"/>
      <c r="H3613" s="36"/>
      <c r="I3613" s="36"/>
      <c r="J3613" s="36"/>
      <c r="K3613" s="36"/>
    </row>
    <row r="3614" spans="7:11" ht="15.75" customHeight="1">
      <c r="G3614" s="36"/>
      <c r="H3614" s="36"/>
      <c r="I3614" s="36"/>
      <c r="J3614" s="36"/>
      <c r="K3614" s="36"/>
    </row>
    <row r="3615" spans="7:11" ht="15.75" customHeight="1">
      <c r="G3615" s="36"/>
      <c r="H3615" s="36"/>
      <c r="I3615" s="36"/>
      <c r="J3615" s="36"/>
      <c r="K3615" s="36"/>
    </row>
    <row r="3616" spans="7:11" ht="15.75" customHeight="1">
      <c r="G3616" s="36"/>
      <c r="H3616" s="36"/>
      <c r="I3616" s="36"/>
      <c r="J3616" s="36"/>
      <c r="K3616" s="36"/>
    </row>
    <row r="3617" spans="7:11" ht="15.75" customHeight="1">
      <c r="G3617" s="36"/>
      <c r="H3617" s="36"/>
      <c r="I3617" s="36"/>
      <c r="J3617" s="36"/>
      <c r="K3617" s="36"/>
    </row>
    <row r="3618" spans="7:11" ht="15.75" customHeight="1">
      <c r="G3618" s="36"/>
      <c r="H3618" s="36"/>
      <c r="I3618" s="36"/>
      <c r="J3618" s="36"/>
      <c r="K3618" s="36"/>
    </row>
    <row r="3619" spans="7:11" ht="15.75" customHeight="1">
      <c r="G3619" s="36"/>
      <c r="H3619" s="36"/>
      <c r="I3619" s="36"/>
      <c r="J3619" s="36"/>
      <c r="K3619" s="36"/>
    </row>
    <row r="3620" spans="7:11" ht="15.75" customHeight="1">
      <c r="G3620" s="36"/>
      <c r="H3620" s="36"/>
      <c r="I3620" s="36"/>
      <c r="J3620" s="36"/>
      <c r="K3620" s="36"/>
    </row>
    <row r="3621" spans="7:11" ht="15.75" customHeight="1">
      <c r="G3621" s="36"/>
      <c r="H3621" s="36"/>
      <c r="I3621" s="36"/>
      <c r="J3621" s="36"/>
      <c r="K3621" s="36"/>
    </row>
    <row r="3622" spans="7:11" ht="15.75" customHeight="1">
      <c r="G3622" s="36"/>
      <c r="H3622" s="36"/>
      <c r="I3622" s="36"/>
      <c r="J3622" s="36"/>
      <c r="K3622" s="36"/>
    </row>
    <row r="3623" spans="7:11" ht="15.75" customHeight="1">
      <c r="G3623" s="36"/>
      <c r="H3623" s="36"/>
      <c r="I3623" s="36"/>
      <c r="J3623" s="36"/>
      <c r="K3623" s="36"/>
    </row>
    <row r="3624" spans="7:11" ht="15.75" customHeight="1">
      <c r="G3624" s="36"/>
      <c r="H3624" s="36"/>
      <c r="I3624" s="36"/>
      <c r="J3624" s="36"/>
      <c r="K3624" s="36"/>
    </row>
    <row r="3625" spans="7:11" ht="15.75" customHeight="1">
      <c r="G3625" s="36"/>
      <c r="H3625" s="36"/>
      <c r="I3625" s="36"/>
      <c r="J3625" s="36"/>
      <c r="K3625" s="36"/>
    </row>
    <row r="3626" spans="7:11" ht="15.75" customHeight="1">
      <c r="G3626" s="36"/>
      <c r="H3626" s="36"/>
      <c r="I3626" s="36"/>
      <c r="J3626" s="36"/>
      <c r="K3626" s="36"/>
    </row>
    <row r="3627" spans="7:11" ht="15.75" customHeight="1">
      <c r="G3627" s="36"/>
      <c r="H3627" s="36"/>
      <c r="I3627" s="36"/>
      <c r="J3627" s="36"/>
      <c r="K3627" s="36"/>
    </row>
    <row r="3628" spans="7:11" ht="15.75" customHeight="1">
      <c r="G3628" s="36"/>
      <c r="H3628" s="36"/>
      <c r="I3628" s="36"/>
      <c r="J3628" s="36"/>
      <c r="K3628" s="36"/>
    </row>
    <row r="3629" spans="7:11" ht="15.75" customHeight="1">
      <c r="G3629" s="36"/>
      <c r="H3629" s="36"/>
      <c r="I3629" s="36"/>
      <c r="J3629" s="36"/>
      <c r="K3629" s="36"/>
    </row>
    <row r="3630" spans="7:11" ht="15.75" customHeight="1">
      <c r="G3630" s="36"/>
      <c r="H3630" s="36"/>
      <c r="I3630" s="36"/>
      <c r="J3630" s="36"/>
      <c r="K3630" s="36"/>
    </row>
    <row r="3631" spans="7:11" ht="15.75" customHeight="1">
      <c r="G3631" s="36"/>
      <c r="H3631" s="36"/>
      <c r="I3631" s="36"/>
      <c r="J3631" s="36"/>
      <c r="K3631" s="36"/>
    </row>
    <row r="3632" spans="7:11" ht="15.75" customHeight="1">
      <c r="G3632" s="36"/>
      <c r="H3632" s="36"/>
      <c r="I3632" s="36"/>
      <c r="J3632" s="36"/>
      <c r="K3632" s="36"/>
    </row>
    <row r="3633" spans="7:11" ht="15.75" customHeight="1">
      <c r="G3633" s="36"/>
      <c r="H3633" s="36"/>
      <c r="I3633" s="36"/>
      <c r="J3633" s="36"/>
      <c r="K3633" s="36"/>
    </row>
    <row r="3634" spans="7:11" ht="15.75" customHeight="1">
      <c r="G3634" s="36"/>
      <c r="H3634" s="36"/>
      <c r="I3634" s="36"/>
      <c r="J3634" s="36"/>
      <c r="K3634" s="36"/>
    </row>
    <row r="3635" spans="7:11" ht="15.75" customHeight="1">
      <c r="G3635" s="36"/>
      <c r="H3635" s="36"/>
      <c r="I3635" s="36"/>
      <c r="J3635" s="36"/>
      <c r="K3635" s="36"/>
    </row>
    <row r="3636" spans="7:11" ht="15.75" customHeight="1">
      <c r="G3636" s="36"/>
      <c r="H3636" s="36"/>
      <c r="I3636" s="36"/>
      <c r="J3636" s="36"/>
      <c r="K3636" s="36"/>
    </row>
    <row r="3637" spans="7:11" ht="15.75" customHeight="1">
      <c r="G3637" s="36"/>
      <c r="H3637" s="36"/>
      <c r="I3637" s="36"/>
      <c r="J3637" s="36"/>
      <c r="K3637" s="36"/>
    </row>
    <row r="3638" spans="7:11" ht="15.75" customHeight="1">
      <c r="G3638" s="36"/>
      <c r="H3638" s="36"/>
      <c r="I3638" s="36"/>
      <c r="J3638" s="36"/>
      <c r="K3638" s="36"/>
    </row>
    <row r="3639" spans="7:11" ht="15.75" customHeight="1">
      <c r="G3639" s="36"/>
      <c r="H3639" s="36"/>
      <c r="I3639" s="36"/>
      <c r="J3639" s="36"/>
      <c r="K3639" s="36"/>
    </row>
    <row r="3640" spans="7:11" ht="15.75" customHeight="1">
      <c r="G3640" s="36"/>
      <c r="H3640" s="36"/>
      <c r="I3640" s="36"/>
      <c r="J3640" s="36"/>
      <c r="K3640" s="36"/>
    </row>
    <row r="3641" spans="7:11" ht="15.75" customHeight="1">
      <c r="G3641" s="36"/>
      <c r="H3641" s="36"/>
      <c r="I3641" s="36"/>
      <c r="J3641" s="36"/>
      <c r="K3641" s="36"/>
    </row>
    <row r="3642" spans="7:11" ht="15.75" customHeight="1">
      <c r="G3642" s="36"/>
      <c r="H3642" s="36"/>
      <c r="I3642" s="36"/>
      <c r="J3642" s="36"/>
      <c r="K3642" s="36"/>
    </row>
    <row r="3643" spans="7:11" ht="15.75" customHeight="1">
      <c r="G3643" s="36"/>
      <c r="H3643" s="36"/>
      <c r="I3643" s="36"/>
      <c r="J3643" s="36"/>
      <c r="K3643" s="36"/>
    </row>
    <row r="3644" spans="7:11" ht="15.75" customHeight="1">
      <c r="G3644" s="36"/>
      <c r="H3644" s="36"/>
      <c r="I3644" s="36"/>
      <c r="J3644" s="36"/>
      <c r="K3644" s="36"/>
    </row>
    <row r="3645" spans="7:11" ht="15.75" customHeight="1">
      <c r="G3645" s="36"/>
      <c r="H3645" s="36"/>
      <c r="I3645" s="36"/>
      <c r="J3645" s="36"/>
      <c r="K3645" s="36"/>
    </row>
    <row r="3646" spans="7:11" ht="15.75" customHeight="1">
      <c r="G3646" s="36"/>
      <c r="H3646" s="36"/>
      <c r="I3646" s="36"/>
      <c r="J3646" s="36"/>
      <c r="K3646" s="36"/>
    </row>
    <row r="3647" spans="7:11" ht="15.75" customHeight="1">
      <c r="G3647" s="36"/>
      <c r="H3647" s="36"/>
      <c r="I3647" s="36"/>
      <c r="J3647" s="36"/>
      <c r="K3647" s="36"/>
    </row>
    <row r="3648" spans="7:11" ht="15.75" customHeight="1">
      <c r="G3648" s="36"/>
      <c r="H3648" s="36"/>
      <c r="I3648" s="36"/>
      <c r="J3648" s="36"/>
      <c r="K3648" s="36"/>
    </row>
    <row r="3649" spans="7:11" ht="15.75" customHeight="1">
      <c r="G3649" s="36"/>
      <c r="H3649" s="36"/>
      <c r="I3649" s="36"/>
      <c r="J3649" s="36"/>
      <c r="K3649" s="36"/>
    </row>
    <row r="3650" spans="7:11" ht="15.75" customHeight="1">
      <c r="G3650" s="36"/>
      <c r="H3650" s="36"/>
      <c r="I3650" s="36"/>
      <c r="J3650" s="36"/>
      <c r="K3650" s="36"/>
    </row>
    <row r="3651" spans="7:11" ht="15.75" customHeight="1">
      <c r="G3651" s="36"/>
      <c r="H3651" s="36"/>
      <c r="I3651" s="36"/>
      <c r="J3651" s="36"/>
      <c r="K3651" s="36"/>
    </row>
    <row r="3652" spans="7:11" ht="15.75" customHeight="1">
      <c r="G3652" s="36"/>
      <c r="H3652" s="36"/>
      <c r="I3652" s="36"/>
      <c r="J3652" s="36"/>
      <c r="K3652" s="36"/>
    </row>
    <row r="3653" spans="7:11" ht="15.75" customHeight="1">
      <c r="G3653" s="36"/>
      <c r="H3653" s="36"/>
      <c r="I3653" s="36"/>
      <c r="J3653" s="36"/>
      <c r="K3653" s="36"/>
    </row>
    <row r="3654" spans="7:11" ht="15.75" customHeight="1">
      <c r="G3654" s="36"/>
      <c r="H3654" s="36"/>
      <c r="I3654" s="36"/>
      <c r="J3654" s="36"/>
      <c r="K3654" s="36"/>
    </row>
    <row r="3655" spans="7:11" ht="15.75" customHeight="1">
      <c r="G3655" s="36"/>
      <c r="H3655" s="36"/>
      <c r="I3655" s="36"/>
      <c r="J3655" s="36"/>
      <c r="K3655" s="36"/>
    </row>
    <row r="3656" spans="7:11" ht="15.75" customHeight="1">
      <c r="G3656" s="36"/>
      <c r="H3656" s="36"/>
      <c r="I3656" s="36"/>
      <c r="J3656" s="36"/>
      <c r="K3656" s="36"/>
    </row>
    <row r="3657" spans="7:11" ht="15.75" customHeight="1">
      <c r="G3657" s="36"/>
      <c r="H3657" s="36"/>
      <c r="I3657" s="36"/>
      <c r="J3657" s="36"/>
      <c r="K3657" s="36"/>
    </row>
    <row r="3658" spans="7:11" ht="15.75" customHeight="1">
      <c r="G3658" s="36"/>
      <c r="H3658" s="36"/>
      <c r="I3658" s="36"/>
      <c r="J3658" s="36"/>
      <c r="K3658" s="36"/>
    </row>
    <row r="3659" spans="7:11" ht="15.75" customHeight="1">
      <c r="G3659" s="36"/>
      <c r="H3659" s="36"/>
      <c r="I3659" s="36"/>
      <c r="J3659" s="36"/>
      <c r="K3659" s="36"/>
    </row>
    <row r="3660" spans="7:11" ht="15.75" customHeight="1">
      <c r="G3660" s="36"/>
      <c r="H3660" s="36"/>
      <c r="I3660" s="36"/>
      <c r="J3660" s="36"/>
      <c r="K3660" s="36"/>
    </row>
    <row r="3661" spans="7:11" ht="15.75" customHeight="1">
      <c r="G3661" s="36"/>
      <c r="H3661" s="36"/>
      <c r="I3661" s="36"/>
      <c r="J3661" s="36"/>
      <c r="K3661" s="36"/>
    </row>
    <row r="3662" spans="7:11" ht="15.75" customHeight="1">
      <c r="G3662" s="36"/>
      <c r="H3662" s="36"/>
      <c r="I3662" s="36"/>
      <c r="J3662" s="36"/>
      <c r="K3662" s="36"/>
    </row>
    <row r="3663" spans="7:11" ht="15.75" customHeight="1">
      <c r="G3663" s="36"/>
      <c r="H3663" s="36"/>
      <c r="I3663" s="36"/>
      <c r="J3663" s="36"/>
      <c r="K3663" s="36"/>
    </row>
    <row r="3664" spans="7:11" ht="15.75" customHeight="1">
      <c r="G3664" s="36"/>
      <c r="H3664" s="36"/>
      <c r="I3664" s="36"/>
      <c r="J3664" s="36"/>
      <c r="K3664" s="36"/>
    </row>
    <row r="3665" spans="7:11" ht="15.75" customHeight="1">
      <c r="G3665" s="36"/>
      <c r="H3665" s="36"/>
      <c r="I3665" s="36"/>
      <c r="J3665" s="36"/>
      <c r="K3665" s="36"/>
    </row>
    <row r="3666" spans="7:11" ht="15.75" customHeight="1">
      <c r="G3666" s="36"/>
      <c r="H3666" s="36"/>
      <c r="I3666" s="36"/>
      <c r="J3666" s="36"/>
      <c r="K3666" s="36"/>
    </row>
    <row r="3667" spans="7:11" ht="15.75" customHeight="1">
      <c r="G3667" s="36"/>
      <c r="H3667" s="36"/>
      <c r="I3667" s="36"/>
      <c r="J3667" s="36"/>
      <c r="K3667" s="36"/>
    </row>
    <row r="3668" spans="7:11" ht="15.75" customHeight="1">
      <c r="G3668" s="36"/>
      <c r="H3668" s="36"/>
      <c r="I3668" s="36"/>
      <c r="J3668" s="36"/>
      <c r="K3668" s="36"/>
    </row>
    <row r="3669" spans="7:11" ht="15.75" customHeight="1">
      <c r="G3669" s="36"/>
      <c r="H3669" s="36"/>
      <c r="I3669" s="36"/>
      <c r="J3669" s="36"/>
      <c r="K3669" s="36"/>
    </row>
    <row r="3670" spans="7:11" ht="15.75" customHeight="1">
      <c r="G3670" s="36"/>
      <c r="H3670" s="36"/>
      <c r="I3670" s="36"/>
      <c r="J3670" s="36"/>
      <c r="K3670" s="36"/>
    </row>
    <row r="3671" spans="7:11" ht="15.75" customHeight="1">
      <c r="G3671" s="36"/>
      <c r="H3671" s="36"/>
      <c r="I3671" s="36"/>
      <c r="J3671" s="36"/>
      <c r="K3671" s="36"/>
    </row>
    <row r="3672" spans="7:11" ht="15.75" customHeight="1">
      <c r="G3672" s="36"/>
      <c r="H3672" s="36"/>
      <c r="I3672" s="36"/>
      <c r="J3672" s="36"/>
      <c r="K3672" s="36"/>
    </row>
    <row r="3673" spans="7:11" ht="15.75" customHeight="1">
      <c r="G3673" s="36"/>
      <c r="H3673" s="36"/>
      <c r="I3673" s="36"/>
      <c r="J3673" s="36"/>
      <c r="K3673" s="36"/>
    </row>
    <row r="3674" spans="7:11" ht="15.75" customHeight="1">
      <c r="G3674" s="36"/>
      <c r="H3674" s="36"/>
      <c r="I3674" s="36"/>
      <c r="J3674" s="36"/>
      <c r="K3674" s="36"/>
    </row>
    <row r="3675" spans="7:11" ht="15.75" customHeight="1">
      <c r="G3675" s="36"/>
      <c r="H3675" s="36"/>
      <c r="I3675" s="36"/>
      <c r="J3675" s="36"/>
      <c r="K3675" s="36"/>
    </row>
    <row r="3676" spans="7:11" ht="15.75" customHeight="1">
      <c r="G3676" s="36"/>
      <c r="H3676" s="36"/>
      <c r="I3676" s="36"/>
      <c r="J3676" s="36"/>
      <c r="K3676" s="36"/>
    </row>
    <row r="3677" spans="7:11" ht="15.75" customHeight="1">
      <c r="G3677" s="36"/>
      <c r="H3677" s="36"/>
      <c r="I3677" s="36"/>
      <c r="J3677" s="36"/>
      <c r="K3677" s="36"/>
    </row>
    <row r="3678" spans="7:11" ht="15.75" customHeight="1">
      <c r="G3678" s="36"/>
      <c r="H3678" s="36"/>
      <c r="I3678" s="36"/>
      <c r="J3678" s="36"/>
      <c r="K3678" s="36"/>
    </row>
    <row r="3679" spans="7:11" ht="15.75" customHeight="1">
      <c r="G3679" s="36"/>
      <c r="H3679" s="36"/>
      <c r="I3679" s="36"/>
      <c r="J3679" s="36"/>
      <c r="K3679" s="36"/>
    </row>
    <row r="3680" spans="7:11" ht="15.75" customHeight="1">
      <c r="G3680" s="36"/>
      <c r="H3680" s="36"/>
      <c r="I3680" s="36"/>
      <c r="J3680" s="36"/>
      <c r="K3680" s="36"/>
    </row>
    <row r="3681" spans="7:11" ht="15.75" customHeight="1">
      <c r="G3681" s="36"/>
      <c r="H3681" s="36"/>
      <c r="I3681" s="36"/>
      <c r="J3681" s="36"/>
      <c r="K3681" s="36"/>
    </row>
    <row r="3682" spans="7:11" ht="15.75" customHeight="1">
      <c r="G3682" s="36"/>
      <c r="H3682" s="36"/>
      <c r="I3682" s="36"/>
      <c r="J3682" s="36"/>
      <c r="K3682" s="36"/>
    </row>
    <row r="3683" spans="7:11" ht="15.75" customHeight="1">
      <c r="G3683" s="36"/>
      <c r="H3683" s="36"/>
      <c r="I3683" s="36"/>
      <c r="J3683" s="36"/>
      <c r="K3683" s="36"/>
    </row>
    <row r="3684" spans="7:11" ht="15.75" customHeight="1">
      <c r="G3684" s="36"/>
      <c r="H3684" s="36"/>
      <c r="I3684" s="36"/>
      <c r="J3684" s="36"/>
      <c r="K3684" s="36"/>
    </row>
    <row r="3685" spans="7:11" ht="15.75" customHeight="1">
      <c r="G3685" s="36"/>
      <c r="H3685" s="36"/>
      <c r="I3685" s="36"/>
      <c r="J3685" s="36"/>
      <c r="K3685" s="36"/>
    </row>
    <row r="3686" spans="7:11" ht="15.75" customHeight="1">
      <c r="G3686" s="36"/>
      <c r="H3686" s="36"/>
      <c r="I3686" s="36"/>
      <c r="J3686" s="36"/>
      <c r="K3686" s="36"/>
    </row>
    <row r="3687" spans="7:11" ht="15.75" customHeight="1">
      <c r="G3687" s="36"/>
      <c r="H3687" s="36"/>
      <c r="I3687" s="36"/>
      <c r="J3687" s="36"/>
      <c r="K3687" s="36"/>
    </row>
    <row r="3688" spans="7:11" ht="15.75" customHeight="1">
      <c r="G3688" s="36"/>
      <c r="H3688" s="36"/>
      <c r="I3688" s="36"/>
      <c r="J3688" s="36"/>
      <c r="K3688" s="36"/>
    </row>
    <row r="3689" spans="7:11" ht="15.75" customHeight="1">
      <c r="G3689" s="36"/>
      <c r="H3689" s="36"/>
      <c r="I3689" s="36"/>
      <c r="J3689" s="36"/>
      <c r="K3689" s="36"/>
    </row>
    <row r="3690" spans="7:11" ht="15.75" customHeight="1">
      <c r="G3690" s="36"/>
      <c r="H3690" s="36"/>
      <c r="I3690" s="36"/>
      <c r="J3690" s="36"/>
      <c r="K3690" s="36"/>
    </row>
    <row r="3691" spans="7:11" ht="15.75" customHeight="1">
      <c r="G3691" s="36"/>
      <c r="H3691" s="36"/>
      <c r="I3691" s="36"/>
      <c r="J3691" s="36"/>
      <c r="K3691" s="36"/>
    </row>
    <row r="3692" spans="7:11" ht="15.75" customHeight="1">
      <c r="G3692" s="36"/>
      <c r="H3692" s="36"/>
      <c r="I3692" s="36"/>
      <c r="J3692" s="36"/>
      <c r="K3692" s="36"/>
    </row>
    <row r="3693" spans="7:11" ht="15.75" customHeight="1">
      <c r="G3693" s="36"/>
      <c r="H3693" s="36"/>
      <c r="I3693" s="36"/>
      <c r="J3693" s="36"/>
      <c r="K3693" s="36"/>
    </row>
    <row r="3694" spans="7:11" ht="15.75" customHeight="1">
      <c r="G3694" s="36"/>
      <c r="H3694" s="36"/>
      <c r="I3694" s="36"/>
      <c r="J3694" s="36"/>
      <c r="K3694" s="36"/>
    </row>
    <row r="3695" spans="7:11" ht="15.75" customHeight="1">
      <c r="G3695" s="36"/>
      <c r="H3695" s="36"/>
      <c r="I3695" s="36"/>
      <c r="J3695" s="36"/>
      <c r="K3695" s="36"/>
    </row>
    <row r="3696" spans="7:11" ht="15.75" customHeight="1">
      <c r="G3696" s="36"/>
      <c r="H3696" s="36"/>
      <c r="I3696" s="36"/>
      <c r="J3696" s="36"/>
      <c r="K3696" s="36"/>
    </row>
    <row r="3697" spans="7:11" ht="15.75" customHeight="1">
      <c r="G3697" s="36"/>
      <c r="H3697" s="36"/>
      <c r="I3697" s="36"/>
      <c r="J3697" s="36"/>
      <c r="K3697" s="36"/>
    </row>
    <row r="3698" spans="7:11" ht="15.75" customHeight="1">
      <c r="G3698" s="36"/>
      <c r="H3698" s="36"/>
      <c r="I3698" s="36"/>
      <c r="J3698" s="36"/>
      <c r="K3698" s="36"/>
    </row>
    <row r="3699" spans="7:11" ht="15.75" customHeight="1">
      <c r="G3699" s="36"/>
      <c r="H3699" s="36"/>
      <c r="I3699" s="36"/>
      <c r="J3699" s="36"/>
      <c r="K3699" s="36"/>
    </row>
    <row r="3700" spans="7:11" ht="15.75" customHeight="1">
      <c r="G3700" s="36"/>
      <c r="H3700" s="36"/>
      <c r="I3700" s="36"/>
      <c r="J3700" s="36"/>
      <c r="K3700" s="36"/>
    </row>
    <row r="3701" spans="7:11" ht="15.75" customHeight="1">
      <c r="G3701" s="36"/>
      <c r="H3701" s="36"/>
      <c r="I3701" s="36"/>
      <c r="J3701" s="36"/>
      <c r="K3701" s="36"/>
    </row>
    <row r="3702" spans="7:11" ht="15.75" customHeight="1">
      <c r="G3702" s="36"/>
      <c r="H3702" s="36"/>
      <c r="I3702" s="36"/>
      <c r="J3702" s="36"/>
      <c r="K3702" s="36"/>
    </row>
    <row r="3703" spans="7:11" ht="15.75" customHeight="1">
      <c r="G3703" s="36"/>
      <c r="H3703" s="36"/>
      <c r="I3703" s="36"/>
      <c r="J3703" s="36"/>
      <c r="K3703" s="36"/>
    </row>
    <row r="3704" spans="7:11" ht="15.75" customHeight="1">
      <c r="G3704" s="36"/>
      <c r="H3704" s="36"/>
      <c r="I3704" s="36"/>
      <c r="J3704" s="36"/>
      <c r="K3704" s="36"/>
    </row>
    <row r="3705" spans="7:11" ht="15.75" customHeight="1">
      <c r="G3705" s="36"/>
      <c r="H3705" s="36"/>
      <c r="I3705" s="36"/>
      <c r="J3705" s="36"/>
      <c r="K3705" s="36"/>
    </row>
    <row r="3706" spans="7:11" ht="15.75" customHeight="1">
      <c r="G3706" s="36"/>
      <c r="H3706" s="36"/>
      <c r="I3706" s="36"/>
      <c r="J3706" s="36"/>
      <c r="K3706" s="36"/>
    </row>
    <row r="3707" spans="7:11" ht="15.75" customHeight="1">
      <c r="G3707" s="36"/>
      <c r="H3707" s="36"/>
      <c r="I3707" s="36"/>
      <c r="J3707" s="36"/>
      <c r="K3707" s="36"/>
    </row>
    <row r="3708" spans="7:11" ht="15.75" customHeight="1">
      <c r="G3708" s="36"/>
      <c r="H3708" s="36"/>
      <c r="I3708" s="36"/>
      <c r="J3708" s="36"/>
      <c r="K3708" s="36"/>
    </row>
    <row r="3709" spans="7:11" ht="15.75" customHeight="1">
      <c r="G3709" s="36"/>
      <c r="H3709" s="36"/>
      <c r="I3709" s="36"/>
      <c r="J3709" s="36"/>
      <c r="K3709" s="36"/>
    </row>
    <row r="3710" spans="7:11" ht="15.75" customHeight="1">
      <c r="G3710" s="36"/>
      <c r="H3710" s="36"/>
      <c r="I3710" s="36"/>
      <c r="J3710" s="36"/>
      <c r="K3710" s="36"/>
    </row>
    <row r="3711" spans="7:11" ht="15.75" customHeight="1">
      <c r="G3711" s="36"/>
      <c r="H3711" s="36"/>
      <c r="I3711" s="36"/>
      <c r="J3711" s="36"/>
      <c r="K3711" s="36"/>
    </row>
    <row r="3712" spans="7:11" ht="15.75" customHeight="1">
      <c r="G3712" s="36"/>
      <c r="H3712" s="36"/>
      <c r="I3712" s="36"/>
      <c r="J3712" s="36"/>
      <c r="K3712" s="36"/>
    </row>
    <row r="3713" spans="7:11" ht="15.75" customHeight="1">
      <c r="G3713" s="36"/>
      <c r="H3713" s="36"/>
      <c r="I3713" s="36"/>
      <c r="J3713" s="36"/>
      <c r="K3713" s="36"/>
    </row>
    <row r="3714" spans="7:11" ht="15.75" customHeight="1">
      <c r="G3714" s="36"/>
      <c r="H3714" s="36"/>
      <c r="I3714" s="36"/>
      <c r="J3714" s="36"/>
      <c r="K3714" s="36"/>
    </row>
    <row r="3715" spans="7:11" ht="15.75" customHeight="1">
      <c r="G3715" s="36"/>
      <c r="H3715" s="36"/>
      <c r="I3715" s="36"/>
      <c r="J3715" s="36"/>
      <c r="K3715" s="36"/>
    </row>
    <row r="3716" spans="7:11" ht="15.75" customHeight="1">
      <c r="G3716" s="36"/>
      <c r="H3716" s="36"/>
      <c r="I3716" s="36"/>
      <c r="J3716" s="36"/>
      <c r="K3716" s="36"/>
    </row>
    <row r="3717" spans="7:11" ht="15.75" customHeight="1">
      <c r="G3717" s="36"/>
      <c r="H3717" s="36"/>
      <c r="I3717" s="36"/>
      <c r="J3717" s="36"/>
      <c r="K3717" s="36"/>
    </row>
    <row r="3718" spans="7:11" ht="15.75" customHeight="1">
      <c r="G3718" s="36"/>
      <c r="H3718" s="36"/>
      <c r="I3718" s="36"/>
      <c r="J3718" s="36"/>
      <c r="K3718" s="36"/>
    </row>
    <row r="3719" spans="7:11" ht="15.75" customHeight="1">
      <c r="G3719" s="36"/>
      <c r="H3719" s="36"/>
      <c r="I3719" s="36"/>
      <c r="J3719" s="36"/>
      <c r="K3719" s="36"/>
    </row>
    <row r="3720" spans="7:11" ht="15.75" customHeight="1">
      <c r="G3720" s="36"/>
      <c r="H3720" s="36"/>
      <c r="I3720" s="36"/>
      <c r="J3720" s="36"/>
      <c r="K3720" s="36"/>
    </row>
    <row r="3721" spans="7:11" ht="15.75" customHeight="1">
      <c r="G3721" s="36"/>
      <c r="H3721" s="36"/>
      <c r="I3721" s="36"/>
      <c r="J3721" s="36"/>
      <c r="K3721" s="36"/>
    </row>
    <row r="3722" spans="7:11" ht="15.75" customHeight="1">
      <c r="G3722" s="36"/>
      <c r="H3722" s="36"/>
      <c r="I3722" s="36"/>
      <c r="J3722" s="36"/>
      <c r="K3722" s="36"/>
    </row>
    <row r="3723" spans="7:11" ht="15.75" customHeight="1">
      <c r="G3723" s="36"/>
      <c r="H3723" s="36"/>
      <c r="I3723" s="36"/>
      <c r="J3723" s="36"/>
      <c r="K3723" s="36"/>
    </row>
    <row r="3724" spans="7:11" ht="15.75" customHeight="1">
      <c r="G3724" s="36"/>
      <c r="H3724" s="36"/>
      <c r="I3724" s="36"/>
      <c r="J3724" s="36"/>
      <c r="K3724" s="36"/>
    </row>
    <row r="3725" spans="7:11" ht="15.75" customHeight="1">
      <c r="G3725" s="36"/>
      <c r="H3725" s="36"/>
      <c r="I3725" s="36"/>
      <c r="J3725" s="36"/>
      <c r="K3725" s="36"/>
    </row>
    <row r="3726" spans="7:11" ht="15.75" customHeight="1">
      <c r="G3726" s="36"/>
      <c r="H3726" s="36"/>
      <c r="I3726" s="36"/>
      <c r="J3726" s="36"/>
      <c r="K3726" s="36"/>
    </row>
    <row r="3727" spans="7:11" ht="15.75" customHeight="1">
      <c r="G3727" s="36"/>
      <c r="H3727" s="36"/>
      <c r="I3727" s="36"/>
      <c r="J3727" s="36"/>
      <c r="K3727" s="36"/>
    </row>
    <row r="3728" spans="7:11" ht="15.75" customHeight="1">
      <c r="G3728" s="36"/>
      <c r="H3728" s="36"/>
      <c r="I3728" s="36"/>
      <c r="J3728" s="36"/>
      <c r="K3728" s="36"/>
    </row>
    <row r="3729" spans="7:11" ht="15.75" customHeight="1">
      <c r="G3729" s="36"/>
      <c r="H3729" s="36"/>
      <c r="I3729" s="36"/>
      <c r="J3729" s="36"/>
      <c r="K3729" s="36"/>
    </row>
    <row r="3730" spans="7:11" ht="15.75" customHeight="1">
      <c r="G3730" s="36"/>
      <c r="H3730" s="36"/>
      <c r="I3730" s="36"/>
      <c r="J3730" s="36"/>
      <c r="K3730" s="36"/>
    </row>
    <row r="3731" spans="7:11" ht="15.75" customHeight="1">
      <c r="G3731" s="36"/>
      <c r="H3731" s="36"/>
      <c r="I3731" s="36"/>
      <c r="J3731" s="36"/>
      <c r="K3731" s="36"/>
    </row>
    <row r="3732" spans="7:11" ht="15.75" customHeight="1">
      <c r="G3732" s="36"/>
      <c r="H3732" s="36"/>
      <c r="I3732" s="36"/>
      <c r="J3732" s="36"/>
      <c r="K3732" s="36"/>
    </row>
    <row r="3733" spans="7:11" ht="15.75" customHeight="1">
      <c r="G3733" s="36"/>
      <c r="H3733" s="36"/>
      <c r="I3733" s="36"/>
      <c r="J3733" s="36"/>
      <c r="K3733" s="36"/>
    </row>
    <row r="3734" spans="7:11" ht="15.75" customHeight="1">
      <c r="G3734" s="36"/>
      <c r="H3734" s="36"/>
      <c r="I3734" s="36"/>
      <c r="J3734" s="36"/>
      <c r="K3734" s="36"/>
    </row>
    <row r="3735" spans="7:11" ht="15.75" customHeight="1">
      <c r="G3735" s="36"/>
      <c r="H3735" s="36"/>
      <c r="I3735" s="36"/>
      <c r="J3735" s="36"/>
      <c r="K3735" s="36"/>
    </row>
    <row r="3736" spans="7:11" ht="15.75" customHeight="1">
      <c r="G3736" s="36"/>
      <c r="H3736" s="36"/>
      <c r="I3736" s="36"/>
      <c r="J3736" s="36"/>
      <c r="K3736" s="36"/>
    </row>
    <row r="3737" spans="7:11" ht="15.75" customHeight="1">
      <c r="G3737" s="36"/>
      <c r="H3737" s="36"/>
      <c r="I3737" s="36"/>
      <c r="J3737" s="36"/>
      <c r="K3737" s="36"/>
    </row>
    <row r="3738" spans="7:11" ht="15.75" customHeight="1">
      <c r="G3738" s="36"/>
      <c r="H3738" s="36"/>
      <c r="I3738" s="36"/>
      <c r="J3738" s="36"/>
      <c r="K3738" s="36"/>
    </row>
    <row r="3739" spans="7:11" ht="15.75" customHeight="1">
      <c r="G3739" s="36"/>
      <c r="H3739" s="36"/>
      <c r="I3739" s="36"/>
      <c r="J3739" s="36"/>
      <c r="K3739" s="36"/>
    </row>
    <row r="3740" spans="7:11" ht="15.75" customHeight="1">
      <c r="G3740" s="36"/>
      <c r="H3740" s="36"/>
      <c r="I3740" s="36"/>
      <c r="J3740" s="36"/>
      <c r="K3740" s="36"/>
    </row>
    <row r="3741" spans="7:11" ht="15.75" customHeight="1">
      <c r="G3741" s="36"/>
      <c r="H3741" s="36"/>
      <c r="I3741" s="36"/>
      <c r="J3741" s="36"/>
      <c r="K3741" s="36"/>
    </row>
    <row r="3742" spans="7:11" ht="15.75" customHeight="1">
      <c r="G3742" s="36"/>
      <c r="H3742" s="36"/>
      <c r="I3742" s="36"/>
      <c r="J3742" s="36"/>
      <c r="K3742" s="36"/>
    </row>
    <row r="3743" spans="7:11" ht="15.75" customHeight="1">
      <c r="G3743" s="36"/>
      <c r="H3743" s="36"/>
      <c r="I3743" s="36"/>
      <c r="J3743" s="36"/>
      <c r="K3743" s="36"/>
    </row>
    <row r="3744" spans="7:11" ht="15.75" customHeight="1">
      <c r="G3744" s="36"/>
      <c r="H3744" s="36"/>
      <c r="I3744" s="36"/>
      <c r="J3744" s="36"/>
      <c r="K3744" s="36"/>
    </row>
    <row r="3745" spans="7:11" ht="15.75" customHeight="1">
      <c r="G3745" s="36"/>
      <c r="H3745" s="36"/>
      <c r="I3745" s="36"/>
      <c r="J3745" s="36"/>
      <c r="K3745" s="36"/>
    </row>
    <row r="3746" spans="7:11" ht="15.75" customHeight="1">
      <c r="G3746" s="36"/>
      <c r="H3746" s="36"/>
      <c r="I3746" s="36"/>
      <c r="J3746" s="36"/>
      <c r="K3746" s="36"/>
    </row>
    <row r="3747" spans="7:11" ht="15.75" customHeight="1">
      <c r="G3747" s="36"/>
      <c r="H3747" s="36"/>
      <c r="I3747" s="36"/>
      <c r="J3747" s="36"/>
      <c r="K3747" s="36"/>
    </row>
    <row r="3748" spans="7:11" ht="15.75" customHeight="1">
      <c r="G3748" s="36"/>
      <c r="H3748" s="36"/>
      <c r="I3748" s="36"/>
      <c r="J3748" s="36"/>
      <c r="K3748" s="36"/>
    </row>
    <row r="3749" spans="7:11" ht="15.75" customHeight="1">
      <c r="G3749" s="36"/>
      <c r="H3749" s="36"/>
      <c r="I3749" s="36"/>
      <c r="J3749" s="36"/>
      <c r="K3749" s="36"/>
    </row>
    <row r="3750" spans="7:11" ht="15.75" customHeight="1">
      <c r="G3750" s="36"/>
      <c r="H3750" s="36"/>
      <c r="I3750" s="36"/>
      <c r="J3750" s="36"/>
      <c r="K3750" s="36"/>
    </row>
    <row r="3751" spans="7:11" ht="15.75" customHeight="1">
      <c r="G3751" s="36"/>
      <c r="H3751" s="36"/>
      <c r="I3751" s="36"/>
      <c r="J3751" s="36"/>
      <c r="K3751" s="36"/>
    </row>
    <row r="3752" spans="7:11" ht="15.75" customHeight="1">
      <c r="G3752" s="36"/>
      <c r="H3752" s="36"/>
      <c r="I3752" s="36"/>
      <c r="J3752" s="36"/>
      <c r="K3752" s="36"/>
    </row>
    <row r="3753" spans="7:11" ht="15.75" customHeight="1">
      <c r="G3753" s="36"/>
      <c r="H3753" s="36"/>
      <c r="I3753" s="36"/>
      <c r="J3753" s="36"/>
      <c r="K3753" s="36"/>
    </row>
    <row r="3754" spans="7:11" ht="15.75" customHeight="1">
      <c r="G3754" s="36"/>
      <c r="H3754" s="36"/>
      <c r="I3754" s="36"/>
      <c r="J3754" s="36"/>
      <c r="K3754" s="36"/>
    </row>
    <row r="3755" spans="7:11" ht="15.75" customHeight="1">
      <c r="G3755" s="36"/>
      <c r="H3755" s="36"/>
      <c r="I3755" s="36"/>
      <c r="J3755" s="36"/>
      <c r="K3755" s="36"/>
    </row>
    <row r="3756" spans="7:11" ht="15.75" customHeight="1">
      <c r="G3756" s="36"/>
      <c r="H3756" s="36"/>
      <c r="I3756" s="36"/>
      <c r="J3756" s="36"/>
      <c r="K3756" s="36"/>
    </row>
    <row r="3757" spans="7:11" ht="15.75" customHeight="1">
      <c r="G3757" s="36"/>
      <c r="H3757" s="36"/>
      <c r="I3757" s="36"/>
      <c r="J3757" s="36"/>
      <c r="K3757" s="36"/>
    </row>
    <row r="3758" spans="7:11" ht="15.75" customHeight="1">
      <c r="G3758" s="36"/>
      <c r="H3758" s="36"/>
      <c r="I3758" s="36"/>
      <c r="J3758" s="36"/>
      <c r="K3758" s="36"/>
    </row>
    <row r="3759" spans="7:11" ht="15.75" customHeight="1">
      <c r="G3759" s="36"/>
      <c r="H3759" s="36"/>
      <c r="I3759" s="36"/>
      <c r="J3759" s="36"/>
      <c r="K3759" s="36"/>
    </row>
    <row r="3760" spans="7:11" ht="15.75" customHeight="1">
      <c r="G3760" s="36"/>
      <c r="H3760" s="36"/>
      <c r="I3760" s="36"/>
      <c r="J3760" s="36"/>
      <c r="K3760" s="36"/>
    </row>
    <row r="3761" spans="7:11" ht="15.75" customHeight="1">
      <c r="G3761" s="36"/>
      <c r="H3761" s="36"/>
      <c r="I3761" s="36"/>
      <c r="J3761" s="36"/>
      <c r="K3761" s="36"/>
    </row>
    <row r="3762" spans="7:11" ht="15.75" customHeight="1">
      <c r="G3762" s="36"/>
      <c r="H3762" s="36"/>
      <c r="I3762" s="36"/>
      <c r="J3762" s="36"/>
      <c r="K3762" s="36"/>
    </row>
    <row r="3763" spans="7:11" ht="15.75" customHeight="1">
      <c r="G3763" s="36"/>
      <c r="H3763" s="36"/>
      <c r="I3763" s="36"/>
      <c r="J3763" s="36"/>
      <c r="K3763" s="36"/>
    </row>
    <row r="3764" spans="7:11" ht="15.75" customHeight="1">
      <c r="G3764" s="36"/>
      <c r="H3764" s="36"/>
      <c r="I3764" s="36"/>
      <c r="J3764" s="36"/>
      <c r="K3764" s="36"/>
    </row>
    <row r="3765" spans="7:11" ht="15.75" customHeight="1">
      <c r="G3765" s="36"/>
      <c r="H3765" s="36"/>
      <c r="I3765" s="36"/>
      <c r="J3765" s="36"/>
      <c r="K3765" s="36"/>
    </row>
    <row r="3766" spans="7:11" ht="15.75" customHeight="1">
      <c r="G3766" s="36"/>
      <c r="H3766" s="36"/>
      <c r="I3766" s="36"/>
      <c r="J3766" s="36"/>
      <c r="K3766" s="36"/>
    </row>
    <row r="3767" spans="7:11" ht="15.75" customHeight="1">
      <c r="G3767" s="36"/>
      <c r="H3767" s="36"/>
      <c r="I3767" s="36"/>
      <c r="J3767" s="36"/>
      <c r="K3767" s="36"/>
    </row>
    <row r="3768" spans="7:11" ht="15.75" customHeight="1">
      <c r="G3768" s="36"/>
      <c r="H3768" s="36"/>
      <c r="I3768" s="36"/>
      <c r="J3768" s="36"/>
      <c r="K3768" s="36"/>
    </row>
    <row r="3769" spans="7:11" ht="15.75" customHeight="1">
      <c r="G3769" s="36"/>
      <c r="H3769" s="36"/>
      <c r="I3769" s="36"/>
      <c r="J3769" s="36"/>
      <c r="K3769" s="36"/>
    </row>
    <row r="3770" spans="7:11" ht="15.75" customHeight="1">
      <c r="G3770" s="36"/>
      <c r="H3770" s="36"/>
      <c r="I3770" s="36"/>
      <c r="J3770" s="36"/>
      <c r="K3770" s="36"/>
    </row>
    <row r="3771" spans="7:11" ht="15.75" customHeight="1">
      <c r="G3771" s="36"/>
      <c r="H3771" s="36"/>
      <c r="I3771" s="36"/>
      <c r="J3771" s="36"/>
      <c r="K3771" s="36"/>
    </row>
    <row r="3772" spans="7:11" ht="15.75" customHeight="1">
      <c r="G3772" s="36"/>
      <c r="H3772" s="36"/>
      <c r="I3772" s="36"/>
      <c r="J3772" s="36"/>
      <c r="K3772" s="36"/>
    </row>
    <row r="3773" spans="7:11" ht="15.75" customHeight="1">
      <c r="G3773" s="36"/>
      <c r="H3773" s="36"/>
      <c r="I3773" s="36"/>
      <c r="J3773" s="36"/>
      <c r="K3773" s="36"/>
    </row>
    <row r="3774" spans="7:11" ht="15.75" customHeight="1">
      <c r="G3774" s="36"/>
      <c r="H3774" s="36"/>
      <c r="I3774" s="36"/>
      <c r="J3774" s="36"/>
      <c r="K3774" s="36"/>
    </row>
    <row r="3775" spans="7:11" ht="15.75" customHeight="1">
      <c r="G3775" s="36"/>
      <c r="H3775" s="36"/>
      <c r="I3775" s="36"/>
      <c r="J3775" s="36"/>
      <c r="K3775" s="36"/>
    </row>
    <row r="3776" spans="7:11" ht="15.75" customHeight="1">
      <c r="G3776" s="36"/>
      <c r="H3776" s="36"/>
      <c r="I3776" s="36"/>
      <c r="J3776" s="36"/>
      <c r="K3776" s="36"/>
    </row>
    <row r="3777" spans="7:11" ht="15.75" customHeight="1">
      <c r="G3777" s="36"/>
      <c r="H3777" s="36"/>
      <c r="I3777" s="36"/>
      <c r="J3777" s="36"/>
      <c r="K3777" s="36"/>
    </row>
    <row r="3778" spans="7:11" ht="15.75" customHeight="1">
      <c r="G3778" s="36"/>
      <c r="H3778" s="36"/>
      <c r="I3778" s="36"/>
      <c r="J3778" s="36"/>
      <c r="K3778" s="36"/>
    </row>
    <row r="3779" spans="7:11" ht="15.75" customHeight="1">
      <c r="G3779" s="36"/>
      <c r="H3779" s="36"/>
      <c r="I3779" s="36"/>
      <c r="J3779" s="36"/>
      <c r="K3779" s="36"/>
    </row>
    <row r="3780" spans="7:11" ht="15.75" customHeight="1">
      <c r="G3780" s="36"/>
      <c r="H3780" s="36"/>
      <c r="I3780" s="36"/>
      <c r="J3780" s="36"/>
      <c r="K3780" s="36"/>
    </row>
    <row r="3781" spans="7:11" ht="15.75" customHeight="1">
      <c r="G3781" s="36"/>
      <c r="H3781" s="36"/>
      <c r="I3781" s="36"/>
      <c r="J3781" s="36"/>
      <c r="K3781" s="36"/>
    </row>
    <row r="3782" spans="7:11" ht="15.75" customHeight="1">
      <c r="G3782" s="36"/>
      <c r="H3782" s="36"/>
      <c r="I3782" s="36"/>
      <c r="J3782" s="36"/>
      <c r="K3782" s="36"/>
    </row>
    <row r="3783" spans="7:11" ht="15.75" customHeight="1">
      <c r="G3783" s="36"/>
      <c r="H3783" s="36"/>
      <c r="I3783" s="36"/>
      <c r="J3783" s="36"/>
      <c r="K3783" s="36"/>
    </row>
    <row r="3784" spans="7:11" ht="15.75" customHeight="1">
      <c r="G3784" s="36"/>
      <c r="H3784" s="36"/>
      <c r="I3784" s="36"/>
      <c r="J3784" s="36"/>
      <c r="K3784" s="36"/>
    </row>
    <row r="3785" spans="7:11" ht="15.75" customHeight="1">
      <c r="G3785" s="36"/>
      <c r="H3785" s="36"/>
      <c r="I3785" s="36"/>
      <c r="J3785" s="36"/>
      <c r="K3785" s="36"/>
    </row>
    <row r="3786" spans="7:11" ht="15.75" customHeight="1">
      <c r="G3786" s="36"/>
      <c r="H3786" s="36"/>
      <c r="I3786" s="36"/>
      <c r="J3786" s="36"/>
      <c r="K3786" s="36"/>
    </row>
    <row r="3787" spans="7:11" ht="15.75" customHeight="1">
      <c r="G3787" s="36"/>
      <c r="H3787" s="36"/>
      <c r="I3787" s="36"/>
      <c r="J3787" s="36"/>
      <c r="K3787" s="36"/>
    </row>
    <row r="3788" spans="7:11" ht="15.75" customHeight="1">
      <c r="G3788" s="36"/>
      <c r="H3788" s="36"/>
      <c r="I3788" s="36"/>
      <c r="J3788" s="36"/>
      <c r="K3788" s="36"/>
    </row>
    <row r="3789" spans="7:11" ht="15.75" customHeight="1">
      <c r="G3789" s="36"/>
      <c r="H3789" s="36"/>
      <c r="I3789" s="36"/>
      <c r="J3789" s="36"/>
      <c r="K3789" s="36"/>
    </row>
    <row r="3790" spans="7:11" ht="15.75" customHeight="1">
      <c r="G3790" s="36"/>
      <c r="H3790" s="36"/>
      <c r="I3790" s="36"/>
      <c r="J3790" s="36"/>
      <c r="K3790" s="36"/>
    </row>
    <row r="3791" spans="7:11" ht="15.75" customHeight="1">
      <c r="G3791" s="36"/>
      <c r="H3791" s="36"/>
      <c r="I3791" s="36"/>
      <c r="J3791" s="36"/>
      <c r="K3791" s="36"/>
    </row>
    <row r="3792" spans="7:11" ht="15.75" customHeight="1">
      <c r="G3792" s="36"/>
      <c r="H3792" s="36"/>
      <c r="I3792" s="36"/>
      <c r="J3792" s="36"/>
      <c r="K3792" s="36"/>
    </row>
    <row r="3793" spans="7:11" ht="15.75" customHeight="1">
      <c r="G3793" s="36"/>
      <c r="H3793" s="36"/>
      <c r="I3793" s="36"/>
      <c r="J3793" s="36"/>
      <c r="K3793" s="36"/>
    </row>
    <row r="3794" spans="7:11" ht="15.75" customHeight="1">
      <c r="G3794" s="36"/>
      <c r="H3794" s="36"/>
      <c r="I3794" s="36"/>
      <c r="J3794" s="36"/>
      <c r="K3794" s="36"/>
    </row>
    <row r="3795" spans="7:11" ht="15.75" customHeight="1">
      <c r="G3795" s="36"/>
      <c r="H3795" s="36"/>
      <c r="I3795" s="36"/>
      <c r="J3795" s="36"/>
      <c r="K3795" s="36"/>
    </row>
    <row r="3796" spans="7:11" ht="15.75" customHeight="1">
      <c r="G3796" s="36"/>
      <c r="H3796" s="36"/>
      <c r="I3796" s="36"/>
      <c r="J3796" s="36"/>
      <c r="K3796" s="36"/>
    </row>
    <row r="3797" spans="7:11" ht="15.75" customHeight="1">
      <c r="G3797" s="36"/>
      <c r="H3797" s="36"/>
      <c r="I3797" s="36"/>
      <c r="J3797" s="36"/>
      <c r="K3797" s="36"/>
    </row>
    <row r="3798" spans="7:11" ht="15.75" customHeight="1">
      <c r="G3798" s="36"/>
      <c r="H3798" s="36"/>
      <c r="I3798" s="36"/>
      <c r="J3798" s="36"/>
      <c r="K3798" s="36"/>
    </row>
    <row r="3799" spans="7:11" ht="15.75" customHeight="1">
      <c r="G3799" s="36"/>
      <c r="H3799" s="36"/>
      <c r="I3799" s="36"/>
      <c r="J3799" s="36"/>
      <c r="K3799" s="36"/>
    </row>
    <row r="3800" spans="7:11" ht="15.75" customHeight="1">
      <c r="G3800" s="36"/>
      <c r="H3800" s="36"/>
      <c r="I3800" s="36"/>
      <c r="J3800" s="36"/>
      <c r="K3800" s="36"/>
    </row>
    <row r="3801" spans="7:11" ht="15.75" customHeight="1">
      <c r="G3801" s="36"/>
      <c r="H3801" s="36"/>
      <c r="I3801" s="36"/>
      <c r="J3801" s="36"/>
      <c r="K3801" s="36"/>
    </row>
    <row r="3802" spans="7:11" ht="15.75" customHeight="1">
      <c r="G3802" s="36"/>
      <c r="H3802" s="36"/>
      <c r="I3802" s="36"/>
      <c r="J3802" s="36"/>
      <c r="K3802" s="36"/>
    </row>
    <row r="3803" spans="7:11" ht="15.75" customHeight="1">
      <c r="G3803" s="36"/>
      <c r="H3803" s="36"/>
      <c r="I3803" s="36"/>
      <c r="J3803" s="36"/>
      <c r="K3803" s="36"/>
    </row>
    <row r="3804" spans="7:11" ht="15.75" customHeight="1">
      <c r="G3804" s="36"/>
      <c r="H3804" s="36"/>
      <c r="I3804" s="36"/>
      <c r="J3804" s="36"/>
      <c r="K3804" s="36"/>
    </row>
    <row r="3805" spans="7:11" ht="15.75" customHeight="1">
      <c r="G3805" s="36"/>
      <c r="H3805" s="36"/>
      <c r="I3805" s="36"/>
      <c r="J3805" s="36"/>
      <c r="K3805" s="36"/>
    </row>
    <row r="3806" spans="7:11" ht="15.75" customHeight="1">
      <c r="G3806" s="36"/>
      <c r="H3806" s="36"/>
      <c r="I3806" s="36"/>
      <c r="J3806" s="36"/>
      <c r="K3806" s="36"/>
    </row>
    <row r="3807" spans="7:11" ht="15.75" customHeight="1">
      <c r="G3807" s="36"/>
      <c r="H3807" s="36"/>
      <c r="I3807" s="36"/>
      <c r="J3807" s="36"/>
      <c r="K3807" s="36"/>
    </row>
    <row r="3808" spans="7:11" ht="15.75" customHeight="1">
      <c r="G3808" s="36"/>
      <c r="H3808" s="36"/>
      <c r="I3808" s="36"/>
      <c r="J3808" s="36"/>
      <c r="K3808" s="36"/>
    </row>
    <row r="3809" spans="7:11" ht="15.75" customHeight="1">
      <c r="G3809" s="36"/>
      <c r="H3809" s="36"/>
      <c r="I3809" s="36"/>
      <c r="J3809" s="36"/>
      <c r="K3809" s="36"/>
    </row>
    <row r="3810" spans="7:11" ht="15.75" customHeight="1">
      <c r="G3810" s="36"/>
      <c r="H3810" s="36"/>
      <c r="I3810" s="36"/>
      <c r="J3810" s="36"/>
      <c r="K3810" s="36"/>
    </row>
    <row r="3811" spans="7:11" ht="15.75" customHeight="1">
      <c r="G3811" s="36"/>
      <c r="H3811" s="36"/>
      <c r="I3811" s="36"/>
      <c r="J3811" s="36"/>
      <c r="K3811" s="36"/>
    </row>
    <row r="3812" spans="7:11" ht="15.75" customHeight="1">
      <c r="G3812" s="36"/>
      <c r="H3812" s="36"/>
      <c r="I3812" s="36"/>
      <c r="J3812" s="36"/>
      <c r="K3812" s="36"/>
    </row>
    <row r="3813" spans="7:11" ht="15.75" customHeight="1">
      <c r="G3813" s="36"/>
      <c r="H3813" s="36"/>
      <c r="I3813" s="36"/>
      <c r="J3813" s="36"/>
      <c r="K3813" s="36"/>
    </row>
    <row r="3814" spans="7:11" ht="15.75" customHeight="1">
      <c r="G3814" s="36"/>
      <c r="H3814" s="36"/>
      <c r="I3814" s="36"/>
      <c r="J3814" s="36"/>
      <c r="K3814" s="36"/>
    </row>
    <row r="3815" spans="7:11" ht="15.75" customHeight="1">
      <c r="G3815" s="36"/>
      <c r="H3815" s="36"/>
      <c r="I3815" s="36"/>
      <c r="J3815" s="36"/>
      <c r="K3815" s="36"/>
    </row>
    <row r="3816" spans="7:11" ht="15.75" customHeight="1">
      <c r="G3816" s="36"/>
      <c r="H3816" s="36"/>
      <c r="I3816" s="36"/>
      <c r="J3816" s="36"/>
      <c r="K3816" s="36"/>
    </row>
    <row r="3817" spans="7:11" ht="15.75" customHeight="1">
      <c r="G3817" s="36"/>
      <c r="H3817" s="36"/>
      <c r="I3817" s="36"/>
      <c r="J3817" s="36"/>
      <c r="K3817" s="36"/>
    </row>
    <row r="3818" spans="7:11" ht="15.75" customHeight="1">
      <c r="G3818" s="36"/>
      <c r="H3818" s="36"/>
      <c r="I3818" s="36"/>
      <c r="J3818" s="36"/>
      <c r="K3818" s="36"/>
    </row>
    <row r="3819" spans="7:11" ht="15.75" customHeight="1">
      <c r="G3819" s="36"/>
      <c r="H3819" s="36"/>
      <c r="I3819" s="36"/>
      <c r="J3819" s="36"/>
      <c r="K3819" s="36"/>
    </row>
    <row r="3820" spans="7:11" ht="15.75" customHeight="1">
      <c r="G3820" s="36"/>
      <c r="H3820" s="36"/>
      <c r="I3820" s="36"/>
      <c r="J3820" s="36"/>
      <c r="K3820" s="36"/>
    </row>
    <row r="3821" spans="7:11" ht="15.75" customHeight="1">
      <c r="G3821" s="36"/>
      <c r="H3821" s="36"/>
      <c r="I3821" s="36"/>
      <c r="J3821" s="36"/>
      <c r="K3821" s="36"/>
    </row>
    <row r="3822" spans="7:11" ht="15.75" customHeight="1">
      <c r="G3822" s="36"/>
      <c r="H3822" s="36"/>
      <c r="I3822" s="36"/>
      <c r="J3822" s="36"/>
      <c r="K3822" s="36"/>
    </row>
    <row r="3823" spans="7:11" ht="15.75" customHeight="1">
      <c r="G3823" s="36"/>
      <c r="H3823" s="36"/>
      <c r="I3823" s="36"/>
      <c r="J3823" s="36"/>
      <c r="K3823" s="36"/>
    </row>
    <row r="3824" spans="7:11" ht="15.75" customHeight="1">
      <c r="G3824" s="36"/>
      <c r="H3824" s="36"/>
      <c r="I3824" s="36"/>
      <c r="J3824" s="36"/>
      <c r="K3824" s="36"/>
    </row>
    <row r="3825" spans="7:11" ht="15.75" customHeight="1">
      <c r="G3825" s="36"/>
      <c r="H3825" s="36"/>
      <c r="I3825" s="36"/>
      <c r="J3825" s="36"/>
      <c r="K3825" s="36"/>
    </row>
    <row r="3826" spans="7:11" ht="15.75" customHeight="1">
      <c r="G3826" s="36"/>
      <c r="H3826" s="36"/>
      <c r="I3826" s="36"/>
      <c r="J3826" s="36"/>
      <c r="K3826" s="36"/>
    </row>
    <row r="3827" spans="7:11" ht="15.75" customHeight="1">
      <c r="G3827" s="36"/>
      <c r="H3827" s="36"/>
      <c r="I3827" s="36"/>
      <c r="J3827" s="36"/>
      <c r="K3827" s="36"/>
    </row>
    <row r="3828" spans="7:11" ht="15.75" customHeight="1">
      <c r="G3828" s="36"/>
      <c r="H3828" s="36"/>
      <c r="I3828" s="36"/>
      <c r="J3828" s="36"/>
      <c r="K3828" s="36"/>
    </row>
    <row r="3829" spans="7:11" ht="15.75" customHeight="1">
      <c r="G3829" s="36"/>
      <c r="H3829" s="36"/>
      <c r="I3829" s="36"/>
      <c r="J3829" s="36"/>
      <c r="K3829" s="36"/>
    </row>
    <row r="3830" spans="7:11" ht="15.75" customHeight="1">
      <c r="G3830" s="36"/>
      <c r="H3830" s="36"/>
      <c r="I3830" s="36"/>
      <c r="J3830" s="36"/>
      <c r="K3830" s="36"/>
    </row>
    <row r="3831" spans="7:11" ht="15.75" customHeight="1">
      <c r="G3831" s="36"/>
      <c r="H3831" s="36"/>
      <c r="I3831" s="36"/>
      <c r="J3831" s="36"/>
      <c r="K3831" s="36"/>
    </row>
    <row r="3832" spans="7:11" ht="15.75" customHeight="1">
      <c r="G3832" s="36"/>
      <c r="H3832" s="36"/>
      <c r="I3832" s="36"/>
      <c r="J3832" s="36"/>
      <c r="K3832" s="36"/>
    </row>
    <row r="3833" spans="7:11" ht="15.75" customHeight="1">
      <c r="G3833" s="36"/>
      <c r="H3833" s="36"/>
      <c r="I3833" s="36"/>
      <c r="J3833" s="36"/>
      <c r="K3833" s="36"/>
    </row>
    <row r="3834" spans="7:11" ht="15.75" customHeight="1">
      <c r="G3834" s="36"/>
      <c r="H3834" s="36"/>
      <c r="I3834" s="36"/>
      <c r="J3834" s="36"/>
      <c r="K3834" s="36"/>
    </row>
    <row r="3835" spans="7:11" ht="15.75" customHeight="1">
      <c r="G3835" s="36"/>
      <c r="H3835" s="36"/>
      <c r="I3835" s="36"/>
      <c r="J3835" s="36"/>
      <c r="K3835" s="36"/>
    </row>
    <row r="3836" spans="7:11" ht="15.75" customHeight="1">
      <c r="G3836" s="36"/>
      <c r="H3836" s="36"/>
      <c r="I3836" s="36"/>
      <c r="J3836" s="36"/>
      <c r="K3836" s="36"/>
    </row>
    <row r="3837" spans="7:11" ht="15.75" customHeight="1">
      <c r="G3837" s="36"/>
      <c r="H3837" s="36"/>
      <c r="I3837" s="36"/>
      <c r="J3837" s="36"/>
      <c r="K3837" s="36"/>
    </row>
    <row r="3838" spans="7:11" ht="15.75" customHeight="1">
      <c r="G3838" s="36"/>
      <c r="H3838" s="36"/>
      <c r="I3838" s="36"/>
      <c r="J3838" s="36"/>
      <c r="K3838" s="36"/>
    </row>
    <row r="3839" spans="7:11" ht="15.75" customHeight="1">
      <c r="G3839" s="36"/>
      <c r="H3839" s="36"/>
      <c r="I3839" s="36"/>
      <c r="J3839" s="36"/>
      <c r="K3839" s="36"/>
    </row>
    <row r="3840" spans="7:11" ht="15.75" customHeight="1">
      <c r="G3840" s="36"/>
      <c r="H3840" s="36"/>
      <c r="I3840" s="36"/>
      <c r="J3840" s="36"/>
      <c r="K3840" s="36"/>
    </row>
    <row r="3841" spans="7:11" ht="15.75" customHeight="1">
      <c r="G3841" s="36"/>
      <c r="H3841" s="36"/>
      <c r="I3841" s="36"/>
      <c r="J3841" s="36"/>
      <c r="K3841" s="36"/>
    </row>
    <row r="3842" spans="7:11" ht="15.75" customHeight="1">
      <c r="G3842" s="36"/>
      <c r="H3842" s="36"/>
      <c r="I3842" s="36"/>
      <c r="J3842" s="36"/>
      <c r="K3842" s="36"/>
    </row>
    <row r="3843" spans="7:11" ht="15.75" customHeight="1">
      <c r="G3843" s="36"/>
      <c r="H3843" s="36"/>
      <c r="I3843" s="36"/>
      <c r="J3843" s="36"/>
      <c r="K3843" s="36"/>
    </row>
    <row r="3844" spans="7:11" ht="15.75" customHeight="1">
      <c r="G3844" s="36"/>
      <c r="H3844" s="36"/>
      <c r="I3844" s="36"/>
      <c r="J3844" s="36"/>
      <c r="K3844" s="36"/>
    </row>
    <row r="3845" spans="7:11" ht="15.75" customHeight="1">
      <c r="G3845" s="36"/>
      <c r="H3845" s="36"/>
      <c r="I3845" s="36"/>
      <c r="J3845" s="36"/>
      <c r="K3845" s="36"/>
    </row>
    <row r="3846" spans="7:11" ht="15.75" customHeight="1">
      <c r="G3846" s="36"/>
      <c r="H3846" s="36"/>
      <c r="I3846" s="36"/>
      <c r="J3846" s="36"/>
      <c r="K3846" s="36"/>
    </row>
    <row r="3847" spans="7:11" ht="15.75" customHeight="1">
      <c r="G3847" s="36"/>
      <c r="H3847" s="36"/>
      <c r="I3847" s="36"/>
      <c r="J3847" s="36"/>
      <c r="K3847" s="36"/>
    </row>
    <row r="3848" spans="7:11" ht="15.75" customHeight="1">
      <c r="G3848" s="36"/>
      <c r="H3848" s="36"/>
      <c r="I3848" s="36"/>
      <c r="J3848" s="36"/>
      <c r="K3848" s="36"/>
    </row>
    <row r="3849" spans="7:11" ht="15.75" customHeight="1">
      <c r="G3849" s="36"/>
      <c r="H3849" s="36"/>
      <c r="I3849" s="36"/>
      <c r="J3849" s="36"/>
      <c r="K3849" s="36"/>
    </row>
    <row r="3850" spans="7:11" ht="15.75" customHeight="1">
      <c r="G3850" s="36"/>
      <c r="H3850" s="36"/>
      <c r="I3850" s="36"/>
      <c r="J3850" s="36"/>
      <c r="K3850" s="36"/>
    </row>
    <row r="3851" spans="7:11" ht="15.75" customHeight="1">
      <c r="G3851" s="36"/>
      <c r="H3851" s="36"/>
      <c r="I3851" s="36"/>
      <c r="J3851" s="36"/>
      <c r="K3851" s="36"/>
    </row>
    <row r="3852" spans="7:11" ht="15.75" customHeight="1">
      <c r="G3852" s="36"/>
      <c r="H3852" s="36"/>
      <c r="I3852" s="36"/>
      <c r="J3852" s="36"/>
      <c r="K3852" s="36"/>
    </row>
    <row r="3853" spans="7:11" ht="15.75" customHeight="1">
      <c r="G3853" s="36"/>
      <c r="H3853" s="36"/>
      <c r="I3853" s="36"/>
      <c r="J3853" s="36"/>
      <c r="K3853" s="36"/>
    </row>
    <row r="3854" spans="7:11" ht="15.75" customHeight="1">
      <c r="G3854" s="36"/>
      <c r="H3854" s="36"/>
      <c r="I3854" s="36"/>
      <c r="J3854" s="36"/>
      <c r="K3854" s="36"/>
    </row>
    <row r="3855" spans="7:11" ht="15.75" customHeight="1">
      <c r="G3855" s="36"/>
      <c r="H3855" s="36"/>
      <c r="I3855" s="36"/>
      <c r="J3855" s="36"/>
      <c r="K3855" s="36"/>
    </row>
    <row r="3856" spans="7:11" ht="15.75" customHeight="1">
      <c r="G3856" s="36"/>
      <c r="H3856" s="36"/>
      <c r="I3856" s="36"/>
      <c r="J3856" s="36"/>
      <c r="K3856" s="36"/>
    </row>
    <row r="3857" spans="7:11" ht="15.75" customHeight="1">
      <c r="G3857" s="36"/>
      <c r="H3857" s="36"/>
      <c r="I3857" s="36"/>
      <c r="J3857" s="36"/>
      <c r="K3857" s="36"/>
    </row>
    <row r="3858" spans="7:11" ht="15.75" customHeight="1">
      <c r="G3858" s="36"/>
      <c r="H3858" s="36"/>
      <c r="I3858" s="36"/>
      <c r="J3858" s="36"/>
      <c r="K3858" s="36"/>
    </row>
    <row r="3859" spans="7:11" ht="15.75" customHeight="1">
      <c r="G3859" s="36"/>
      <c r="H3859" s="36"/>
      <c r="I3859" s="36"/>
      <c r="J3859" s="36"/>
      <c r="K3859" s="36"/>
    </row>
    <row r="3860" spans="7:11" ht="15.75" customHeight="1">
      <c r="G3860" s="36"/>
      <c r="H3860" s="36"/>
      <c r="I3860" s="36"/>
      <c r="J3860" s="36"/>
      <c r="K3860" s="36"/>
    </row>
    <row r="3861" spans="7:11" ht="15.75" customHeight="1">
      <c r="G3861" s="36"/>
      <c r="H3861" s="36"/>
      <c r="I3861" s="36"/>
      <c r="J3861" s="36"/>
      <c r="K3861" s="36"/>
    </row>
    <row r="3862" spans="7:11" ht="15.75" customHeight="1">
      <c r="G3862" s="36"/>
      <c r="H3862" s="36"/>
      <c r="I3862" s="36"/>
      <c r="J3862" s="36"/>
      <c r="K3862" s="36"/>
    </row>
    <row r="3863" spans="7:11" ht="15.75" customHeight="1">
      <c r="G3863" s="36"/>
      <c r="H3863" s="36"/>
      <c r="I3863" s="36"/>
      <c r="J3863" s="36"/>
      <c r="K3863" s="36"/>
    </row>
    <row r="3864" spans="7:11" ht="15.75" customHeight="1">
      <c r="G3864" s="36"/>
      <c r="H3864" s="36"/>
      <c r="I3864" s="36"/>
      <c r="J3864" s="36"/>
      <c r="K3864" s="36"/>
    </row>
    <row r="3865" spans="7:11" ht="15.75" customHeight="1">
      <c r="G3865" s="36"/>
      <c r="H3865" s="36"/>
      <c r="I3865" s="36"/>
      <c r="J3865" s="36"/>
      <c r="K3865" s="36"/>
    </row>
    <row r="3866" spans="7:11" ht="15.75" customHeight="1">
      <c r="G3866" s="36"/>
      <c r="H3866" s="36"/>
      <c r="I3866" s="36"/>
      <c r="J3866" s="36"/>
      <c r="K3866" s="36"/>
    </row>
    <row r="3867" spans="7:11" ht="15.75" customHeight="1">
      <c r="G3867" s="36"/>
      <c r="H3867" s="36"/>
      <c r="I3867" s="36"/>
      <c r="J3867" s="36"/>
      <c r="K3867" s="36"/>
    </row>
    <row r="3868" spans="7:11" ht="15.75" customHeight="1">
      <c r="G3868" s="36"/>
      <c r="H3868" s="36"/>
      <c r="I3868" s="36"/>
      <c r="J3868" s="36"/>
      <c r="K3868" s="36"/>
    </row>
    <row r="3869" spans="7:11" ht="15.75" customHeight="1">
      <c r="G3869" s="36"/>
      <c r="H3869" s="36"/>
      <c r="I3869" s="36"/>
      <c r="J3869" s="36"/>
      <c r="K3869" s="36"/>
    </row>
    <row r="3870" spans="7:11" ht="15.75" customHeight="1">
      <c r="G3870" s="36"/>
      <c r="H3870" s="36"/>
      <c r="I3870" s="36"/>
      <c r="J3870" s="36"/>
      <c r="K3870" s="36"/>
    </row>
    <row r="3871" spans="7:11" ht="15.75" customHeight="1">
      <c r="G3871" s="36"/>
      <c r="H3871" s="36"/>
      <c r="I3871" s="36"/>
      <c r="J3871" s="36"/>
      <c r="K3871" s="36"/>
    </row>
    <row r="3872" spans="7:11" ht="15.75" customHeight="1">
      <c r="G3872" s="36"/>
      <c r="H3872" s="36"/>
      <c r="I3872" s="36"/>
      <c r="J3872" s="36"/>
      <c r="K3872" s="36"/>
    </row>
    <row r="3873" spans="7:11" ht="15.75" customHeight="1">
      <c r="G3873" s="36"/>
      <c r="H3873" s="36"/>
      <c r="I3873" s="36"/>
      <c r="J3873" s="36"/>
      <c r="K3873" s="36"/>
    </row>
    <row r="3874" spans="7:11" ht="15.75" customHeight="1">
      <c r="G3874" s="36"/>
      <c r="H3874" s="36"/>
      <c r="I3874" s="36"/>
      <c r="J3874" s="36"/>
      <c r="K3874" s="36"/>
    </row>
    <row r="3875" spans="7:11" ht="15.75" customHeight="1">
      <c r="G3875" s="36"/>
      <c r="H3875" s="36"/>
      <c r="I3875" s="36"/>
      <c r="J3875" s="36"/>
      <c r="K3875" s="36"/>
    </row>
    <row r="3876" spans="7:11" ht="15.75" customHeight="1">
      <c r="G3876" s="36"/>
      <c r="H3876" s="36"/>
      <c r="I3876" s="36"/>
      <c r="J3876" s="36"/>
      <c r="K3876" s="36"/>
    </row>
    <row r="3877" spans="7:11" ht="15.75" customHeight="1">
      <c r="G3877" s="36"/>
      <c r="H3877" s="36"/>
      <c r="I3877" s="36"/>
      <c r="J3877" s="36"/>
      <c r="K3877" s="36"/>
    </row>
    <row r="3878" spans="7:11" ht="15.75" customHeight="1">
      <c r="G3878" s="36"/>
      <c r="H3878" s="36"/>
      <c r="I3878" s="36"/>
      <c r="J3878" s="36"/>
      <c r="K3878" s="36"/>
    </row>
    <row r="3879" spans="7:11" ht="15.75" customHeight="1">
      <c r="G3879" s="36"/>
      <c r="H3879" s="36"/>
      <c r="I3879" s="36"/>
      <c r="J3879" s="36"/>
      <c r="K3879" s="36"/>
    </row>
    <row r="3880" spans="7:11" ht="15.75" customHeight="1">
      <c r="G3880" s="36"/>
      <c r="H3880" s="36"/>
      <c r="I3880" s="36"/>
      <c r="J3880" s="36"/>
      <c r="K3880" s="36"/>
    </row>
    <row r="3881" spans="7:11" ht="15.75" customHeight="1">
      <c r="G3881" s="36"/>
      <c r="H3881" s="36"/>
      <c r="I3881" s="36"/>
      <c r="J3881" s="36"/>
      <c r="K3881" s="36"/>
    </row>
    <row r="3882" spans="7:11" ht="15.75" customHeight="1">
      <c r="G3882" s="36"/>
      <c r="H3882" s="36"/>
      <c r="I3882" s="36"/>
      <c r="J3882" s="36"/>
      <c r="K3882" s="36"/>
    </row>
    <row r="3883" spans="7:11" ht="15.75" customHeight="1">
      <c r="G3883" s="36"/>
      <c r="H3883" s="36"/>
      <c r="I3883" s="36"/>
      <c r="J3883" s="36"/>
      <c r="K3883" s="36"/>
    </row>
    <row r="3884" spans="7:11" ht="15.75" customHeight="1">
      <c r="G3884" s="36"/>
      <c r="H3884" s="36"/>
      <c r="I3884" s="36"/>
      <c r="J3884" s="36"/>
      <c r="K3884" s="36"/>
    </row>
    <row r="3885" spans="7:11" ht="15.75" customHeight="1">
      <c r="G3885" s="36"/>
      <c r="H3885" s="36"/>
      <c r="I3885" s="36"/>
      <c r="J3885" s="36"/>
      <c r="K3885" s="36"/>
    </row>
    <row r="3886" spans="7:11" ht="15.75" customHeight="1">
      <c r="G3886" s="36"/>
      <c r="H3886" s="36"/>
      <c r="I3886" s="36"/>
      <c r="J3886" s="36"/>
      <c r="K3886" s="36"/>
    </row>
    <row r="3887" spans="7:11" ht="15.75" customHeight="1">
      <c r="G3887" s="36"/>
      <c r="H3887" s="36"/>
      <c r="I3887" s="36"/>
      <c r="J3887" s="36"/>
      <c r="K3887" s="36"/>
    </row>
    <row r="3888" spans="7:11" ht="15.75" customHeight="1">
      <c r="G3888" s="36"/>
      <c r="H3888" s="36"/>
      <c r="I3888" s="36"/>
      <c r="J3888" s="36"/>
      <c r="K3888" s="36"/>
    </row>
    <row r="3889" spans="7:11" ht="15.75" customHeight="1">
      <c r="G3889" s="36"/>
      <c r="H3889" s="36"/>
      <c r="I3889" s="36"/>
      <c r="J3889" s="36"/>
      <c r="K3889" s="36"/>
    </row>
    <row r="3890" spans="7:11" ht="15.75" customHeight="1">
      <c r="G3890" s="36"/>
      <c r="H3890" s="36"/>
      <c r="I3890" s="36"/>
      <c r="J3890" s="36"/>
      <c r="K3890" s="36"/>
    </row>
    <row r="3891" spans="7:11" ht="15.75" customHeight="1">
      <c r="G3891" s="36"/>
      <c r="H3891" s="36"/>
      <c r="I3891" s="36"/>
      <c r="J3891" s="36"/>
      <c r="K3891" s="36"/>
    </row>
    <row r="3892" spans="7:11" ht="15.75" customHeight="1">
      <c r="G3892" s="36"/>
      <c r="H3892" s="36"/>
      <c r="I3892" s="36"/>
      <c r="J3892" s="36"/>
      <c r="K3892" s="36"/>
    </row>
    <row r="3893" spans="7:11" ht="15.75" customHeight="1">
      <c r="G3893" s="36"/>
      <c r="H3893" s="36"/>
      <c r="I3893" s="36"/>
      <c r="J3893" s="36"/>
      <c r="K3893" s="36"/>
    </row>
    <row r="3894" spans="7:11" ht="15.75" customHeight="1">
      <c r="G3894" s="36"/>
      <c r="H3894" s="36"/>
      <c r="I3894" s="36"/>
      <c r="J3894" s="36"/>
      <c r="K3894" s="36"/>
    </row>
    <row r="3895" spans="7:11" ht="15.75" customHeight="1">
      <c r="G3895" s="36"/>
      <c r="H3895" s="36"/>
      <c r="I3895" s="36"/>
      <c r="J3895" s="36"/>
      <c r="K3895" s="36"/>
    </row>
    <row r="3896" spans="7:11" ht="15.75" customHeight="1">
      <c r="G3896" s="36"/>
      <c r="H3896" s="36"/>
      <c r="I3896" s="36"/>
      <c r="J3896" s="36"/>
      <c r="K3896" s="36"/>
    </row>
    <row r="3897" spans="7:11" ht="15.75" customHeight="1">
      <c r="G3897" s="36"/>
      <c r="H3897" s="36"/>
      <c r="I3897" s="36"/>
      <c r="J3897" s="36"/>
      <c r="K3897" s="36"/>
    </row>
    <row r="3898" spans="7:11" ht="15.75" customHeight="1">
      <c r="G3898" s="36"/>
      <c r="H3898" s="36"/>
      <c r="I3898" s="36"/>
      <c r="J3898" s="36"/>
      <c r="K3898" s="36"/>
    </row>
    <row r="3899" spans="7:11" ht="15.75" customHeight="1">
      <c r="G3899" s="36"/>
      <c r="H3899" s="36"/>
      <c r="I3899" s="36"/>
      <c r="J3899" s="36"/>
      <c r="K3899" s="36"/>
    </row>
    <row r="3900" spans="7:11" ht="15.75" customHeight="1">
      <c r="G3900" s="36"/>
      <c r="H3900" s="36"/>
      <c r="I3900" s="36"/>
      <c r="J3900" s="36"/>
      <c r="K3900" s="36"/>
    </row>
    <row r="3901" spans="7:11" ht="15.75" customHeight="1">
      <c r="G3901" s="36"/>
      <c r="H3901" s="36"/>
      <c r="I3901" s="36"/>
      <c r="J3901" s="36"/>
      <c r="K3901" s="36"/>
    </row>
    <row r="3902" spans="7:11" ht="15.75" customHeight="1">
      <c r="G3902" s="36"/>
      <c r="H3902" s="36"/>
      <c r="I3902" s="36"/>
      <c r="J3902" s="36"/>
      <c r="K3902" s="36"/>
    </row>
    <row r="3903" spans="7:11" ht="15.75" customHeight="1">
      <c r="G3903" s="36"/>
      <c r="H3903" s="36"/>
      <c r="I3903" s="36"/>
      <c r="J3903" s="36"/>
      <c r="K3903" s="36"/>
    </row>
    <row r="3904" spans="7:11" ht="15.75" customHeight="1">
      <c r="G3904" s="36"/>
      <c r="H3904" s="36"/>
      <c r="I3904" s="36"/>
      <c r="J3904" s="36"/>
      <c r="K3904" s="36"/>
    </row>
    <row r="3905" spans="7:11" ht="15.75" customHeight="1">
      <c r="G3905" s="36"/>
      <c r="H3905" s="36"/>
      <c r="I3905" s="36"/>
      <c r="J3905" s="36"/>
      <c r="K3905" s="36"/>
    </row>
    <row r="3906" spans="7:11" ht="15.75" customHeight="1">
      <c r="G3906" s="36"/>
      <c r="H3906" s="36"/>
      <c r="I3906" s="36"/>
      <c r="J3906" s="36"/>
      <c r="K3906" s="36"/>
    </row>
    <row r="3907" spans="7:11" ht="15.75" customHeight="1">
      <c r="G3907" s="36"/>
      <c r="H3907" s="36"/>
      <c r="I3907" s="36"/>
      <c r="J3907" s="36"/>
      <c r="K3907" s="36"/>
    </row>
    <row r="3908" spans="7:11" ht="15.75" customHeight="1">
      <c r="G3908" s="36"/>
      <c r="H3908" s="36"/>
      <c r="I3908" s="36"/>
      <c r="J3908" s="36"/>
      <c r="K3908" s="36"/>
    </row>
    <row r="3909" spans="7:11" ht="15.75" customHeight="1">
      <c r="G3909" s="36"/>
      <c r="H3909" s="36"/>
      <c r="I3909" s="36"/>
      <c r="J3909" s="36"/>
      <c r="K3909" s="36"/>
    </row>
    <row r="3910" spans="7:11" ht="15.75" customHeight="1">
      <c r="G3910" s="36"/>
      <c r="H3910" s="36"/>
      <c r="I3910" s="36"/>
      <c r="J3910" s="36"/>
      <c r="K3910" s="36"/>
    </row>
    <row r="3911" spans="7:11" ht="15.75" customHeight="1">
      <c r="G3911" s="36"/>
      <c r="H3911" s="36"/>
      <c r="I3911" s="36"/>
      <c r="J3911" s="36"/>
      <c r="K3911" s="36"/>
    </row>
    <row r="3912" spans="7:11" ht="15.75" customHeight="1">
      <c r="G3912" s="36"/>
      <c r="H3912" s="36"/>
      <c r="I3912" s="36"/>
      <c r="J3912" s="36"/>
      <c r="K3912" s="36"/>
    </row>
    <row r="3913" spans="7:11" ht="15.75" customHeight="1">
      <c r="G3913" s="36"/>
      <c r="H3913" s="36"/>
      <c r="I3913" s="36"/>
      <c r="J3913" s="36"/>
      <c r="K3913" s="36"/>
    </row>
    <row r="3914" spans="7:11" ht="15.75" customHeight="1">
      <c r="G3914" s="36"/>
      <c r="H3914" s="36"/>
      <c r="I3914" s="36"/>
      <c r="J3914" s="36"/>
      <c r="K3914" s="36"/>
    </row>
    <row r="3915" spans="7:11" ht="15.75" customHeight="1">
      <c r="G3915" s="36"/>
      <c r="H3915" s="36"/>
      <c r="I3915" s="36"/>
      <c r="J3915" s="36"/>
      <c r="K3915" s="36"/>
    </row>
    <row r="3916" spans="7:11" ht="15.75" customHeight="1">
      <c r="G3916" s="36"/>
      <c r="H3916" s="36"/>
      <c r="I3916" s="36"/>
      <c r="J3916" s="36"/>
      <c r="K3916" s="36"/>
    </row>
    <row r="3917" spans="7:11" ht="15.75" customHeight="1">
      <c r="G3917" s="36"/>
      <c r="H3917" s="36"/>
      <c r="I3917" s="36"/>
      <c r="J3917" s="36"/>
      <c r="K3917" s="36"/>
    </row>
    <row r="3918" spans="7:11" ht="15.75" customHeight="1">
      <c r="G3918" s="36"/>
      <c r="H3918" s="36"/>
      <c r="I3918" s="36"/>
      <c r="J3918" s="36"/>
      <c r="K3918" s="36"/>
    </row>
    <row r="3919" spans="7:11" ht="15.75" customHeight="1">
      <c r="G3919" s="36"/>
      <c r="H3919" s="36"/>
      <c r="I3919" s="36"/>
      <c r="J3919" s="36"/>
      <c r="K3919" s="36"/>
    </row>
    <row r="3920" spans="7:11" ht="15.75" customHeight="1">
      <c r="G3920" s="36"/>
      <c r="H3920" s="36"/>
      <c r="I3920" s="36"/>
      <c r="J3920" s="36"/>
      <c r="K3920" s="36"/>
    </row>
    <row r="3921" spans="7:11" ht="15.75" customHeight="1">
      <c r="G3921" s="36"/>
      <c r="H3921" s="36"/>
      <c r="I3921" s="36"/>
      <c r="J3921" s="36"/>
      <c r="K3921" s="36"/>
    </row>
    <row r="3922" spans="7:11" ht="15.75" customHeight="1">
      <c r="G3922" s="36"/>
      <c r="H3922" s="36"/>
      <c r="I3922" s="36"/>
      <c r="J3922" s="36"/>
      <c r="K3922" s="36"/>
    </row>
    <row r="3923" spans="7:11" ht="15.75" customHeight="1">
      <c r="G3923" s="36"/>
      <c r="H3923" s="36"/>
      <c r="I3923" s="36"/>
      <c r="J3923" s="36"/>
      <c r="K3923" s="36"/>
    </row>
    <row r="3924" spans="7:11" ht="15.75" customHeight="1">
      <c r="G3924" s="36"/>
      <c r="H3924" s="36"/>
      <c r="I3924" s="36"/>
      <c r="J3924" s="36"/>
      <c r="K3924" s="36"/>
    </row>
    <row r="3925" spans="7:11" ht="15.75" customHeight="1">
      <c r="G3925" s="36"/>
      <c r="H3925" s="36"/>
      <c r="I3925" s="36"/>
      <c r="J3925" s="36"/>
      <c r="K3925" s="36"/>
    </row>
    <row r="3926" spans="7:11" ht="15.75" customHeight="1">
      <c r="G3926" s="36"/>
      <c r="H3926" s="36"/>
      <c r="I3926" s="36"/>
      <c r="J3926" s="36"/>
      <c r="K3926" s="36"/>
    </row>
    <row r="3927" spans="7:11" ht="15.75" customHeight="1">
      <c r="G3927" s="36"/>
      <c r="H3927" s="36"/>
      <c r="I3927" s="36"/>
      <c r="J3927" s="36"/>
      <c r="K3927" s="36"/>
    </row>
    <row r="3928" spans="7:11" ht="15.75" customHeight="1">
      <c r="G3928" s="36"/>
      <c r="H3928" s="36"/>
      <c r="I3928" s="36"/>
      <c r="J3928" s="36"/>
      <c r="K3928" s="36"/>
    </row>
    <row r="3929" spans="7:11" ht="15.75" customHeight="1">
      <c r="G3929" s="36"/>
      <c r="H3929" s="36"/>
      <c r="I3929" s="36"/>
      <c r="J3929" s="36"/>
      <c r="K3929" s="36"/>
    </row>
    <row r="3930" spans="7:11" ht="15.75" customHeight="1">
      <c r="G3930" s="36"/>
      <c r="H3930" s="36"/>
      <c r="I3930" s="36"/>
      <c r="J3930" s="36"/>
      <c r="K3930" s="36"/>
    </row>
    <row r="3931" spans="7:11" ht="15.75" customHeight="1">
      <c r="G3931" s="36"/>
      <c r="H3931" s="36"/>
      <c r="I3931" s="36"/>
      <c r="J3931" s="36"/>
      <c r="K3931" s="36"/>
    </row>
    <row r="3932" spans="7:11" ht="15.75" customHeight="1">
      <c r="G3932" s="36"/>
      <c r="H3932" s="36"/>
      <c r="I3932" s="36"/>
      <c r="J3932" s="36"/>
      <c r="K3932" s="36"/>
    </row>
    <row r="3933" spans="7:11" ht="15.75" customHeight="1">
      <c r="G3933" s="36"/>
      <c r="H3933" s="36"/>
      <c r="I3933" s="36"/>
      <c r="J3933" s="36"/>
      <c r="K3933" s="36"/>
    </row>
    <row r="3934" spans="7:11" ht="15.75" customHeight="1">
      <c r="G3934" s="36"/>
      <c r="H3934" s="36"/>
      <c r="I3934" s="36"/>
      <c r="J3934" s="36"/>
      <c r="K3934" s="36"/>
    </row>
    <row r="3935" spans="7:11" ht="15.75" customHeight="1">
      <c r="G3935" s="36"/>
      <c r="H3935" s="36"/>
      <c r="I3935" s="36"/>
      <c r="J3935" s="36"/>
      <c r="K3935" s="36"/>
    </row>
    <row r="3936" spans="7:11" ht="15.75" customHeight="1">
      <c r="G3936" s="36"/>
      <c r="H3936" s="36"/>
      <c r="I3936" s="36"/>
      <c r="J3936" s="36"/>
      <c r="K3936" s="36"/>
    </row>
    <row r="3937" spans="7:11" ht="15.75" customHeight="1">
      <c r="G3937" s="36"/>
      <c r="H3937" s="36"/>
      <c r="I3937" s="36"/>
      <c r="J3937" s="36"/>
      <c r="K3937" s="36"/>
    </row>
    <row r="3938" spans="7:11" ht="15.75" customHeight="1">
      <c r="G3938" s="36"/>
      <c r="H3938" s="36"/>
      <c r="I3938" s="36"/>
      <c r="J3938" s="36"/>
      <c r="K3938" s="36"/>
    </row>
    <row r="3939" spans="7:11" ht="15.75" customHeight="1">
      <c r="G3939" s="36"/>
      <c r="H3939" s="36"/>
      <c r="I3939" s="36"/>
      <c r="J3939" s="36"/>
      <c r="K3939" s="36"/>
    </row>
    <row r="3940" spans="7:11" ht="15.75" customHeight="1">
      <c r="G3940" s="36"/>
      <c r="H3940" s="36"/>
      <c r="I3940" s="36"/>
      <c r="J3940" s="36"/>
      <c r="K3940" s="36"/>
    </row>
    <row r="3941" spans="7:11" ht="15.75" customHeight="1">
      <c r="G3941" s="36"/>
      <c r="H3941" s="36"/>
      <c r="I3941" s="36"/>
      <c r="J3941" s="36"/>
      <c r="K3941" s="36"/>
    </row>
    <row r="3942" spans="7:11" ht="15.75" customHeight="1">
      <c r="G3942" s="36"/>
      <c r="H3942" s="36"/>
      <c r="I3942" s="36"/>
      <c r="J3942" s="36"/>
      <c r="K3942" s="36"/>
    </row>
    <row r="3943" spans="7:11" ht="15.75" customHeight="1">
      <c r="G3943" s="36"/>
      <c r="H3943" s="36"/>
      <c r="I3943" s="36"/>
      <c r="J3943" s="36"/>
      <c r="K3943" s="36"/>
    </row>
    <row r="3944" spans="7:11" ht="15.75" customHeight="1">
      <c r="G3944" s="36"/>
      <c r="H3944" s="36"/>
      <c r="I3944" s="36"/>
      <c r="J3944" s="36"/>
      <c r="K3944" s="36"/>
    </row>
    <row r="3945" spans="7:11" ht="15.75" customHeight="1">
      <c r="G3945" s="36"/>
      <c r="H3945" s="36"/>
      <c r="I3945" s="36"/>
      <c r="J3945" s="36"/>
      <c r="K3945" s="36"/>
    </row>
    <row r="3946" spans="7:11" ht="15.75" customHeight="1">
      <c r="G3946" s="36"/>
      <c r="H3946" s="36"/>
      <c r="I3946" s="36"/>
      <c r="J3946" s="36"/>
      <c r="K3946" s="36"/>
    </row>
    <row r="3947" spans="7:11" ht="15.75" customHeight="1">
      <c r="G3947" s="36"/>
      <c r="H3947" s="36"/>
      <c r="I3947" s="36"/>
      <c r="J3947" s="36"/>
      <c r="K3947" s="36"/>
    </row>
    <row r="3948" spans="7:11" ht="15.75" customHeight="1">
      <c r="G3948" s="36"/>
      <c r="H3948" s="36"/>
      <c r="I3948" s="36"/>
      <c r="J3948" s="36"/>
      <c r="K3948" s="36"/>
    </row>
    <row r="3949" spans="7:11" ht="15.75" customHeight="1">
      <c r="G3949" s="36"/>
      <c r="H3949" s="36"/>
      <c r="I3949" s="36"/>
      <c r="J3949" s="36"/>
      <c r="K3949" s="36"/>
    </row>
    <row r="3950" spans="7:11" ht="15.75" customHeight="1">
      <c r="G3950" s="36"/>
      <c r="H3950" s="36"/>
      <c r="I3950" s="36"/>
      <c r="J3950" s="36"/>
      <c r="K3950" s="36"/>
    </row>
    <row r="3951" spans="7:11" ht="15.75" customHeight="1">
      <c r="G3951" s="36"/>
      <c r="H3951" s="36"/>
      <c r="I3951" s="36"/>
      <c r="J3951" s="36"/>
      <c r="K3951" s="36"/>
    </row>
    <row r="3952" spans="7:11" ht="15.75" customHeight="1">
      <c r="G3952" s="36"/>
      <c r="H3952" s="36"/>
      <c r="I3952" s="36"/>
      <c r="J3952" s="36"/>
      <c r="K3952" s="36"/>
    </row>
    <row r="3953" spans="7:11" ht="15.75" customHeight="1">
      <c r="G3953" s="36"/>
      <c r="H3953" s="36"/>
      <c r="I3953" s="36"/>
      <c r="J3953" s="36"/>
      <c r="K3953" s="36"/>
    </row>
    <row r="3954" spans="7:11" ht="15.75" customHeight="1">
      <c r="G3954" s="36"/>
      <c r="H3954" s="36"/>
      <c r="I3954" s="36"/>
      <c r="J3954" s="36"/>
      <c r="K3954" s="36"/>
    </row>
    <row r="3955" spans="7:11" ht="15.75" customHeight="1">
      <c r="G3955" s="36"/>
      <c r="H3955" s="36"/>
      <c r="I3955" s="36"/>
      <c r="J3955" s="36"/>
      <c r="K3955" s="36"/>
    </row>
    <row r="3956" spans="7:11" ht="15.75" customHeight="1">
      <c r="G3956" s="36"/>
      <c r="H3956" s="36"/>
      <c r="I3956" s="36"/>
      <c r="J3956" s="36"/>
      <c r="K3956" s="36"/>
    </row>
    <row r="3957" spans="7:11" ht="15.75" customHeight="1">
      <c r="G3957" s="36"/>
      <c r="H3957" s="36"/>
      <c r="I3957" s="36"/>
      <c r="J3957" s="36"/>
      <c r="K3957" s="36"/>
    </row>
    <row r="3958" spans="7:11" ht="15.75" customHeight="1">
      <c r="G3958" s="36"/>
      <c r="H3958" s="36"/>
      <c r="I3958" s="36"/>
      <c r="J3958" s="36"/>
      <c r="K3958" s="36"/>
    </row>
    <row r="3959" spans="7:11" ht="15.75" customHeight="1">
      <c r="G3959" s="36"/>
      <c r="H3959" s="36"/>
      <c r="I3959" s="36"/>
      <c r="J3959" s="36"/>
      <c r="K3959" s="36"/>
    </row>
    <row r="3960" spans="7:11" ht="15.75" customHeight="1">
      <c r="G3960" s="36"/>
      <c r="H3960" s="36"/>
      <c r="I3960" s="36"/>
      <c r="J3960" s="36"/>
      <c r="K3960" s="36"/>
    </row>
    <row r="3961" spans="7:11" ht="15.75" customHeight="1">
      <c r="G3961" s="36"/>
      <c r="H3961" s="36"/>
      <c r="I3961" s="36"/>
      <c r="J3961" s="36"/>
      <c r="K3961" s="36"/>
    </row>
    <row r="3962" spans="7:11" ht="15.75" customHeight="1">
      <c r="G3962" s="36"/>
      <c r="H3962" s="36"/>
      <c r="I3962" s="36"/>
      <c r="J3962" s="36"/>
      <c r="K3962" s="36"/>
    </row>
    <row r="3963" spans="7:11" ht="15.75" customHeight="1">
      <c r="G3963" s="36"/>
      <c r="H3963" s="36"/>
      <c r="I3963" s="36"/>
      <c r="J3963" s="36"/>
      <c r="K3963" s="36"/>
    </row>
    <row r="3964" spans="7:11" ht="15.75" customHeight="1">
      <c r="G3964" s="36"/>
      <c r="H3964" s="36"/>
      <c r="I3964" s="36"/>
      <c r="J3964" s="36"/>
      <c r="K3964" s="36"/>
    </row>
    <row r="3965" spans="7:11" ht="15.75" customHeight="1">
      <c r="G3965" s="36"/>
      <c r="H3965" s="36"/>
      <c r="I3965" s="36"/>
      <c r="J3965" s="36"/>
      <c r="K3965" s="36"/>
    </row>
    <row r="3966" spans="7:11" ht="15.75" customHeight="1">
      <c r="G3966" s="36"/>
      <c r="H3966" s="36"/>
      <c r="I3966" s="36"/>
      <c r="J3966" s="36"/>
      <c r="K3966" s="36"/>
    </row>
    <row r="3967" spans="7:11" ht="15.75" customHeight="1">
      <c r="G3967" s="36"/>
      <c r="H3967" s="36"/>
      <c r="I3967" s="36"/>
      <c r="J3967" s="36"/>
      <c r="K3967" s="36"/>
    </row>
    <row r="3968" spans="7:11" ht="15.75" customHeight="1">
      <c r="G3968" s="36"/>
      <c r="H3968" s="36"/>
      <c r="I3968" s="36"/>
      <c r="J3968" s="36"/>
      <c r="K3968" s="36"/>
    </row>
    <row r="3969" spans="7:11" ht="15.75" customHeight="1">
      <c r="G3969" s="36"/>
      <c r="H3969" s="36"/>
      <c r="I3969" s="36"/>
      <c r="J3969" s="36"/>
      <c r="K3969" s="36"/>
    </row>
    <row r="3970" spans="7:11" ht="15.75" customHeight="1">
      <c r="G3970" s="36"/>
      <c r="H3970" s="36"/>
      <c r="I3970" s="36"/>
      <c r="J3970" s="36"/>
      <c r="K3970" s="36"/>
    </row>
    <row r="3971" spans="7:11" ht="15.75" customHeight="1">
      <c r="G3971" s="36"/>
      <c r="H3971" s="36"/>
      <c r="I3971" s="36"/>
      <c r="J3971" s="36"/>
      <c r="K3971" s="36"/>
    </row>
    <row r="3972" spans="7:11" ht="15.75" customHeight="1">
      <c r="G3972" s="36"/>
      <c r="H3972" s="36"/>
      <c r="I3972" s="36"/>
      <c r="J3972" s="36"/>
      <c r="K3972" s="36"/>
    </row>
    <row r="3973" spans="7:11" ht="15.75" customHeight="1">
      <c r="G3973" s="36"/>
      <c r="H3973" s="36"/>
      <c r="I3973" s="36"/>
      <c r="J3973" s="36"/>
      <c r="K3973" s="36"/>
    </row>
    <row r="3974" spans="7:11" ht="15.75" customHeight="1">
      <c r="G3974" s="36"/>
      <c r="H3974" s="36"/>
      <c r="I3974" s="36"/>
      <c r="J3974" s="36"/>
      <c r="K3974" s="36"/>
    </row>
    <row r="3975" spans="7:11" ht="15.75" customHeight="1">
      <c r="G3975" s="36"/>
      <c r="H3975" s="36"/>
      <c r="I3975" s="36"/>
      <c r="J3975" s="36"/>
      <c r="K3975" s="36"/>
    </row>
    <row r="3976" spans="7:11" ht="15.75" customHeight="1">
      <c r="G3976" s="36"/>
      <c r="H3976" s="36"/>
      <c r="I3976" s="36"/>
      <c r="J3976" s="36"/>
      <c r="K3976" s="36"/>
    </row>
    <row r="3977" spans="7:11" ht="15.75" customHeight="1">
      <c r="G3977" s="36"/>
      <c r="H3977" s="36"/>
      <c r="I3977" s="36"/>
      <c r="J3977" s="36"/>
      <c r="K3977" s="36"/>
    </row>
    <row r="3978" spans="7:11" ht="15.75" customHeight="1">
      <c r="G3978" s="36"/>
      <c r="H3978" s="36"/>
      <c r="I3978" s="36"/>
      <c r="J3978" s="36"/>
      <c r="K3978" s="36"/>
    </row>
    <row r="3979" spans="7:11" ht="15.75" customHeight="1">
      <c r="G3979" s="36"/>
      <c r="H3979" s="36"/>
      <c r="I3979" s="36"/>
      <c r="J3979" s="36"/>
      <c r="K3979" s="36"/>
    </row>
    <row r="3980" spans="7:11" ht="15.75" customHeight="1">
      <c r="G3980" s="36"/>
      <c r="H3980" s="36"/>
      <c r="I3980" s="36"/>
      <c r="J3980" s="36"/>
      <c r="K3980" s="36"/>
    </row>
    <row r="3981" spans="7:11" ht="15.75" customHeight="1">
      <c r="G3981" s="36"/>
      <c r="H3981" s="36"/>
      <c r="I3981" s="36"/>
      <c r="J3981" s="36"/>
      <c r="K3981" s="36"/>
    </row>
    <row r="3982" spans="7:11" ht="15.75" customHeight="1">
      <c r="G3982" s="36"/>
      <c r="H3982" s="36"/>
      <c r="I3982" s="36"/>
      <c r="J3982" s="36"/>
      <c r="K3982" s="36"/>
    </row>
    <row r="3983" spans="7:11" ht="15.75" customHeight="1">
      <c r="G3983" s="36"/>
      <c r="H3983" s="36"/>
      <c r="I3983" s="36"/>
      <c r="J3983" s="36"/>
      <c r="K3983" s="36"/>
    </row>
    <row r="3984" spans="7:11" ht="15.75" customHeight="1">
      <c r="G3984" s="36"/>
      <c r="H3984" s="36"/>
      <c r="I3984" s="36"/>
      <c r="J3984" s="36"/>
      <c r="K3984" s="36"/>
    </row>
    <row r="3985" spans="7:11" ht="15.75" customHeight="1">
      <c r="G3985" s="36"/>
      <c r="H3985" s="36"/>
      <c r="I3985" s="36"/>
      <c r="J3985" s="36"/>
      <c r="K3985" s="36"/>
    </row>
    <row r="3986" spans="7:11" ht="15.75" customHeight="1">
      <c r="G3986" s="36"/>
      <c r="H3986" s="36"/>
      <c r="I3986" s="36"/>
      <c r="J3986" s="36"/>
      <c r="K3986" s="36"/>
    </row>
    <row r="3987" spans="7:11" ht="15.75" customHeight="1">
      <c r="G3987" s="36"/>
      <c r="H3987" s="36"/>
      <c r="I3987" s="36"/>
      <c r="J3987" s="36"/>
      <c r="K3987" s="36"/>
    </row>
    <row r="3988" spans="7:11" ht="15.75" customHeight="1">
      <c r="G3988" s="36"/>
      <c r="H3988" s="36"/>
      <c r="I3988" s="36"/>
      <c r="J3988" s="36"/>
      <c r="K3988" s="36"/>
    </row>
    <row r="3989" spans="7:11" ht="15.75" customHeight="1">
      <c r="G3989" s="36"/>
      <c r="H3989" s="36"/>
      <c r="I3989" s="36"/>
      <c r="J3989" s="36"/>
      <c r="K3989" s="36"/>
    </row>
    <row r="3990" spans="7:11" ht="15.75" customHeight="1">
      <c r="G3990" s="36"/>
      <c r="H3990" s="36"/>
      <c r="I3990" s="36"/>
      <c r="J3990" s="36"/>
      <c r="K3990" s="36"/>
    </row>
    <row r="3991" spans="7:11" ht="15.75" customHeight="1">
      <c r="G3991" s="36"/>
      <c r="H3991" s="36"/>
      <c r="I3991" s="36"/>
      <c r="J3991" s="36"/>
      <c r="K3991" s="36"/>
    </row>
    <row r="3992" spans="7:11" ht="15.75" customHeight="1">
      <c r="G3992" s="36"/>
      <c r="H3992" s="36"/>
      <c r="I3992" s="36"/>
      <c r="J3992" s="36"/>
      <c r="K3992" s="36"/>
    </row>
    <row r="3993" spans="7:11" ht="15.75" customHeight="1">
      <c r="G3993" s="36"/>
      <c r="H3993" s="36"/>
      <c r="I3993" s="36"/>
      <c r="J3993" s="36"/>
      <c r="K3993" s="36"/>
    </row>
    <row r="3994" spans="7:11" ht="15.75" customHeight="1">
      <c r="G3994" s="36"/>
      <c r="H3994" s="36"/>
      <c r="I3994" s="36"/>
      <c r="J3994" s="36"/>
      <c r="K3994" s="36"/>
    </row>
    <row r="3995" spans="7:11" ht="15.75" customHeight="1">
      <c r="G3995" s="36"/>
      <c r="H3995" s="36"/>
      <c r="I3995" s="36"/>
      <c r="J3995" s="36"/>
      <c r="K3995" s="36"/>
    </row>
    <row r="3996" spans="7:11" ht="15.75" customHeight="1">
      <c r="G3996" s="36"/>
      <c r="H3996" s="36"/>
      <c r="I3996" s="36"/>
      <c r="J3996" s="36"/>
      <c r="K3996" s="36"/>
    </row>
    <row r="3997" spans="7:11" ht="15.75" customHeight="1">
      <c r="G3997" s="36"/>
      <c r="H3997" s="36"/>
      <c r="I3997" s="36"/>
      <c r="J3997" s="36"/>
      <c r="K3997" s="36"/>
    </row>
    <row r="3998" spans="7:11" ht="15.75" customHeight="1">
      <c r="G3998" s="36"/>
      <c r="H3998" s="36"/>
      <c r="I3998" s="36"/>
      <c r="J3998" s="36"/>
      <c r="K3998" s="36"/>
    </row>
    <row r="3999" spans="7:11" ht="15.75" customHeight="1">
      <c r="G3999" s="36"/>
      <c r="H3999" s="36"/>
      <c r="I3999" s="36"/>
      <c r="J3999" s="36"/>
      <c r="K3999" s="36"/>
    </row>
    <row r="4000" spans="7:11" ht="15.75" customHeight="1">
      <c r="G4000" s="36"/>
      <c r="H4000" s="36"/>
      <c r="I4000" s="36"/>
      <c r="J4000" s="36"/>
      <c r="K4000" s="36"/>
    </row>
    <row r="4001" spans="7:11" ht="15.75" customHeight="1">
      <c r="G4001" s="36"/>
      <c r="H4001" s="36"/>
      <c r="I4001" s="36"/>
      <c r="J4001" s="36"/>
      <c r="K4001" s="36"/>
    </row>
    <row r="4002" spans="7:11" ht="15.75" customHeight="1">
      <c r="G4002" s="36"/>
      <c r="H4002" s="36"/>
      <c r="I4002" s="36"/>
      <c r="J4002" s="36"/>
      <c r="K4002" s="36"/>
    </row>
    <row r="4003" spans="7:11" ht="15.75" customHeight="1">
      <c r="G4003" s="36"/>
      <c r="H4003" s="36"/>
      <c r="I4003" s="36"/>
      <c r="J4003" s="36"/>
      <c r="K4003" s="36"/>
    </row>
    <row r="4004" spans="7:11" ht="15.75" customHeight="1">
      <c r="G4004" s="36"/>
      <c r="H4004" s="36"/>
      <c r="I4004" s="36"/>
      <c r="J4004" s="36"/>
      <c r="K4004" s="36"/>
    </row>
    <row r="4005" spans="7:11" ht="15.75" customHeight="1">
      <c r="G4005" s="36"/>
      <c r="H4005" s="36"/>
      <c r="I4005" s="36"/>
      <c r="J4005" s="36"/>
      <c r="K4005" s="36"/>
    </row>
    <row r="4006" spans="7:11" ht="15.75" customHeight="1">
      <c r="G4006" s="36"/>
      <c r="H4006" s="36"/>
      <c r="I4006" s="36"/>
      <c r="J4006" s="36"/>
      <c r="K4006" s="36"/>
    </row>
    <row r="4007" spans="7:11" ht="15.75" customHeight="1">
      <c r="G4007" s="36"/>
      <c r="H4007" s="36"/>
      <c r="I4007" s="36"/>
      <c r="J4007" s="36"/>
      <c r="K4007" s="36"/>
    </row>
    <row r="4008" spans="7:11" ht="15.75" customHeight="1">
      <c r="G4008" s="36"/>
      <c r="H4008" s="36"/>
      <c r="I4008" s="36"/>
      <c r="J4008" s="36"/>
      <c r="K4008" s="36"/>
    </row>
    <row r="4009" spans="7:11" ht="15.75" customHeight="1">
      <c r="G4009" s="36"/>
      <c r="H4009" s="36"/>
      <c r="I4009" s="36"/>
      <c r="J4009" s="36"/>
      <c r="K4009" s="36"/>
    </row>
    <row r="4010" spans="7:11" ht="15.75" customHeight="1">
      <c r="G4010" s="36"/>
      <c r="H4010" s="36"/>
      <c r="I4010" s="36"/>
      <c r="J4010" s="36"/>
      <c r="K4010" s="36"/>
    </row>
    <row r="4011" spans="7:11" ht="15.75" customHeight="1">
      <c r="G4011" s="36"/>
      <c r="H4011" s="36"/>
      <c r="I4011" s="36"/>
      <c r="J4011" s="36"/>
      <c r="K4011" s="36"/>
    </row>
    <row r="4012" spans="7:11" ht="15.75" customHeight="1">
      <c r="G4012" s="36"/>
      <c r="H4012" s="36"/>
      <c r="I4012" s="36"/>
      <c r="J4012" s="36"/>
      <c r="K4012" s="36"/>
    </row>
    <row r="4013" spans="7:11" ht="15.75" customHeight="1">
      <c r="G4013" s="36"/>
      <c r="H4013" s="36"/>
      <c r="I4013" s="36"/>
      <c r="J4013" s="36"/>
      <c r="K4013" s="36"/>
    </row>
    <row r="4014" spans="7:11" ht="15.75" customHeight="1">
      <c r="G4014" s="36"/>
      <c r="H4014" s="36"/>
      <c r="I4014" s="36"/>
      <c r="J4014" s="36"/>
      <c r="K4014" s="36"/>
    </row>
    <row r="4015" spans="7:11" ht="15.75" customHeight="1">
      <c r="G4015" s="36"/>
      <c r="H4015" s="36"/>
      <c r="I4015" s="36"/>
      <c r="J4015" s="36"/>
      <c r="K4015" s="36"/>
    </row>
    <row r="4016" spans="7:11" ht="15.75" customHeight="1">
      <c r="G4016" s="36"/>
      <c r="H4016" s="36"/>
      <c r="I4016" s="36"/>
      <c r="J4016" s="36"/>
      <c r="K4016" s="36"/>
    </row>
    <row r="4017" spans="7:11" ht="15.75" customHeight="1">
      <c r="G4017" s="36"/>
      <c r="H4017" s="36"/>
      <c r="I4017" s="36"/>
      <c r="J4017" s="36"/>
      <c r="K4017" s="36"/>
    </row>
    <row r="4018" spans="7:11" ht="15.75" customHeight="1">
      <c r="G4018" s="36"/>
      <c r="H4018" s="36"/>
      <c r="I4018" s="36"/>
      <c r="J4018" s="36"/>
      <c r="K4018" s="36"/>
    </row>
    <row r="4019" spans="7:11" ht="15.75" customHeight="1">
      <c r="G4019" s="36"/>
      <c r="H4019" s="36"/>
      <c r="I4019" s="36"/>
      <c r="J4019" s="36"/>
      <c r="K4019" s="36"/>
    </row>
    <row r="4020" spans="7:11" ht="15.75" customHeight="1">
      <c r="G4020" s="36"/>
      <c r="H4020" s="36"/>
      <c r="I4020" s="36"/>
      <c r="J4020" s="36"/>
      <c r="K4020" s="36"/>
    </row>
    <row r="4021" spans="7:11" ht="15.75" customHeight="1">
      <c r="G4021" s="36"/>
      <c r="H4021" s="36"/>
      <c r="I4021" s="36"/>
      <c r="J4021" s="36"/>
      <c r="K4021" s="36"/>
    </row>
    <row r="4022" spans="7:11" ht="15.75" customHeight="1">
      <c r="G4022" s="36"/>
      <c r="H4022" s="36"/>
      <c r="I4022" s="36"/>
      <c r="J4022" s="36"/>
      <c r="K4022" s="36"/>
    </row>
    <row r="4023" spans="7:11" ht="15.75" customHeight="1">
      <c r="G4023" s="36"/>
      <c r="H4023" s="36"/>
      <c r="I4023" s="36"/>
      <c r="J4023" s="36"/>
      <c r="K4023" s="36"/>
    </row>
    <row r="4024" spans="7:11" ht="15.75" customHeight="1">
      <c r="G4024" s="36"/>
      <c r="H4024" s="36"/>
      <c r="I4024" s="36"/>
      <c r="J4024" s="36"/>
      <c r="K4024" s="36"/>
    </row>
    <row r="4025" spans="7:11" ht="15.75" customHeight="1">
      <c r="G4025" s="36"/>
      <c r="H4025" s="36"/>
      <c r="I4025" s="36"/>
      <c r="J4025" s="36"/>
      <c r="K4025" s="36"/>
    </row>
    <row r="4026" spans="7:11" ht="15.75" customHeight="1">
      <c r="G4026" s="36"/>
      <c r="H4026" s="36"/>
      <c r="I4026" s="36"/>
      <c r="J4026" s="36"/>
      <c r="K4026" s="36"/>
    </row>
    <row r="4027" spans="7:11" ht="15.75" customHeight="1">
      <c r="G4027" s="36"/>
      <c r="H4027" s="36"/>
      <c r="I4027" s="36"/>
      <c r="J4027" s="36"/>
      <c r="K4027" s="36"/>
    </row>
    <row r="4028" spans="7:11" ht="15.75" customHeight="1">
      <c r="G4028" s="36"/>
      <c r="H4028" s="36"/>
      <c r="I4028" s="36"/>
      <c r="J4028" s="36"/>
      <c r="K4028" s="36"/>
    </row>
    <row r="4029" spans="7:11" ht="15.75" customHeight="1">
      <c r="G4029" s="36"/>
      <c r="H4029" s="36"/>
      <c r="I4029" s="36"/>
      <c r="J4029" s="36"/>
      <c r="K4029" s="36"/>
    </row>
    <row r="4030" spans="7:11" ht="15.75" customHeight="1">
      <c r="G4030" s="36"/>
      <c r="H4030" s="36"/>
      <c r="I4030" s="36"/>
      <c r="J4030" s="36"/>
      <c r="K4030" s="36"/>
    </row>
    <row r="4031" spans="7:11" ht="15.75" customHeight="1">
      <c r="G4031" s="36"/>
      <c r="H4031" s="36"/>
      <c r="I4031" s="36"/>
      <c r="J4031" s="36"/>
      <c r="K4031" s="36"/>
    </row>
    <row r="4032" spans="7:11" ht="15.75" customHeight="1">
      <c r="G4032" s="36"/>
      <c r="H4032" s="36"/>
      <c r="I4032" s="36"/>
      <c r="J4032" s="36"/>
      <c r="K4032" s="36"/>
    </row>
    <row r="4033" spans="7:11" ht="15.75" customHeight="1">
      <c r="G4033" s="36"/>
      <c r="H4033" s="36"/>
      <c r="I4033" s="36"/>
      <c r="J4033" s="36"/>
      <c r="K4033" s="36"/>
    </row>
    <row r="4034" spans="7:11" ht="15.75" customHeight="1">
      <c r="G4034" s="36"/>
      <c r="H4034" s="36"/>
      <c r="I4034" s="36"/>
      <c r="J4034" s="36"/>
      <c r="K4034" s="36"/>
    </row>
    <row r="4035" spans="7:11" ht="15.75" customHeight="1">
      <c r="G4035" s="36"/>
      <c r="H4035" s="36"/>
      <c r="I4035" s="36"/>
      <c r="J4035" s="36"/>
      <c r="K4035" s="36"/>
    </row>
    <row r="4036" spans="7:11" ht="15.75" customHeight="1">
      <c r="G4036" s="36"/>
      <c r="H4036" s="36"/>
      <c r="I4036" s="36"/>
      <c r="J4036" s="36"/>
      <c r="K4036" s="36"/>
    </row>
    <row r="4037" spans="7:11" ht="15.75" customHeight="1">
      <c r="G4037" s="36"/>
      <c r="H4037" s="36"/>
      <c r="I4037" s="36"/>
      <c r="J4037" s="36"/>
      <c r="K4037" s="36"/>
    </row>
    <row r="4038" spans="7:11" ht="15.75" customHeight="1">
      <c r="G4038" s="36"/>
      <c r="H4038" s="36"/>
      <c r="I4038" s="36"/>
      <c r="J4038" s="36"/>
      <c r="K4038" s="36"/>
    </row>
    <row r="4039" spans="7:11" ht="15.75" customHeight="1">
      <c r="G4039" s="36"/>
      <c r="H4039" s="36"/>
      <c r="I4039" s="36"/>
      <c r="J4039" s="36"/>
      <c r="K4039" s="36"/>
    </row>
    <row r="4040" spans="7:11" ht="15.75" customHeight="1">
      <c r="G4040" s="36"/>
      <c r="H4040" s="36"/>
      <c r="I4040" s="36"/>
      <c r="J4040" s="36"/>
      <c r="K4040" s="36"/>
    </row>
    <row r="4041" spans="7:11" ht="15.75" customHeight="1">
      <c r="G4041" s="36"/>
      <c r="H4041" s="36"/>
      <c r="I4041" s="36"/>
      <c r="J4041" s="36"/>
      <c r="K4041" s="36"/>
    </row>
    <row r="4042" spans="7:11" ht="15.75" customHeight="1">
      <c r="G4042" s="36"/>
      <c r="H4042" s="36"/>
      <c r="I4042" s="36"/>
      <c r="J4042" s="36"/>
      <c r="K4042" s="36"/>
    </row>
    <row r="4043" spans="7:11" ht="15.75" customHeight="1">
      <c r="G4043" s="36"/>
      <c r="H4043" s="36"/>
      <c r="I4043" s="36"/>
      <c r="J4043" s="36"/>
      <c r="K4043" s="36"/>
    </row>
    <row r="4044" spans="7:11" ht="15.75" customHeight="1">
      <c r="G4044" s="36"/>
      <c r="H4044" s="36"/>
      <c r="I4044" s="36"/>
      <c r="J4044" s="36"/>
      <c r="K4044" s="36"/>
    </row>
    <row r="4045" spans="7:11" ht="15.75" customHeight="1">
      <c r="G4045" s="36"/>
      <c r="H4045" s="36"/>
      <c r="I4045" s="36"/>
      <c r="J4045" s="36"/>
      <c r="K4045" s="36"/>
    </row>
    <row r="4046" spans="7:11" ht="15.75" customHeight="1">
      <c r="G4046" s="36"/>
      <c r="H4046" s="36"/>
      <c r="I4046" s="36"/>
      <c r="J4046" s="36"/>
      <c r="K4046" s="36"/>
    </row>
    <row r="4047" spans="7:11" ht="15.75" customHeight="1">
      <c r="G4047" s="36"/>
      <c r="H4047" s="36"/>
      <c r="I4047" s="36"/>
      <c r="J4047" s="36"/>
      <c r="K4047" s="36"/>
    </row>
    <row r="4048" spans="7:11" ht="15.75" customHeight="1">
      <c r="G4048" s="36"/>
      <c r="H4048" s="36"/>
      <c r="I4048" s="36"/>
      <c r="J4048" s="36"/>
      <c r="K4048" s="36"/>
    </row>
    <row r="4049" spans="7:11" ht="15.75" customHeight="1">
      <c r="G4049" s="36"/>
      <c r="H4049" s="36"/>
      <c r="I4049" s="36"/>
      <c r="J4049" s="36"/>
      <c r="K4049" s="36"/>
    </row>
    <row r="4050" spans="7:11" ht="15.75" customHeight="1">
      <c r="G4050" s="36"/>
      <c r="H4050" s="36"/>
      <c r="I4050" s="36"/>
      <c r="J4050" s="36"/>
      <c r="K4050" s="36"/>
    </row>
    <row r="4051" spans="7:11" ht="15.75" customHeight="1">
      <c r="G4051" s="36"/>
      <c r="H4051" s="36"/>
      <c r="I4051" s="36"/>
      <c r="J4051" s="36"/>
      <c r="K4051" s="36"/>
    </row>
    <row r="4052" spans="7:11" ht="15.75" customHeight="1">
      <c r="G4052" s="36"/>
      <c r="H4052" s="36"/>
      <c r="I4052" s="36"/>
      <c r="J4052" s="36"/>
      <c r="K4052" s="36"/>
    </row>
    <row r="4053" spans="7:11" ht="15.75" customHeight="1">
      <c r="G4053" s="36"/>
      <c r="H4053" s="36"/>
      <c r="I4053" s="36"/>
      <c r="J4053" s="36"/>
      <c r="K4053" s="36"/>
    </row>
    <row r="4054" spans="7:11" ht="15.75" customHeight="1">
      <c r="G4054" s="36"/>
      <c r="H4054" s="36"/>
      <c r="I4054" s="36"/>
      <c r="J4054" s="36"/>
      <c r="K4054" s="36"/>
    </row>
    <row r="4055" spans="7:11" ht="15.75" customHeight="1">
      <c r="G4055" s="36"/>
      <c r="H4055" s="36"/>
      <c r="I4055" s="36"/>
      <c r="J4055" s="36"/>
      <c r="K4055" s="36"/>
    </row>
    <row r="4056" spans="7:11" ht="15.75" customHeight="1">
      <c r="G4056" s="36"/>
      <c r="H4056" s="36"/>
      <c r="I4056" s="36"/>
      <c r="J4056" s="36"/>
      <c r="K4056" s="36"/>
    </row>
    <row r="4057" spans="7:11" ht="15.75" customHeight="1">
      <c r="G4057" s="36"/>
      <c r="H4057" s="36"/>
      <c r="I4057" s="36"/>
      <c r="J4057" s="36"/>
      <c r="K4057" s="36"/>
    </row>
    <row r="4058" spans="7:11" ht="15.75" customHeight="1">
      <c r="G4058" s="36"/>
      <c r="H4058" s="36"/>
      <c r="I4058" s="36"/>
      <c r="J4058" s="36"/>
      <c r="K4058" s="36"/>
    </row>
    <row r="4059" spans="7:11" ht="15.75" customHeight="1">
      <c r="G4059" s="36"/>
      <c r="H4059" s="36"/>
      <c r="I4059" s="36"/>
      <c r="J4059" s="36"/>
      <c r="K4059" s="36"/>
    </row>
    <row r="4060" spans="7:11" ht="15.75" customHeight="1">
      <c r="G4060" s="36"/>
      <c r="H4060" s="36"/>
      <c r="I4060" s="36"/>
      <c r="J4060" s="36"/>
      <c r="K4060" s="36"/>
    </row>
    <row r="4061" spans="7:11" ht="15.75" customHeight="1">
      <c r="G4061" s="36"/>
      <c r="H4061" s="36"/>
      <c r="I4061" s="36"/>
      <c r="J4061" s="36"/>
      <c r="K4061" s="36"/>
    </row>
    <row r="4062" spans="7:11" ht="15.75" customHeight="1">
      <c r="G4062" s="36"/>
      <c r="H4062" s="36"/>
      <c r="I4062" s="36"/>
      <c r="J4062" s="36"/>
      <c r="K4062" s="36"/>
    </row>
    <row r="4063" spans="7:11" ht="15.75" customHeight="1">
      <c r="G4063" s="36"/>
      <c r="H4063" s="36"/>
      <c r="I4063" s="36"/>
      <c r="J4063" s="36"/>
      <c r="K4063" s="36"/>
    </row>
    <row r="4064" spans="7:11" ht="15.75" customHeight="1">
      <c r="G4064" s="36"/>
      <c r="H4064" s="36"/>
      <c r="I4064" s="36"/>
      <c r="J4064" s="36"/>
      <c r="K4064" s="36"/>
    </row>
    <row r="4065" spans="7:11" ht="15.75" customHeight="1">
      <c r="G4065" s="36"/>
      <c r="H4065" s="36"/>
      <c r="I4065" s="36"/>
      <c r="J4065" s="36"/>
      <c r="K4065" s="36"/>
    </row>
    <row r="4066" spans="7:11" ht="15.75" customHeight="1">
      <c r="G4066" s="36"/>
      <c r="H4066" s="36"/>
      <c r="I4066" s="36"/>
      <c r="J4066" s="36"/>
      <c r="K4066" s="36"/>
    </row>
    <row r="4067" spans="7:11" ht="15.75" customHeight="1">
      <c r="G4067" s="36"/>
      <c r="H4067" s="36"/>
      <c r="I4067" s="36"/>
      <c r="J4067" s="36"/>
      <c r="K4067" s="36"/>
    </row>
    <row r="4068" spans="7:11" ht="15.75" customHeight="1">
      <c r="G4068" s="36"/>
      <c r="H4068" s="36"/>
      <c r="I4068" s="36"/>
      <c r="J4068" s="36"/>
      <c r="K4068" s="36"/>
    </row>
    <row r="4069" spans="7:11" ht="15.75" customHeight="1">
      <c r="G4069" s="36"/>
      <c r="H4069" s="36"/>
      <c r="I4069" s="36"/>
      <c r="J4069" s="36"/>
      <c r="K4069" s="36"/>
    </row>
    <row r="4070" spans="7:11" ht="15.75" customHeight="1">
      <c r="G4070" s="36"/>
      <c r="H4070" s="36"/>
      <c r="I4070" s="36"/>
      <c r="J4070" s="36"/>
      <c r="K4070" s="36"/>
    </row>
    <row r="4071" spans="7:11" ht="15.75" customHeight="1">
      <c r="G4071" s="36"/>
      <c r="H4071" s="36"/>
      <c r="I4071" s="36"/>
      <c r="J4071" s="36"/>
      <c r="K4071" s="36"/>
    </row>
    <row r="4072" spans="7:11" ht="15.75" customHeight="1">
      <c r="G4072" s="36"/>
      <c r="H4072" s="36"/>
      <c r="I4072" s="36"/>
      <c r="J4072" s="36"/>
      <c r="K4072" s="36"/>
    </row>
    <row r="4073" spans="7:11" ht="15.75" customHeight="1">
      <c r="G4073" s="36"/>
      <c r="H4073" s="36"/>
      <c r="I4073" s="36"/>
      <c r="J4073" s="36"/>
      <c r="K4073" s="36"/>
    </row>
    <row r="4074" spans="7:11" ht="15.75" customHeight="1">
      <c r="G4074" s="36"/>
      <c r="H4074" s="36"/>
      <c r="I4074" s="36"/>
      <c r="J4074" s="36"/>
      <c r="K4074" s="36"/>
    </row>
    <row r="4075" spans="7:11" ht="15.75" customHeight="1">
      <c r="G4075" s="36"/>
      <c r="H4075" s="36"/>
      <c r="I4075" s="36"/>
      <c r="J4075" s="36"/>
      <c r="K4075" s="36"/>
    </row>
    <row r="4076" spans="7:11" ht="15.75" customHeight="1">
      <c r="G4076" s="36"/>
      <c r="H4076" s="36"/>
      <c r="I4076" s="36"/>
      <c r="J4076" s="36"/>
      <c r="K4076" s="36"/>
    </row>
    <row r="4077" spans="7:11" ht="15.75" customHeight="1">
      <c r="G4077" s="36"/>
      <c r="H4077" s="36"/>
      <c r="I4077" s="36"/>
      <c r="J4077" s="36"/>
      <c r="K4077" s="36"/>
    </row>
    <row r="4078" spans="7:11" ht="15.75" customHeight="1">
      <c r="G4078" s="36"/>
      <c r="H4078" s="36"/>
      <c r="I4078" s="36"/>
      <c r="J4078" s="36"/>
      <c r="K4078" s="36"/>
    </row>
    <row r="4079" spans="7:11" ht="15.75" customHeight="1">
      <c r="G4079" s="36"/>
      <c r="H4079" s="36"/>
      <c r="I4079" s="36"/>
      <c r="J4079" s="36"/>
      <c r="K4079" s="36"/>
    </row>
    <row r="4080" spans="7:11" ht="15.75" customHeight="1">
      <c r="G4080" s="36"/>
      <c r="H4080" s="36"/>
      <c r="I4080" s="36"/>
      <c r="J4080" s="36"/>
      <c r="K4080" s="36"/>
    </row>
    <row r="4081" spans="7:11" ht="15.75" customHeight="1">
      <c r="G4081" s="36"/>
      <c r="H4081" s="36"/>
      <c r="I4081" s="36"/>
      <c r="J4081" s="36"/>
      <c r="K4081" s="36"/>
    </row>
    <row r="4082" spans="7:11" ht="15.75" customHeight="1">
      <c r="G4082" s="36"/>
      <c r="H4082" s="36"/>
      <c r="I4082" s="36"/>
      <c r="J4082" s="36"/>
      <c r="K4082" s="36"/>
    </row>
    <row r="4083" spans="7:11" ht="15.75" customHeight="1">
      <c r="G4083" s="36"/>
      <c r="H4083" s="36"/>
      <c r="I4083" s="36"/>
      <c r="J4083" s="36"/>
      <c r="K4083" s="36"/>
    </row>
    <row r="4084" spans="7:11" ht="15.75" customHeight="1">
      <c r="G4084" s="36"/>
      <c r="H4084" s="36"/>
      <c r="I4084" s="36"/>
      <c r="J4084" s="36"/>
      <c r="K4084" s="36"/>
    </row>
    <row r="4085" spans="7:11" ht="15.75" customHeight="1">
      <c r="G4085" s="36"/>
      <c r="H4085" s="36"/>
      <c r="I4085" s="36"/>
      <c r="J4085" s="36"/>
      <c r="K4085" s="36"/>
    </row>
    <row r="4086" spans="7:11" ht="15.75" customHeight="1">
      <c r="G4086" s="36"/>
      <c r="H4086" s="36"/>
      <c r="I4086" s="36"/>
      <c r="J4086" s="36"/>
      <c r="K4086" s="36"/>
    </row>
    <row r="4087" spans="7:11" ht="15.75" customHeight="1">
      <c r="G4087" s="36"/>
      <c r="H4087" s="36"/>
      <c r="I4087" s="36"/>
      <c r="J4087" s="36"/>
      <c r="K4087" s="36"/>
    </row>
    <row r="4088" spans="7:11" ht="15.75" customHeight="1">
      <c r="G4088" s="36"/>
      <c r="H4088" s="36"/>
      <c r="I4088" s="36"/>
      <c r="J4088" s="36"/>
      <c r="K4088" s="36"/>
    </row>
    <row r="4089" spans="7:11" ht="15.75" customHeight="1">
      <c r="G4089" s="36"/>
      <c r="H4089" s="36"/>
      <c r="I4089" s="36"/>
      <c r="J4089" s="36"/>
      <c r="K4089" s="36"/>
    </row>
    <row r="4090" spans="7:11" ht="15.75" customHeight="1">
      <c r="G4090" s="36"/>
      <c r="H4090" s="36"/>
      <c r="I4090" s="36"/>
      <c r="J4090" s="36"/>
      <c r="K4090" s="36"/>
    </row>
    <row r="4091" spans="7:11" ht="15.75" customHeight="1">
      <c r="G4091" s="36"/>
      <c r="H4091" s="36"/>
      <c r="I4091" s="36"/>
      <c r="J4091" s="36"/>
      <c r="K4091" s="36"/>
    </row>
    <row r="4092" spans="7:11" ht="15.75" customHeight="1">
      <c r="G4092" s="36"/>
      <c r="H4092" s="36"/>
      <c r="I4092" s="36"/>
      <c r="J4092" s="36"/>
      <c r="K4092" s="36"/>
    </row>
    <row r="4093" spans="7:11" ht="15.75" customHeight="1">
      <c r="G4093" s="36"/>
      <c r="H4093" s="36"/>
      <c r="I4093" s="36"/>
      <c r="J4093" s="36"/>
      <c r="K4093" s="36"/>
    </row>
    <row r="4094" spans="7:11" ht="15.75" customHeight="1">
      <c r="G4094" s="36"/>
      <c r="H4094" s="36"/>
      <c r="I4094" s="36"/>
      <c r="J4094" s="36"/>
      <c r="K4094" s="36"/>
    </row>
    <row r="4095" spans="7:11" ht="15.75" customHeight="1">
      <c r="G4095" s="36"/>
      <c r="H4095" s="36"/>
      <c r="I4095" s="36"/>
      <c r="J4095" s="36"/>
      <c r="K4095" s="36"/>
    </row>
    <row r="4096" spans="7:11" ht="15.75" customHeight="1">
      <c r="G4096" s="36"/>
      <c r="H4096" s="36"/>
      <c r="I4096" s="36"/>
      <c r="J4096" s="36"/>
      <c r="K4096" s="36"/>
    </row>
    <row r="4097" spans="7:11" ht="15.75" customHeight="1">
      <c r="G4097" s="36"/>
      <c r="H4097" s="36"/>
      <c r="I4097" s="36"/>
      <c r="J4097" s="36"/>
      <c r="K4097" s="36"/>
    </row>
    <row r="4098" spans="7:11" ht="15.75" customHeight="1">
      <c r="G4098" s="36"/>
      <c r="H4098" s="36"/>
      <c r="I4098" s="36"/>
      <c r="J4098" s="36"/>
      <c r="K4098" s="36"/>
    </row>
    <row r="4099" spans="7:11" ht="15.75" customHeight="1">
      <c r="G4099" s="36"/>
      <c r="H4099" s="36"/>
      <c r="I4099" s="36"/>
      <c r="J4099" s="36"/>
      <c r="K4099" s="36"/>
    </row>
    <row r="4100" spans="7:11" ht="15.75" customHeight="1">
      <c r="G4100" s="36"/>
      <c r="H4100" s="36"/>
      <c r="I4100" s="36"/>
      <c r="J4100" s="36"/>
      <c r="K4100" s="36"/>
    </row>
    <row r="4101" spans="7:11" ht="15.75" customHeight="1">
      <c r="G4101" s="36"/>
      <c r="H4101" s="36"/>
      <c r="I4101" s="36"/>
      <c r="J4101" s="36"/>
      <c r="K4101" s="36"/>
    </row>
    <row r="4102" spans="7:11" ht="15.75" customHeight="1">
      <c r="G4102" s="36"/>
      <c r="H4102" s="36"/>
      <c r="I4102" s="36"/>
      <c r="J4102" s="36"/>
      <c r="K4102" s="36"/>
    </row>
    <row r="4103" spans="7:11" ht="15.75" customHeight="1">
      <c r="G4103" s="36"/>
      <c r="H4103" s="36"/>
      <c r="I4103" s="36"/>
      <c r="J4103" s="36"/>
      <c r="K4103" s="36"/>
    </row>
    <row r="4104" spans="7:11" ht="15.75" customHeight="1">
      <c r="G4104" s="36"/>
      <c r="H4104" s="36"/>
      <c r="I4104" s="36"/>
      <c r="J4104" s="36"/>
      <c r="K4104" s="36"/>
    </row>
    <row r="4105" spans="7:11" ht="15.75" customHeight="1">
      <c r="G4105" s="36"/>
      <c r="H4105" s="36"/>
      <c r="I4105" s="36"/>
      <c r="J4105" s="36"/>
      <c r="K4105" s="36"/>
    </row>
    <row r="4106" spans="7:11" ht="15.75" customHeight="1">
      <c r="G4106" s="36"/>
      <c r="H4106" s="36"/>
      <c r="I4106" s="36"/>
      <c r="J4106" s="36"/>
      <c r="K4106" s="36"/>
    </row>
    <row r="4107" spans="7:11" ht="15.75" customHeight="1">
      <c r="G4107" s="36"/>
      <c r="H4107" s="36"/>
      <c r="I4107" s="36"/>
      <c r="J4107" s="36"/>
      <c r="K4107" s="36"/>
    </row>
    <row r="4108" spans="7:11" ht="15.75" customHeight="1">
      <c r="G4108" s="36"/>
      <c r="H4108" s="36"/>
      <c r="I4108" s="36"/>
      <c r="J4108" s="36"/>
      <c r="K4108" s="36"/>
    </row>
    <row r="4109" spans="7:11" ht="15.75" customHeight="1">
      <c r="G4109" s="36"/>
      <c r="H4109" s="36"/>
      <c r="I4109" s="36"/>
      <c r="J4109" s="36"/>
      <c r="K4109" s="36"/>
    </row>
    <row r="4110" spans="7:11" ht="15.75" customHeight="1">
      <c r="G4110" s="36"/>
      <c r="H4110" s="36"/>
      <c r="I4110" s="36"/>
      <c r="J4110" s="36"/>
      <c r="K4110" s="36"/>
    </row>
    <row r="4111" spans="7:11" ht="15.75" customHeight="1">
      <c r="G4111" s="36"/>
      <c r="H4111" s="36"/>
      <c r="I4111" s="36"/>
      <c r="J4111" s="36"/>
      <c r="K4111" s="36"/>
    </row>
    <row r="4112" spans="7:11" ht="15.75" customHeight="1">
      <c r="G4112" s="36"/>
      <c r="H4112" s="36"/>
      <c r="I4112" s="36"/>
      <c r="J4112" s="36"/>
      <c r="K4112" s="36"/>
    </row>
    <row r="4113" spans="7:11" ht="15.75" customHeight="1">
      <c r="G4113" s="36"/>
      <c r="H4113" s="36"/>
      <c r="I4113" s="36"/>
      <c r="J4113" s="36"/>
      <c r="K4113" s="36"/>
    </row>
    <row r="4114" spans="7:11" ht="15.75" customHeight="1">
      <c r="G4114" s="36"/>
      <c r="H4114" s="36"/>
      <c r="I4114" s="36"/>
      <c r="J4114" s="36"/>
      <c r="K4114" s="36"/>
    </row>
    <row r="4115" spans="7:11" ht="15.75" customHeight="1">
      <c r="G4115" s="36"/>
      <c r="H4115" s="36"/>
      <c r="I4115" s="36"/>
      <c r="J4115" s="36"/>
      <c r="K4115" s="36"/>
    </row>
    <row r="4116" spans="7:11" ht="15.75" customHeight="1">
      <c r="G4116" s="36"/>
      <c r="H4116" s="36"/>
      <c r="I4116" s="36"/>
      <c r="J4116" s="36"/>
      <c r="K4116" s="36"/>
    </row>
    <row r="4117" spans="7:11" ht="15.75" customHeight="1">
      <c r="G4117" s="36"/>
      <c r="H4117" s="36"/>
      <c r="I4117" s="36"/>
      <c r="J4117" s="36"/>
      <c r="K4117" s="36"/>
    </row>
    <row r="4118" spans="7:11" ht="15.75" customHeight="1">
      <c r="G4118" s="36"/>
      <c r="H4118" s="36"/>
      <c r="I4118" s="36"/>
      <c r="J4118" s="36"/>
      <c r="K4118" s="36"/>
    </row>
    <row r="4119" spans="7:11" ht="15.75" customHeight="1">
      <c r="G4119" s="36"/>
      <c r="H4119" s="36"/>
      <c r="I4119" s="36"/>
      <c r="J4119" s="36"/>
      <c r="K4119" s="36"/>
    </row>
    <row r="4120" spans="7:11" ht="15.75" customHeight="1">
      <c r="G4120" s="36"/>
      <c r="H4120" s="36"/>
      <c r="I4120" s="36"/>
      <c r="J4120" s="36"/>
      <c r="K4120" s="36"/>
    </row>
    <row r="4121" spans="7:11" ht="15.75" customHeight="1">
      <c r="G4121" s="36"/>
      <c r="H4121" s="36"/>
      <c r="I4121" s="36"/>
      <c r="J4121" s="36"/>
      <c r="K4121" s="36"/>
    </row>
    <row r="4122" spans="7:11" ht="15.75" customHeight="1">
      <c r="G4122" s="36"/>
      <c r="H4122" s="36"/>
      <c r="I4122" s="36"/>
      <c r="J4122" s="36"/>
      <c r="K4122" s="36"/>
    </row>
    <row r="4123" spans="7:11" ht="15.75" customHeight="1">
      <c r="G4123" s="36"/>
      <c r="H4123" s="36"/>
      <c r="I4123" s="36"/>
      <c r="J4123" s="36"/>
      <c r="K4123" s="36"/>
    </row>
    <row r="4124" spans="7:11" ht="15.75" customHeight="1">
      <c r="G4124" s="36"/>
      <c r="H4124" s="36"/>
      <c r="I4124" s="36"/>
      <c r="J4124" s="36"/>
      <c r="K4124" s="36"/>
    </row>
    <row r="4125" spans="7:11" ht="15.75" customHeight="1">
      <c r="G4125" s="36"/>
      <c r="H4125" s="36"/>
      <c r="I4125" s="36"/>
      <c r="J4125" s="36"/>
      <c r="K4125" s="36"/>
    </row>
    <row r="4126" spans="7:11" ht="15.75" customHeight="1">
      <c r="G4126" s="36"/>
      <c r="H4126" s="36"/>
      <c r="I4126" s="36"/>
      <c r="J4126" s="36"/>
      <c r="K4126" s="36"/>
    </row>
    <row r="4127" spans="7:11" ht="15.75" customHeight="1">
      <c r="G4127" s="36"/>
      <c r="H4127" s="36"/>
      <c r="I4127" s="36"/>
      <c r="J4127" s="36"/>
      <c r="K4127" s="36"/>
    </row>
    <row r="4128" spans="7:11" ht="15.75" customHeight="1">
      <c r="G4128" s="36"/>
      <c r="H4128" s="36"/>
      <c r="I4128" s="36"/>
      <c r="J4128" s="36"/>
      <c r="K4128" s="36"/>
    </row>
    <row r="4129" spans="7:11" ht="15.75" customHeight="1">
      <c r="G4129" s="36"/>
      <c r="H4129" s="36"/>
      <c r="I4129" s="36"/>
      <c r="J4129" s="36"/>
      <c r="K4129" s="36"/>
    </row>
    <row r="4130" spans="7:11" ht="15.75" customHeight="1">
      <c r="G4130" s="36"/>
      <c r="H4130" s="36"/>
      <c r="I4130" s="36"/>
      <c r="J4130" s="36"/>
      <c r="K4130" s="36"/>
    </row>
    <row r="4131" spans="7:11" ht="15.75" customHeight="1">
      <c r="G4131" s="36"/>
      <c r="H4131" s="36"/>
      <c r="I4131" s="36"/>
      <c r="J4131" s="36"/>
      <c r="K4131" s="36"/>
    </row>
    <row r="4132" spans="7:11" ht="15.75" customHeight="1">
      <c r="G4132" s="36"/>
      <c r="H4132" s="36"/>
      <c r="I4132" s="36"/>
      <c r="J4132" s="36"/>
      <c r="K4132" s="36"/>
    </row>
    <row r="4133" spans="7:11" ht="15.75" customHeight="1">
      <c r="G4133" s="36"/>
      <c r="H4133" s="36"/>
      <c r="I4133" s="36"/>
      <c r="J4133" s="36"/>
      <c r="K4133" s="36"/>
    </row>
    <row r="4134" spans="7:11" ht="15.75" customHeight="1">
      <c r="G4134" s="36"/>
      <c r="H4134" s="36"/>
      <c r="I4134" s="36"/>
      <c r="J4134" s="36"/>
      <c r="K4134" s="36"/>
    </row>
    <row r="4135" spans="7:11" ht="15.75" customHeight="1">
      <c r="G4135" s="36"/>
      <c r="H4135" s="36"/>
      <c r="I4135" s="36"/>
      <c r="J4135" s="36"/>
      <c r="K4135" s="36"/>
    </row>
    <row r="4136" spans="7:11" ht="15.75" customHeight="1">
      <c r="G4136" s="36"/>
      <c r="H4136" s="36"/>
      <c r="I4136" s="36"/>
      <c r="J4136" s="36"/>
      <c r="K4136" s="36"/>
    </row>
    <row r="4137" spans="7:11" ht="15.75" customHeight="1">
      <c r="G4137" s="36"/>
      <c r="H4137" s="36"/>
      <c r="I4137" s="36"/>
      <c r="J4137" s="36"/>
      <c r="K4137" s="36"/>
    </row>
    <row r="4138" spans="7:11" ht="15.75" customHeight="1">
      <c r="G4138" s="36"/>
      <c r="H4138" s="36"/>
      <c r="I4138" s="36"/>
      <c r="J4138" s="36"/>
      <c r="K4138" s="36"/>
    </row>
    <row r="4139" spans="7:11" ht="15.75" customHeight="1">
      <c r="G4139" s="36"/>
      <c r="H4139" s="36"/>
      <c r="I4139" s="36"/>
      <c r="J4139" s="36"/>
      <c r="K4139" s="36"/>
    </row>
    <row r="4140" spans="7:11" ht="15.75" customHeight="1">
      <c r="G4140" s="36"/>
      <c r="H4140" s="36"/>
      <c r="I4140" s="36"/>
      <c r="J4140" s="36"/>
      <c r="K4140" s="36"/>
    </row>
    <row r="4141" spans="7:11" ht="15.75" customHeight="1">
      <c r="G4141" s="36"/>
      <c r="H4141" s="36"/>
      <c r="I4141" s="36"/>
      <c r="J4141" s="36"/>
      <c r="K4141" s="36"/>
    </row>
    <row r="4142" spans="7:11" ht="15.75" customHeight="1">
      <c r="G4142" s="36"/>
      <c r="H4142" s="36"/>
      <c r="I4142" s="36"/>
      <c r="J4142" s="36"/>
      <c r="K4142" s="36"/>
    </row>
    <row r="4143" spans="7:11" ht="15.75" customHeight="1">
      <c r="G4143" s="36"/>
      <c r="H4143" s="36"/>
      <c r="I4143" s="36"/>
      <c r="J4143" s="36"/>
      <c r="K4143" s="36"/>
    </row>
    <row r="4144" spans="7:11" ht="15.75" customHeight="1">
      <c r="G4144" s="36"/>
      <c r="H4144" s="36"/>
      <c r="I4144" s="36"/>
      <c r="J4144" s="36"/>
      <c r="K4144" s="36"/>
    </row>
    <row r="4145" spans="7:11" ht="15.75" customHeight="1">
      <c r="G4145" s="36"/>
      <c r="H4145" s="36"/>
      <c r="I4145" s="36"/>
      <c r="J4145" s="36"/>
      <c r="K4145" s="36"/>
    </row>
    <row r="4146" spans="7:11" ht="15.75" customHeight="1">
      <c r="G4146" s="36"/>
      <c r="H4146" s="36"/>
      <c r="I4146" s="36"/>
      <c r="J4146" s="36"/>
      <c r="K4146" s="36"/>
    </row>
    <row r="4147" spans="7:11" ht="15.75" customHeight="1">
      <c r="G4147" s="36"/>
      <c r="H4147" s="36"/>
      <c r="I4147" s="36"/>
      <c r="J4147" s="36"/>
      <c r="K4147" s="36"/>
    </row>
    <row r="4148" spans="7:11" ht="15.75" customHeight="1">
      <c r="G4148" s="36"/>
      <c r="H4148" s="36"/>
      <c r="I4148" s="36"/>
      <c r="J4148" s="36"/>
      <c r="K4148" s="36"/>
    </row>
    <row r="4149" spans="7:11" ht="15.75" customHeight="1">
      <c r="G4149" s="36"/>
      <c r="H4149" s="36"/>
      <c r="I4149" s="36"/>
      <c r="J4149" s="36"/>
      <c r="K4149" s="36"/>
    </row>
    <row r="4150" spans="7:11" ht="15.75" customHeight="1">
      <c r="G4150" s="36"/>
      <c r="H4150" s="36"/>
      <c r="I4150" s="36"/>
      <c r="J4150" s="36"/>
      <c r="K4150" s="36"/>
    </row>
    <row r="4151" spans="7:11" ht="15.75" customHeight="1">
      <c r="G4151" s="36"/>
      <c r="H4151" s="36"/>
      <c r="I4151" s="36"/>
      <c r="J4151" s="36"/>
      <c r="K4151" s="36"/>
    </row>
    <row r="4152" spans="7:11" ht="15.75" customHeight="1">
      <c r="G4152" s="36"/>
      <c r="H4152" s="36"/>
      <c r="I4152" s="36"/>
      <c r="J4152" s="36"/>
      <c r="K4152" s="36"/>
    </row>
    <row r="4153" spans="7:11" ht="15.75" customHeight="1">
      <c r="G4153" s="36"/>
      <c r="H4153" s="36"/>
      <c r="I4153" s="36"/>
      <c r="J4153" s="36"/>
      <c r="K4153" s="36"/>
    </row>
    <row r="4154" spans="7:11" ht="15.75" customHeight="1">
      <c r="G4154" s="36"/>
      <c r="H4154" s="36"/>
      <c r="I4154" s="36"/>
      <c r="J4154" s="36"/>
      <c r="K4154" s="36"/>
    </row>
    <row r="4155" spans="7:11" ht="15.75" customHeight="1">
      <c r="G4155" s="36"/>
      <c r="H4155" s="36"/>
      <c r="I4155" s="36"/>
      <c r="J4155" s="36"/>
      <c r="K4155" s="36"/>
    </row>
    <row r="4156" spans="7:11" ht="15.75" customHeight="1">
      <c r="G4156" s="36"/>
      <c r="H4156" s="36"/>
      <c r="I4156" s="36"/>
      <c r="J4156" s="36"/>
      <c r="K4156" s="36"/>
    </row>
    <row r="4157" spans="7:11" ht="15.75" customHeight="1">
      <c r="G4157" s="36"/>
      <c r="H4157" s="36"/>
      <c r="I4157" s="36"/>
      <c r="J4157" s="36"/>
      <c r="K4157" s="36"/>
    </row>
    <row r="4158" spans="7:11" ht="15.75" customHeight="1">
      <c r="G4158" s="36"/>
      <c r="H4158" s="36"/>
      <c r="I4158" s="36"/>
      <c r="J4158" s="36"/>
      <c r="K4158" s="36"/>
    </row>
    <row r="4159" spans="7:11" ht="15.75" customHeight="1">
      <c r="G4159" s="36"/>
      <c r="H4159" s="36"/>
      <c r="I4159" s="36"/>
      <c r="J4159" s="36"/>
      <c r="K4159" s="36"/>
    </row>
    <row r="4160" spans="7:11" ht="15.75" customHeight="1">
      <c r="G4160" s="36"/>
      <c r="H4160" s="36"/>
      <c r="I4160" s="36"/>
      <c r="J4160" s="36"/>
      <c r="K4160" s="36"/>
    </row>
    <row r="4161" spans="7:11" ht="15.75" customHeight="1">
      <c r="G4161" s="36"/>
      <c r="H4161" s="36"/>
      <c r="I4161" s="36"/>
      <c r="J4161" s="36"/>
      <c r="K4161" s="36"/>
    </row>
    <row r="4162" spans="7:11" ht="15.75" customHeight="1">
      <c r="G4162" s="36"/>
      <c r="H4162" s="36"/>
      <c r="I4162" s="36"/>
      <c r="J4162" s="36"/>
      <c r="K4162" s="36"/>
    </row>
    <row r="4163" spans="7:11" ht="15.75" customHeight="1">
      <c r="G4163" s="36"/>
      <c r="H4163" s="36"/>
      <c r="I4163" s="36"/>
      <c r="J4163" s="36"/>
      <c r="K4163" s="36"/>
    </row>
    <row r="4164" spans="7:11" ht="15.75" customHeight="1">
      <c r="G4164" s="36"/>
      <c r="H4164" s="36"/>
      <c r="I4164" s="36"/>
      <c r="J4164" s="36"/>
      <c r="K4164" s="36"/>
    </row>
    <row r="4165" spans="7:11" ht="15.75" customHeight="1">
      <c r="G4165" s="36"/>
      <c r="H4165" s="36"/>
      <c r="I4165" s="36"/>
      <c r="J4165" s="36"/>
      <c r="K4165" s="36"/>
    </row>
    <row r="4166" spans="7:11" ht="15.75" customHeight="1">
      <c r="G4166" s="36"/>
      <c r="H4166" s="36"/>
      <c r="I4166" s="36"/>
      <c r="J4166" s="36"/>
      <c r="K4166" s="36"/>
    </row>
    <row r="4167" spans="7:11" ht="15.75" customHeight="1">
      <c r="G4167" s="36"/>
      <c r="H4167" s="36"/>
      <c r="I4167" s="36"/>
      <c r="J4167" s="36"/>
      <c r="K4167" s="36"/>
    </row>
    <row r="4168" spans="7:11" ht="15.75" customHeight="1">
      <c r="G4168" s="36"/>
      <c r="H4168" s="36"/>
      <c r="I4168" s="36"/>
      <c r="J4168" s="36"/>
      <c r="K4168" s="36"/>
    </row>
    <row r="4169" spans="7:11" ht="15.75" customHeight="1">
      <c r="G4169" s="36"/>
      <c r="H4169" s="36"/>
      <c r="I4169" s="36"/>
      <c r="J4169" s="36"/>
      <c r="K4169" s="36"/>
    </row>
    <row r="4170" spans="7:11" ht="15.75" customHeight="1">
      <c r="G4170" s="36"/>
      <c r="H4170" s="36"/>
      <c r="I4170" s="36"/>
      <c r="J4170" s="36"/>
      <c r="K4170" s="36"/>
    </row>
    <row r="4171" spans="7:11" ht="15.75" customHeight="1">
      <c r="G4171" s="36"/>
      <c r="H4171" s="36"/>
      <c r="I4171" s="36"/>
      <c r="J4171" s="36"/>
      <c r="K4171" s="36"/>
    </row>
    <row r="4172" spans="7:11" ht="15.75" customHeight="1">
      <c r="G4172" s="36"/>
      <c r="H4172" s="36"/>
      <c r="I4172" s="36"/>
      <c r="J4172" s="36"/>
      <c r="K4172" s="36"/>
    </row>
    <row r="4173" spans="7:11" ht="15.75" customHeight="1">
      <c r="G4173" s="36"/>
      <c r="H4173" s="36"/>
      <c r="I4173" s="36"/>
      <c r="J4173" s="36"/>
      <c r="K4173" s="36"/>
    </row>
    <row r="4174" spans="7:11" ht="15.75" customHeight="1">
      <c r="G4174" s="36"/>
      <c r="H4174" s="36"/>
      <c r="I4174" s="36"/>
      <c r="J4174" s="36"/>
      <c r="K4174" s="36"/>
    </row>
    <row r="4175" spans="7:11" ht="15.75" customHeight="1">
      <c r="G4175" s="36"/>
      <c r="H4175" s="36"/>
      <c r="I4175" s="36"/>
      <c r="J4175" s="36"/>
      <c r="K4175" s="36"/>
    </row>
    <row r="4176" spans="7:11" ht="15.75" customHeight="1">
      <c r="G4176" s="36"/>
      <c r="H4176" s="36"/>
      <c r="I4176" s="36"/>
      <c r="J4176" s="36"/>
      <c r="K4176" s="36"/>
    </row>
    <row r="4177" spans="7:11" ht="15.75" customHeight="1">
      <c r="G4177" s="36"/>
      <c r="H4177" s="36"/>
      <c r="I4177" s="36"/>
      <c r="J4177" s="36"/>
      <c r="K4177" s="36"/>
    </row>
    <row r="4178" spans="7:11" ht="15.75" customHeight="1">
      <c r="G4178" s="36"/>
      <c r="H4178" s="36"/>
      <c r="I4178" s="36"/>
      <c r="J4178" s="36"/>
      <c r="K4178" s="36"/>
    </row>
    <row r="4179" spans="7:11" ht="15.75" customHeight="1">
      <c r="G4179" s="36"/>
      <c r="H4179" s="36"/>
      <c r="I4179" s="36"/>
      <c r="J4179" s="36"/>
      <c r="K4179" s="36"/>
    </row>
    <row r="4180" spans="7:11" ht="15.75" customHeight="1">
      <c r="G4180" s="36"/>
      <c r="H4180" s="36"/>
      <c r="I4180" s="36"/>
      <c r="J4180" s="36"/>
      <c r="K4180" s="36"/>
    </row>
    <row r="4181" spans="7:11" ht="15.75" customHeight="1">
      <c r="G4181" s="36"/>
      <c r="H4181" s="36"/>
      <c r="I4181" s="36"/>
      <c r="J4181" s="36"/>
      <c r="K4181" s="36"/>
    </row>
    <row r="4182" spans="7:11" ht="15.75" customHeight="1">
      <c r="G4182" s="36"/>
      <c r="H4182" s="36"/>
      <c r="I4182" s="36"/>
      <c r="J4182" s="36"/>
      <c r="K4182" s="36"/>
    </row>
    <row r="4183" spans="7:11" ht="15.75" customHeight="1">
      <c r="G4183" s="36"/>
      <c r="H4183" s="36"/>
      <c r="I4183" s="36"/>
      <c r="J4183" s="36"/>
      <c r="K4183" s="36"/>
    </row>
    <row r="4184" spans="7:11" ht="15.75" customHeight="1">
      <c r="G4184" s="36"/>
      <c r="H4184" s="36"/>
      <c r="I4184" s="36"/>
      <c r="J4184" s="36"/>
      <c r="K4184" s="36"/>
    </row>
    <row r="4185" spans="7:11" ht="15.75" customHeight="1">
      <c r="G4185" s="36"/>
      <c r="H4185" s="36"/>
      <c r="I4185" s="36"/>
      <c r="J4185" s="36"/>
      <c r="K4185" s="36"/>
    </row>
    <row r="4186" spans="7:11" ht="15.75" customHeight="1">
      <c r="G4186" s="36"/>
      <c r="H4186" s="36"/>
      <c r="I4186" s="36"/>
      <c r="J4186" s="36"/>
      <c r="K4186" s="36"/>
    </row>
    <row r="4187" spans="7:11" ht="15.75" customHeight="1">
      <c r="G4187" s="36"/>
      <c r="H4187" s="36"/>
      <c r="I4187" s="36"/>
      <c r="J4187" s="36"/>
      <c r="K4187" s="36"/>
    </row>
    <row r="4188" spans="7:11" ht="15.75" customHeight="1">
      <c r="G4188" s="36"/>
      <c r="H4188" s="36"/>
      <c r="I4188" s="36"/>
      <c r="J4188" s="36"/>
      <c r="K4188" s="36"/>
    </row>
    <row r="4189" spans="7:11" ht="15.75" customHeight="1">
      <c r="G4189" s="36"/>
      <c r="H4189" s="36"/>
      <c r="I4189" s="36"/>
      <c r="J4189" s="36"/>
      <c r="K4189" s="36"/>
    </row>
    <row r="4190" spans="7:11" ht="15.75" customHeight="1">
      <c r="G4190" s="36"/>
      <c r="H4190" s="36"/>
      <c r="I4190" s="36"/>
      <c r="J4190" s="36"/>
      <c r="K4190" s="36"/>
    </row>
    <row r="4191" spans="7:11" ht="15.75" customHeight="1">
      <c r="G4191" s="36"/>
      <c r="H4191" s="36"/>
      <c r="I4191" s="36"/>
      <c r="J4191" s="36"/>
      <c r="K4191" s="36"/>
    </row>
    <row r="4192" spans="7:11" ht="15.75" customHeight="1">
      <c r="G4192" s="36"/>
      <c r="H4192" s="36"/>
      <c r="I4192" s="36"/>
      <c r="J4192" s="36"/>
      <c r="K4192" s="36"/>
    </row>
    <row r="4193" spans="7:11" ht="15.75" customHeight="1">
      <c r="G4193" s="36"/>
      <c r="H4193" s="36"/>
      <c r="I4193" s="36"/>
      <c r="J4193" s="36"/>
      <c r="K4193" s="36"/>
    </row>
    <row r="4194" spans="7:11" ht="15.75" customHeight="1">
      <c r="G4194" s="36"/>
      <c r="H4194" s="36"/>
      <c r="I4194" s="36"/>
      <c r="J4194" s="36"/>
      <c r="K4194" s="36"/>
    </row>
    <row r="4195" spans="7:11" ht="15.75" customHeight="1">
      <c r="G4195" s="36"/>
      <c r="H4195" s="36"/>
      <c r="I4195" s="36"/>
      <c r="J4195" s="36"/>
      <c r="K4195" s="36"/>
    </row>
    <row r="4196" spans="7:11" ht="15.75" customHeight="1">
      <c r="G4196" s="36"/>
      <c r="H4196" s="36"/>
      <c r="I4196" s="36"/>
      <c r="J4196" s="36"/>
      <c r="K4196" s="36"/>
    </row>
    <row r="4197" spans="7:11" ht="15.75" customHeight="1">
      <c r="G4197" s="36"/>
      <c r="H4197" s="36"/>
      <c r="I4197" s="36"/>
      <c r="J4197" s="36"/>
      <c r="K4197" s="36"/>
    </row>
    <row r="4198" spans="7:11" ht="15.75" customHeight="1">
      <c r="G4198" s="36"/>
      <c r="H4198" s="36"/>
      <c r="I4198" s="36"/>
      <c r="J4198" s="36"/>
      <c r="K4198" s="36"/>
    </row>
    <row r="4199" spans="7:11" ht="15.75" customHeight="1">
      <c r="G4199" s="36"/>
      <c r="H4199" s="36"/>
      <c r="I4199" s="36"/>
      <c r="J4199" s="36"/>
      <c r="K4199" s="36"/>
    </row>
    <row r="4200" spans="7:11" ht="15.75" customHeight="1">
      <c r="G4200" s="36"/>
      <c r="H4200" s="36"/>
      <c r="I4200" s="36"/>
      <c r="J4200" s="36"/>
      <c r="K4200" s="36"/>
    </row>
    <row r="4201" spans="7:11" ht="15.75" customHeight="1">
      <c r="G4201" s="36"/>
      <c r="H4201" s="36"/>
      <c r="I4201" s="36"/>
      <c r="J4201" s="36"/>
      <c r="K4201" s="36"/>
    </row>
    <row r="4202" spans="7:11" ht="15.75" customHeight="1">
      <c r="G4202" s="36"/>
      <c r="H4202" s="36"/>
      <c r="I4202" s="36"/>
      <c r="J4202" s="36"/>
      <c r="K4202" s="36"/>
    </row>
    <row r="4203" spans="7:11" ht="15.75" customHeight="1">
      <c r="G4203" s="36"/>
      <c r="H4203" s="36"/>
      <c r="I4203" s="36"/>
      <c r="J4203" s="36"/>
      <c r="K4203" s="36"/>
    </row>
    <row r="4204" spans="7:11" ht="15.75" customHeight="1">
      <c r="G4204" s="36"/>
      <c r="H4204" s="36"/>
      <c r="I4204" s="36"/>
      <c r="J4204" s="36"/>
      <c r="K4204" s="36"/>
    </row>
    <row r="4205" spans="7:11" ht="15.75" customHeight="1">
      <c r="G4205" s="36"/>
      <c r="H4205" s="36"/>
      <c r="I4205" s="36"/>
      <c r="J4205" s="36"/>
      <c r="K4205" s="36"/>
    </row>
    <row r="4206" spans="7:11" ht="15.75" customHeight="1">
      <c r="G4206" s="36"/>
      <c r="H4206" s="36"/>
      <c r="I4206" s="36"/>
      <c r="J4206" s="36"/>
      <c r="K4206" s="36"/>
    </row>
    <row r="4207" spans="7:11" ht="15.75" customHeight="1">
      <c r="G4207" s="36"/>
      <c r="H4207" s="36"/>
      <c r="I4207" s="36"/>
      <c r="J4207" s="36"/>
      <c r="K4207" s="36"/>
    </row>
    <row r="4208" spans="7:11" ht="15.75" customHeight="1">
      <c r="G4208" s="36"/>
      <c r="H4208" s="36"/>
      <c r="I4208" s="36"/>
      <c r="J4208" s="36"/>
      <c r="K4208" s="36"/>
    </row>
    <row r="4209" spans="7:11" ht="15.75" customHeight="1">
      <c r="G4209" s="36"/>
      <c r="H4209" s="36"/>
      <c r="I4209" s="36"/>
      <c r="J4209" s="36"/>
      <c r="K4209" s="36"/>
    </row>
    <row r="4210" spans="7:11" ht="15.75" customHeight="1">
      <c r="G4210" s="36"/>
      <c r="H4210" s="36"/>
      <c r="I4210" s="36"/>
      <c r="J4210" s="36"/>
      <c r="K4210" s="36"/>
    </row>
    <row r="4211" spans="7:11" ht="15.75" customHeight="1">
      <c r="G4211" s="36"/>
      <c r="H4211" s="36"/>
      <c r="I4211" s="36"/>
      <c r="J4211" s="36"/>
      <c r="K4211" s="36"/>
    </row>
    <row r="4212" spans="7:11" ht="15.75" customHeight="1">
      <c r="G4212" s="36"/>
      <c r="H4212" s="36"/>
      <c r="I4212" s="36"/>
      <c r="J4212" s="36"/>
      <c r="K4212" s="36"/>
    </row>
    <row r="4213" spans="7:11" ht="15.75" customHeight="1">
      <c r="G4213" s="36"/>
      <c r="H4213" s="36"/>
      <c r="I4213" s="36"/>
      <c r="J4213" s="36"/>
      <c r="K4213" s="36"/>
    </row>
    <row r="4214" spans="7:11" ht="15.75" customHeight="1">
      <c r="G4214" s="36"/>
      <c r="H4214" s="36"/>
      <c r="I4214" s="36"/>
      <c r="J4214" s="36"/>
      <c r="K4214" s="36"/>
    </row>
    <row r="4215" spans="7:11" ht="15.75" customHeight="1">
      <c r="G4215" s="36"/>
      <c r="H4215" s="36"/>
      <c r="I4215" s="36"/>
      <c r="J4215" s="36"/>
      <c r="K4215" s="36"/>
    </row>
    <row r="4216" spans="7:11" ht="15.75" customHeight="1">
      <c r="G4216" s="36"/>
      <c r="H4216" s="36"/>
      <c r="I4216" s="36"/>
      <c r="J4216" s="36"/>
      <c r="K4216" s="36"/>
    </row>
    <row r="4217" spans="7:11" ht="15.75" customHeight="1">
      <c r="G4217" s="36"/>
      <c r="H4217" s="36"/>
      <c r="I4217" s="36"/>
      <c r="J4217" s="36"/>
      <c r="K4217" s="36"/>
    </row>
    <row r="4218" spans="7:11" ht="15.75" customHeight="1">
      <c r="G4218" s="36"/>
      <c r="H4218" s="36"/>
      <c r="I4218" s="36"/>
      <c r="J4218" s="36"/>
      <c r="K4218" s="36"/>
    </row>
    <row r="4219" spans="7:11" ht="15.75" customHeight="1">
      <c r="G4219" s="36"/>
      <c r="H4219" s="36"/>
      <c r="I4219" s="36"/>
      <c r="J4219" s="36"/>
      <c r="K4219" s="36"/>
    </row>
    <row r="4220" spans="7:11" ht="15.75" customHeight="1">
      <c r="G4220" s="36"/>
      <c r="H4220" s="36"/>
      <c r="I4220" s="36"/>
      <c r="J4220" s="36"/>
      <c r="K4220" s="36"/>
    </row>
    <row r="4221" spans="7:11" ht="15.75" customHeight="1">
      <c r="G4221" s="36"/>
      <c r="H4221" s="36"/>
      <c r="I4221" s="36"/>
      <c r="J4221" s="36"/>
      <c r="K4221" s="36"/>
    </row>
    <row r="4222" spans="7:11" ht="15.75" customHeight="1">
      <c r="G4222" s="36"/>
      <c r="H4222" s="36"/>
      <c r="I4222" s="36"/>
      <c r="J4222" s="36"/>
      <c r="K4222" s="36"/>
    </row>
    <row r="4223" spans="7:11" ht="15.75" customHeight="1">
      <c r="G4223" s="36"/>
      <c r="H4223" s="36"/>
      <c r="I4223" s="36"/>
      <c r="J4223" s="36"/>
      <c r="K4223" s="36"/>
    </row>
    <row r="4224" spans="7:11" ht="15.75" customHeight="1">
      <c r="G4224" s="36"/>
      <c r="H4224" s="36"/>
      <c r="I4224" s="36"/>
      <c r="J4224" s="36"/>
      <c r="K4224" s="36"/>
    </row>
    <row r="4225" spans="7:11" ht="15.75" customHeight="1">
      <c r="G4225" s="36"/>
      <c r="H4225" s="36"/>
      <c r="I4225" s="36"/>
      <c r="J4225" s="36"/>
      <c r="K4225" s="36"/>
    </row>
    <row r="4226" spans="7:11" ht="15.75" customHeight="1">
      <c r="G4226" s="36"/>
      <c r="H4226" s="36"/>
      <c r="I4226" s="36"/>
      <c r="J4226" s="36"/>
      <c r="K4226" s="36"/>
    </row>
    <row r="4227" spans="7:11" ht="15.75" customHeight="1">
      <c r="G4227" s="36"/>
      <c r="H4227" s="36"/>
      <c r="I4227" s="36"/>
      <c r="J4227" s="36"/>
      <c r="K4227" s="36"/>
    </row>
    <row r="4228" spans="7:11" ht="15.75" customHeight="1">
      <c r="G4228" s="36"/>
      <c r="H4228" s="36"/>
      <c r="I4228" s="36"/>
      <c r="J4228" s="36"/>
      <c r="K4228" s="36"/>
    </row>
    <row r="4229" spans="7:11" ht="15.75" customHeight="1">
      <c r="G4229" s="36"/>
      <c r="H4229" s="36"/>
      <c r="I4229" s="36"/>
      <c r="J4229" s="36"/>
      <c r="K4229" s="36"/>
    </row>
    <row r="4230" spans="7:11" ht="15.75" customHeight="1">
      <c r="G4230" s="36"/>
      <c r="H4230" s="36"/>
      <c r="I4230" s="36"/>
      <c r="J4230" s="36"/>
      <c r="K4230" s="36"/>
    </row>
    <row r="4231" spans="7:11" ht="15.75" customHeight="1">
      <c r="G4231" s="36"/>
      <c r="H4231" s="36"/>
      <c r="I4231" s="36"/>
      <c r="J4231" s="36"/>
      <c r="K4231" s="36"/>
    </row>
    <row r="4232" spans="7:11" ht="15.75" customHeight="1">
      <c r="G4232" s="36"/>
      <c r="H4232" s="36"/>
      <c r="I4232" s="36"/>
      <c r="J4232" s="36"/>
      <c r="K4232" s="36"/>
    </row>
    <row r="4233" spans="7:11" ht="15.75" customHeight="1">
      <c r="G4233" s="36"/>
      <c r="H4233" s="36"/>
      <c r="I4233" s="36"/>
      <c r="J4233" s="36"/>
      <c r="K4233" s="36"/>
    </row>
    <row r="4234" spans="7:11" ht="15.75" customHeight="1">
      <c r="G4234" s="36"/>
      <c r="H4234" s="36"/>
      <c r="I4234" s="36"/>
      <c r="J4234" s="36"/>
      <c r="K4234" s="36"/>
    </row>
    <row r="4235" spans="7:11" ht="15.75" customHeight="1">
      <c r="G4235" s="36"/>
      <c r="H4235" s="36"/>
      <c r="I4235" s="36"/>
      <c r="J4235" s="36"/>
      <c r="K4235" s="36"/>
    </row>
    <row r="4236" spans="7:11" ht="15.75" customHeight="1">
      <c r="G4236" s="36"/>
      <c r="H4236" s="36"/>
      <c r="I4236" s="36"/>
      <c r="J4236" s="36"/>
      <c r="K4236" s="36"/>
    </row>
    <row r="4237" spans="7:11" ht="15.75" customHeight="1">
      <c r="G4237" s="36"/>
      <c r="H4237" s="36"/>
      <c r="I4237" s="36"/>
      <c r="J4237" s="36"/>
      <c r="K4237" s="36"/>
    </row>
    <row r="4238" spans="7:11" ht="15.75" customHeight="1">
      <c r="G4238" s="36"/>
      <c r="H4238" s="36"/>
      <c r="I4238" s="36"/>
      <c r="J4238" s="36"/>
      <c r="K4238" s="36"/>
    </row>
    <row r="4239" spans="7:11" ht="15.75" customHeight="1">
      <c r="G4239" s="36"/>
      <c r="H4239" s="36"/>
      <c r="I4239" s="36"/>
      <c r="J4239" s="36"/>
      <c r="K4239" s="36"/>
    </row>
    <row r="4240" spans="7:11" ht="15.75" customHeight="1">
      <c r="G4240" s="36"/>
      <c r="H4240" s="36"/>
      <c r="I4240" s="36"/>
      <c r="J4240" s="36"/>
      <c r="K4240" s="36"/>
    </row>
    <row r="4241" spans="7:11" ht="15.75" customHeight="1">
      <c r="G4241" s="36"/>
      <c r="H4241" s="36"/>
      <c r="I4241" s="36"/>
      <c r="J4241" s="36"/>
      <c r="K4241" s="36"/>
    </row>
    <row r="4242" spans="7:11" ht="15.75" customHeight="1">
      <c r="G4242" s="36"/>
      <c r="H4242" s="36"/>
      <c r="I4242" s="36"/>
      <c r="J4242" s="36"/>
      <c r="K4242" s="36"/>
    </row>
    <row r="4243" spans="7:11" ht="15.75" customHeight="1">
      <c r="G4243" s="36"/>
      <c r="H4243" s="36"/>
      <c r="I4243" s="36"/>
      <c r="J4243" s="36"/>
      <c r="K4243" s="36"/>
    </row>
    <row r="4244" spans="7:11" ht="15.75" customHeight="1">
      <c r="G4244" s="36"/>
      <c r="H4244" s="36"/>
      <c r="I4244" s="36"/>
      <c r="J4244" s="36"/>
      <c r="K4244" s="36"/>
    </row>
    <row r="4245" spans="7:11" ht="15.75" customHeight="1">
      <c r="G4245" s="36"/>
      <c r="H4245" s="36"/>
      <c r="I4245" s="36"/>
      <c r="J4245" s="36"/>
      <c r="K4245" s="36"/>
    </row>
    <row r="4246" spans="7:11" ht="15.75" customHeight="1">
      <c r="G4246" s="36"/>
      <c r="H4246" s="36"/>
      <c r="I4246" s="36"/>
      <c r="J4246" s="36"/>
      <c r="K4246" s="36"/>
    </row>
    <row r="4247" spans="7:11" ht="15.75" customHeight="1">
      <c r="G4247" s="36"/>
      <c r="H4247" s="36"/>
      <c r="I4247" s="36"/>
      <c r="J4247" s="36"/>
      <c r="K4247" s="36"/>
    </row>
    <row r="4248" spans="7:11" ht="15.75" customHeight="1">
      <c r="G4248" s="36"/>
      <c r="H4248" s="36"/>
      <c r="I4248" s="36"/>
      <c r="J4248" s="36"/>
      <c r="K4248" s="36"/>
    </row>
    <row r="4249" spans="7:11" ht="15.75" customHeight="1">
      <c r="G4249" s="36"/>
      <c r="H4249" s="36"/>
      <c r="I4249" s="36"/>
      <c r="J4249" s="36"/>
      <c r="K4249" s="36"/>
    </row>
    <row r="4250" spans="7:11" ht="15.75" customHeight="1">
      <c r="G4250" s="36"/>
      <c r="H4250" s="36"/>
      <c r="I4250" s="36"/>
      <c r="J4250" s="36"/>
      <c r="K4250" s="36"/>
    </row>
    <row r="4251" spans="7:11" ht="15.75" customHeight="1">
      <c r="G4251" s="36"/>
      <c r="H4251" s="36"/>
      <c r="I4251" s="36"/>
      <c r="J4251" s="36"/>
      <c r="K4251" s="36"/>
    </row>
    <row r="4252" spans="7:11" ht="15.75" customHeight="1">
      <c r="G4252" s="36"/>
      <c r="H4252" s="36"/>
      <c r="I4252" s="36"/>
      <c r="J4252" s="36"/>
      <c r="K4252" s="36"/>
    </row>
    <row r="4253" spans="7:11" ht="15.75" customHeight="1">
      <c r="G4253" s="36"/>
      <c r="H4253" s="36"/>
      <c r="I4253" s="36"/>
      <c r="J4253" s="36"/>
      <c r="K4253" s="36"/>
    </row>
    <row r="4254" spans="7:11" ht="15.75" customHeight="1">
      <c r="G4254" s="36"/>
      <c r="H4254" s="36"/>
      <c r="I4254" s="36"/>
      <c r="J4254" s="36"/>
      <c r="K4254" s="36"/>
    </row>
    <row r="4255" spans="7:11" ht="15.75" customHeight="1">
      <c r="G4255" s="36"/>
      <c r="H4255" s="36"/>
      <c r="I4255" s="36"/>
      <c r="J4255" s="36"/>
      <c r="K4255" s="36"/>
    </row>
    <row r="4256" spans="7:11" ht="15.75" customHeight="1">
      <c r="G4256" s="36"/>
      <c r="H4256" s="36"/>
      <c r="I4256" s="36"/>
      <c r="J4256" s="36"/>
      <c r="K4256" s="36"/>
    </row>
    <row r="4257" spans="7:11" ht="15.75" customHeight="1">
      <c r="G4257" s="36"/>
      <c r="H4257" s="36"/>
      <c r="I4257" s="36"/>
      <c r="J4257" s="36"/>
      <c r="K4257" s="36"/>
    </row>
    <row r="4258" spans="7:11" ht="15.75" customHeight="1">
      <c r="G4258" s="36"/>
      <c r="H4258" s="36"/>
      <c r="I4258" s="36"/>
      <c r="J4258" s="36"/>
      <c r="K4258" s="36"/>
    </row>
    <row r="4259" spans="7:11" ht="15.75" customHeight="1">
      <c r="G4259" s="36"/>
      <c r="H4259" s="36"/>
      <c r="I4259" s="36"/>
      <c r="J4259" s="36"/>
      <c r="K4259" s="36"/>
    </row>
    <row r="4260" spans="7:11" ht="15.75" customHeight="1">
      <c r="G4260" s="36"/>
      <c r="H4260" s="36"/>
      <c r="I4260" s="36"/>
      <c r="J4260" s="36"/>
      <c r="K4260" s="36"/>
    </row>
    <row r="4261" spans="7:11" ht="15.75" customHeight="1">
      <c r="G4261" s="36"/>
      <c r="H4261" s="36"/>
      <c r="I4261" s="36"/>
      <c r="J4261" s="36"/>
      <c r="K4261" s="36"/>
    </row>
    <row r="4262" spans="7:11" ht="15.75" customHeight="1">
      <c r="G4262" s="36"/>
      <c r="H4262" s="36"/>
      <c r="I4262" s="36"/>
      <c r="J4262" s="36"/>
      <c r="K4262" s="36"/>
    </row>
    <row r="4263" spans="7:11" ht="15.75" customHeight="1">
      <c r="G4263" s="36"/>
      <c r="H4263" s="36"/>
      <c r="I4263" s="36"/>
      <c r="J4263" s="36"/>
      <c r="K4263" s="36"/>
    </row>
    <row r="4264" spans="7:11" ht="15.75" customHeight="1">
      <c r="G4264" s="36"/>
      <c r="H4264" s="36"/>
      <c r="I4264" s="36"/>
      <c r="J4264" s="36"/>
      <c r="K4264" s="36"/>
    </row>
    <row r="4265" spans="7:11" ht="15.75" customHeight="1">
      <c r="G4265" s="36"/>
      <c r="H4265" s="36"/>
      <c r="I4265" s="36"/>
      <c r="J4265" s="36"/>
      <c r="K4265" s="36"/>
    </row>
    <row r="4266" spans="7:11" ht="15.75" customHeight="1">
      <c r="G4266" s="36"/>
      <c r="H4266" s="36"/>
      <c r="I4266" s="36"/>
      <c r="J4266" s="36"/>
      <c r="K4266" s="36"/>
    </row>
    <row r="4267" spans="7:11" ht="15.75" customHeight="1">
      <c r="G4267" s="36"/>
      <c r="H4267" s="36"/>
      <c r="I4267" s="36"/>
      <c r="J4267" s="36"/>
      <c r="K4267" s="36"/>
    </row>
    <row r="4268" spans="7:11" ht="15.75" customHeight="1">
      <c r="G4268" s="36"/>
      <c r="H4268" s="36"/>
      <c r="I4268" s="36"/>
      <c r="J4268" s="36"/>
      <c r="K4268" s="36"/>
    </row>
    <row r="4269" spans="7:11" ht="15.75" customHeight="1">
      <c r="G4269" s="36"/>
      <c r="H4269" s="36"/>
      <c r="I4269" s="36"/>
      <c r="J4269" s="36"/>
      <c r="K4269" s="36"/>
    </row>
    <row r="4270" spans="7:11" ht="15.75" customHeight="1">
      <c r="G4270" s="36"/>
      <c r="H4270" s="36"/>
      <c r="I4270" s="36"/>
      <c r="J4270" s="36"/>
      <c r="K4270" s="36"/>
    </row>
    <row r="4271" spans="7:11" ht="15.75" customHeight="1">
      <c r="G4271" s="36"/>
      <c r="H4271" s="36"/>
      <c r="I4271" s="36"/>
      <c r="J4271" s="36"/>
      <c r="K4271" s="36"/>
    </row>
    <row r="4272" spans="7:11" ht="15.75" customHeight="1">
      <c r="G4272" s="36"/>
      <c r="H4272" s="36"/>
      <c r="I4272" s="36"/>
      <c r="J4272" s="36"/>
      <c r="K4272" s="36"/>
    </row>
    <row r="4273" spans="7:11" ht="15.75" customHeight="1">
      <c r="G4273" s="36"/>
      <c r="H4273" s="36"/>
      <c r="I4273" s="36"/>
      <c r="J4273" s="36"/>
      <c r="K4273" s="36"/>
    </row>
    <row r="4274" spans="7:11" ht="15.75" customHeight="1">
      <c r="G4274" s="36"/>
      <c r="H4274" s="36"/>
      <c r="I4274" s="36"/>
      <c r="J4274" s="36"/>
      <c r="K4274" s="36"/>
    </row>
    <row r="4275" spans="7:11" ht="15.75" customHeight="1">
      <c r="G4275" s="36"/>
      <c r="H4275" s="36"/>
      <c r="I4275" s="36"/>
      <c r="J4275" s="36"/>
      <c r="K4275" s="36"/>
    </row>
    <row r="4276" spans="7:11" ht="15.75" customHeight="1">
      <c r="G4276" s="36"/>
      <c r="H4276" s="36"/>
      <c r="I4276" s="36"/>
      <c r="J4276" s="36"/>
      <c r="K4276" s="36"/>
    </row>
    <row r="4277" spans="7:11" ht="15.75" customHeight="1">
      <c r="G4277" s="36"/>
      <c r="H4277" s="36"/>
      <c r="I4277" s="36"/>
      <c r="J4277" s="36"/>
      <c r="K4277" s="36"/>
    </row>
    <row r="4278" spans="7:11" ht="15.75" customHeight="1">
      <c r="G4278" s="36"/>
      <c r="H4278" s="36"/>
      <c r="I4278" s="36"/>
      <c r="J4278" s="36"/>
      <c r="K4278" s="36"/>
    </row>
    <row r="4279" spans="7:11" ht="15.75" customHeight="1">
      <c r="G4279" s="36"/>
      <c r="H4279" s="36"/>
      <c r="I4279" s="36"/>
      <c r="J4279" s="36"/>
      <c r="K4279" s="36"/>
    </row>
    <row r="4280" spans="7:11" ht="15.75" customHeight="1">
      <c r="G4280" s="36"/>
      <c r="H4280" s="36"/>
      <c r="I4280" s="36"/>
      <c r="J4280" s="36"/>
      <c r="K4280" s="36"/>
    </row>
    <row r="4281" spans="7:11" ht="15.75" customHeight="1">
      <c r="G4281" s="36"/>
      <c r="H4281" s="36"/>
      <c r="I4281" s="36"/>
      <c r="J4281" s="36"/>
      <c r="K4281" s="36"/>
    </row>
    <row r="4282" spans="7:11" ht="15.75" customHeight="1">
      <c r="G4282" s="36"/>
      <c r="H4282" s="36"/>
      <c r="I4282" s="36"/>
      <c r="J4282" s="36"/>
      <c r="K4282" s="36"/>
    </row>
    <row r="4283" spans="7:11" ht="15.75" customHeight="1">
      <c r="G4283" s="36"/>
      <c r="H4283" s="36"/>
      <c r="I4283" s="36"/>
      <c r="J4283" s="36"/>
      <c r="K4283" s="36"/>
    </row>
    <row r="4284" spans="7:11" ht="15.75" customHeight="1">
      <c r="G4284" s="36"/>
      <c r="H4284" s="36"/>
      <c r="I4284" s="36"/>
      <c r="J4284" s="36"/>
      <c r="K4284" s="36"/>
    </row>
    <row r="4285" spans="7:11" ht="15.75" customHeight="1">
      <c r="G4285" s="36"/>
      <c r="H4285" s="36"/>
      <c r="I4285" s="36"/>
      <c r="J4285" s="36"/>
      <c r="K4285" s="36"/>
    </row>
    <row r="4286" spans="7:11" ht="15.75" customHeight="1">
      <c r="G4286" s="36"/>
      <c r="H4286" s="36"/>
      <c r="I4286" s="36"/>
      <c r="J4286" s="36"/>
      <c r="K4286" s="36"/>
    </row>
    <row r="4287" spans="7:11" ht="15.75" customHeight="1">
      <c r="G4287" s="36"/>
      <c r="H4287" s="36"/>
      <c r="I4287" s="36"/>
      <c r="J4287" s="36"/>
      <c r="K4287" s="36"/>
    </row>
    <row r="4288" spans="7:11" ht="15.75" customHeight="1">
      <c r="G4288" s="36"/>
      <c r="H4288" s="36"/>
      <c r="I4288" s="36"/>
      <c r="J4288" s="36"/>
      <c r="K4288" s="36"/>
    </row>
    <row r="4289" spans="7:11" ht="15.75" customHeight="1">
      <c r="G4289" s="36"/>
      <c r="H4289" s="36"/>
      <c r="I4289" s="36"/>
      <c r="J4289" s="36"/>
      <c r="K4289" s="36"/>
    </row>
    <row r="4290" spans="7:11" ht="15.75" customHeight="1">
      <c r="G4290" s="36"/>
      <c r="H4290" s="36"/>
      <c r="I4290" s="36"/>
      <c r="J4290" s="36"/>
      <c r="K4290" s="36"/>
    </row>
    <row r="4291" spans="7:11" ht="15.75" customHeight="1">
      <c r="G4291" s="36"/>
      <c r="H4291" s="36"/>
      <c r="I4291" s="36"/>
      <c r="J4291" s="36"/>
      <c r="K4291" s="36"/>
    </row>
    <row r="4292" spans="7:11" ht="15.75" customHeight="1">
      <c r="G4292" s="36"/>
      <c r="H4292" s="36"/>
      <c r="I4292" s="36"/>
      <c r="J4292" s="36"/>
      <c r="K4292" s="36"/>
    </row>
    <row r="4293" spans="7:11" ht="15.75" customHeight="1">
      <c r="G4293" s="36"/>
      <c r="H4293" s="36"/>
      <c r="I4293" s="36"/>
      <c r="J4293" s="36"/>
      <c r="K4293" s="36"/>
    </row>
  </sheetData>
  <protectedRanges>
    <protectedRange algorithmName="SHA-512" hashValue="CfjrJ1VADBuczL721WBO4l+o2YK8sEV6Cw/WzXpe07ngH43jxLUAXm9FXAbnFgAj5Vkkv5GvECcmgZW4c+6O9w==" saltValue="dqExy2LVIOwWhX7GxJq8eQ==" spinCount="100000" sqref="C57:D58 A5:D47" name="Range1" securityDescriptor="O:WDG:WDD:(A;;CC;;;S-1-5-21-387123562-2960336326-864425109-1325)(A;;CC;;;S-1-5-21-387123562-2960336326-864425109-1414)(A;;CC;;;S-1-5-21-387123562-2960336326-864425109-1567)(A;;CC;;;S-1-5-21-387123562-2960336326-864425109-2164)(A;;CC;;;S-1-5-21-387123562-2960336326-864425109-2342)(A;;CC;;;S-1-5-21-387123562-2960336326-864425109-2222)(A;;CC;;;S-1-5-21-387123562-2960336326-864425109-2310)(A;;CC;;;S-1-5-21-387123562-2960336326-864425109-2288)"/>
  </protectedRanges>
  <sortState ref="E272:E321">
    <sortCondition ref="E272:E321"/>
  </sortState>
  <dataConsolidate function="var"/>
  <mergeCells count="51">
    <mergeCell ref="A3:D4"/>
    <mergeCell ref="A54:A55"/>
    <mergeCell ref="B54:B55"/>
    <mergeCell ref="A26:A27"/>
    <mergeCell ref="A63:A64"/>
    <mergeCell ref="B63:B64"/>
    <mergeCell ref="A11:D11"/>
    <mergeCell ref="A49:D49"/>
    <mergeCell ref="A57:A58"/>
    <mergeCell ref="B57:B58"/>
    <mergeCell ref="C20:D20"/>
    <mergeCell ref="C21:D21"/>
    <mergeCell ref="C23:D23"/>
    <mergeCell ref="C24:D24"/>
    <mergeCell ref="C26:D26"/>
    <mergeCell ref="C27:D27"/>
    <mergeCell ref="A36:A37"/>
    <mergeCell ref="B36:B37"/>
    <mergeCell ref="C36:C37"/>
    <mergeCell ref="D36:D37"/>
    <mergeCell ref="A40:A41"/>
    <mergeCell ref="B40:B41"/>
    <mergeCell ref="C40:C41"/>
    <mergeCell ref="D40:D41"/>
    <mergeCell ref="D38:D39"/>
    <mergeCell ref="A60:A61"/>
    <mergeCell ref="B60:B61"/>
    <mergeCell ref="A38:A39"/>
    <mergeCell ref="B38:B39"/>
    <mergeCell ref="C38:C39"/>
    <mergeCell ref="A51:A52"/>
    <mergeCell ref="B51:D52"/>
    <mergeCell ref="A43:D43"/>
    <mergeCell ref="A44:D47"/>
    <mergeCell ref="C58:D58"/>
    <mergeCell ref="C57:D57"/>
    <mergeCell ref="A5:D5"/>
    <mergeCell ref="A6:A7"/>
    <mergeCell ref="B6:D7"/>
    <mergeCell ref="A9:A10"/>
    <mergeCell ref="B9:D10"/>
    <mergeCell ref="B8:D8"/>
    <mergeCell ref="A34:A35"/>
    <mergeCell ref="B34:B35"/>
    <mergeCell ref="C34:C35"/>
    <mergeCell ref="D34:D35"/>
    <mergeCell ref="A29:D29"/>
    <mergeCell ref="A32:A33"/>
    <mergeCell ref="B32:B33"/>
    <mergeCell ref="C32:C33"/>
    <mergeCell ref="D32:D33"/>
  </mergeCells>
  <conditionalFormatting sqref="A6:D7 B14:B18 A9:D10 E10:E14 D14:D18 A5:A8 A12:D13 C13:C17">
    <cfRule type="cellIs" dxfId="43" priority="20" operator="equal">
      <formula>0</formula>
    </cfRule>
    <cfRule type="containsErrors" dxfId="42" priority="21">
      <formula>ISERROR(A5)</formula>
    </cfRule>
  </conditionalFormatting>
  <conditionalFormatting sqref="B14:B18">
    <cfRule type="cellIs" dxfId="41" priority="15" operator="equal">
      <formula>0</formula>
    </cfRule>
  </conditionalFormatting>
  <conditionalFormatting sqref="A13 B22">
    <cfRule type="cellIs" dxfId="40" priority="18" operator="equal">
      <formula>0</formula>
    </cfRule>
  </conditionalFormatting>
  <conditionalFormatting sqref="B22 A13:D18">
    <cfRule type="containsErrors" dxfId="39" priority="19">
      <formula>ISERROR(A13)</formula>
    </cfRule>
  </conditionalFormatting>
  <conditionalFormatting sqref="A11">
    <cfRule type="cellIs" dxfId="38" priority="12" operator="equal">
      <formula>0</formula>
    </cfRule>
    <cfRule type="containsErrors" dxfId="37" priority="13">
      <formula>ISERROR(A11)</formula>
    </cfRule>
  </conditionalFormatting>
  <conditionalFormatting sqref="A11:D11">
    <cfRule type="cellIs" dxfId="36" priority="11" operator="equal">
      <formula>"HIGH"</formula>
    </cfRule>
  </conditionalFormatting>
  <conditionalFormatting sqref="B26:B27">
    <cfRule type="notContainsBlanks" dxfId="35" priority="6">
      <formula>LEN(TRIM(B26))&gt;0</formula>
    </cfRule>
  </conditionalFormatting>
  <conditionalFormatting sqref="B8:D8">
    <cfRule type="containsErrors" dxfId="34" priority="5">
      <formula>ISERROR(B8)</formula>
    </cfRule>
  </conditionalFormatting>
  <conditionalFormatting sqref="B60:B61">
    <cfRule type="cellIs" dxfId="33" priority="2" operator="equal">
      <formula>0</formula>
    </cfRule>
  </conditionalFormatting>
  <conditionalFormatting sqref="C14:C17">
    <cfRule type="cellIs" dxfId="32" priority="1" operator="equal">
      <formula>0</formula>
    </cfRule>
  </conditionalFormatting>
  <dataValidations count="1">
    <dataValidation type="list" allowBlank="1" showInputMessage="1" showErrorMessage="1" sqref="B51">
      <formula1>$E$204:$E$207</formula1>
    </dataValidation>
  </dataValidations>
  <printOptions horizontalCentered="1" gridLines="1"/>
  <pageMargins left="0.25" right="0.25" top="0.75" bottom="0.75" header="0.3" footer="0.3"/>
  <pageSetup scale="65" orientation="portrait" r:id="rId1"/>
  <ignoredErrors>
    <ignoredError sqref="D17 D15:D16 D18 B14:C18 B22 B9" evalError="1"/>
  </ignoredErrors>
  <drawing r:id="rId2"/>
  <legacyDrawing r:id="rId3"/>
  <controls>
    <mc:AlternateContent xmlns:mc="http://schemas.openxmlformats.org/markup-compatibility/2006">
      <mc:Choice Requires="x14">
        <control shapeId="1076" r:id="rId4" name="CheckBox6">
          <controlPr defaultSize="0" autoLine="0" r:id="rId5">
            <anchor moveWithCells="1" sizeWithCells="1">
              <from>
                <xdr:col>3</xdr:col>
                <xdr:colOff>1238250</xdr:colOff>
                <xdr:row>13</xdr:row>
                <xdr:rowOff>47625</xdr:rowOff>
              </from>
              <to>
                <xdr:col>3</xdr:col>
                <xdr:colOff>1381125</xdr:colOff>
                <xdr:row>13</xdr:row>
                <xdr:rowOff>200025</xdr:rowOff>
              </to>
            </anchor>
          </controlPr>
        </control>
      </mc:Choice>
      <mc:Fallback>
        <control shapeId="1076" r:id="rId4" name="CheckBox6"/>
      </mc:Fallback>
    </mc:AlternateContent>
    <mc:AlternateContent xmlns:mc="http://schemas.openxmlformats.org/markup-compatibility/2006">
      <mc:Choice Requires="x14">
        <control shapeId="1075" r:id="rId6" name="CheckBox5">
          <controlPr defaultSize="0" autoLine="0" r:id="rId7">
            <anchor moveWithCells="1" sizeWithCells="1">
              <from>
                <xdr:col>0</xdr:col>
                <xdr:colOff>47625</xdr:colOff>
                <xdr:row>17</xdr:row>
                <xdr:rowOff>47625</xdr:rowOff>
              </from>
              <to>
                <xdr:col>0</xdr:col>
                <xdr:colOff>209550</xdr:colOff>
                <xdr:row>17</xdr:row>
                <xdr:rowOff>190500</xdr:rowOff>
              </to>
            </anchor>
          </controlPr>
        </control>
      </mc:Choice>
      <mc:Fallback>
        <control shapeId="1075" r:id="rId6" name="CheckBox5"/>
      </mc:Fallback>
    </mc:AlternateContent>
    <mc:AlternateContent xmlns:mc="http://schemas.openxmlformats.org/markup-compatibility/2006">
      <mc:Choice Requires="x14">
        <control shapeId="1074" r:id="rId8" name="CheckBox4">
          <controlPr defaultSize="0" autoLine="0" r:id="rId7">
            <anchor moveWithCells="1" sizeWithCells="1">
              <from>
                <xdr:col>0</xdr:col>
                <xdr:colOff>47625</xdr:colOff>
                <xdr:row>16</xdr:row>
                <xdr:rowOff>57150</xdr:rowOff>
              </from>
              <to>
                <xdr:col>0</xdr:col>
                <xdr:colOff>209550</xdr:colOff>
                <xdr:row>16</xdr:row>
                <xdr:rowOff>200025</xdr:rowOff>
              </to>
            </anchor>
          </controlPr>
        </control>
      </mc:Choice>
      <mc:Fallback>
        <control shapeId="1074" r:id="rId8" name="CheckBox4"/>
      </mc:Fallback>
    </mc:AlternateContent>
    <mc:AlternateContent xmlns:mc="http://schemas.openxmlformats.org/markup-compatibility/2006">
      <mc:Choice Requires="x14">
        <control shapeId="1073" r:id="rId9" name="CheckBox3">
          <controlPr defaultSize="0" autoLine="0" r:id="rId7">
            <anchor moveWithCells="1" sizeWithCells="1">
              <from>
                <xdr:col>0</xdr:col>
                <xdr:colOff>47625</xdr:colOff>
                <xdr:row>15</xdr:row>
                <xdr:rowOff>47625</xdr:rowOff>
              </from>
              <to>
                <xdr:col>0</xdr:col>
                <xdr:colOff>209550</xdr:colOff>
                <xdr:row>15</xdr:row>
                <xdr:rowOff>190500</xdr:rowOff>
              </to>
            </anchor>
          </controlPr>
        </control>
      </mc:Choice>
      <mc:Fallback>
        <control shapeId="1073" r:id="rId9" name="CheckBox3"/>
      </mc:Fallback>
    </mc:AlternateContent>
    <mc:AlternateContent xmlns:mc="http://schemas.openxmlformats.org/markup-compatibility/2006">
      <mc:Choice Requires="x14">
        <control shapeId="1072" r:id="rId10" name="CheckBox2">
          <controlPr defaultSize="0" autoLine="0" r:id="rId7">
            <anchor moveWithCells="1" sizeWithCells="1">
              <from>
                <xdr:col>0</xdr:col>
                <xdr:colOff>47625</xdr:colOff>
                <xdr:row>14</xdr:row>
                <xdr:rowOff>47625</xdr:rowOff>
              </from>
              <to>
                <xdr:col>0</xdr:col>
                <xdr:colOff>209550</xdr:colOff>
                <xdr:row>14</xdr:row>
                <xdr:rowOff>190500</xdr:rowOff>
              </to>
            </anchor>
          </controlPr>
        </control>
      </mc:Choice>
      <mc:Fallback>
        <control shapeId="1072" r:id="rId10" name="CheckBox2"/>
      </mc:Fallback>
    </mc:AlternateContent>
    <mc:AlternateContent xmlns:mc="http://schemas.openxmlformats.org/markup-compatibility/2006">
      <mc:Choice Requires="x14">
        <control shapeId="1071" r:id="rId11" name="CheckBox1">
          <controlPr defaultSize="0" autoLine="0" autoPict="0" r:id="rId7">
            <anchor moveWithCells="1" sizeWithCells="1">
              <from>
                <xdr:col>0</xdr:col>
                <xdr:colOff>47625</xdr:colOff>
                <xdr:row>13</xdr:row>
                <xdr:rowOff>38100</xdr:rowOff>
              </from>
              <to>
                <xdr:col>0</xdr:col>
                <xdr:colOff>209550</xdr:colOff>
                <xdr:row>13</xdr:row>
                <xdr:rowOff>180975</xdr:rowOff>
              </to>
            </anchor>
          </controlPr>
        </control>
      </mc:Choice>
      <mc:Fallback>
        <control shapeId="1071" r:id="rId11" name="CheckBox1"/>
      </mc:Fallback>
    </mc:AlternateContent>
    <mc:AlternateContent xmlns:mc="http://schemas.openxmlformats.org/markup-compatibility/2006">
      <mc:Choice Requires="x14">
        <control shapeId="1035" r:id="rId12" name="ComboBox1">
          <controlPr defaultSize="0" autoLine="0" linkedCell="B6" listFillRange="Test!F2:F1301" r:id="rId13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3</xdr:col>
                <xdr:colOff>1381125</xdr:colOff>
                <xdr:row>7</xdr:row>
                <xdr:rowOff>0</xdr:rowOff>
              </to>
            </anchor>
          </controlPr>
        </control>
      </mc:Choice>
      <mc:Fallback>
        <control shapeId="1035" r:id="rId12" name="ComboBox1"/>
      </mc:Fallback>
    </mc:AlternateContent>
    <mc:AlternateContent xmlns:mc="http://schemas.openxmlformats.org/markup-compatibility/2006">
      <mc:Choice Requires="x14">
        <control shapeId="1059" r:id="rId14" name="ComboBox2">
          <controlPr defaultSize="0" autoLine="0" listFillRange="E213:E218" r:id="rId15">
            <anchor moveWithCells="1" sizeWithCells="1">
              <from>
                <xdr:col>1</xdr:col>
                <xdr:colOff>9525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9525</xdr:rowOff>
              </to>
            </anchor>
          </controlPr>
        </control>
      </mc:Choice>
      <mc:Fallback>
        <control shapeId="1059" r:id="rId14" name="ComboBox2"/>
      </mc:Fallback>
    </mc:AlternateContent>
    <mc:AlternateContent xmlns:mc="http://schemas.openxmlformats.org/markup-compatibility/2006">
      <mc:Choice Requires="x14">
        <control shapeId="1060" r:id="rId16" name="ComboBox3">
          <controlPr defaultSize="0" autoLine="0" r:id="rId17">
            <anchor moveWithCells="1">
              <from>
                <xdr:col>1</xdr:col>
                <xdr:colOff>9525</xdr:colOff>
                <xdr:row>20</xdr:row>
                <xdr:rowOff>0</xdr:rowOff>
              </from>
              <to>
                <xdr:col>2</xdr:col>
                <xdr:colOff>9525</xdr:colOff>
                <xdr:row>21</xdr:row>
                <xdr:rowOff>0</xdr:rowOff>
              </to>
            </anchor>
          </controlPr>
        </control>
      </mc:Choice>
      <mc:Fallback>
        <control shapeId="1060" r:id="rId16" name="ComboBox3"/>
      </mc:Fallback>
    </mc:AlternateContent>
    <mc:AlternateContent xmlns:mc="http://schemas.openxmlformats.org/markup-compatibility/2006">
      <mc:Choice Requires="x14">
        <control shapeId="1080" r:id="rId18" name="CommandButton1">
          <controlPr defaultSize="0" autoLine="0" r:id="rId19">
            <anchor moveWithCells="1">
              <from>
                <xdr:col>2</xdr:col>
                <xdr:colOff>457200</xdr:colOff>
                <xdr:row>60</xdr:row>
                <xdr:rowOff>0</xdr:rowOff>
              </from>
              <to>
                <xdr:col>3</xdr:col>
                <xdr:colOff>1362075</xdr:colOff>
                <xdr:row>63</xdr:row>
                <xdr:rowOff>190500</xdr:rowOff>
              </to>
            </anchor>
          </controlPr>
        </control>
      </mc:Choice>
      <mc:Fallback>
        <control shapeId="1080" r:id="rId18" name="CommandButton1"/>
      </mc:Fallback>
    </mc:AlternateContent>
    <mc:AlternateContent xmlns:mc="http://schemas.openxmlformats.org/markup-compatibility/2006">
      <mc:Choice Requires="x14">
        <control shapeId="1036" r:id="rId20" name="Check Box 12">
          <controlPr defaultSize="0" autoFill="0" autoLine="0" autoPict="0">
            <anchor moveWithCells="1">
              <from>
                <xdr:col>2</xdr:col>
                <xdr:colOff>1762125</xdr:colOff>
                <xdr:row>19</xdr:row>
                <xdr:rowOff>228600</xdr:rowOff>
              </from>
              <to>
                <xdr:col>3</xdr:col>
                <xdr:colOff>171450</xdr:colOff>
                <xdr:row>21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21" name="Check Box 21">
          <controlPr defaultSize="0" autoFill="0" autoLine="0" autoPict="0" macro="[0]!CheckBox21_Click">
            <anchor moveWithCells="1">
              <from>
                <xdr:col>2</xdr:col>
                <xdr:colOff>885825</xdr:colOff>
                <xdr:row>19</xdr:row>
                <xdr:rowOff>219075</xdr:rowOff>
              </from>
              <to>
                <xdr:col>2</xdr:col>
                <xdr:colOff>1104900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8" r:id="rId22" name="Check Box 24">
          <controlPr defaultSize="0" autoFill="0" autoLine="0" autoPict="0">
            <anchor moveWithCells="1">
              <from>
                <xdr:col>2</xdr:col>
                <xdr:colOff>1762125</xdr:colOff>
                <xdr:row>22</xdr:row>
                <xdr:rowOff>228600</xdr:rowOff>
              </from>
              <to>
                <xdr:col>3</xdr:col>
                <xdr:colOff>171450</xdr:colOff>
                <xdr:row>24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23" name="Check Box 25">
          <controlPr defaultSize="0" autoFill="0" autoLine="0" autoPict="0">
            <anchor moveWithCells="1">
              <from>
                <xdr:col>2</xdr:col>
                <xdr:colOff>885825</xdr:colOff>
                <xdr:row>22</xdr:row>
                <xdr:rowOff>219075</xdr:rowOff>
              </from>
              <to>
                <xdr:col>2</xdr:col>
                <xdr:colOff>1123950</xdr:colOff>
                <xdr:row>24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1" r:id="rId24" name="Check Box 37">
          <controlPr defaultSize="0" autoFill="0" autoLine="0" autoPict="0">
            <anchor moveWithCells="1">
              <from>
                <xdr:col>2</xdr:col>
                <xdr:colOff>1762125</xdr:colOff>
                <xdr:row>25</xdr:row>
                <xdr:rowOff>152400</xdr:rowOff>
              </from>
              <to>
                <xdr:col>3</xdr:col>
                <xdr:colOff>171450</xdr:colOff>
                <xdr:row>27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2" r:id="rId25" name="Check Box 38">
          <controlPr defaultSize="0" autoFill="0" autoLine="0" autoPict="0">
            <anchor moveWithCells="1">
              <from>
                <xdr:col>2</xdr:col>
                <xdr:colOff>885825</xdr:colOff>
                <xdr:row>25</xdr:row>
                <xdr:rowOff>152400</xdr:rowOff>
              </from>
              <to>
                <xdr:col>2</xdr:col>
                <xdr:colOff>1123950</xdr:colOff>
                <xdr:row>27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8" r:id="rId26" name="Check Box 54">
          <controlPr defaultSize="0" autoFill="0" autoLine="0" autoPict="0">
            <anchor moveWithCells="1">
              <from>
                <xdr:col>2</xdr:col>
                <xdr:colOff>1762125</xdr:colOff>
                <xdr:row>56</xdr:row>
                <xdr:rowOff>171450</xdr:rowOff>
              </from>
              <to>
                <xdr:col>3</xdr:col>
                <xdr:colOff>171450</xdr:colOff>
                <xdr:row>58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9" r:id="rId27" name="Check Box 55">
          <controlPr defaultSize="0" autoFill="0" autoLine="0" autoPict="0" macro="[0]!CheckBox21_Click">
            <anchor moveWithCells="1">
              <from>
                <xdr:col>2</xdr:col>
                <xdr:colOff>885825</xdr:colOff>
                <xdr:row>56</xdr:row>
                <xdr:rowOff>161925</xdr:rowOff>
              </from>
              <to>
                <xdr:col>2</xdr:col>
                <xdr:colOff>1104900</xdr:colOff>
                <xdr:row>58</xdr:row>
                <xdr:rowOff>38100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E43"/>
  <sheetViews>
    <sheetView topLeftCell="A16" workbookViewId="0">
      <selection activeCell="B34" sqref="B34"/>
    </sheetView>
  </sheetViews>
  <sheetFormatPr defaultRowHeight="12.75"/>
  <cols>
    <col min="2" max="2" width="30" customWidth="1"/>
    <col min="3" max="3" width="54.85546875" customWidth="1"/>
    <col min="4" max="4" width="7.5703125" customWidth="1"/>
  </cols>
  <sheetData>
    <row r="1" spans="1:5" ht="13.5" thickBot="1">
      <c r="A1" s="88"/>
      <c r="B1" s="89"/>
      <c r="C1" s="89"/>
      <c r="D1" s="89"/>
      <c r="E1" s="90"/>
    </row>
    <row r="2" spans="1:5" ht="21" thickBot="1">
      <c r="A2" s="91"/>
      <c r="B2" s="218" t="s">
        <v>6906</v>
      </c>
      <c r="C2" s="219"/>
      <c r="D2" s="220"/>
      <c r="E2" s="92"/>
    </row>
    <row r="3" spans="1:5">
      <c r="A3" s="91"/>
      <c r="B3" s="93"/>
      <c r="C3" s="93"/>
      <c r="D3" s="93"/>
      <c r="E3" s="92"/>
    </row>
    <row r="4" spans="1:5">
      <c r="A4" s="91"/>
      <c r="B4" s="93"/>
      <c r="C4" s="93"/>
      <c r="D4" s="93"/>
      <c r="E4" s="92"/>
    </row>
    <row r="5" spans="1:5" ht="15.75" customHeight="1">
      <c r="A5" s="91"/>
      <c r="B5" s="94" t="s">
        <v>6907</v>
      </c>
      <c r="C5" s="211">
        <f>'Parts Request'!B60</f>
        <v>0</v>
      </c>
      <c r="D5" s="211"/>
      <c r="E5" s="92"/>
    </row>
    <row r="6" spans="1:5" ht="15.75" customHeight="1">
      <c r="A6" s="91"/>
      <c r="B6" s="93"/>
      <c r="C6" s="215"/>
      <c r="D6" s="215"/>
      <c r="E6" s="92"/>
    </row>
    <row r="7" spans="1:5" ht="15.75" customHeight="1">
      <c r="A7" s="91"/>
      <c r="B7" s="94" t="s">
        <v>6908</v>
      </c>
      <c r="C7" s="221">
        <f>'Parts Request'!B23</f>
        <v>0</v>
      </c>
      <c r="D7" s="221"/>
      <c r="E7" s="92"/>
    </row>
    <row r="8" spans="1:5" ht="15.75" customHeight="1">
      <c r="A8" s="91"/>
      <c r="B8" s="93"/>
      <c r="C8" s="221"/>
      <c r="D8" s="221"/>
      <c r="E8" s="92"/>
    </row>
    <row r="9" spans="1:5" ht="15.75" customHeight="1">
      <c r="A9" s="91"/>
      <c r="B9" s="94" t="s">
        <v>6909</v>
      </c>
      <c r="C9" s="221">
        <f>C7+14</f>
        <v>14</v>
      </c>
      <c r="D9" s="221"/>
      <c r="E9" s="92"/>
    </row>
    <row r="10" spans="1:5" ht="15.75" customHeight="1">
      <c r="A10" s="91"/>
      <c r="B10" s="93"/>
      <c r="C10" s="211"/>
      <c r="D10" s="211"/>
      <c r="E10" s="92"/>
    </row>
    <row r="11" spans="1:5" ht="15.75" customHeight="1">
      <c r="A11" s="91"/>
      <c r="B11" s="94" t="s">
        <v>6912</v>
      </c>
      <c r="C11" s="211"/>
      <c r="D11" s="211"/>
      <c r="E11" s="92"/>
    </row>
    <row r="12" spans="1:5" ht="15.75" customHeight="1">
      <c r="A12" s="91"/>
      <c r="B12" s="93"/>
      <c r="C12" s="211"/>
      <c r="D12" s="211"/>
      <c r="E12" s="92"/>
    </row>
    <row r="13" spans="1:5" ht="15.75" customHeight="1">
      <c r="A13" s="91"/>
      <c r="B13" s="94" t="s">
        <v>6913</v>
      </c>
      <c r="C13" s="211"/>
      <c r="D13" s="211"/>
      <c r="E13" s="92"/>
    </row>
    <row r="14" spans="1:5" ht="15.75" customHeight="1">
      <c r="A14" s="91"/>
      <c r="B14" s="93"/>
      <c r="C14" s="211"/>
      <c r="D14" s="211"/>
      <c r="E14" s="92"/>
    </row>
    <row r="15" spans="1:5" ht="15.75" customHeight="1">
      <c r="A15" s="91"/>
      <c r="B15" s="94" t="s">
        <v>6914</v>
      </c>
      <c r="C15" s="211" t="e">
        <f>'Parts Request'!B9</f>
        <v>#N/A</v>
      </c>
      <c r="D15" s="211"/>
      <c r="E15" s="92"/>
    </row>
    <row r="16" spans="1:5" ht="15.75" customHeight="1">
      <c r="A16" s="91"/>
      <c r="B16" s="93"/>
      <c r="C16" s="211"/>
      <c r="D16" s="211"/>
      <c r="E16" s="92"/>
    </row>
    <row r="17" spans="1:5" ht="15.75" customHeight="1">
      <c r="A17" s="91"/>
      <c r="B17" s="94" t="s">
        <v>6480</v>
      </c>
      <c r="C17" s="211" t="e">
        <f>'Parts Request'!B22</f>
        <v>#N/A</v>
      </c>
      <c r="D17" s="211"/>
      <c r="E17" s="92"/>
    </row>
    <row r="18" spans="1:5" ht="15.75" customHeight="1" thickBot="1">
      <c r="A18" s="91"/>
      <c r="B18" s="93"/>
      <c r="C18" s="93"/>
      <c r="D18" s="93"/>
      <c r="E18" s="92"/>
    </row>
    <row r="19" spans="1:5" ht="15.75" customHeight="1" thickBot="1">
      <c r="A19" s="91"/>
      <c r="B19" s="146" t="s">
        <v>6505</v>
      </c>
      <c r="C19" s="147"/>
      <c r="D19" s="148"/>
      <c r="E19" s="92"/>
    </row>
    <row r="20" spans="1:5" ht="15.75" customHeight="1">
      <c r="A20" s="91"/>
      <c r="B20" s="84" t="s">
        <v>6506</v>
      </c>
      <c r="C20" s="52" t="s">
        <v>6910</v>
      </c>
      <c r="D20" s="85" t="s">
        <v>6911</v>
      </c>
      <c r="E20" s="92"/>
    </row>
    <row r="21" spans="1:5" ht="15.75" customHeight="1">
      <c r="A21" s="91"/>
      <c r="B21" s="86"/>
      <c r="C21" s="48"/>
      <c r="D21" s="87"/>
      <c r="E21" s="92"/>
    </row>
    <row r="22" spans="1:5" ht="15.75" customHeight="1">
      <c r="A22" s="91"/>
      <c r="B22" s="212">
        <f>'Parts Request'!A32</f>
        <v>0</v>
      </c>
      <c r="C22" s="213">
        <f>'Parts Request'!B32</f>
        <v>0</v>
      </c>
      <c r="D22" s="214">
        <f>'Parts Request'!C32</f>
        <v>0</v>
      </c>
      <c r="E22" s="92"/>
    </row>
    <row r="23" spans="1:5" ht="15.75" customHeight="1">
      <c r="A23" s="91"/>
      <c r="B23" s="212"/>
      <c r="C23" s="213"/>
      <c r="D23" s="214"/>
      <c r="E23" s="92"/>
    </row>
    <row r="24" spans="1:5" ht="15.75" customHeight="1">
      <c r="A24" s="91"/>
      <c r="B24" s="212">
        <f>'Parts Request'!A34</f>
        <v>0</v>
      </c>
      <c r="C24" s="213">
        <f>'Parts Request'!B34</f>
        <v>0</v>
      </c>
      <c r="D24" s="214">
        <f>'Parts Request'!C34</f>
        <v>0</v>
      </c>
      <c r="E24" s="92"/>
    </row>
    <row r="25" spans="1:5" ht="12.75" customHeight="1">
      <c r="A25" s="91"/>
      <c r="B25" s="212"/>
      <c r="C25" s="213"/>
      <c r="D25" s="214"/>
      <c r="E25" s="92"/>
    </row>
    <row r="26" spans="1:5" ht="12.75" customHeight="1">
      <c r="A26" s="91"/>
      <c r="B26" s="212">
        <f>'Parts Request'!A36</f>
        <v>0</v>
      </c>
      <c r="C26" s="213">
        <f>'Parts Request'!B36</f>
        <v>0</v>
      </c>
      <c r="D26" s="214">
        <f>'Parts Request'!C36</f>
        <v>0</v>
      </c>
      <c r="E26" s="92"/>
    </row>
    <row r="27" spans="1:5" ht="12.75" customHeight="1">
      <c r="A27" s="91"/>
      <c r="B27" s="212"/>
      <c r="C27" s="213"/>
      <c r="D27" s="214"/>
      <c r="E27" s="92"/>
    </row>
    <row r="28" spans="1:5" ht="12.75" customHeight="1">
      <c r="A28" s="91"/>
      <c r="B28" s="212">
        <f>'Parts Request'!A38</f>
        <v>0</v>
      </c>
      <c r="C28" s="213">
        <f>'Parts Request'!B38</f>
        <v>0</v>
      </c>
      <c r="D28" s="214">
        <f>'Parts Request'!C38</f>
        <v>0</v>
      </c>
      <c r="E28" s="92"/>
    </row>
    <row r="29" spans="1:5" ht="12.75" customHeight="1">
      <c r="A29" s="91"/>
      <c r="B29" s="212"/>
      <c r="C29" s="213"/>
      <c r="D29" s="214"/>
      <c r="E29" s="92"/>
    </row>
    <row r="30" spans="1:5" ht="12.75" customHeight="1">
      <c r="A30" s="91"/>
      <c r="B30" s="212">
        <f>'Parts Request'!A40</f>
        <v>0</v>
      </c>
      <c r="C30" s="213">
        <f>'Parts Request'!B40</f>
        <v>0</v>
      </c>
      <c r="D30" s="214">
        <f>'Parts Request'!C40</f>
        <v>0</v>
      </c>
      <c r="E30" s="92"/>
    </row>
    <row r="31" spans="1:5" ht="12.75" customHeight="1">
      <c r="A31" s="91"/>
      <c r="B31" s="212"/>
      <c r="C31" s="213"/>
      <c r="D31" s="214"/>
      <c r="E31" s="92"/>
    </row>
    <row r="32" spans="1:5" ht="12.75" customHeight="1">
      <c r="A32" s="91"/>
      <c r="B32" s="212"/>
      <c r="C32" s="213"/>
      <c r="D32" s="214"/>
      <c r="E32" s="92"/>
    </row>
    <row r="33" spans="1:5" ht="12.75" customHeight="1">
      <c r="A33" s="91"/>
      <c r="B33" s="212"/>
      <c r="C33" s="213"/>
      <c r="D33" s="214"/>
      <c r="E33" s="92"/>
    </row>
    <row r="34" spans="1:5">
      <c r="A34" s="91"/>
      <c r="B34" s="93"/>
      <c r="C34" s="93"/>
      <c r="D34" s="93"/>
      <c r="E34" s="92"/>
    </row>
    <row r="35" spans="1:5" ht="18">
      <c r="A35" s="91"/>
      <c r="B35" s="216" t="s">
        <v>6916</v>
      </c>
      <c r="C35" s="216"/>
      <c r="D35" s="216"/>
      <c r="E35" s="92"/>
    </row>
    <row r="36" spans="1:5">
      <c r="A36" s="91"/>
      <c r="B36" s="93"/>
      <c r="C36" s="93"/>
      <c r="D36" s="93"/>
      <c r="E36" s="92"/>
    </row>
    <row r="37" spans="1:5">
      <c r="A37" s="91"/>
      <c r="B37" s="217" t="s">
        <v>6918</v>
      </c>
      <c r="C37" s="217"/>
      <c r="D37" s="217"/>
      <c r="E37" s="92"/>
    </row>
    <row r="38" spans="1:5">
      <c r="A38" s="91"/>
      <c r="B38" s="217"/>
      <c r="C38" s="217"/>
      <c r="D38" s="217"/>
      <c r="E38" s="92"/>
    </row>
    <row r="39" spans="1:5">
      <c r="A39" s="91"/>
      <c r="B39" s="217" t="s">
        <v>6919</v>
      </c>
      <c r="C39" s="217"/>
      <c r="D39" s="217"/>
      <c r="E39" s="92"/>
    </row>
    <row r="40" spans="1:5">
      <c r="A40" s="91"/>
      <c r="B40" s="217"/>
      <c r="C40" s="217"/>
      <c r="D40" s="217"/>
      <c r="E40" s="92"/>
    </row>
    <row r="41" spans="1:5">
      <c r="A41" s="91"/>
      <c r="B41" s="217" t="s">
        <v>6920</v>
      </c>
      <c r="C41" s="217"/>
      <c r="D41" s="217"/>
      <c r="E41" s="92"/>
    </row>
    <row r="42" spans="1:5">
      <c r="A42" s="91"/>
      <c r="B42" s="217"/>
      <c r="C42" s="217"/>
      <c r="D42" s="217"/>
      <c r="E42" s="92"/>
    </row>
    <row r="43" spans="1:5" ht="13.5" thickBot="1">
      <c r="A43" s="95"/>
      <c r="B43" s="96"/>
      <c r="C43" s="96"/>
      <c r="D43" s="96"/>
      <c r="E43" s="97"/>
    </row>
  </sheetData>
  <protectedRanges>
    <protectedRange algorithmName="SHA-512" hashValue="CfjrJ1VADBuczL721WBO4l+o2YK8sEV6Cw/WzXpe07ngH43jxLUAXm9FXAbnFgAj5Vkkv5GvECcmgZW4c+6O9w==" saltValue="dqExy2LVIOwWhX7GxJq8eQ==" spinCount="100000" sqref="B19:D33" name="Range1" securityDescriptor="O:WDG:WDD:(A;;CC;;;S-1-5-21-387123562-2960336326-864425109-1325)(A;;CC;;;S-1-5-21-387123562-2960336326-864425109-1414)(A;;CC;;;S-1-5-21-387123562-2960336326-864425109-1567)(A;;CC;;;S-1-5-21-387123562-2960336326-864425109-2164)(A;;CC;;;S-1-5-21-387123562-2960336326-864425109-2342)(A;;CC;;;S-1-5-21-387123562-2960336326-864425109-2222)(A;;CC;;;S-1-5-21-387123562-2960336326-864425109-2310)(A;;CC;;;S-1-5-21-387123562-2960336326-864425109-2288)"/>
  </protectedRanges>
  <mergeCells count="37">
    <mergeCell ref="B35:D35"/>
    <mergeCell ref="B37:D38"/>
    <mergeCell ref="B39:D40"/>
    <mergeCell ref="B41:D42"/>
    <mergeCell ref="B2:D2"/>
    <mergeCell ref="B32:B33"/>
    <mergeCell ref="C32:C33"/>
    <mergeCell ref="D32:D33"/>
    <mergeCell ref="C7:D7"/>
    <mergeCell ref="C8:D8"/>
    <mergeCell ref="C9:D9"/>
    <mergeCell ref="C10:D10"/>
    <mergeCell ref="C11:D11"/>
    <mergeCell ref="C12:D12"/>
    <mergeCell ref="B28:B29"/>
    <mergeCell ref="C28:C29"/>
    <mergeCell ref="D28:D29"/>
    <mergeCell ref="B30:B31"/>
    <mergeCell ref="C30:C31"/>
    <mergeCell ref="D30:D31"/>
    <mergeCell ref="B24:B25"/>
    <mergeCell ref="C24:C25"/>
    <mergeCell ref="D24:D25"/>
    <mergeCell ref="B26:B27"/>
    <mergeCell ref="C26:C27"/>
    <mergeCell ref="D26:D27"/>
    <mergeCell ref="C5:D5"/>
    <mergeCell ref="B19:D19"/>
    <mergeCell ref="B22:B23"/>
    <mergeCell ref="C22:C23"/>
    <mergeCell ref="D22:D23"/>
    <mergeCell ref="C13:D13"/>
    <mergeCell ref="C14:D14"/>
    <mergeCell ref="C15:D15"/>
    <mergeCell ref="C16:D16"/>
    <mergeCell ref="C17:D17"/>
    <mergeCell ref="C6:D6"/>
  </mergeCells>
  <conditionalFormatting sqref="C15:D17">
    <cfRule type="containsErrors" dxfId="31" priority="4">
      <formula>ISERROR(C15)</formula>
    </cfRule>
  </conditionalFormatting>
  <conditionalFormatting sqref="C5:D5">
    <cfRule type="cellIs" dxfId="30" priority="3" operator="equal">
      <formula>0</formula>
    </cfRule>
  </conditionalFormatting>
  <conditionalFormatting sqref="B22:D33">
    <cfRule type="cellIs" dxfId="29" priority="1" operator="notEqual">
      <formula>0</formula>
    </cfRule>
    <cfRule type="cellIs" dxfId="28" priority="2" operator="equal">
      <formula>0</formula>
    </cfRule>
  </conditionalFormatting>
  <pageMargins left="0.25" right="0.25" top="0.75" bottom="0.75" header="0.3" footer="0.3"/>
  <pageSetup scale="94" orientation="portrait" r:id="rId1"/>
  <ignoredErrors>
    <ignoredError sqref="C15:C17" evalError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XAW6424"/>
  <sheetViews>
    <sheetView topLeftCell="C1" zoomScale="60" zoomScaleNormal="60" workbookViewId="0">
      <pane ySplit="1" topLeftCell="A200" activePane="bottomLeft" state="frozen"/>
      <selection pane="bottomLeft" activeCell="F209" sqref="F209"/>
    </sheetView>
  </sheetViews>
  <sheetFormatPr defaultColWidth="9.140625" defaultRowHeight="15.75" customHeight="1"/>
  <cols>
    <col min="1" max="1" width="37.85546875" style="58" customWidth="1"/>
    <col min="2" max="2" width="47.7109375" style="58" customWidth="1"/>
    <col min="3" max="3" width="27.28515625" style="117" bestFit="1" customWidth="1"/>
    <col min="4" max="4" width="19.140625" style="58" bestFit="1" customWidth="1"/>
    <col min="5" max="5" width="26.7109375" style="40" customWidth="1"/>
    <col min="6" max="6" width="58.7109375" style="40" customWidth="1"/>
    <col min="7" max="7" width="78.85546875" style="40" customWidth="1"/>
    <col min="8" max="9" width="32.7109375" style="40" customWidth="1"/>
    <col min="10" max="11" width="15.28515625" style="41" customWidth="1"/>
    <col min="12" max="12" width="17.85546875" style="42" customWidth="1"/>
    <col min="13" max="13" width="15.28515625" style="42" customWidth="1"/>
    <col min="14" max="14" width="15.85546875" style="42" customWidth="1"/>
    <col min="15" max="19" width="15.7109375" style="43" hidden="1" customWidth="1"/>
    <col min="20" max="20" width="19.5703125" style="43" bestFit="1" customWidth="1"/>
    <col min="21" max="21" width="11.7109375" style="43" customWidth="1"/>
    <col min="22" max="22" width="26.85546875" style="43" customWidth="1"/>
    <col min="23" max="23" width="16" style="43" customWidth="1"/>
    <col min="24" max="24" width="17.5703125" style="43" customWidth="1"/>
    <col min="25" max="31" width="9.140625" style="43" customWidth="1"/>
    <col min="32" max="32" width="20.5703125" style="42" bestFit="1" customWidth="1"/>
    <col min="33" max="33" width="24.85546875" style="42" bestFit="1" customWidth="1"/>
    <col min="34" max="34" width="8.85546875" style="62" customWidth="1"/>
    <col min="35" max="52" width="9.140625" style="66" customWidth="1"/>
    <col min="53" max="16384" width="9.140625" style="66"/>
  </cols>
  <sheetData>
    <row r="1" spans="1:33" s="62" customFormat="1" ht="15.95" customHeight="1" thickBot="1">
      <c r="A1" s="250"/>
      <c r="B1" s="250"/>
      <c r="C1" s="250"/>
      <c r="D1" s="250"/>
      <c r="E1" s="36"/>
      <c r="F1" s="36" t="s">
        <v>823</v>
      </c>
      <c r="G1" s="37" t="s">
        <v>6478</v>
      </c>
      <c r="H1" s="37" t="s">
        <v>827</v>
      </c>
      <c r="I1" s="37" t="s">
        <v>6485</v>
      </c>
      <c r="J1" s="38" t="s">
        <v>828</v>
      </c>
      <c r="K1" s="38" t="s">
        <v>829</v>
      </c>
      <c r="L1" s="39" t="s">
        <v>830</v>
      </c>
      <c r="M1" s="39" t="s">
        <v>831</v>
      </c>
      <c r="N1" s="39" t="s">
        <v>832</v>
      </c>
      <c r="O1" s="42" t="s">
        <v>6497</v>
      </c>
      <c r="P1" s="42" t="s">
        <v>6498</v>
      </c>
      <c r="Q1" s="42" t="s">
        <v>6499</v>
      </c>
      <c r="R1" s="42" t="s">
        <v>6500</v>
      </c>
      <c r="S1" s="42" t="s">
        <v>6501</v>
      </c>
      <c r="T1" s="39" t="s">
        <v>833</v>
      </c>
      <c r="U1" s="36"/>
      <c r="V1" s="36" t="s">
        <v>826</v>
      </c>
      <c r="W1" s="43"/>
      <c r="X1" s="43"/>
      <c r="Y1" s="36"/>
      <c r="Z1" s="36"/>
      <c r="AA1" s="36"/>
      <c r="AB1" s="36"/>
      <c r="AC1" s="36"/>
      <c r="AD1" s="36"/>
      <c r="AE1" s="36"/>
      <c r="AF1" s="39" t="s">
        <v>6526</v>
      </c>
      <c r="AG1" s="39" t="s">
        <v>6525</v>
      </c>
    </row>
    <row r="2" spans="1:33" s="62" customFormat="1" ht="15.95" customHeight="1">
      <c r="A2" s="251" t="s">
        <v>66</v>
      </c>
      <c r="B2" s="253" t="s">
        <v>2342</v>
      </c>
      <c r="C2" s="253"/>
      <c r="D2" s="254"/>
      <c r="E2" s="3"/>
      <c r="F2" s="40" t="s">
        <v>2842</v>
      </c>
      <c r="G2" s="40" t="s">
        <v>2843</v>
      </c>
      <c r="H2" s="40" t="s">
        <v>595</v>
      </c>
      <c r="I2" s="40" t="s">
        <v>6847</v>
      </c>
      <c r="J2" s="41">
        <v>3300001231</v>
      </c>
      <c r="K2" s="42">
        <v>5031888</v>
      </c>
      <c r="L2" s="42" t="s">
        <v>2844</v>
      </c>
      <c r="M2" s="42">
        <v>5050469</v>
      </c>
      <c r="N2" s="42"/>
      <c r="O2" s="43"/>
      <c r="P2" s="43"/>
      <c r="Q2" s="43"/>
      <c r="R2" s="43"/>
      <c r="S2" s="43"/>
      <c r="T2" s="42" t="s">
        <v>6730</v>
      </c>
      <c r="U2" s="43"/>
      <c r="V2" s="43" t="s">
        <v>575</v>
      </c>
      <c r="W2" s="43" t="s">
        <v>6965</v>
      </c>
      <c r="X2" s="43" t="s">
        <v>6878</v>
      </c>
      <c r="Y2" s="36"/>
      <c r="Z2" s="36"/>
      <c r="AA2" s="36"/>
      <c r="AB2" s="36"/>
      <c r="AC2" s="36"/>
      <c r="AD2" s="36"/>
      <c r="AE2" s="36"/>
      <c r="AF2" s="39">
        <v>41709</v>
      </c>
      <c r="AG2" s="39" t="s">
        <v>6676</v>
      </c>
    </row>
    <row r="3" spans="1:33" ht="15.95" customHeight="1" thickBot="1">
      <c r="A3" s="252"/>
      <c r="B3" s="255"/>
      <c r="C3" s="255"/>
      <c r="D3" s="256"/>
      <c r="E3" s="136"/>
      <c r="F3" s="40" t="s">
        <v>7640</v>
      </c>
      <c r="G3" s="40" t="s">
        <v>7641</v>
      </c>
      <c r="H3" s="40" t="s">
        <v>8208</v>
      </c>
      <c r="I3" s="40" t="s">
        <v>6850</v>
      </c>
      <c r="J3" s="138">
        <v>2096180</v>
      </c>
      <c r="K3" s="138">
        <v>2096136</v>
      </c>
      <c r="L3" s="139">
        <v>5010210</v>
      </c>
      <c r="M3" s="42" t="s">
        <v>7642</v>
      </c>
      <c r="T3" s="139">
        <v>21300001</v>
      </c>
      <c r="V3" s="43" t="s">
        <v>6434</v>
      </c>
      <c r="W3" s="43" t="s">
        <v>6966</v>
      </c>
      <c r="X3" s="43" t="s">
        <v>6854</v>
      </c>
      <c r="AF3" s="42">
        <v>41740</v>
      </c>
      <c r="AG3" s="42" t="s">
        <v>6676</v>
      </c>
    </row>
    <row r="4" spans="1:33" ht="15.95" customHeight="1" thickBot="1">
      <c r="A4" s="257"/>
      <c r="B4" s="257"/>
      <c r="C4" s="257"/>
      <c r="D4" s="257"/>
      <c r="E4" s="136"/>
      <c r="F4" s="40" t="s">
        <v>1274</v>
      </c>
      <c r="G4" s="40" t="s">
        <v>53</v>
      </c>
      <c r="H4" s="40" t="s">
        <v>564</v>
      </c>
      <c r="I4" s="40" t="s">
        <v>6851</v>
      </c>
      <c r="J4" s="41" t="s">
        <v>1276</v>
      </c>
      <c r="K4" s="41">
        <v>2116316</v>
      </c>
      <c r="L4" s="42">
        <v>3300012829</v>
      </c>
      <c r="M4" s="42" t="s">
        <v>7194</v>
      </c>
      <c r="O4" s="42"/>
      <c r="P4" s="42"/>
      <c r="T4" s="42" t="s">
        <v>1277</v>
      </c>
      <c r="V4" s="43" t="s">
        <v>802</v>
      </c>
      <c r="W4" s="43" t="s">
        <v>6967</v>
      </c>
      <c r="X4" s="43" t="s">
        <v>6887</v>
      </c>
      <c r="AF4" s="42">
        <v>41758</v>
      </c>
      <c r="AG4" s="42" t="s">
        <v>6676</v>
      </c>
    </row>
    <row r="5" spans="1:33" ht="15.95" customHeight="1">
      <c r="A5" s="258" t="s">
        <v>6477</v>
      </c>
      <c r="B5" s="260" t="e">
        <f>IF("ComboBox1"="","",VLOOKUP(($B$2),Test!$F$2:$U$870,3,FALSE))</f>
        <v>#N/A</v>
      </c>
      <c r="C5" s="260"/>
      <c r="D5" s="261"/>
      <c r="E5" s="136"/>
      <c r="F5" s="40" t="s">
        <v>2609</v>
      </c>
      <c r="G5" s="40" t="s">
        <v>2610</v>
      </c>
      <c r="H5" s="40" t="s">
        <v>670</v>
      </c>
      <c r="I5" s="40" t="s">
        <v>6849</v>
      </c>
      <c r="J5" s="41" t="s">
        <v>2612</v>
      </c>
      <c r="K5" s="41">
        <v>2114785</v>
      </c>
      <c r="L5" s="42">
        <v>3300001222</v>
      </c>
      <c r="M5" s="42" t="s">
        <v>3234</v>
      </c>
      <c r="N5" s="42">
        <v>5032245</v>
      </c>
      <c r="T5" s="42" t="s">
        <v>2614</v>
      </c>
      <c r="V5" s="43" t="s">
        <v>680</v>
      </c>
      <c r="W5" s="43" t="s">
        <v>6968</v>
      </c>
      <c r="X5" s="43" t="s">
        <v>6882</v>
      </c>
      <c r="AF5" s="42">
        <v>41783</v>
      </c>
      <c r="AG5" s="42" t="s">
        <v>6676</v>
      </c>
    </row>
    <row r="6" spans="1:33" ht="15.95" customHeight="1" thickBot="1">
      <c r="A6" s="259"/>
      <c r="B6" s="262"/>
      <c r="C6" s="262"/>
      <c r="D6" s="263"/>
      <c r="E6" s="136"/>
      <c r="F6" s="40" t="s">
        <v>1912</v>
      </c>
      <c r="G6" s="40" t="s">
        <v>1913</v>
      </c>
      <c r="H6" s="40" t="s">
        <v>564</v>
      </c>
      <c r="I6" s="40" t="s">
        <v>6851</v>
      </c>
      <c r="J6" s="41">
        <v>3300002952</v>
      </c>
      <c r="K6" s="41">
        <v>2103530</v>
      </c>
      <c r="L6" s="42">
        <v>5059374</v>
      </c>
      <c r="M6" s="42" t="s">
        <v>1914</v>
      </c>
      <c r="P6" s="42"/>
      <c r="T6" s="42" t="s">
        <v>1915</v>
      </c>
      <c r="V6" s="43" t="s">
        <v>570</v>
      </c>
      <c r="W6" s="43" t="s">
        <v>8414</v>
      </c>
      <c r="X6" s="43" t="s">
        <v>6867</v>
      </c>
      <c r="AF6" s="42">
        <v>41784</v>
      </c>
      <c r="AG6" s="42" t="s">
        <v>6676</v>
      </c>
    </row>
    <row r="7" spans="1:33" ht="15.95" customHeight="1">
      <c r="A7" s="264" t="e">
        <f>IF("ComboBox1"="","",VLOOKUP(($B$2),$F$2:$U$870,16,FALSE))</f>
        <v>#N/A</v>
      </c>
      <c r="B7" s="264"/>
      <c r="C7" s="264"/>
      <c r="D7" s="264"/>
      <c r="E7" s="7"/>
      <c r="F7" s="40" t="s">
        <v>2799</v>
      </c>
      <c r="G7" s="40" t="s">
        <v>2800</v>
      </c>
      <c r="H7" s="40" t="s">
        <v>670</v>
      </c>
      <c r="I7" s="40" t="s">
        <v>6849</v>
      </c>
      <c r="J7" s="41">
        <v>3300003014</v>
      </c>
      <c r="K7" s="41">
        <v>2103501</v>
      </c>
      <c r="L7" s="42">
        <v>3300004126</v>
      </c>
      <c r="M7" s="42" t="s">
        <v>2801</v>
      </c>
      <c r="N7" s="42">
        <v>5031864</v>
      </c>
      <c r="T7" s="42" t="s">
        <v>2802</v>
      </c>
      <c r="V7" s="43" t="s">
        <v>647</v>
      </c>
      <c r="W7" s="43" t="s">
        <v>6969</v>
      </c>
      <c r="X7" s="43" t="s">
        <v>6970</v>
      </c>
      <c r="AF7" s="42">
        <v>41786</v>
      </c>
      <c r="AG7" s="42" t="s">
        <v>6676</v>
      </c>
    </row>
    <row r="8" spans="1:33" ht="15.95" customHeight="1">
      <c r="A8" s="111"/>
      <c r="B8" s="112"/>
      <c r="C8" s="113"/>
      <c r="D8" s="64"/>
      <c r="E8" s="6"/>
      <c r="F8" s="40" t="s">
        <v>8331</v>
      </c>
      <c r="G8" s="40" t="s">
        <v>8332</v>
      </c>
      <c r="H8" s="40" t="s">
        <v>8208</v>
      </c>
      <c r="I8" s="40" t="s">
        <v>6850</v>
      </c>
      <c r="J8" s="41">
        <v>2141284</v>
      </c>
      <c r="K8" s="41">
        <v>2141272</v>
      </c>
      <c r="L8" s="42">
        <v>5103023</v>
      </c>
      <c r="M8" s="42">
        <v>2103910</v>
      </c>
      <c r="N8" s="42" t="s">
        <v>8333</v>
      </c>
      <c r="T8" s="42" t="s">
        <v>8334</v>
      </c>
      <c r="V8" s="43" t="s">
        <v>6448</v>
      </c>
      <c r="W8" s="43" t="s">
        <v>6971</v>
      </c>
      <c r="X8" s="43" t="s">
        <v>6872</v>
      </c>
      <c r="AF8" s="42">
        <v>41787</v>
      </c>
      <c r="AG8" s="42" t="s">
        <v>6676</v>
      </c>
    </row>
    <row r="9" spans="1:33" ht="15.95" customHeight="1">
      <c r="A9" s="59" t="s">
        <v>6484</v>
      </c>
      <c r="B9" s="59" t="s">
        <v>6503</v>
      </c>
      <c r="C9" s="59" t="s">
        <v>821</v>
      </c>
      <c r="D9" s="59" t="s">
        <v>6846</v>
      </c>
      <c r="E9" s="6"/>
      <c r="F9" s="40" t="s">
        <v>2761</v>
      </c>
      <c r="G9" s="40" t="s">
        <v>2762</v>
      </c>
      <c r="H9" s="40" t="s">
        <v>670</v>
      </c>
      <c r="I9" s="40" t="s">
        <v>6849</v>
      </c>
      <c r="J9" s="41" t="s">
        <v>3887</v>
      </c>
      <c r="K9" s="41">
        <v>5031901</v>
      </c>
      <c r="L9" s="42">
        <v>3300006805</v>
      </c>
      <c r="M9" s="42">
        <v>2117371</v>
      </c>
      <c r="P9" s="42"/>
      <c r="T9" s="42" t="s">
        <v>2764</v>
      </c>
      <c r="V9" s="43" t="s">
        <v>753</v>
      </c>
      <c r="AF9" s="42">
        <v>1721270</v>
      </c>
      <c r="AG9" s="42" t="s">
        <v>6674</v>
      </c>
    </row>
    <row r="10" spans="1:33" ht="15.95" customHeight="1">
      <c r="A10" s="114" t="str">
        <f>J1</f>
        <v>VGT #1</v>
      </c>
      <c r="B10" s="115" t="e">
        <f>IF("ComboBox1"="","",VLOOKUP(($B$2),$F$2:$U$870,5,FALSE))</f>
        <v>#N/A</v>
      </c>
      <c r="C10" s="116" t="e">
        <f>VLOOKUP(B10,AF2:AG4616,2,FALSE)</f>
        <v>#N/A</v>
      </c>
      <c r="D10" s="116" t="e">
        <f>IF("ComboBox1"="","",VLOOKUP(($B$2),$F$2:$U$870,15,FALSE))</f>
        <v>#N/A</v>
      </c>
      <c r="E10" s="43"/>
      <c r="F10" s="40" t="s">
        <v>6065</v>
      </c>
      <c r="G10" s="40" t="s">
        <v>6066</v>
      </c>
      <c r="H10" s="40" t="s">
        <v>8208</v>
      </c>
      <c r="I10" s="40" t="s">
        <v>6850</v>
      </c>
      <c r="J10" s="41">
        <v>3300002990</v>
      </c>
      <c r="K10" s="41">
        <v>5001467</v>
      </c>
      <c r="L10" s="42" t="s">
        <v>6067</v>
      </c>
      <c r="M10" s="42">
        <v>2103512</v>
      </c>
      <c r="N10" s="42">
        <v>2116262</v>
      </c>
      <c r="T10" s="42" t="s">
        <v>6068</v>
      </c>
      <c r="V10" s="43" t="s">
        <v>532</v>
      </c>
      <c r="AF10" s="42">
        <v>1723939</v>
      </c>
      <c r="AG10" s="42" t="s">
        <v>6674</v>
      </c>
    </row>
    <row r="11" spans="1:33" ht="15.95" customHeight="1">
      <c r="A11" s="114" t="str">
        <f>K1</f>
        <v>VGT #2</v>
      </c>
      <c r="B11" s="115" t="e">
        <f>IF("ComboBox1"="","",VLOOKUP(($B$2),$F$2:$U$870,6,FALSE))</f>
        <v>#N/A</v>
      </c>
      <c r="C11" s="116" t="e">
        <f>VLOOKUP(B11,AF3:AG4617,2,FALSE)</f>
        <v>#N/A</v>
      </c>
      <c r="D11" s="116"/>
      <c r="E11" s="43"/>
      <c r="F11" s="40" t="s">
        <v>7431</v>
      </c>
      <c r="G11" s="40" t="s">
        <v>7432</v>
      </c>
      <c r="H11" s="40" t="s">
        <v>564</v>
      </c>
      <c r="I11" s="40" t="s">
        <v>6851</v>
      </c>
      <c r="J11" s="41">
        <v>3300009730</v>
      </c>
      <c r="K11" s="41">
        <v>2103807</v>
      </c>
      <c r="L11" s="42" t="s">
        <v>7433</v>
      </c>
      <c r="M11" s="42">
        <v>5003045</v>
      </c>
      <c r="N11" s="42">
        <v>2150988</v>
      </c>
      <c r="T11" s="42" t="s">
        <v>7434</v>
      </c>
      <c r="V11" s="43" t="s">
        <v>578</v>
      </c>
      <c r="AF11" s="42">
        <v>1744534</v>
      </c>
      <c r="AG11" s="42" t="s">
        <v>6674</v>
      </c>
    </row>
    <row r="12" spans="1:33" ht="15.95" customHeight="1">
      <c r="A12" s="114" t="str">
        <f>L1</f>
        <v>VGT #3</v>
      </c>
      <c r="B12" s="115" t="e">
        <f>IF("ComboBox1"="","",VLOOKUP(($B$2),$F$2:$U$870,7,FALSE))</f>
        <v>#N/A</v>
      </c>
      <c r="C12" s="116" t="e">
        <f>VLOOKUP(B12,AF4:AG4618,2,FALSE)</f>
        <v>#N/A</v>
      </c>
      <c r="D12" s="116"/>
      <c r="E12" s="43"/>
      <c r="F12" s="40" t="s">
        <v>4817</v>
      </c>
      <c r="G12" s="40" t="s">
        <v>4818</v>
      </c>
      <c r="H12" s="40" t="s">
        <v>761</v>
      </c>
      <c r="I12" s="40" t="s">
        <v>6848</v>
      </c>
      <c r="J12" s="41" t="s">
        <v>4819</v>
      </c>
      <c r="K12" s="41" t="s">
        <v>6743</v>
      </c>
      <c r="L12" s="42">
        <v>2103457</v>
      </c>
      <c r="M12" s="42">
        <v>2226104</v>
      </c>
      <c r="N12" s="42">
        <v>3300003002</v>
      </c>
      <c r="T12" s="42" t="s">
        <v>4820</v>
      </c>
      <c r="V12" s="43" t="s">
        <v>636</v>
      </c>
      <c r="AF12" s="42">
        <v>1756703</v>
      </c>
      <c r="AG12" s="42" t="s">
        <v>6674</v>
      </c>
    </row>
    <row r="13" spans="1:33" ht="15.95" customHeight="1">
      <c r="A13" s="114" t="str">
        <f>M1</f>
        <v>VGT #4</v>
      </c>
      <c r="B13" s="115" t="e">
        <f>IF("ComboBox1"="","",VLOOKUP(($B$2),$F$2:$U$870,8,FALSE))</f>
        <v>#N/A</v>
      </c>
      <c r="C13" s="116" t="e">
        <f>VLOOKUP(B13,AF5:AG4619,2,FALSE)</f>
        <v>#N/A</v>
      </c>
      <c r="D13" s="116"/>
      <c r="E13" s="43"/>
      <c r="F13" s="40" t="s">
        <v>7057</v>
      </c>
      <c r="H13" s="40" t="s">
        <v>670</v>
      </c>
      <c r="I13" s="40" t="s">
        <v>6849</v>
      </c>
      <c r="O13" s="42"/>
      <c r="P13" s="42"/>
      <c r="T13" s="42"/>
      <c r="V13" s="43" t="s">
        <v>670</v>
      </c>
      <c r="AF13" s="42">
        <v>1761754</v>
      </c>
      <c r="AG13" s="42" t="s">
        <v>6674</v>
      </c>
    </row>
    <row r="14" spans="1:33" ht="15.95" customHeight="1">
      <c r="A14" s="114" t="str">
        <f>N1</f>
        <v>VGT #5</v>
      </c>
      <c r="B14" s="115" t="e">
        <f>IF("ComboBox1"="","",VLOOKUP(($B$2),$F$2:$U$870,9,FALSE))</f>
        <v>#N/A</v>
      </c>
      <c r="C14" s="116" t="e">
        <f>VLOOKUP(B14,AF6:AG4620,2,FALSE)</f>
        <v>#N/A</v>
      </c>
      <c r="D14" s="116"/>
      <c r="E14" s="6"/>
      <c r="F14" s="40" t="s">
        <v>7058</v>
      </c>
      <c r="H14" s="40" t="s">
        <v>761</v>
      </c>
      <c r="I14" s="40" t="s">
        <v>6848</v>
      </c>
      <c r="O14" s="42"/>
      <c r="P14" s="42"/>
      <c r="T14" s="42"/>
      <c r="V14" s="43" t="s">
        <v>761</v>
      </c>
      <c r="AF14" s="42">
        <v>1761756</v>
      </c>
      <c r="AG14" s="42" t="s">
        <v>6674</v>
      </c>
    </row>
    <row r="15" spans="1:33" ht="15.95" customHeight="1">
      <c r="A15" s="66"/>
      <c r="B15" s="115"/>
      <c r="E15" s="6"/>
      <c r="F15" s="40" t="s">
        <v>7059</v>
      </c>
      <c r="H15" s="40" t="s">
        <v>8208</v>
      </c>
      <c r="I15" s="40" t="s">
        <v>6850</v>
      </c>
      <c r="O15" s="42"/>
      <c r="P15" s="42"/>
      <c r="T15" s="42"/>
      <c r="V15" s="43" t="s">
        <v>643</v>
      </c>
      <c r="AF15" s="42">
        <v>1763216</v>
      </c>
      <c r="AG15" s="42" t="s">
        <v>6674</v>
      </c>
    </row>
    <row r="16" spans="1:33" ht="15.95" customHeight="1">
      <c r="A16" s="66"/>
      <c r="B16" s="115"/>
      <c r="E16" s="6"/>
      <c r="F16" s="40" t="s">
        <v>7061</v>
      </c>
      <c r="H16" s="40" t="s">
        <v>6841</v>
      </c>
      <c r="I16" s="40" t="s">
        <v>6852</v>
      </c>
      <c r="O16" s="42"/>
      <c r="P16" s="42"/>
      <c r="T16" s="42"/>
      <c r="V16" s="43" t="s">
        <v>6841</v>
      </c>
      <c r="AF16" s="42">
        <v>1763218</v>
      </c>
      <c r="AG16" s="42" t="s">
        <v>6674</v>
      </c>
    </row>
    <row r="17" spans="1:16273" ht="15.95" customHeight="1">
      <c r="A17" s="68" t="s">
        <v>6514</v>
      </c>
      <c r="B17" s="118"/>
      <c r="C17" s="265" t="s">
        <v>6502</v>
      </c>
      <c r="D17" s="266"/>
      <c r="E17" s="6"/>
      <c r="F17" s="40" t="s">
        <v>7060</v>
      </c>
      <c r="H17" s="40" t="s">
        <v>564</v>
      </c>
      <c r="I17" s="40" t="s">
        <v>6851</v>
      </c>
      <c r="O17" s="42"/>
      <c r="P17" s="42"/>
      <c r="T17" s="42"/>
      <c r="V17" s="43" t="s">
        <v>564</v>
      </c>
      <c r="Y17" s="36"/>
      <c r="Z17" s="36"/>
      <c r="AA17" s="36"/>
      <c r="AB17" s="36"/>
      <c r="AC17" s="36"/>
      <c r="AD17" s="36"/>
      <c r="AE17" s="36"/>
      <c r="AF17" s="39">
        <v>1763220</v>
      </c>
      <c r="AG17" s="39" t="s">
        <v>6674</v>
      </c>
      <c r="AI17" s="62"/>
      <c r="AJ17" s="62"/>
      <c r="AK17" s="62"/>
      <c r="AL17" s="62"/>
      <c r="AM17" s="62"/>
      <c r="AN17" s="62"/>
      <c r="AO17" s="62"/>
      <c r="AP17" s="62"/>
      <c r="AQ17" s="62"/>
      <c r="AR17" s="62"/>
      <c r="AS17" s="62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 s="62"/>
      <c r="BZ17" s="62"/>
      <c r="CA17" s="62"/>
      <c r="CB17" s="62"/>
      <c r="CC17" s="62"/>
      <c r="CD17" s="62"/>
      <c r="CE17" s="62"/>
      <c r="CF17" s="62"/>
      <c r="CG17" s="62"/>
      <c r="CH17" s="62"/>
      <c r="CI17" s="62"/>
      <c r="CJ17" s="62"/>
      <c r="CK17" s="62"/>
      <c r="CL17" s="62"/>
      <c r="CM17" s="62"/>
      <c r="CN17" s="62"/>
      <c r="CO17" s="62"/>
      <c r="CP17" s="62"/>
      <c r="CQ17" s="62"/>
      <c r="CR17" s="62"/>
      <c r="CS17" s="62"/>
      <c r="CT17" s="62"/>
      <c r="CU17" s="62"/>
      <c r="CV17" s="62"/>
      <c r="CW17" s="62"/>
      <c r="CX17" s="62"/>
      <c r="CY17" s="62"/>
      <c r="CZ17" s="62"/>
      <c r="DA17" s="62"/>
      <c r="DB17" s="62"/>
      <c r="DC17" s="62"/>
      <c r="DD17" s="62"/>
      <c r="DE17" s="62"/>
      <c r="DF17" s="62"/>
      <c r="DG17" s="62"/>
      <c r="DH17" s="62"/>
      <c r="DI17" s="62"/>
      <c r="DJ17" s="62"/>
      <c r="DK17" s="62"/>
      <c r="DL17" s="62"/>
      <c r="DM17" s="62"/>
      <c r="DN17" s="62"/>
      <c r="DO17" s="62"/>
      <c r="DP17" s="62"/>
      <c r="DQ17" s="62"/>
      <c r="DR17" s="62"/>
      <c r="DS17" s="62"/>
      <c r="DT17" s="62"/>
      <c r="DU17" s="62"/>
      <c r="DV17" s="62"/>
      <c r="DW17" s="62"/>
      <c r="DX17" s="62"/>
      <c r="DY17" s="62"/>
      <c r="DZ17" s="62"/>
      <c r="EA17" s="62"/>
      <c r="EB17" s="62"/>
      <c r="EC17" s="62"/>
      <c r="ED17" s="62"/>
      <c r="EE17" s="62"/>
      <c r="EF17" s="62"/>
      <c r="EG17" s="62"/>
      <c r="EH17" s="62"/>
      <c r="EI17" s="62"/>
      <c r="EJ17" s="62"/>
      <c r="EK17" s="62"/>
      <c r="EL17" s="62"/>
      <c r="EM17" s="62"/>
      <c r="EN17" s="62"/>
      <c r="EO17" s="62"/>
      <c r="EP17" s="62"/>
      <c r="EQ17" s="62"/>
      <c r="ER17" s="62"/>
      <c r="ES17" s="62"/>
      <c r="ET17" s="62"/>
      <c r="EU17" s="62"/>
      <c r="EV17" s="62"/>
      <c r="EW17" s="62"/>
      <c r="EX17" s="62"/>
      <c r="EY17" s="62"/>
      <c r="EZ17" s="62"/>
      <c r="FA17" s="62"/>
      <c r="FB17" s="62"/>
      <c r="FC17" s="62"/>
      <c r="FD17" s="62"/>
      <c r="FE17" s="62"/>
      <c r="FF17" s="62"/>
      <c r="FG17" s="62"/>
      <c r="FH17" s="62"/>
      <c r="FI17" s="62"/>
      <c r="FJ17" s="62"/>
      <c r="FK17" s="62"/>
      <c r="FL17" s="62"/>
      <c r="FM17" s="62"/>
      <c r="FN17" s="62"/>
      <c r="FO17" s="62"/>
      <c r="FP17" s="62"/>
      <c r="FQ17" s="62"/>
      <c r="FR17" s="62"/>
      <c r="FS17" s="62"/>
      <c r="FT17" s="62"/>
      <c r="FU17" s="62"/>
      <c r="FV17" s="62"/>
      <c r="FW17" s="62"/>
      <c r="FX17" s="62"/>
      <c r="FY17" s="62"/>
      <c r="FZ17" s="62"/>
      <c r="GA17" s="62"/>
      <c r="GB17" s="62"/>
      <c r="GC17" s="62"/>
      <c r="GD17" s="62"/>
      <c r="GE17" s="62"/>
      <c r="GF17" s="62"/>
      <c r="GG17" s="62"/>
      <c r="GH17" s="62"/>
      <c r="GI17" s="62"/>
      <c r="GJ17" s="62"/>
      <c r="GK17" s="62"/>
      <c r="GL17" s="62"/>
      <c r="GM17" s="62"/>
      <c r="GN17" s="62"/>
      <c r="GO17" s="62"/>
      <c r="GP17" s="62"/>
      <c r="GQ17" s="62"/>
      <c r="GR17" s="62"/>
      <c r="GS17" s="62"/>
      <c r="GT17" s="62"/>
      <c r="GU17" s="62"/>
      <c r="GV17" s="62"/>
      <c r="GW17" s="62"/>
      <c r="GX17" s="62"/>
      <c r="GY17" s="62"/>
      <c r="GZ17" s="62"/>
      <c r="HA17" s="62"/>
      <c r="HB17" s="62"/>
      <c r="HC17" s="62"/>
      <c r="HD17" s="62"/>
      <c r="HE17" s="62"/>
      <c r="HF17" s="62"/>
      <c r="HG17" s="62"/>
      <c r="HH17" s="62"/>
      <c r="HI17" s="62"/>
      <c r="HJ17" s="62"/>
      <c r="HK17" s="62"/>
      <c r="HL17" s="62"/>
      <c r="HM17" s="62"/>
      <c r="HN17" s="62"/>
      <c r="HO17" s="62"/>
      <c r="HP17" s="62"/>
      <c r="HQ17" s="62"/>
      <c r="HR17" s="62"/>
      <c r="HS17" s="62"/>
      <c r="HT17" s="62"/>
      <c r="HU17" s="62"/>
      <c r="HV17" s="62"/>
      <c r="HW17" s="62"/>
      <c r="HX17" s="62"/>
      <c r="HY17" s="62"/>
      <c r="HZ17" s="62"/>
      <c r="IA17" s="62"/>
      <c r="IB17" s="62"/>
      <c r="IC17" s="62"/>
      <c r="ID17" s="62"/>
      <c r="IE17" s="62"/>
      <c r="IF17" s="62"/>
      <c r="IG17" s="62"/>
      <c r="IH17" s="62"/>
      <c r="II17" s="62"/>
      <c r="IJ17" s="62"/>
      <c r="IK17" s="62"/>
      <c r="IL17" s="62"/>
      <c r="IM17" s="62"/>
      <c r="IN17" s="62"/>
      <c r="IO17" s="62"/>
      <c r="IP17" s="62"/>
      <c r="IQ17" s="62"/>
      <c r="IR17" s="62"/>
      <c r="IS17" s="62"/>
      <c r="IT17" s="62"/>
      <c r="IU17" s="62"/>
      <c r="IV17" s="62"/>
      <c r="IW17" s="62"/>
      <c r="IX17" s="62"/>
      <c r="IY17" s="62"/>
      <c r="IZ17" s="62"/>
      <c r="JA17" s="62"/>
      <c r="JB17" s="62"/>
      <c r="JC17" s="62"/>
      <c r="JD17" s="62"/>
      <c r="JE17" s="62"/>
      <c r="JF17" s="62"/>
      <c r="JG17" s="62"/>
      <c r="JH17" s="62"/>
      <c r="JI17" s="62"/>
      <c r="JJ17" s="62"/>
      <c r="JK17" s="62"/>
      <c r="JL17" s="62"/>
      <c r="JM17" s="62"/>
      <c r="JN17" s="62"/>
      <c r="JO17" s="62"/>
      <c r="JP17" s="62"/>
      <c r="JQ17" s="62"/>
      <c r="JR17" s="62"/>
      <c r="JS17" s="62"/>
      <c r="JT17" s="62"/>
      <c r="JU17" s="62"/>
      <c r="JV17" s="62"/>
      <c r="JW17" s="62"/>
      <c r="JX17" s="62"/>
      <c r="JY17" s="62"/>
      <c r="JZ17" s="62"/>
      <c r="KA17" s="62"/>
      <c r="KB17" s="62"/>
      <c r="KC17" s="62"/>
      <c r="KD17" s="62"/>
      <c r="KE17" s="62"/>
      <c r="KF17" s="62"/>
      <c r="KG17" s="62"/>
      <c r="KH17" s="62"/>
      <c r="KI17" s="62"/>
      <c r="KJ17" s="62"/>
      <c r="KK17" s="62"/>
      <c r="KL17" s="62"/>
      <c r="KM17" s="62"/>
      <c r="KN17" s="62"/>
      <c r="KO17" s="62"/>
      <c r="KP17" s="62"/>
      <c r="KQ17" s="62"/>
      <c r="KR17" s="62"/>
      <c r="KS17" s="62"/>
      <c r="KT17" s="62"/>
      <c r="KU17" s="62"/>
      <c r="KV17" s="62"/>
      <c r="KW17" s="62"/>
      <c r="KX17" s="62"/>
      <c r="KY17" s="62"/>
      <c r="KZ17" s="62"/>
      <c r="LA17" s="62"/>
      <c r="LB17" s="62"/>
      <c r="LC17" s="62"/>
      <c r="LD17" s="62"/>
      <c r="LE17" s="62"/>
      <c r="LF17" s="62"/>
      <c r="LG17" s="62"/>
      <c r="LH17" s="62"/>
      <c r="LI17" s="62"/>
      <c r="LJ17" s="62"/>
      <c r="LK17" s="62"/>
      <c r="LL17" s="62"/>
      <c r="LM17" s="62"/>
      <c r="LN17" s="62"/>
      <c r="LO17" s="62"/>
      <c r="LP17" s="62"/>
      <c r="LQ17" s="62"/>
      <c r="LR17" s="62"/>
      <c r="LS17" s="62"/>
      <c r="LT17" s="62"/>
      <c r="LU17" s="62"/>
      <c r="LV17" s="62"/>
      <c r="LW17" s="62"/>
      <c r="LX17" s="62"/>
      <c r="LY17" s="62"/>
      <c r="LZ17" s="62"/>
      <c r="MA17" s="62"/>
      <c r="MB17" s="62"/>
      <c r="MC17" s="62"/>
      <c r="MD17" s="62"/>
      <c r="ME17" s="62"/>
      <c r="MF17" s="62"/>
      <c r="MG17" s="62"/>
      <c r="MH17" s="62"/>
      <c r="MI17" s="62"/>
      <c r="MJ17" s="62"/>
      <c r="MK17" s="62"/>
      <c r="ML17" s="62"/>
      <c r="MM17" s="62"/>
      <c r="MN17" s="62"/>
      <c r="MO17" s="62"/>
      <c r="MP17" s="62"/>
      <c r="MQ17" s="62"/>
      <c r="MR17" s="62"/>
      <c r="MS17" s="62"/>
      <c r="MT17" s="62"/>
      <c r="MU17" s="62"/>
      <c r="MV17" s="62"/>
      <c r="MW17" s="62"/>
      <c r="MX17" s="62"/>
      <c r="MY17" s="62"/>
      <c r="MZ17" s="62"/>
      <c r="NA17" s="62"/>
      <c r="NB17" s="62"/>
      <c r="NC17" s="62"/>
      <c r="ND17" s="62"/>
      <c r="NE17" s="62"/>
      <c r="NF17" s="62"/>
      <c r="NG17" s="62"/>
      <c r="NH17" s="62"/>
      <c r="NI17" s="62"/>
      <c r="NJ17" s="62"/>
      <c r="NK17" s="62"/>
      <c r="NL17" s="62"/>
      <c r="NM17" s="62"/>
      <c r="NN17" s="62"/>
      <c r="NO17" s="62"/>
      <c r="NP17" s="62"/>
      <c r="NQ17" s="62"/>
      <c r="NR17" s="62"/>
      <c r="NS17" s="62"/>
      <c r="NT17" s="62"/>
      <c r="NU17" s="62"/>
      <c r="NV17" s="62"/>
      <c r="NW17" s="62"/>
      <c r="NX17" s="62"/>
      <c r="NY17" s="62"/>
      <c r="NZ17" s="62"/>
      <c r="OA17" s="62"/>
      <c r="OB17" s="62"/>
      <c r="OC17" s="62"/>
      <c r="OD17" s="62"/>
      <c r="OE17" s="62"/>
      <c r="OF17" s="62"/>
      <c r="OG17" s="62"/>
      <c r="OH17" s="62"/>
      <c r="OI17" s="62"/>
      <c r="OJ17" s="62"/>
      <c r="OK17" s="62"/>
      <c r="OL17" s="62"/>
      <c r="OM17" s="62"/>
      <c r="ON17" s="62"/>
      <c r="OO17" s="62"/>
      <c r="OP17" s="62"/>
      <c r="OQ17" s="62"/>
      <c r="OR17" s="62"/>
      <c r="OS17" s="62"/>
      <c r="OT17" s="62"/>
      <c r="OU17" s="62"/>
      <c r="OV17" s="62"/>
      <c r="OW17" s="62"/>
      <c r="OX17" s="62"/>
      <c r="OY17" s="62"/>
      <c r="OZ17" s="62"/>
      <c r="PA17" s="62"/>
      <c r="PB17" s="62"/>
      <c r="PC17" s="62"/>
      <c r="PD17" s="62"/>
      <c r="PE17" s="62"/>
      <c r="PF17" s="62"/>
      <c r="PG17" s="62"/>
      <c r="PH17" s="62"/>
      <c r="PI17" s="62"/>
      <c r="PJ17" s="62"/>
      <c r="PK17" s="62"/>
      <c r="PL17" s="62"/>
      <c r="PM17" s="62"/>
      <c r="PN17" s="62"/>
      <c r="PO17" s="62"/>
      <c r="PP17" s="62"/>
      <c r="PQ17" s="62"/>
      <c r="PR17" s="62"/>
      <c r="PS17" s="62"/>
      <c r="PT17" s="62"/>
      <c r="PU17" s="62"/>
      <c r="PV17" s="62"/>
      <c r="PW17" s="62"/>
      <c r="PX17" s="62"/>
      <c r="PY17" s="62"/>
      <c r="PZ17" s="62"/>
      <c r="QA17" s="62"/>
      <c r="QB17" s="62"/>
      <c r="QC17" s="62"/>
      <c r="QD17" s="62"/>
      <c r="QE17" s="62"/>
      <c r="QF17" s="62"/>
      <c r="QG17" s="62"/>
      <c r="QH17" s="62"/>
      <c r="QI17" s="62"/>
      <c r="QJ17" s="62"/>
      <c r="QK17" s="62"/>
      <c r="QL17" s="62"/>
      <c r="QM17" s="62"/>
      <c r="QN17" s="62"/>
      <c r="QO17" s="62"/>
      <c r="QP17" s="62"/>
      <c r="QQ17" s="62"/>
      <c r="QR17" s="62"/>
      <c r="QS17" s="62"/>
      <c r="QT17" s="62"/>
      <c r="QU17" s="62"/>
      <c r="QV17" s="62"/>
      <c r="QW17" s="62"/>
      <c r="QX17" s="62"/>
      <c r="QY17" s="62"/>
      <c r="QZ17" s="62"/>
      <c r="RA17" s="62"/>
      <c r="RB17" s="62"/>
      <c r="RC17" s="62"/>
      <c r="RD17" s="62"/>
      <c r="RE17" s="62"/>
      <c r="RF17" s="62"/>
      <c r="RG17" s="62"/>
      <c r="RH17" s="62"/>
      <c r="RI17" s="62"/>
      <c r="RJ17" s="62"/>
      <c r="RK17" s="62"/>
      <c r="RL17" s="62"/>
      <c r="RM17" s="62"/>
      <c r="RN17" s="62"/>
      <c r="RO17" s="62"/>
      <c r="RP17" s="62"/>
      <c r="RQ17" s="62"/>
      <c r="RR17" s="62"/>
      <c r="RS17" s="62"/>
      <c r="RT17" s="62"/>
      <c r="RU17" s="62"/>
      <c r="RV17" s="62"/>
      <c r="RW17" s="62"/>
      <c r="RX17" s="62"/>
      <c r="RY17" s="62"/>
      <c r="RZ17" s="62"/>
      <c r="SA17" s="62"/>
      <c r="SB17" s="62"/>
      <c r="SC17" s="62"/>
      <c r="SD17" s="62"/>
      <c r="SE17" s="62"/>
      <c r="SF17" s="62"/>
      <c r="SG17" s="62"/>
      <c r="SH17" s="62"/>
      <c r="SI17" s="62"/>
      <c r="SJ17" s="62"/>
      <c r="SK17" s="62"/>
      <c r="SL17" s="62"/>
      <c r="SM17" s="62"/>
      <c r="SN17" s="62"/>
      <c r="SO17" s="62"/>
      <c r="SP17" s="62"/>
      <c r="SQ17" s="62"/>
      <c r="SR17" s="62"/>
      <c r="SS17" s="62"/>
      <c r="ST17" s="62"/>
      <c r="SU17" s="62"/>
      <c r="SV17" s="62"/>
      <c r="SW17" s="62"/>
      <c r="SX17" s="62"/>
      <c r="SY17" s="62"/>
      <c r="SZ17" s="62"/>
      <c r="TA17" s="62"/>
      <c r="TB17" s="62"/>
      <c r="TC17" s="62"/>
      <c r="TD17" s="62"/>
      <c r="TE17" s="62"/>
      <c r="TF17" s="62"/>
      <c r="TG17" s="62"/>
      <c r="TH17" s="62"/>
      <c r="TI17" s="62"/>
      <c r="TJ17" s="62"/>
      <c r="TK17" s="62"/>
      <c r="TL17" s="62"/>
      <c r="TM17" s="62"/>
      <c r="TN17" s="62"/>
      <c r="TO17" s="62"/>
      <c r="TP17" s="62"/>
      <c r="TQ17" s="62"/>
      <c r="TR17" s="62"/>
      <c r="TS17" s="62"/>
      <c r="TT17" s="62"/>
      <c r="TU17" s="62"/>
      <c r="TV17" s="62"/>
      <c r="TW17" s="62"/>
      <c r="TX17" s="62"/>
      <c r="TY17" s="62"/>
      <c r="TZ17" s="62"/>
      <c r="UA17" s="62"/>
      <c r="UB17" s="62"/>
      <c r="UC17" s="62"/>
      <c r="UD17" s="62"/>
      <c r="UE17" s="62"/>
      <c r="UF17" s="62"/>
      <c r="UG17" s="62"/>
      <c r="UH17" s="62"/>
      <c r="UI17" s="62"/>
      <c r="UJ17" s="62"/>
      <c r="UK17" s="62"/>
      <c r="UL17" s="62"/>
      <c r="UM17" s="62"/>
      <c r="UN17" s="62"/>
      <c r="UO17" s="62"/>
      <c r="UP17" s="62"/>
      <c r="UQ17" s="62"/>
      <c r="UR17" s="62"/>
      <c r="US17" s="62"/>
      <c r="UT17" s="62"/>
      <c r="UU17" s="62"/>
      <c r="UV17" s="62"/>
      <c r="UW17" s="62"/>
      <c r="UX17" s="62"/>
      <c r="UY17" s="62"/>
      <c r="UZ17" s="62"/>
      <c r="VA17" s="62"/>
      <c r="VB17" s="62"/>
      <c r="VC17" s="62"/>
      <c r="VD17" s="62"/>
      <c r="VE17" s="62"/>
      <c r="VF17" s="62"/>
      <c r="VG17" s="62"/>
      <c r="VH17" s="62"/>
      <c r="VI17" s="62"/>
      <c r="VJ17" s="62"/>
      <c r="VK17" s="62"/>
      <c r="VL17" s="62"/>
      <c r="VM17" s="62"/>
      <c r="VN17" s="62"/>
      <c r="VO17" s="62"/>
      <c r="VP17" s="62"/>
      <c r="VQ17" s="62"/>
      <c r="VR17" s="62"/>
      <c r="VS17" s="62"/>
      <c r="VT17" s="62"/>
      <c r="VU17" s="62"/>
      <c r="VV17" s="62"/>
      <c r="VW17" s="62"/>
      <c r="VX17" s="62"/>
      <c r="VY17" s="62"/>
      <c r="VZ17" s="62"/>
      <c r="WA17" s="62"/>
      <c r="WB17" s="62"/>
      <c r="WC17" s="62"/>
      <c r="WD17" s="62"/>
      <c r="WE17" s="62"/>
      <c r="WF17" s="62"/>
      <c r="WG17" s="62"/>
      <c r="WH17" s="62"/>
      <c r="WI17" s="62"/>
      <c r="WJ17" s="62"/>
      <c r="WK17" s="62"/>
      <c r="WL17" s="62"/>
      <c r="WM17" s="62"/>
      <c r="WN17" s="62"/>
      <c r="WO17" s="62"/>
      <c r="WP17" s="62"/>
      <c r="WQ17" s="62"/>
      <c r="WR17" s="62"/>
      <c r="WS17" s="62"/>
      <c r="WT17" s="62"/>
      <c r="WU17" s="62"/>
      <c r="WV17" s="62"/>
      <c r="WW17" s="62"/>
      <c r="WX17" s="62"/>
      <c r="WY17" s="62"/>
      <c r="WZ17" s="62"/>
      <c r="XA17" s="62"/>
      <c r="XB17" s="62"/>
      <c r="XC17" s="62"/>
      <c r="XD17" s="62"/>
      <c r="XE17" s="62"/>
      <c r="XF17" s="62"/>
      <c r="XG17" s="62"/>
      <c r="XH17" s="62"/>
      <c r="XI17" s="62"/>
      <c r="XJ17" s="62"/>
      <c r="XK17" s="62"/>
      <c r="XL17" s="62"/>
      <c r="XM17" s="62"/>
      <c r="XN17" s="62"/>
      <c r="XO17" s="62"/>
      <c r="XP17" s="62"/>
      <c r="XQ17" s="62"/>
      <c r="XR17" s="62"/>
      <c r="XS17" s="62"/>
      <c r="XT17" s="62"/>
      <c r="XU17" s="62"/>
      <c r="XV17" s="62"/>
      <c r="XW17" s="62"/>
      <c r="XX17" s="62"/>
      <c r="XY17" s="62"/>
      <c r="XZ17" s="62"/>
      <c r="YA17" s="62"/>
      <c r="YB17" s="62"/>
      <c r="YC17" s="62"/>
      <c r="YD17" s="62"/>
      <c r="YE17" s="62"/>
      <c r="YF17" s="62"/>
      <c r="YG17" s="62"/>
      <c r="YH17" s="62"/>
      <c r="YI17" s="62"/>
      <c r="YJ17" s="62"/>
      <c r="YK17" s="62"/>
      <c r="YL17" s="62"/>
      <c r="YM17" s="62"/>
      <c r="YN17" s="62"/>
      <c r="YO17" s="62"/>
      <c r="YP17" s="62"/>
      <c r="YQ17" s="62"/>
      <c r="YR17" s="62"/>
      <c r="YS17" s="62"/>
      <c r="YT17" s="62"/>
      <c r="YU17" s="62"/>
      <c r="YV17" s="62"/>
      <c r="YW17" s="62"/>
      <c r="YX17" s="62"/>
      <c r="YY17" s="62"/>
      <c r="YZ17" s="62"/>
      <c r="ZA17" s="62"/>
      <c r="ZB17" s="62"/>
      <c r="ZC17" s="62"/>
      <c r="ZD17" s="62"/>
      <c r="ZE17" s="62"/>
      <c r="ZF17" s="62"/>
      <c r="ZG17" s="62"/>
      <c r="ZH17" s="62"/>
      <c r="ZI17" s="62"/>
      <c r="ZJ17" s="62"/>
      <c r="ZK17" s="62"/>
      <c r="ZL17" s="62"/>
      <c r="ZM17" s="62"/>
      <c r="ZN17" s="62"/>
      <c r="ZO17" s="62"/>
      <c r="ZP17" s="62"/>
      <c r="ZQ17" s="62"/>
      <c r="ZR17" s="62"/>
      <c r="ZS17" s="62"/>
      <c r="ZT17" s="62"/>
      <c r="ZU17" s="62"/>
      <c r="ZV17" s="62"/>
      <c r="ZW17" s="62"/>
      <c r="ZX17" s="62"/>
      <c r="ZY17" s="62"/>
      <c r="ZZ17" s="62"/>
      <c r="AAA17" s="62"/>
      <c r="AAB17" s="62"/>
      <c r="AAC17" s="62"/>
      <c r="AAD17" s="62"/>
      <c r="AAE17" s="62"/>
      <c r="AAF17" s="62"/>
      <c r="AAG17" s="62"/>
      <c r="AAH17" s="62"/>
      <c r="AAI17" s="62"/>
      <c r="AAJ17" s="62"/>
      <c r="AAK17" s="62"/>
      <c r="AAL17" s="62"/>
      <c r="AAM17" s="62"/>
      <c r="AAN17" s="62"/>
      <c r="AAO17" s="62"/>
      <c r="AAP17" s="62"/>
      <c r="AAQ17" s="62"/>
      <c r="AAR17" s="62"/>
      <c r="AAS17" s="62"/>
      <c r="AAT17" s="62"/>
      <c r="AAU17" s="62"/>
      <c r="AAV17" s="62"/>
      <c r="AAW17" s="62"/>
      <c r="AAX17" s="62"/>
      <c r="AAY17" s="62"/>
      <c r="AAZ17" s="62"/>
      <c r="ABA17" s="62"/>
      <c r="ABB17" s="62"/>
      <c r="ABC17" s="62"/>
      <c r="ABD17" s="62"/>
      <c r="ABE17" s="62"/>
      <c r="ABF17" s="62"/>
      <c r="ABG17" s="62"/>
      <c r="ABH17" s="62"/>
      <c r="ABI17" s="62"/>
      <c r="ABJ17" s="62"/>
      <c r="ABK17" s="62"/>
      <c r="ABL17" s="62"/>
      <c r="ABM17" s="62"/>
      <c r="ABN17" s="62"/>
      <c r="ABO17" s="62"/>
      <c r="ABP17" s="62"/>
      <c r="ABQ17" s="62"/>
      <c r="ABR17" s="62"/>
      <c r="ABS17" s="62"/>
      <c r="ABT17" s="62"/>
      <c r="ABU17" s="62"/>
      <c r="ABV17" s="62"/>
      <c r="ABW17" s="62"/>
      <c r="ABX17" s="62"/>
      <c r="ABY17" s="62"/>
      <c r="ABZ17" s="62"/>
      <c r="ACA17" s="62"/>
      <c r="ACB17" s="62"/>
      <c r="ACC17" s="62"/>
      <c r="ACD17" s="62"/>
      <c r="ACE17" s="62"/>
      <c r="ACF17" s="62"/>
      <c r="ACG17" s="62"/>
      <c r="ACH17" s="62"/>
      <c r="ACI17" s="62"/>
      <c r="ACJ17" s="62"/>
      <c r="ACK17" s="62"/>
      <c r="ACL17" s="62"/>
      <c r="ACM17" s="62"/>
      <c r="ACN17" s="62"/>
      <c r="ACO17" s="62"/>
      <c r="ACP17" s="62"/>
      <c r="ACQ17" s="62"/>
      <c r="ACR17" s="62"/>
      <c r="ACS17" s="62"/>
      <c r="ACT17" s="62"/>
      <c r="ACU17" s="62"/>
      <c r="ACV17" s="62"/>
      <c r="ACW17" s="62"/>
      <c r="ACX17" s="62"/>
      <c r="ACY17" s="62"/>
      <c r="ACZ17" s="62"/>
      <c r="ADA17" s="62"/>
      <c r="ADB17" s="62"/>
      <c r="ADC17" s="62"/>
      <c r="ADD17" s="62"/>
      <c r="ADE17" s="62"/>
      <c r="ADF17" s="62"/>
      <c r="ADG17" s="62"/>
      <c r="ADH17" s="62"/>
      <c r="ADI17" s="62"/>
      <c r="ADJ17" s="62"/>
      <c r="ADK17" s="62"/>
      <c r="ADL17" s="62"/>
      <c r="ADM17" s="62"/>
      <c r="ADN17" s="62"/>
      <c r="ADO17" s="62"/>
      <c r="ADP17" s="62"/>
      <c r="ADQ17" s="62"/>
      <c r="ADR17" s="62"/>
      <c r="ADS17" s="62"/>
      <c r="ADT17" s="62"/>
      <c r="ADU17" s="62"/>
      <c r="ADV17" s="62"/>
      <c r="ADW17" s="62"/>
      <c r="ADX17" s="62"/>
      <c r="ADY17" s="62"/>
      <c r="ADZ17" s="62"/>
      <c r="AEA17" s="62"/>
      <c r="AEB17" s="62"/>
      <c r="AEC17" s="62"/>
      <c r="AED17" s="62"/>
      <c r="AEE17" s="62"/>
      <c r="AEF17" s="62"/>
      <c r="AEG17" s="62"/>
      <c r="AEH17" s="62"/>
      <c r="AEI17" s="62"/>
      <c r="AEJ17" s="62"/>
      <c r="AEK17" s="62"/>
      <c r="AEL17" s="62"/>
      <c r="AEM17" s="62"/>
      <c r="AEN17" s="62"/>
      <c r="AEO17" s="62"/>
      <c r="AEP17" s="62"/>
      <c r="AEQ17" s="62"/>
      <c r="AER17" s="62"/>
      <c r="AES17" s="62"/>
      <c r="AET17" s="62"/>
      <c r="AEU17" s="62"/>
      <c r="AEV17" s="62"/>
      <c r="AEW17" s="62"/>
      <c r="AEX17" s="62"/>
      <c r="AEY17" s="62"/>
      <c r="AEZ17" s="62"/>
      <c r="AFA17" s="62"/>
      <c r="AFB17" s="62"/>
      <c r="AFC17" s="62"/>
      <c r="AFD17" s="62"/>
      <c r="AFE17" s="62"/>
      <c r="AFF17" s="62"/>
      <c r="AFG17" s="62"/>
      <c r="AFH17" s="62"/>
      <c r="AFI17" s="62"/>
      <c r="AFJ17" s="62"/>
      <c r="AFK17" s="62"/>
      <c r="AFL17" s="62"/>
      <c r="AFM17" s="62"/>
      <c r="AFN17" s="62"/>
      <c r="AFO17" s="62"/>
      <c r="AFP17" s="62"/>
      <c r="AFQ17" s="62"/>
      <c r="AFR17" s="62"/>
      <c r="AFS17" s="62"/>
      <c r="AFT17" s="62"/>
      <c r="AFU17" s="62"/>
      <c r="AFV17" s="62"/>
      <c r="AFW17" s="62"/>
      <c r="AFX17" s="62"/>
      <c r="AFY17" s="62"/>
      <c r="AFZ17" s="62"/>
      <c r="AGA17" s="62"/>
      <c r="AGB17" s="62"/>
      <c r="AGC17" s="62"/>
      <c r="AGD17" s="62"/>
      <c r="AGE17" s="62"/>
      <c r="AGF17" s="62"/>
      <c r="AGG17" s="62"/>
      <c r="AGH17" s="62"/>
      <c r="AGI17" s="62"/>
      <c r="AGJ17" s="62"/>
      <c r="AGK17" s="62"/>
      <c r="AGL17" s="62"/>
      <c r="AGM17" s="62"/>
      <c r="AGN17" s="62"/>
      <c r="AGO17" s="62"/>
      <c r="AGP17" s="62"/>
      <c r="AGQ17" s="62"/>
      <c r="AGR17" s="62"/>
      <c r="AGS17" s="62"/>
      <c r="AGT17" s="62"/>
      <c r="AGU17" s="62"/>
      <c r="AGV17" s="62"/>
      <c r="AGW17" s="62"/>
      <c r="AGX17" s="62"/>
      <c r="AGY17" s="62"/>
      <c r="AGZ17" s="62"/>
      <c r="AHA17" s="62"/>
      <c r="AHB17" s="62"/>
      <c r="AHC17" s="62"/>
      <c r="AHD17" s="62"/>
      <c r="AHE17" s="62"/>
      <c r="AHF17" s="62"/>
      <c r="AHG17" s="62"/>
      <c r="AHH17" s="62"/>
      <c r="AHI17" s="62"/>
      <c r="AHJ17" s="62"/>
      <c r="AHK17" s="62"/>
      <c r="AHL17" s="62"/>
      <c r="AHM17" s="62"/>
      <c r="AHN17" s="62"/>
      <c r="AHO17" s="62"/>
      <c r="AHP17" s="62"/>
      <c r="AHQ17" s="62"/>
      <c r="AHR17" s="62"/>
      <c r="AHS17" s="62"/>
      <c r="AHT17" s="62"/>
      <c r="AHU17" s="62"/>
      <c r="AHV17" s="62"/>
      <c r="AHW17" s="62"/>
      <c r="AHX17" s="62"/>
      <c r="AHY17" s="62"/>
      <c r="AHZ17" s="62"/>
      <c r="AIA17" s="62"/>
      <c r="AIB17" s="62"/>
      <c r="AIC17" s="62"/>
      <c r="AID17" s="62"/>
      <c r="AIE17" s="62"/>
      <c r="AIF17" s="62"/>
      <c r="AIG17" s="62"/>
      <c r="AIH17" s="62"/>
      <c r="AII17" s="62"/>
      <c r="AIJ17" s="62"/>
      <c r="AIK17" s="62"/>
      <c r="AIL17" s="62"/>
      <c r="AIM17" s="62"/>
      <c r="AIN17" s="62"/>
      <c r="AIO17" s="62"/>
      <c r="AIP17" s="62"/>
      <c r="AIQ17" s="62"/>
      <c r="AIR17" s="62"/>
      <c r="AIS17" s="62"/>
      <c r="AIT17" s="62"/>
      <c r="AIU17" s="62"/>
      <c r="AIV17" s="62"/>
      <c r="AIW17" s="62"/>
      <c r="AIX17" s="62"/>
      <c r="AIY17" s="62"/>
      <c r="AIZ17" s="62"/>
      <c r="AJA17" s="62"/>
      <c r="AJB17" s="62"/>
      <c r="AJC17" s="62"/>
      <c r="AJD17" s="62"/>
      <c r="AJE17" s="62"/>
      <c r="AJF17" s="62"/>
      <c r="AJG17" s="62"/>
      <c r="AJH17" s="62"/>
      <c r="AJI17" s="62"/>
      <c r="AJJ17" s="62"/>
      <c r="AJK17" s="62"/>
      <c r="AJL17" s="62"/>
      <c r="AJM17" s="62"/>
      <c r="AJN17" s="62"/>
      <c r="AJO17" s="62"/>
      <c r="AJP17" s="62"/>
      <c r="AJQ17" s="62"/>
      <c r="AJR17" s="62"/>
      <c r="AJS17" s="62"/>
      <c r="AJT17" s="62"/>
      <c r="AJU17" s="62"/>
      <c r="AJV17" s="62"/>
      <c r="AJW17" s="62"/>
      <c r="AJX17" s="62"/>
      <c r="AJY17" s="62"/>
      <c r="AJZ17" s="62"/>
      <c r="AKA17" s="62"/>
      <c r="AKB17" s="62"/>
      <c r="AKC17" s="62"/>
      <c r="AKD17" s="62"/>
      <c r="AKE17" s="62"/>
      <c r="AKF17" s="62"/>
      <c r="AKG17" s="62"/>
      <c r="AKH17" s="62"/>
      <c r="AKI17" s="62"/>
      <c r="AKJ17" s="62"/>
      <c r="AKK17" s="62"/>
      <c r="AKL17" s="62"/>
      <c r="AKM17" s="62"/>
      <c r="AKN17" s="62"/>
      <c r="AKO17" s="62"/>
      <c r="AKP17" s="62"/>
      <c r="AKQ17" s="62"/>
      <c r="AKR17" s="62"/>
      <c r="AKS17" s="62"/>
      <c r="AKT17" s="62"/>
      <c r="AKU17" s="62"/>
      <c r="AKV17" s="62"/>
      <c r="AKW17" s="62"/>
      <c r="AKX17" s="62"/>
      <c r="AKY17" s="62"/>
      <c r="AKZ17" s="62"/>
      <c r="ALA17" s="62"/>
      <c r="ALB17" s="62"/>
      <c r="ALC17" s="62"/>
      <c r="ALD17" s="62"/>
      <c r="ALE17" s="62"/>
      <c r="ALF17" s="62"/>
      <c r="ALG17" s="62"/>
      <c r="ALH17" s="62"/>
      <c r="ALI17" s="62"/>
      <c r="ALJ17" s="62"/>
      <c r="ALK17" s="62"/>
      <c r="ALL17" s="62"/>
      <c r="ALM17" s="62"/>
      <c r="ALN17" s="62"/>
      <c r="ALO17" s="62"/>
      <c r="ALP17" s="62"/>
      <c r="ALQ17" s="62"/>
      <c r="ALR17" s="62"/>
      <c r="ALS17" s="62"/>
      <c r="ALT17" s="62"/>
      <c r="ALU17" s="62"/>
      <c r="ALV17" s="62"/>
      <c r="ALW17" s="62"/>
      <c r="ALX17" s="62"/>
      <c r="ALY17" s="62"/>
      <c r="ALZ17" s="62"/>
      <c r="AMA17" s="62"/>
      <c r="AMB17" s="62"/>
      <c r="AMC17" s="62"/>
      <c r="AMD17" s="62"/>
      <c r="AME17" s="62"/>
      <c r="AMF17" s="62"/>
      <c r="AMG17" s="62"/>
      <c r="AMH17" s="62"/>
      <c r="AMI17" s="62"/>
      <c r="AMJ17" s="62"/>
      <c r="AMK17" s="62"/>
      <c r="AML17" s="62"/>
      <c r="AMM17" s="62"/>
      <c r="AMN17" s="62"/>
      <c r="AMO17" s="62"/>
      <c r="AMP17" s="62"/>
      <c r="AMQ17" s="62"/>
      <c r="AMR17" s="62"/>
      <c r="AMS17" s="62"/>
      <c r="AMT17" s="62"/>
      <c r="AMU17" s="62"/>
      <c r="AMV17" s="62"/>
      <c r="AMW17" s="62"/>
      <c r="AMX17" s="62"/>
      <c r="AMY17" s="62"/>
      <c r="AMZ17" s="62"/>
      <c r="ANA17" s="62"/>
      <c r="ANB17" s="62"/>
      <c r="ANC17" s="62"/>
      <c r="AND17" s="62"/>
      <c r="ANE17" s="62"/>
      <c r="ANF17" s="62"/>
      <c r="ANG17" s="62"/>
      <c r="ANH17" s="62"/>
      <c r="ANI17" s="62"/>
      <c r="ANJ17" s="62"/>
      <c r="ANK17" s="62"/>
      <c r="ANL17" s="62"/>
      <c r="ANM17" s="62"/>
      <c r="ANN17" s="62"/>
      <c r="ANO17" s="62"/>
      <c r="ANP17" s="62"/>
      <c r="ANQ17" s="62"/>
      <c r="ANR17" s="62"/>
      <c r="ANS17" s="62"/>
      <c r="ANT17" s="62"/>
      <c r="ANU17" s="62"/>
      <c r="ANV17" s="62"/>
      <c r="ANW17" s="62"/>
      <c r="ANX17" s="62"/>
      <c r="ANY17" s="62"/>
      <c r="ANZ17" s="62"/>
      <c r="AOA17" s="62"/>
      <c r="AOB17" s="62"/>
      <c r="AOC17" s="62"/>
      <c r="AOD17" s="62"/>
      <c r="AOE17" s="62"/>
      <c r="AOF17" s="62"/>
      <c r="AOG17" s="62"/>
      <c r="AOH17" s="62"/>
      <c r="AOI17" s="62"/>
      <c r="AOJ17" s="62"/>
      <c r="AOK17" s="62"/>
      <c r="AOL17" s="62"/>
      <c r="AOM17" s="62"/>
      <c r="AON17" s="62"/>
      <c r="AOO17" s="62"/>
      <c r="AOP17" s="62"/>
      <c r="AOQ17" s="62"/>
      <c r="AOR17" s="62"/>
      <c r="AOS17" s="62"/>
      <c r="AOT17" s="62"/>
      <c r="AOU17" s="62"/>
      <c r="AOV17" s="62"/>
      <c r="AOW17" s="62"/>
      <c r="AOX17" s="62"/>
      <c r="AOY17" s="62"/>
      <c r="AOZ17" s="62"/>
      <c r="APA17" s="62"/>
      <c r="APB17" s="62"/>
      <c r="APC17" s="62"/>
      <c r="APD17" s="62"/>
      <c r="APE17" s="62"/>
      <c r="APF17" s="62"/>
      <c r="APG17" s="62"/>
      <c r="APH17" s="62"/>
      <c r="API17" s="62"/>
      <c r="APJ17" s="62"/>
      <c r="APK17" s="62"/>
      <c r="APL17" s="62"/>
      <c r="APM17" s="62"/>
      <c r="APN17" s="62"/>
      <c r="APO17" s="62"/>
      <c r="APP17" s="62"/>
      <c r="APQ17" s="62"/>
      <c r="APR17" s="62"/>
      <c r="APS17" s="62"/>
      <c r="APT17" s="62"/>
      <c r="APU17" s="62"/>
      <c r="APV17" s="62"/>
      <c r="APW17" s="62"/>
      <c r="APX17" s="62"/>
      <c r="APY17" s="62"/>
      <c r="APZ17" s="62"/>
      <c r="AQA17" s="62"/>
      <c r="AQB17" s="62"/>
      <c r="AQC17" s="62"/>
      <c r="AQD17" s="62"/>
      <c r="AQE17" s="62"/>
      <c r="AQF17" s="62"/>
      <c r="AQG17" s="62"/>
      <c r="AQH17" s="62"/>
      <c r="AQI17" s="62"/>
      <c r="AQJ17" s="62"/>
      <c r="AQK17" s="62"/>
      <c r="AQL17" s="62"/>
      <c r="AQM17" s="62"/>
      <c r="AQN17" s="62"/>
      <c r="AQO17" s="62"/>
      <c r="AQP17" s="62"/>
      <c r="AQQ17" s="62"/>
      <c r="AQR17" s="62"/>
      <c r="AQS17" s="62"/>
      <c r="AQT17" s="62"/>
      <c r="AQU17" s="62"/>
      <c r="AQV17" s="62"/>
      <c r="AQW17" s="62"/>
      <c r="AQX17" s="62"/>
      <c r="AQY17" s="62"/>
      <c r="AQZ17" s="62"/>
      <c r="ARA17" s="62"/>
      <c r="ARB17" s="62"/>
      <c r="ARC17" s="62"/>
      <c r="ARD17" s="62"/>
      <c r="ARE17" s="62"/>
      <c r="ARF17" s="62"/>
      <c r="ARG17" s="62"/>
      <c r="ARH17" s="62"/>
      <c r="ARI17" s="62"/>
      <c r="ARJ17" s="62"/>
      <c r="ARK17" s="62"/>
      <c r="ARL17" s="62"/>
      <c r="ARM17" s="62"/>
      <c r="ARN17" s="62"/>
      <c r="ARO17" s="62"/>
      <c r="ARP17" s="62"/>
      <c r="ARQ17" s="62"/>
      <c r="ARR17" s="62"/>
      <c r="ARS17" s="62"/>
      <c r="ART17" s="62"/>
      <c r="ARU17" s="62"/>
      <c r="ARV17" s="62"/>
      <c r="ARW17" s="62"/>
      <c r="ARX17" s="62"/>
      <c r="ARY17" s="62"/>
      <c r="ARZ17" s="62"/>
      <c r="ASA17" s="62"/>
      <c r="ASB17" s="62"/>
      <c r="ASC17" s="62"/>
      <c r="ASD17" s="62"/>
      <c r="ASE17" s="62"/>
      <c r="ASF17" s="62"/>
      <c r="ASG17" s="62"/>
      <c r="ASH17" s="62"/>
      <c r="ASI17" s="62"/>
      <c r="ASJ17" s="62"/>
      <c r="ASK17" s="62"/>
      <c r="ASL17" s="62"/>
      <c r="ASM17" s="62"/>
      <c r="ASN17" s="62"/>
      <c r="ASO17" s="62"/>
      <c r="ASP17" s="62"/>
      <c r="ASQ17" s="62"/>
      <c r="ASR17" s="62"/>
      <c r="ASS17" s="62"/>
      <c r="AST17" s="62"/>
      <c r="ASU17" s="62"/>
      <c r="ASV17" s="62"/>
      <c r="ASW17" s="62"/>
      <c r="ASX17" s="62"/>
      <c r="ASY17" s="62"/>
      <c r="ASZ17" s="62"/>
      <c r="ATA17" s="62"/>
      <c r="ATB17" s="62"/>
      <c r="ATC17" s="62"/>
      <c r="ATD17" s="62"/>
      <c r="ATE17" s="62"/>
      <c r="ATF17" s="62"/>
      <c r="ATG17" s="62"/>
      <c r="ATH17" s="62"/>
      <c r="ATI17" s="62"/>
      <c r="ATJ17" s="62"/>
      <c r="ATK17" s="62"/>
      <c r="ATL17" s="62"/>
      <c r="ATM17" s="62"/>
      <c r="ATN17" s="62"/>
      <c r="ATO17" s="62"/>
      <c r="ATP17" s="62"/>
      <c r="ATQ17" s="62"/>
      <c r="ATR17" s="62"/>
      <c r="ATS17" s="62"/>
      <c r="ATT17" s="62"/>
      <c r="ATU17" s="62"/>
      <c r="ATV17" s="62"/>
      <c r="ATW17" s="62"/>
      <c r="ATX17" s="62"/>
      <c r="ATY17" s="62"/>
      <c r="ATZ17" s="62"/>
      <c r="AUA17" s="62"/>
      <c r="AUB17" s="62"/>
      <c r="AUC17" s="62"/>
      <c r="AUD17" s="62"/>
      <c r="AUE17" s="62"/>
      <c r="AUF17" s="62"/>
      <c r="AUG17" s="62"/>
      <c r="AUH17" s="62"/>
      <c r="AUI17" s="62"/>
      <c r="AUJ17" s="62"/>
      <c r="AUK17" s="62"/>
      <c r="AUL17" s="62"/>
      <c r="AUM17" s="62"/>
      <c r="AUN17" s="62"/>
      <c r="AUO17" s="62"/>
      <c r="AUP17" s="62"/>
      <c r="AUQ17" s="62"/>
      <c r="AUR17" s="62"/>
      <c r="AUS17" s="62"/>
      <c r="AUT17" s="62"/>
      <c r="AUU17" s="62"/>
      <c r="AUV17" s="62"/>
      <c r="AUW17" s="62"/>
      <c r="AUX17" s="62"/>
      <c r="AUY17" s="62"/>
      <c r="AUZ17" s="62"/>
      <c r="AVA17" s="62"/>
      <c r="AVB17" s="62"/>
      <c r="AVC17" s="62"/>
      <c r="AVD17" s="62"/>
      <c r="AVE17" s="62"/>
      <c r="AVF17" s="62"/>
      <c r="AVG17" s="62"/>
      <c r="AVH17" s="62"/>
      <c r="AVI17" s="62"/>
      <c r="AVJ17" s="62"/>
      <c r="AVK17" s="62"/>
      <c r="AVL17" s="62"/>
      <c r="AVM17" s="62"/>
      <c r="AVN17" s="62"/>
      <c r="AVO17" s="62"/>
      <c r="AVP17" s="62"/>
      <c r="AVQ17" s="62"/>
      <c r="AVR17" s="62"/>
      <c r="AVS17" s="62"/>
      <c r="AVT17" s="62"/>
      <c r="AVU17" s="62"/>
      <c r="AVV17" s="62"/>
      <c r="AVW17" s="62"/>
      <c r="AVX17" s="62"/>
      <c r="AVY17" s="62"/>
      <c r="AVZ17" s="62"/>
      <c r="AWA17" s="62"/>
      <c r="AWB17" s="62"/>
      <c r="AWC17" s="62"/>
      <c r="AWD17" s="62"/>
      <c r="AWE17" s="62"/>
      <c r="AWF17" s="62"/>
      <c r="AWG17" s="62"/>
      <c r="AWH17" s="62"/>
      <c r="AWI17" s="62"/>
      <c r="AWJ17" s="62"/>
      <c r="AWK17" s="62"/>
      <c r="AWL17" s="62"/>
      <c r="AWM17" s="62"/>
      <c r="AWN17" s="62"/>
      <c r="AWO17" s="62"/>
      <c r="AWP17" s="62"/>
      <c r="AWQ17" s="62"/>
      <c r="AWR17" s="62"/>
      <c r="AWS17" s="62"/>
      <c r="AWT17" s="62"/>
      <c r="AWU17" s="62"/>
      <c r="AWV17" s="62"/>
      <c r="AWW17" s="62"/>
      <c r="AWX17" s="62"/>
      <c r="AWY17" s="62"/>
      <c r="AWZ17" s="62"/>
      <c r="AXA17" s="62"/>
      <c r="AXB17" s="62"/>
      <c r="AXC17" s="62"/>
      <c r="AXD17" s="62"/>
      <c r="AXE17" s="62"/>
      <c r="AXF17" s="62"/>
      <c r="AXG17" s="62"/>
      <c r="AXH17" s="62"/>
      <c r="AXI17" s="62"/>
      <c r="AXJ17" s="62"/>
      <c r="AXK17" s="62"/>
      <c r="AXL17" s="62"/>
      <c r="AXM17" s="62"/>
      <c r="AXN17" s="62"/>
      <c r="AXO17" s="62"/>
      <c r="AXP17" s="62"/>
      <c r="AXQ17" s="62"/>
      <c r="AXR17" s="62"/>
      <c r="AXS17" s="62"/>
      <c r="AXT17" s="62"/>
      <c r="AXU17" s="62"/>
      <c r="AXV17" s="62"/>
      <c r="AXW17" s="62"/>
      <c r="AXX17" s="62"/>
      <c r="AXY17" s="62"/>
      <c r="AXZ17" s="62"/>
      <c r="AYA17" s="62"/>
      <c r="AYB17" s="62"/>
      <c r="AYC17" s="62"/>
      <c r="AYD17" s="62"/>
      <c r="AYE17" s="62"/>
      <c r="AYF17" s="62"/>
      <c r="AYG17" s="62"/>
      <c r="AYH17" s="62"/>
      <c r="AYI17" s="62"/>
      <c r="AYJ17" s="62"/>
      <c r="AYK17" s="62"/>
      <c r="AYL17" s="62"/>
      <c r="AYM17" s="62"/>
      <c r="AYN17" s="62"/>
      <c r="AYO17" s="62"/>
      <c r="AYP17" s="62"/>
      <c r="AYQ17" s="62"/>
      <c r="AYR17" s="62"/>
      <c r="AYS17" s="62"/>
      <c r="AYT17" s="62"/>
      <c r="AYU17" s="62"/>
      <c r="AYV17" s="62"/>
      <c r="AYW17" s="62"/>
      <c r="AYX17" s="62"/>
      <c r="AYY17" s="62"/>
      <c r="AYZ17" s="62"/>
      <c r="AZA17" s="62"/>
      <c r="AZB17" s="62"/>
      <c r="AZC17" s="62"/>
      <c r="AZD17" s="62"/>
      <c r="AZE17" s="62"/>
      <c r="AZF17" s="62"/>
      <c r="AZG17" s="62"/>
      <c r="AZH17" s="62"/>
      <c r="AZI17" s="62"/>
      <c r="AZJ17" s="62"/>
      <c r="AZK17" s="62"/>
      <c r="AZL17" s="62"/>
      <c r="AZM17" s="62"/>
      <c r="AZN17" s="62"/>
      <c r="AZO17" s="62"/>
      <c r="AZP17" s="62"/>
      <c r="AZQ17" s="62"/>
      <c r="AZR17" s="62"/>
      <c r="AZS17" s="62"/>
      <c r="AZT17" s="62"/>
      <c r="AZU17" s="62"/>
      <c r="AZV17" s="62"/>
      <c r="AZW17" s="62"/>
      <c r="AZX17" s="62"/>
      <c r="AZY17" s="62"/>
      <c r="AZZ17" s="62"/>
      <c r="BAA17" s="62"/>
      <c r="BAB17" s="62"/>
      <c r="BAC17" s="62"/>
      <c r="BAD17" s="62"/>
      <c r="BAE17" s="62"/>
      <c r="BAF17" s="62"/>
      <c r="BAG17" s="62"/>
      <c r="BAH17" s="62"/>
      <c r="BAI17" s="62"/>
      <c r="BAJ17" s="62"/>
      <c r="BAK17" s="62"/>
      <c r="BAL17" s="62"/>
      <c r="BAM17" s="62"/>
      <c r="BAN17" s="62"/>
      <c r="BAO17" s="62"/>
      <c r="BAP17" s="62"/>
      <c r="BAQ17" s="62"/>
      <c r="BAR17" s="62"/>
      <c r="BAS17" s="62"/>
      <c r="BAT17" s="62"/>
      <c r="BAU17" s="62"/>
      <c r="BAV17" s="62"/>
      <c r="BAW17" s="62"/>
      <c r="BAX17" s="62"/>
      <c r="BAY17" s="62"/>
      <c r="BAZ17" s="62"/>
      <c r="BBA17" s="62"/>
      <c r="BBB17" s="62"/>
      <c r="BBC17" s="62"/>
      <c r="BBD17" s="62"/>
      <c r="BBE17" s="62"/>
      <c r="BBF17" s="62"/>
      <c r="BBG17" s="62"/>
      <c r="BBH17" s="62"/>
      <c r="BBI17" s="62"/>
      <c r="BBJ17" s="62"/>
      <c r="BBK17" s="62"/>
      <c r="BBL17" s="62"/>
      <c r="BBM17" s="62"/>
      <c r="BBN17" s="62"/>
      <c r="BBO17" s="62"/>
      <c r="BBP17" s="62"/>
      <c r="BBQ17" s="62"/>
      <c r="BBR17" s="62"/>
      <c r="BBS17" s="62"/>
      <c r="BBT17" s="62"/>
      <c r="BBU17" s="62"/>
      <c r="BBV17" s="62"/>
      <c r="BBW17" s="62"/>
      <c r="BBX17" s="62"/>
      <c r="BBY17" s="62"/>
      <c r="BBZ17" s="62"/>
      <c r="BCA17" s="62"/>
      <c r="BCB17" s="62"/>
      <c r="BCC17" s="62"/>
      <c r="BCD17" s="62"/>
      <c r="BCE17" s="62"/>
      <c r="BCF17" s="62"/>
      <c r="BCG17" s="62"/>
      <c r="BCH17" s="62"/>
      <c r="BCI17" s="62"/>
      <c r="BCJ17" s="62"/>
      <c r="BCK17" s="62"/>
      <c r="BCL17" s="62"/>
      <c r="BCM17" s="62"/>
      <c r="BCN17" s="62"/>
      <c r="BCO17" s="62"/>
      <c r="BCP17" s="62"/>
      <c r="BCQ17" s="62"/>
      <c r="BCR17" s="62"/>
      <c r="BCS17" s="62"/>
      <c r="BCT17" s="62"/>
      <c r="BCU17" s="62"/>
      <c r="BCV17" s="62"/>
      <c r="BCW17" s="62"/>
      <c r="BCX17" s="62"/>
      <c r="BCY17" s="62"/>
      <c r="BCZ17" s="62"/>
      <c r="BDA17" s="62"/>
      <c r="BDB17" s="62"/>
      <c r="BDC17" s="62"/>
      <c r="BDD17" s="62"/>
      <c r="BDE17" s="62"/>
      <c r="BDF17" s="62"/>
      <c r="BDG17" s="62"/>
      <c r="BDH17" s="62"/>
      <c r="BDI17" s="62"/>
      <c r="BDJ17" s="62"/>
      <c r="BDK17" s="62"/>
      <c r="BDL17" s="62"/>
      <c r="BDM17" s="62"/>
      <c r="BDN17" s="62"/>
      <c r="BDO17" s="62"/>
      <c r="BDP17" s="62"/>
      <c r="BDQ17" s="62"/>
      <c r="BDR17" s="62"/>
      <c r="BDS17" s="62"/>
      <c r="BDT17" s="62"/>
      <c r="BDU17" s="62"/>
      <c r="BDV17" s="62"/>
      <c r="BDW17" s="62"/>
      <c r="BDX17" s="62"/>
      <c r="BDY17" s="62"/>
      <c r="BDZ17" s="62"/>
      <c r="BEA17" s="62"/>
      <c r="BEB17" s="62"/>
      <c r="BEC17" s="62"/>
      <c r="BED17" s="62"/>
      <c r="BEE17" s="62"/>
      <c r="BEF17" s="62"/>
      <c r="BEG17" s="62"/>
      <c r="BEH17" s="62"/>
      <c r="BEI17" s="62"/>
      <c r="BEJ17" s="62"/>
      <c r="BEK17" s="62"/>
      <c r="BEL17" s="62"/>
      <c r="BEM17" s="62"/>
      <c r="BEN17" s="62"/>
      <c r="BEO17" s="62"/>
      <c r="BEP17" s="62"/>
      <c r="BEQ17" s="62"/>
      <c r="BER17" s="62"/>
      <c r="BES17" s="62"/>
      <c r="BET17" s="62"/>
      <c r="BEU17" s="62"/>
      <c r="BEV17" s="62"/>
      <c r="BEW17" s="62"/>
      <c r="BEX17" s="62"/>
      <c r="BEY17" s="62"/>
      <c r="BEZ17" s="62"/>
      <c r="BFA17" s="62"/>
      <c r="BFB17" s="62"/>
      <c r="BFC17" s="62"/>
      <c r="BFD17" s="62"/>
      <c r="BFE17" s="62"/>
      <c r="BFF17" s="62"/>
      <c r="BFG17" s="62"/>
      <c r="BFH17" s="62"/>
      <c r="BFI17" s="62"/>
      <c r="BFJ17" s="62"/>
      <c r="BFK17" s="62"/>
      <c r="BFL17" s="62"/>
      <c r="BFM17" s="62"/>
      <c r="BFN17" s="62"/>
      <c r="BFO17" s="62"/>
      <c r="BFP17" s="62"/>
      <c r="BFQ17" s="62"/>
      <c r="BFR17" s="62"/>
      <c r="BFS17" s="62"/>
      <c r="BFT17" s="62"/>
      <c r="BFU17" s="62"/>
      <c r="BFV17" s="62"/>
      <c r="BFW17" s="62"/>
      <c r="BFX17" s="62"/>
      <c r="BFY17" s="62"/>
      <c r="BFZ17" s="62"/>
      <c r="BGA17" s="62"/>
      <c r="BGB17" s="62"/>
      <c r="BGC17" s="62"/>
      <c r="BGD17" s="62"/>
      <c r="BGE17" s="62"/>
      <c r="BGF17" s="62"/>
      <c r="BGG17" s="62"/>
      <c r="BGH17" s="62"/>
      <c r="BGI17" s="62"/>
      <c r="BGJ17" s="62"/>
      <c r="BGK17" s="62"/>
      <c r="BGL17" s="62"/>
      <c r="BGM17" s="62"/>
      <c r="BGN17" s="62"/>
      <c r="BGO17" s="62"/>
      <c r="BGP17" s="62"/>
      <c r="BGQ17" s="62"/>
      <c r="BGR17" s="62"/>
      <c r="BGS17" s="62"/>
      <c r="BGT17" s="62"/>
      <c r="BGU17" s="62"/>
      <c r="BGV17" s="62"/>
      <c r="BGW17" s="62"/>
      <c r="BGX17" s="62"/>
      <c r="BGY17" s="62"/>
      <c r="BGZ17" s="62"/>
      <c r="BHA17" s="62"/>
      <c r="BHB17" s="62"/>
      <c r="BHC17" s="62"/>
      <c r="BHD17" s="62"/>
      <c r="BHE17" s="62"/>
      <c r="BHF17" s="62"/>
      <c r="BHG17" s="62"/>
      <c r="BHH17" s="62"/>
      <c r="BHI17" s="62"/>
      <c r="BHJ17" s="62"/>
      <c r="BHK17" s="62"/>
      <c r="BHL17" s="62"/>
      <c r="BHM17" s="62"/>
      <c r="BHN17" s="62"/>
      <c r="BHO17" s="62"/>
      <c r="BHP17" s="62"/>
      <c r="BHQ17" s="62"/>
      <c r="BHR17" s="62"/>
      <c r="BHS17" s="62"/>
      <c r="BHT17" s="62"/>
      <c r="BHU17" s="62"/>
      <c r="BHV17" s="62"/>
      <c r="BHW17" s="62"/>
      <c r="BHX17" s="62"/>
      <c r="BHY17" s="62"/>
      <c r="BHZ17" s="62"/>
      <c r="BIA17" s="62"/>
      <c r="BIB17" s="62"/>
      <c r="BIC17" s="62"/>
      <c r="BID17" s="62"/>
      <c r="BIE17" s="62"/>
      <c r="BIF17" s="62"/>
      <c r="BIG17" s="62"/>
      <c r="BIH17" s="62"/>
      <c r="BII17" s="62"/>
      <c r="BIJ17" s="62"/>
      <c r="BIK17" s="62"/>
      <c r="BIL17" s="62"/>
      <c r="BIM17" s="62"/>
      <c r="BIN17" s="62"/>
      <c r="BIO17" s="62"/>
      <c r="BIP17" s="62"/>
      <c r="BIQ17" s="62"/>
      <c r="BIR17" s="62"/>
      <c r="BIS17" s="62"/>
      <c r="BIT17" s="62"/>
      <c r="BIU17" s="62"/>
      <c r="BIV17" s="62"/>
      <c r="BIW17" s="62"/>
      <c r="BIX17" s="62"/>
      <c r="BIY17" s="62"/>
      <c r="BIZ17" s="62"/>
      <c r="BJA17" s="62"/>
      <c r="BJB17" s="62"/>
      <c r="BJC17" s="62"/>
      <c r="BJD17" s="62"/>
      <c r="BJE17" s="62"/>
      <c r="BJF17" s="62"/>
      <c r="BJG17" s="62"/>
      <c r="BJH17" s="62"/>
      <c r="BJI17" s="62"/>
      <c r="BJJ17" s="62"/>
      <c r="BJK17" s="62"/>
      <c r="BJL17" s="62"/>
      <c r="BJM17" s="62"/>
      <c r="BJN17" s="62"/>
      <c r="BJO17" s="62"/>
      <c r="BJP17" s="62"/>
      <c r="BJQ17" s="62"/>
      <c r="BJR17" s="62"/>
      <c r="BJS17" s="62"/>
      <c r="BJT17" s="62"/>
      <c r="BJU17" s="62"/>
      <c r="BJV17" s="62"/>
      <c r="BJW17" s="62"/>
      <c r="BJX17" s="62"/>
      <c r="BJY17" s="62"/>
      <c r="BJZ17" s="62"/>
      <c r="BKA17" s="62"/>
      <c r="BKB17" s="62"/>
      <c r="BKC17" s="62"/>
      <c r="BKD17" s="62"/>
      <c r="BKE17" s="62"/>
      <c r="BKF17" s="62"/>
      <c r="BKG17" s="62"/>
      <c r="BKH17" s="62"/>
      <c r="BKI17" s="62"/>
      <c r="BKJ17" s="62"/>
      <c r="BKK17" s="62"/>
      <c r="BKL17" s="62"/>
      <c r="BKM17" s="62"/>
      <c r="BKN17" s="62"/>
      <c r="BKO17" s="62"/>
      <c r="BKP17" s="62"/>
      <c r="BKQ17" s="62"/>
      <c r="BKR17" s="62"/>
      <c r="BKS17" s="62"/>
      <c r="BKT17" s="62"/>
      <c r="BKU17" s="62"/>
      <c r="BKV17" s="62"/>
      <c r="BKW17" s="62"/>
      <c r="BKX17" s="62"/>
      <c r="BKY17" s="62"/>
      <c r="BKZ17" s="62"/>
      <c r="BLA17" s="62"/>
      <c r="BLB17" s="62"/>
      <c r="BLC17" s="62"/>
      <c r="BLD17" s="62"/>
      <c r="BLE17" s="62"/>
      <c r="BLF17" s="62"/>
      <c r="BLG17" s="62"/>
      <c r="BLH17" s="62"/>
      <c r="BLI17" s="62"/>
      <c r="BLJ17" s="62"/>
      <c r="BLK17" s="62"/>
      <c r="BLL17" s="62"/>
      <c r="BLM17" s="62"/>
      <c r="BLN17" s="62"/>
      <c r="BLO17" s="62"/>
      <c r="BLP17" s="62"/>
      <c r="BLQ17" s="62"/>
      <c r="BLR17" s="62"/>
      <c r="BLS17" s="62"/>
      <c r="BLT17" s="62"/>
      <c r="BLU17" s="62"/>
      <c r="BLV17" s="62"/>
      <c r="BLW17" s="62"/>
      <c r="BLX17" s="62"/>
      <c r="BLY17" s="62"/>
      <c r="BLZ17" s="62"/>
      <c r="BMA17" s="62"/>
      <c r="BMB17" s="62"/>
      <c r="BMC17" s="62"/>
      <c r="BMD17" s="62"/>
      <c r="BME17" s="62"/>
      <c r="BMF17" s="62"/>
      <c r="BMG17" s="62"/>
      <c r="BMH17" s="62"/>
      <c r="BMI17" s="62"/>
      <c r="BMJ17" s="62"/>
      <c r="BMK17" s="62"/>
      <c r="BML17" s="62"/>
      <c r="BMM17" s="62"/>
      <c r="BMN17" s="62"/>
      <c r="BMO17" s="62"/>
      <c r="BMP17" s="62"/>
      <c r="BMQ17" s="62"/>
      <c r="BMR17" s="62"/>
      <c r="BMS17" s="62"/>
      <c r="BMT17" s="62"/>
      <c r="BMU17" s="62"/>
      <c r="BMV17" s="62"/>
      <c r="BMW17" s="62"/>
      <c r="BMX17" s="62"/>
      <c r="BMY17" s="62"/>
      <c r="BMZ17" s="62"/>
      <c r="BNA17" s="62"/>
      <c r="BNB17" s="62"/>
      <c r="BNC17" s="62"/>
      <c r="BND17" s="62"/>
      <c r="BNE17" s="62"/>
      <c r="BNF17" s="62"/>
      <c r="BNG17" s="62"/>
      <c r="BNH17" s="62"/>
      <c r="BNI17" s="62"/>
      <c r="BNJ17" s="62"/>
      <c r="BNK17" s="62"/>
      <c r="BNL17" s="62"/>
      <c r="BNM17" s="62"/>
      <c r="BNN17" s="62"/>
      <c r="BNO17" s="62"/>
      <c r="BNP17" s="62"/>
      <c r="BNQ17" s="62"/>
      <c r="BNR17" s="62"/>
      <c r="BNS17" s="62"/>
      <c r="BNT17" s="62"/>
      <c r="BNU17" s="62"/>
      <c r="BNV17" s="62"/>
      <c r="BNW17" s="62"/>
      <c r="BNX17" s="62"/>
      <c r="BNY17" s="62"/>
      <c r="BNZ17" s="62"/>
      <c r="BOA17" s="62"/>
      <c r="BOB17" s="62"/>
      <c r="BOC17" s="62"/>
      <c r="BOD17" s="62"/>
      <c r="BOE17" s="62"/>
      <c r="BOF17" s="62"/>
      <c r="BOG17" s="62"/>
      <c r="BOH17" s="62"/>
      <c r="BOI17" s="62"/>
      <c r="BOJ17" s="62"/>
      <c r="BOK17" s="62"/>
      <c r="BOL17" s="62"/>
      <c r="BOM17" s="62"/>
      <c r="BON17" s="62"/>
      <c r="BOO17" s="62"/>
      <c r="BOP17" s="62"/>
      <c r="BOQ17" s="62"/>
      <c r="BOR17" s="62"/>
      <c r="BOS17" s="62"/>
      <c r="BOT17" s="62"/>
      <c r="BOU17" s="62"/>
      <c r="BOV17" s="62"/>
      <c r="BOW17" s="62"/>
      <c r="BOX17" s="62"/>
      <c r="BOY17" s="62"/>
      <c r="BOZ17" s="62"/>
      <c r="BPA17" s="62"/>
      <c r="BPB17" s="62"/>
      <c r="BPC17" s="62"/>
      <c r="BPD17" s="62"/>
      <c r="BPE17" s="62"/>
      <c r="BPF17" s="62"/>
      <c r="BPG17" s="62"/>
      <c r="BPH17" s="62"/>
      <c r="BPI17" s="62"/>
      <c r="BPJ17" s="62"/>
      <c r="BPK17" s="62"/>
      <c r="BPL17" s="62"/>
      <c r="BPM17" s="62"/>
      <c r="BPN17" s="62"/>
      <c r="BPO17" s="62"/>
      <c r="BPP17" s="62"/>
      <c r="BPQ17" s="62"/>
      <c r="BPR17" s="62"/>
      <c r="BPS17" s="62"/>
      <c r="BPT17" s="62"/>
      <c r="BPU17" s="62"/>
      <c r="BPV17" s="62"/>
      <c r="BPW17" s="62"/>
      <c r="BPX17" s="62"/>
      <c r="BPY17" s="62"/>
      <c r="BPZ17" s="62"/>
      <c r="BQA17" s="62"/>
      <c r="BQB17" s="62"/>
      <c r="BQC17" s="62"/>
      <c r="BQD17" s="62"/>
      <c r="BQE17" s="62"/>
      <c r="BQF17" s="62"/>
      <c r="BQG17" s="62"/>
      <c r="BQH17" s="62"/>
      <c r="BQI17" s="62"/>
      <c r="BQJ17" s="62"/>
      <c r="BQK17" s="62"/>
      <c r="BQL17" s="62"/>
      <c r="BQM17" s="62"/>
      <c r="BQN17" s="62"/>
      <c r="BQO17" s="62"/>
      <c r="BQP17" s="62"/>
      <c r="BQQ17" s="62"/>
      <c r="BQR17" s="62"/>
      <c r="BQS17" s="62"/>
      <c r="BQT17" s="62"/>
      <c r="BQU17" s="62"/>
      <c r="BQV17" s="62"/>
      <c r="BQW17" s="62"/>
      <c r="BQX17" s="62"/>
      <c r="BQY17" s="62"/>
      <c r="BQZ17" s="62"/>
      <c r="BRA17" s="62"/>
      <c r="BRB17" s="62"/>
      <c r="BRC17" s="62"/>
      <c r="BRD17" s="62"/>
      <c r="BRE17" s="62"/>
      <c r="BRF17" s="62"/>
      <c r="BRG17" s="62"/>
      <c r="BRH17" s="62"/>
      <c r="BRI17" s="62"/>
      <c r="BRJ17" s="62"/>
      <c r="BRK17" s="62"/>
      <c r="BRL17" s="62"/>
      <c r="BRM17" s="62"/>
      <c r="BRN17" s="62"/>
      <c r="BRO17" s="62"/>
      <c r="BRP17" s="62"/>
      <c r="BRQ17" s="62"/>
      <c r="BRR17" s="62"/>
      <c r="BRS17" s="62"/>
      <c r="BRT17" s="62"/>
      <c r="BRU17" s="62"/>
      <c r="BRV17" s="62"/>
      <c r="BRW17" s="62"/>
      <c r="BRX17" s="62"/>
      <c r="BRY17" s="62"/>
      <c r="BRZ17" s="62"/>
      <c r="BSA17" s="62"/>
      <c r="BSB17" s="62"/>
      <c r="BSC17" s="62"/>
      <c r="BSD17" s="62"/>
      <c r="BSE17" s="62"/>
      <c r="BSF17" s="62"/>
      <c r="BSG17" s="62"/>
      <c r="BSH17" s="62"/>
      <c r="BSI17" s="62"/>
      <c r="BSJ17" s="62"/>
      <c r="BSK17" s="62"/>
      <c r="BSL17" s="62"/>
      <c r="BSM17" s="62"/>
      <c r="BSN17" s="62"/>
      <c r="BSO17" s="62"/>
      <c r="BSP17" s="62"/>
      <c r="BSQ17" s="62"/>
      <c r="BSR17" s="62"/>
      <c r="BSS17" s="62"/>
      <c r="BST17" s="62"/>
      <c r="BSU17" s="62"/>
      <c r="BSV17" s="62"/>
      <c r="BSW17" s="62"/>
      <c r="BSX17" s="62"/>
      <c r="BSY17" s="62"/>
      <c r="BSZ17" s="62"/>
      <c r="BTA17" s="62"/>
      <c r="BTB17" s="62"/>
      <c r="BTC17" s="62"/>
      <c r="BTD17" s="62"/>
      <c r="BTE17" s="62"/>
      <c r="BTF17" s="62"/>
      <c r="BTG17" s="62"/>
      <c r="BTH17" s="62"/>
      <c r="BTI17" s="62"/>
      <c r="BTJ17" s="62"/>
      <c r="BTK17" s="62"/>
      <c r="BTL17" s="62"/>
      <c r="BTM17" s="62"/>
      <c r="BTN17" s="62"/>
      <c r="BTO17" s="62"/>
      <c r="BTP17" s="62"/>
      <c r="BTQ17" s="62"/>
      <c r="BTR17" s="62"/>
      <c r="BTS17" s="62"/>
      <c r="BTT17" s="62"/>
      <c r="BTU17" s="62"/>
      <c r="BTV17" s="62"/>
      <c r="BTW17" s="62"/>
      <c r="BTX17" s="62"/>
      <c r="BTY17" s="62"/>
      <c r="BTZ17" s="62"/>
      <c r="BUA17" s="62"/>
      <c r="BUB17" s="62"/>
      <c r="BUC17" s="62"/>
      <c r="BUD17" s="62"/>
      <c r="BUE17" s="62"/>
      <c r="BUF17" s="62"/>
      <c r="BUG17" s="62"/>
      <c r="BUH17" s="62"/>
      <c r="BUI17" s="62"/>
      <c r="BUJ17" s="62"/>
      <c r="BUK17" s="62"/>
      <c r="BUL17" s="62"/>
      <c r="BUM17" s="62"/>
      <c r="BUN17" s="62"/>
      <c r="BUO17" s="62"/>
      <c r="BUP17" s="62"/>
      <c r="BUQ17" s="62"/>
      <c r="BUR17" s="62"/>
      <c r="BUS17" s="62"/>
      <c r="BUT17" s="62"/>
      <c r="BUU17" s="62"/>
      <c r="BUV17" s="62"/>
      <c r="BUW17" s="62"/>
      <c r="BUX17" s="62"/>
      <c r="BUY17" s="62"/>
      <c r="BUZ17" s="62"/>
      <c r="BVA17" s="62"/>
      <c r="BVB17" s="62"/>
      <c r="BVC17" s="62"/>
      <c r="BVD17" s="62"/>
      <c r="BVE17" s="62"/>
      <c r="BVF17" s="62"/>
      <c r="BVG17" s="62"/>
      <c r="BVH17" s="62"/>
      <c r="BVI17" s="62"/>
      <c r="BVJ17" s="62"/>
      <c r="BVK17" s="62"/>
      <c r="BVL17" s="62"/>
      <c r="BVM17" s="62"/>
      <c r="BVN17" s="62"/>
      <c r="BVO17" s="62"/>
      <c r="BVP17" s="62"/>
      <c r="BVQ17" s="62"/>
      <c r="BVR17" s="62"/>
      <c r="BVS17" s="62"/>
      <c r="BVT17" s="62"/>
      <c r="BVU17" s="62"/>
      <c r="BVV17" s="62"/>
      <c r="BVW17" s="62"/>
      <c r="BVX17" s="62"/>
      <c r="BVY17" s="62"/>
      <c r="BVZ17" s="62"/>
      <c r="BWA17" s="62"/>
      <c r="BWB17" s="62"/>
      <c r="BWC17" s="62"/>
      <c r="BWD17" s="62"/>
      <c r="BWE17" s="62"/>
      <c r="BWF17" s="62"/>
      <c r="BWG17" s="62"/>
      <c r="BWH17" s="62"/>
      <c r="BWI17" s="62"/>
      <c r="BWJ17" s="62"/>
      <c r="BWK17" s="62"/>
      <c r="BWL17" s="62"/>
      <c r="BWM17" s="62"/>
      <c r="BWN17" s="62"/>
      <c r="BWO17" s="62"/>
      <c r="BWP17" s="62"/>
      <c r="BWQ17" s="62"/>
      <c r="BWR17" s="62"/>
      <c r="BWS17" s="62"/>
      <c r="BWT17" s="62"/>
      <c r="BWU17" s="62"/>
      <c r="BWV17" s="62"/>
      <c r="BWW17" s="62"/>
      <c r="BWX17" s="62"/>
      <c r="BWY17" s="62"/>
      <c r="BWZ17" s="62"/>
      <c r="BXA17" s="62"/>
      <c r="BXB17" s="62"/>
      <c r="BXC17" s="62"/>
      <c r="BXD17" s="62"/>
      <c r="BXE17" s="62"/>
      <c r="BXF17" s="62"/>
      <c r="BXG17" s="62"/>
      <c r="BXH17" s="62"/>
      <c r="BXI17" s="62"/>
      <c r="BXJ17" s="62"/>
      <c r="BXK17" s="62"/>
      <c r="BXL17" s="62"/>
      <c r="BXM17" s="62"/>
      <c r="BXN17" s="62"/>
      <c r="BXO17" s="62"/>
      <c r="BXP17" s="62"/>
      <c r="BXQ17" s="62"/>
      <c r="BXR17" s="62"/>
      <c r="BXS17" s="62"/>
      <c r="BXT17" s="62"/>
      <c r="BXU17" s="62"/>
      <c r="BXV17" s="62"/>
      <c r="BXW17" s="62"/>
      <c r="BXX17" s="62"/>
      <c r="BXY17" s="62"/>
      <c r="BXZ17" s="62"/>
      <c r="BYA17" s="62"/>
      <c r="BYB17" s="62"/>
      <c r="BYC17" s="62"/>
      <c r="BYD17" s="62"/>
      <c r="BYE17" s="62"/>
      <c r="BYF17" s="62"/>
      <c r="BYG17" s="62"/>
      <c r="BYH17" s="62"/>
      <c r="BYI17" s="62"/>
      <c r="BYJ17" s="62"/>
      <c r="BYK17" s="62"/>
      <c r="BYL17" s="62"/>
      <c r="BYM17" s="62"/>
      <c r="BYN17" s="62"/>
      <c r="BYO17" s="62"/>
      <c r="BYP17" s="62"/>
      <c r="BYQ17" s="62"/>
      <c r="BYR17" s="62"/>
      <c r="BYS17" s="62"/>
      <c r="BYT17" s="62"/>
      <c r="BYU17" s="62"/>
      <c r="BYV17" s="62"/>
      <c r="BYW17" s="62"/>
      <c r="BYX17" s="62"/>
      <c r="BYY17" s="62"/>
      <c r="BYZ17" s="62"/>
      <c r="BZA17" s="62"/>
      <c r="BZB17" s="62"/>
      <c r="BZC17" s="62"/>
      <c r="BZD17" s="62"/>
      <c r="BZE17" s="62"/>
      <c r="BZF17" s="62"/>
      <c r="BZG17" s="62"/>
      <c r="BZH17" s="62"/>
      <c r="BZI17" s="62"/>
      <c r="BZJ17" s="62"/>
      <c r="BZK17" s="62"/>
      <c r="BZL17" s="62"/>
      <c r="BZM17" s="62"/>
      <c r="BZN17" s="62"/>
      <c r="BZO17" s="62"/>
      <c r="BZP17" s="62"/>
      <c r="BZQ17" s="62"/>
      <c r="BZR17" s="62"/>
      <c r="BZS17" s="62"/>
      <c r="BZT17" s="62"/>
      <c r="BZU17" s="62"/>
      <c r="BZV17" s="62"/>
      <c r="BZW17" s="62"/>
      <c r="BZX17" s="62"/>
      <c r="BZY17" s="62"/>
      <c r="BZZ17" s="62"/>
      <c r="CAA17" s="62"/>
      <c r="CAB17" s="62"/>
      <c r="CAC17" s="62"/>
      <c r="CAD17" s="62"/>
      <c r="CAE17" s="62"/>
      <c r="CAF17" s="62"/>
      <c r="CAG17" s="62"/>
      <c r="CAH17" s="62"/>
      <c r="CAI17" s="62"/>
      <c r="CAJ17" s="62"/>
      <c r="CAK17" s="62"/>
      <c r="CAL17" s="62"/>
      <c r="CAM17" s="62"/>
      <c r="CAN17" s="62"/>
      <c r="CAO17" s="62"/>
      <c r="CAP17" s="62"/>
      <c r="CAQ17" s="62"/>
      <c r="CAR17" s="62"/>
      <c r="CAS17" s="62"/>
      <c r="CAT17" s="62"/>
      <c r="CAU17" s="62"/>
      <c r="CAV17" s="62"/>
      <c r="CAW17" s="62"/>
      <c r="CAX17" s="62"/>
      <c r="CAY17" s="62"/>
      <c r="CAZ17" s="62"/>
      <c r="CBA17" s="62"/>
      <c r="CBB17" s="62"/>
      <c r="CBC17" s="62"/>
      <c r="CBD17" s="62"/>
      <c r="CBE17" s="62"/>
      <c r="CBF17" s="62"/>
      <c r="CBG17" s="62"/>
      <c r="CBH17" s="62"/>
      <c r="CBI17" s="62"/>
      <c r="CBJ17" s="62"/>
      <c r="CBK17" s="62"/>
      <c r="CBL17" s="62"/>
      <c r="CBM17" s="62"/>
      <c r="CBN17" s="62"/>
      <c r="CBO17" s="62"/>
      <c r="CBP17" s="62"/>
      <c r="CBQ17" s="62"/>
      <c r="CBR17" s="62"/>
      <c r="CBS17" s="62"/>
      <c r="CBT17" s="62"/>
      <c r="CBU17" s="62"/>
      <c r="CBV17" s="62"/>
      <c r="CBW17" s="62"/>
      <c r="CBX17" s="62"/>
      <c r="CBY17" s="62"/>
      <c r="CBZ17" s="62"/>
      <c r="CCA17" s="62"/>
      <c r="CCB17" s="62"/>
      <c r="CCC17" s="62"/>
      <c r="CCD17" s="62"/>
      <c r="CCE17" s="62"/>
      <c r="CCF17" s="62"/>
      <c r="CCG17" s="62"/>
      <c r="CCH17" s="62"/>
      <c r="CCI17" s="62"/>
      <c r="CCJ17" s="62"/>
      <c r="CCK17" s="62"/>
      <c r="CCL17" s="62"/>
      <c r="CCM17" s="62"/>
      <c r="CCN17" s="62"/>
      <c r="CCO17" s="62"/>
      <c r="CCP17" s="62"/>
      <c r="CCQ17" s="62"/>
      <c r="CCR17" s="62"/>
      <c r="CCS17" s="62"/>
      <c r="CCT17" s="62"/>
      <c r="CCU17" s="62"/>
      <c r="CCV17" s="62"/>
      <c r="CCW17" s="62"/>
      <c r="CCX17" s="62"/>
      <c r="CCY17" s="62"/>
      <c r="CCZ17" s="62"/>
      <c r="CDA17" s="62"/>
      <c r="CDB17" s="62"/>
      <c r="CDC17" s="62"/>
      <c r="CDD17" s="62"/>
      <c r="CDE17" s="62"/>
      <c r="CDF17" s="62"/>
      <c r="CDG17" s="62"/>
      <c r="CDH17" s="62"/>
      <c r="CDI17" s="62"/>
      <c r="CDJ17" s="62"/>
      <c r="CDK17" s="62"/>
      <c r="CDL17" s="62"/>
      <c r="CDM17" s="62"/>
      <c r="CDN17" s="62"/>
      <c r="CDO17" s="62"/>
      <c r="CDP17" s="62"/>
      <c r="CDQ17" s="62"/>
      <c r="CDR17" s="62"/>
      <c r="CDS17" s="62"/>
      <c r="CDT17" s="62"/>
      <c r="CDU17" s="62"/>
      <c r="CDV17" s="62"/>
      <c r="CDW17" s="62"/>
      <c r="CDX17" s="62"/>
      <c r="CDY17" s="62"/>
      <c r="CDZ17" s="62"/>
      <c r="CEA17" s="62"/>
      <c r="CEB17" s="62"/>
      <c r="CEC17" s="62"/>
      <c r="CED17" s="62"/>
      <c r="CEE17" s="62"/>
      <c r="CEF17" s="62"/>
      <c r="CEG17" s="62"/>
      <c r="CEH17" s="62"/>
      <c r="CEI17" s="62"/>
      <c r="CEJ17" s="62"/>
      <c r="CEK17" s="62"/>
      <c r="CEL17" s="62"/>
      <c r="CEM17" s="62"/>
      <c r="CEN17" s="62"/>
      <c r="CEO17" s="62"/>
      <c r="CEP17" s="62"/>
      <c r="CEQ17" s="62"/>
      <c r="CER17" s="62"/>
      <c r="CES17" s="62"/>
      <c r="CET17" s="62"/>
      <c r="CEU17" s="62"/>
      <c r="CEV17" s="62"/>
      <c r="CEW17" s="62"/>
      <c r="CEX17" s="62"/>
      <c r="CEY17" s="62"/>
      <c r="CEZ17" s="62"/>
      <c r="CFA17" s="62"/>
      <c r="CFB17" s="62"/>
      <c r="CFC17" s="62"/>
      <c r="CFD17" s="62"/>
      <c r="CFE17" s="62"/>
      <c r="CFF17" s="62"/>
      <c r="CFG17" s="62"/>
      <c r="CFH17" s="62"/>
      <c r="CFI17" s="62"/>
      <c r="CFJ17" s="62"/>
      <c r="CFK17" s="62"/>
      <c r="CFL17" s="62"/>
      <c r="CFM17" s="62"/>
      <c r="CFN17" s="62"/>
      <c r="CFO17" s="62"/>
      <c r="CFP17" s="62"/>
      <c r="CFQ17" s="62"/>
      <c r="CFR17" s="62"/>
      <c r="CFS17" s="62"/>
      <c r="CFT17" s="62"/>
      <c r="CFU17" s="62"/>
      <c r="CFV17" s="62"/>
      <c r="CFW17" s="62"/>
      <c r="CFX17" s="62"/>
      <c r="CFY17" s="62"/>
      <c r="CFZ17" s="62"/>
      <c r="CGA17" s="62"/>
      <c r="CGB17" s="62"/>
      <c r="CGC17" s="62"/>
      <c r="CGD17" s="62"/>
      <c r="CGE17" s="62"/>
      <c r="CGF17" s="62"/>
      <c r="CGG17" s="62"/>
      <c r="CGH17" s="62"/>
      <c r="CGI17" s="62"/>
      <c r="CGJ17" s="62"/>
      <c r="CGK17" s="62"/>
      <c r="CGL17" s="62"/>
      <c r="CGM17" s="62"/>
      <c r="CGN17" s="62"/>
      <c r="CGO17" s="62"/>
      <c r="CGP17" s="62"/>
      <c r="CGQ17" s="62"/>
      <c r="CGR17" s="62"/>
      <c r="CGS17" s="62"/>
      <c r="CGT17" s="62"/>
      <c r="CGU17" s="62"/>
      <c r="CGV17" s="62"/>
      <c r="CGW17" s="62"/>
      <c r="CGX17" s="62"/>
      <c r="CGY17" s="62"/>
      <c r="CGZ17" s="62"/>
      <c r="CHA17" s="62"/>
      <c r="CHB17" s="62"/>
      <c r="CHC17" s="62"/>
      <c r="CHD17" s="62"/>
      <c r="CHE17" s="62"/>
      <c r="CHF17" s="62"/>
      <c r="CHG17" s="62"/>
      <c r="CHH17" s="62"/>
      <c r="CHI17" s="62"/>
      <c r="CHJ17" s="62"/>
      <c r="CHK17" s="62"/>
      <c r="CHL17" s="62"/>
      <c r="CHM17" s="62"/>
      <c r="CHN17" s="62"/>
      <c r="CHO17" s="62"/>
      <c r="CHP17" s="62"/>
      <c r="CHQ17" s="62"/>
      <c r="CHR17" s="62"/>
      <c r="CHS17" s="62"/>
      <c r="CHT17" s="62"/>
      <c r="CHU17" s="62"/>
      <c r="CHV17" s="62"/>
      <c r="CHW17" s="62"/>
      <c r="CHX17" s="62"/>
      <c r="CHY17" s="62"/>
      <c r="CHZ17" s="62"/>
      <c r="CIA17" s="62"/>
      <c r="CIB17" s="62"/>
      <c r="CIC17" s="62"/>
      <c r="CID17" s="62"/>
      <c r="CIE17" s="62"/>
      <c r="CIF17" s="62"/>
      <c r="CIG17" s="62"/>
      <c r="CIH17" s="62"/>
      <c r="CII17" s="62"/>
      <c r="CIJ17" s="62"/>
      <c r="CIK17" s="62"/>
      <c r="CIL17" s="62"/>
      <c r="CIM17" s="62"/>
      <c r="CIN17" s="62"/>
      <c r="CIO17" s="62"/>
      <c r="CIP17" s="62"/>
      <c r="CIQ17" s="62"/>
      <c r="CIR17" s="62"/>
      <c r="CIS17" s="62"/>
      <c r="CIT17" s="62"/>
      <c r="CIU17" s="62"/>
      <c r="CIV17" s="62"/>
      <c r="CIW17" s="62"/>
      <c r="CIX17" s="62"/>
      <c r="CIY17" s="62"/>
      <c r="CIZ17" s="62"/>
      <c r="CJA17" s="62"/>
      <c r="CJB17" s="62"/>
      <c r="CJC17" s="62"/>
      <c r="CJD17" s="62"/>
      <c r="CJE17" s="62"/>
      <c r="CJF17" s="62"/>
      <c r="CJG17" s="62"/>
      <c r="CJH17" s="62"/>
      <c r="CJI17" s="62"/>
      <c r="CJJ17" s="62"/>
      <c r="CJK17" s="62"/>
      <c r="CJL17" s="62"/>
      <c r="CJM17" s="62"/>
      <c r="CJN17" s="62"/>
      <c r="CJO17" s="62"/>
      <c r="CJP17" s="62"/>
      <c r="CJQ17" s="62"/>
      <c r="CJR17" s="62"/>
      <c r="CJS17" s="62"/>
      <c r="CJT17" s="62"/>
      <c r="CJU17" s="62"/>
      <c r="CJV17" s="62"/>
      <c r="CJW17" s="62"/>
      <c r="CJX17" s="62"/>
      <c r="CJY17" s="62"/>
      <c r="CJZ17" s="62"/>
      <c r="CKA17" s="62"/>
      <c r="CKB17" s="62"/>
      <c r="CKC17" s="62"/>
      <c r="CKD17" s="62"/>
      <c r="CKE17" s="62"/>
      <c r="CKF17" s="62"/>
      <c r="CKG17" s="62"/>
      <c r="CKH17" s="62"/>
      <c r="CKI17" s="62"/>
      <c r="CKJ17" s="62"/>
      <c r="CKK17" s="62"/>
      <c r="CKL17" s="62"/>
      <c r="CKM17" s="62"/>
      <c r="CKN17" s="62"/>
      <c r="CKO17" s="62"/>
      <c r="CKP17" s="62"/>
      <c r="CKQ17" s="62"/>
      <c r="CKR17" s="62"/>
      <c r="CKS17" s="62"/>
      <c r="CKT17" s="62"/>
      <c r="CKU17" s="62"/>
      <c r="CKV17" s="62"/>
      <c r="CKW17" s="62"/>
      <c r="CKX17" s="62"/>
      <c r="CKY17" s="62"/>
      <c r="CKZ17" s="62"/>
      <c r="CLA17" s="62"/>
      <c r="CLB17" s="62"/>
      <c r="CLC17" s="62"/>
      <c r="CLD17" s="62"/>
      <c r="CLE17" s="62"/>
      <c r="CLF17" s="62"/>
      <c r="CLG17" s="62"/>
      <c r="CLH17" s="62"/>
      <c r="CLI17" s="62"/>
      <c r="CLJ17" s="62"/>
      <c r="CLK17" s="62"/>
      <c r="CLL17" s="62"/>
      <c r="CLM17" s="62"/>
      <c r="CLN17" s="62"/>
      <c r="CLO17" s="62"/>
      <c r="CLP17" s="62"/>
      <c r="CLQ17" s="62"/>
      <c r="CLR17" s="62"/>
      <c r="CLS17" s="62"/>
      <c r="CLT17" s="62"/>
      <c r="CLU17" s="62"/>
      <c r="CLV17" s="62"/>
      <c r="CLW17" s="62"/>
      <c r="CLX17" s="62"/>
      <c r="CLY17" s="62"/>
      <c r="CLZ17" s="62"/>
      <c r="CMA17" s="62"/>
      <c r="CMB17" s="62"/>
      <c r="CMC17" s="62"/>
      <c r="CMD17" s="62"/>
      <c r="CME17" s="62"/>
      <c r="CMF17" s="62"/>
      <c r="CMG17" s="62"/>
      <c r="CMH17" s="62"/>
      <c r="CMI17" s="62"/>
      <c r="CMJ17" s="62"/>
      <c r="CMK17" s="62"/>
      <c r="CML17" s="62"/>
      <c r="CMM17" s="62"/>
      <c r="CMN17" s="62"/>
      <c r="CMO17" s="62"/>
      <c r="CMP17" s="62"/>
      <c r="CMQ17" s="62"/>
      <c r="CMR17" s="62"/>
      <c r="CMS17" s="62"/>
      <c r="CMT17" s="62"/>
      <c r="CMU17" s="62"/>
      <c r="CMV17" s="62"/>
      <c r="CMW17" s="62"/>
      <c r="CMX17" s="62"/>
      <c r="CMY17" s="62"/>
      <c r="CMZ17" s="62"/>
      <c r="CNA17" s="62"/>
      <c r="CNB17" s="62"/>
      <c r="CNC17" s="62"/>
      <c r="CND17" s="62"/>
      <c r="CNE17" s="62"/>
      <c r="CNF17" s="62"/>
      <c r="CNG17" s="62"/>
      <c r="CNH17" s="62"/>
      <c r="CNI17" s="62"/>
      <c r="CNJ17" s="62"/>
      <c r="CNK17" s="62"/>
      <c r="CNL17" s="62"/>
      <c r="CNM17" s="62"/>
      <c r="CNN17" s="62"/>
      <c r="CNO17" s="62"/>
      <c r="CNP17" s="62"/>
      <c r="CNQ17" s="62"/>
      <c r="CNR17" s="62"/>
      <c r="CNS17" s="62"/>
      <c r="CNT17" s="62"/>
      <c r="CNU17" s="62"/>
      <c r="CNV17" s="62"/>
      <c r="CNW17" s="62"/>
      <c r="CNX17" s="62"/>
      <c r="CNY17" s="62"/>
      <c r="CNZ17" s="62"/>
      <c r="COA17" s="62"/>
      <c r="COB17" s="62"/>
      <c r="COC17" s="62"/>
      <c r="COD17" s="62"/>
      <c r="COE17" s="62"/>
      <c r="COF17" s="62"/>
      <c r="COG17" s="62"/>
      <c r="COH17" s="62"/>
      <c r="COI17" s="62"/>
      <c r="COJ17" s="62"/>
      <c r="COK17" s="62"/>
      <c r="COL17" s="62"/>
      <c r="COM17" s="62"/>
      <c r="CON17" s="62"/>
      <c r="COO17" s="62"/>
      <c r="COP17" s="62"/>
      <c r="COQ17" s="62"/>
      <c r="COR17" s="62"/>
      <c r="COS17" s="62"/>
      <c r="COT17" s="62"/>
      <c r="COU17" s="62"/>
      <c r="COV17" s="62"/>
      <c r="COW17" s="62"/>
      <c r="COX17" s="62"/>
      <c r="COY17" s="62"/>
      <c r="COZ17" s="62"/>
      <c r="CPA17" s="62"/>
      <c r="CPB17" s="62"/>
      <c r="CPC17" s="62"/>
      <c r="CPD17" s="62"/>
      <c r="CPE17" s="62"/>
      <c r="CPF17" s="62"/>
      <c r="CPG17" s="62"/>
      <c r="CPH17" s="62"/>
      <c r="CPI17" s="62"/>
      <c r="CPJ17" s="62"/>
      <c r="CPK17" s="62"/>
      <c r="CPL17" s="62"/>
      <c r="CPM17" s="62"/>
      <c r="CPN17" s="62"/>
      <c r="CPO17" s="62"/>
      <c r="CPP17" s="62"/>
      <c r="CPQ17" s="62"/>
      <c r="CPR17" s="62"/>
      <c r="CPS17" s="62"/>
      <c r="CPT17" s="62"/>
      <c r="CPU17" s="62"/>
      <c r="CPV17" s="62"/>
      <c r="CPW17" s="62"/>
      <c r="CPX17" s="62"/>
      <c r="CPY17" s="62"/>
      <c r="CPZ17" s="62"/>
      <c r="CQA17" s="62"/>
      <c r="CQB17" s="62"/>
      <c r="CQC17" s="62"/>
      <c r="CQD17" s="62"/>
      <c r="CQE17" s="62"/>
      <c r="CQF17" s="62"/>
      <c r="CQG17" s="62"/>
      <c r="CQH17" s="62"/>
      <c r="CQI17" s="62"/>
      <c r="CQJ17" s="62"/>
      <c r="CQK17" s="62"/>
      <c r="CQL17" s="62"/>
      <c r="CQM17" s="62"/>
      <c r="CQN17" s="62"/>
      <c r="CQO17" s="62"/>
      <c r="CQP17" s="62"/>
      <c r="CQQ17" s="62"/>
      <c r="CQR17" s="62"/>
      <c r="CQS17" s="62"/>
      <c r="CQT17" s="62"/>
      <c r="CQU17" s="62"/>
      <c r="CQV17" s="62"/>
      <c r="CQW17" s="62"/>
      <c r="CQX17" s="62"/>
      <c r="CQY17" s="62"/>
      <c r="CQZ17" s="62"/>
      <c r="CRA17" s="62"/>
      <c r="CRB17" s="62"/>
      <c r="CRC17" s="62"/>
      <c r="CRD17" s="62"/>
      <c r="CRE17" s="62"/>
      <c r="CRF17" s="62"/>
      <c r="CRG17" s="62"/>
      <c r="CRH17" s="62"/>
      <c r="CRI17" s="62"/>
      <c r="CRJ17" s="62"/>
      <c r="CRK17" s="62"/>
      <c r="CRL17" s="62"/>
      <c r="CRM17" s="62"/>
      <c r="CRN17" s="62"/>
      <c r="CRO17" s="62"/>
      <c r="CRP17" s="62"/>
      <c r="CRQ17" s="62"/>
      <c r="CRR17" s="62"/>
      <c r="CRS17" s="62"/>
      <c r="CRT17" s="62"/>
      <c r="CRU17" s="62"/>
      <c r="CRV17" s="62"/>
      <c r="CRW17" s="62"/>
      <c r="CRX17" s="62"/>
      <c r="CRY17" s="62"/>
      <c r="CRZ17" s="62"/>
      <c r="CSA17" s="62"/>
      <c r="CSB17" s="62"/>
      <c r="CSC17" s="62"/>
      <c r="CSD17" s="62"/>
      <c r="CSE17" s="62"/>
      <c r="CSF17" s="62"/>
      <c r="CSG17" s="62"/>
      <c r="CSH17" s="62"/>
      <c r="CSI17" s="62"/>
      <c r="CSJ17" s="62"/>
      <c r="CSK17" s="62"/>
      <c r="CSL17" s="62"/>
      <c r="CSM17" s="62"/>
      <c r="CSN17" s="62"/>
      <c r="CSO17" s="62"/>
      <c r="CSP17" s="62"/>
      <c r="CSQ17" s="62"/>
      <c r="CSR17" s="62"/>
      <c r="CSS17" s="62"/>
      <c r="CST17" s="62"/>
      <c r="CSU17" s="62"/>
      <c r="CSV17" s="62"/>
      <c r="CSW17" s="62"/>
      <c r="CSX17" s="62"/>
      <c r="CSY17" s="62"/>
      <c r="CSZ17" s="62"/>
      <c r="CTA17" s="62"/>
      <c r="CTB17" s="62"/>
      <c r="CTC17" s="62"/>
      <c r="CTD17" s="62"/>
      <c r="CTE17" s="62"/>
      <c r="CTF17" s="62"/>
      <c r="CTG17" s="62"/>
      <c r="CTH17" s="62"/>
      <c r="CTI17" s="62"/>
      <c r="CTJ17" s="62"/>
      <c r="CTK17" s="62"/>
      <c r="CTL17" s="62"/>
      <c r="CTM17" s="62"/>
      <c r="CTN17" s="62"/>
      <c r="CTO17" s="62"/>
      <c r="CTP17" s="62"/>
      <c r="CTQ17" s="62"/>
      <c r="CTR17" s="62"/>
      <c r="CTS17" s="62"/>
      <c r="CTT17" s="62"/>
      <c r="CTU17" s="62"/>
      <c r="CTV17" s="62"/>
      <c r="CTW17" s="62"/>
      <c r="CTX17" s="62"/>
      <c r="CTY17" s="62"/>
      <c r="CTZ17" s="62"/>
      <c r="CUA17" s="62"/>
      <c r="CUB17" s="62"/>
      <c r="CUC17" s="62"/>
      <c r="CUD17" s="62"/>
      <c r="CUE17" s="62"/>
      <c r="CUF17" s="62"/>
      <c r="CUG17" s="62"/>
      <c r="CUH17" s="62"/>
      <c r="CUI17" s="62"/>
      <c r="CUJ17" s="62"/>
      <c r="CUK17" s="62"/>
      <c r="CUL17" s="62"/>
      <c r="CUM17" s="62"/>
      <c r="CUN17" s="62"/>
      <c r="CUO17" s="62"/>
      <c r="CUP17" s="62"/>
      <c r="CUQ17" s="62"/>
      <c r="CUR17" s="62"/>
      <c r="CUS17" s="62"/>
      <c r="CUT17" s="62"/>
      <c r="CUU17" s="62"/>
      <c r="CUV17" s="62"/>
      <c r="CUW17" s="62"/>
      <c r="CUX17" s="62"/>
      <c r="CUY17" s="62"/>
      <c r="CUZ17" s="62"/>
      <c r="CVA17" s="62"/>
      <c r="CVB17" s="62"/>
      <c r="CVC17" s="62"/>
      <c r="CVD17" s="62"/>
      <c r="CVE17" s="62"/>
      <c r="CVF17" s="62"/>
      <c r="CVG17" s="62"/>
      <c r="CVH17" s="62"/>
      <c r="CVI17" s="62"/>
      <c r="CVJ17" s="62"/>
      <c r="CVK17" s="62"/>
      <c r="CVL17" s="62"/>
      <c r="CVM17" s="62"/>
      <c r="CVN17" s="62"/>
      <c r="CVO17" s="62"/>
      <c r="CVP17" s="62"/>
      <c r="CVQ17" s="62"/>
      <c r="CVR17" s="62"/>
      <c r="CVS17" s="62"/>
      <c r="CVT17" s="62"/>
      <c r="CVU17" s="62"/>
      <c r="CVV17" s="62"/>
      <c r="CVW17" s="62"/>
      <c r="CVX17" s="62"/>
      <c r="CVY17" s="62"/>
      <c r="CVZ17" s="62"/>
      <c r="CWA17" s="62"/>
      <c r="CWB17" s="62"/>
      <c r="CWC17" s="62"/>
      <c r="CWD17" s="62"/>
      <c r="CWE17" s="62"/>
      <c r="CWF17" s="62"/>
      <c r="CWG17" s="62"/>
      <c r="CWH17" s="62"/>
      <c r="CWI17" s="62"/>
      <c r="CWJ17" s="62"/>
      <c r="CWK17" s="62"/>
      <c r="CWL17" s="62"/>
      <c r="CWM17" s="62"/>
      <c r="CWN17" s="62"/>
      <c r="CWO17" s="62"/>
      <c r="CWP17" s="62"/>
      <c r="CWQ17" s="62"/>
      <c r="CWR17" s="62"/>
      <c r="CWS17" s="62"/>
      <c r="CWT17" s="62"/>
      <c r="CWU17" s="62"/>
      <c r="CWV17" s="62"/>
      <c r="CWW17" s="62"/>
      <c r="CWX17" s="62"/>
      <c r="CWY17" s="62"/>
      <c r="CWZ17" s="62"/>
      <c r="CXA17" s="62"/>
      <c r="CXB17" s="62"/>
      <c r="CXC17" s="62"/>
      <c r="CXD17" s="62"/>
      <c r="CXE17" s="62"/>
      <c r="CXF17" s="62"/>
      <c r="CXG17" s="62"/>
      <c r="CXH17" s="62"/>
      <c r="CXI17" s="62"/>
      <c r="CXJ17" s="62"/>
      <c r="CXK17" s="62"/>
      <c r="CXL17" s="62"/>
      <c r="CXM17" s="62"/>
      <c r="CXN17" s="62"/>
      <c r="CXO17" s="62"/>
      <c r="CXP17" s="62"/>
      <c r="CXQ17" s="62"/>
      <c r="CXR17" s="62"/>
      <c r="CXS17" s="62"/>
      <c r="CXT17" s="62"/>
      <c r="CXU17" s="62"/>
      <c r="CXV17" s="62"/>
      <c r="CXW17" s="62"/>
      <c r="CXX17" s="62"/>
      <c r="CXY17" s="62"/>
      <c r="CXZ17" s="62"/>
      <c r="CYA17" s="62"/>
      <c r="CYB17" s="62"/>
      <c r="CYC17" s="62"/>
      <c r="CYD17" s="62"/>
      <c r="CYE17" s="62"/>
      <c r="CYF17" s="62"/>
      <c r="CYG17" s="62"/>
      <c r="CYH17" s="62"/>
      <c r="CYI17" s="62"/>
      <c r="CYJ17" s="62"/>
      <c r="CYK17" s="62"/>
      <c r="CYL17" s="62"/>
      <c r="CYM17" s="62"/>
      <c r="CYN17" s="62"/>
      <c r="CYO17" s="62"/>
      <c r="CYP17" s="62"/>
      <c r="CYQ17" s="62"/>
      <c r="CYR17" s="62"/>
      <c r="CYS17" s="62"/>
      <c r="CYT17" s="62"/>
      <c r="CYU17" s="62"/>
      <c r="CYV17" s="62"/>
      <c r="CYW17" s="62"/>
      <c r="CYX17" s="62"/>
      <c r="CYY17" s="62"/>
      <c r="CYZ17" s="62"/>
      <c r="CZA17" s="62"/>
      <c r="CZB17" s="62"/>
      <c r="CZC17" s="62"/>
      <c r="CZD17" s="62"/>
      <c r="CZE17" s="62"/>
      <c r="CZF17" s="62"/>
      <c r="CZG17" s="62"/>
      <c r="CZH17" s="62"/>
      <c r="CZI17" s="62"/>
      <c r="CZJ17" s="62"/>
      <c r="CZK17" s="62"/>
      <c r="CZL17" s="62"/>
      <c r="CZM17" s="62"/>
      <c r="CZN17" s="62"/>
      <c r="CZO17" s="62"/>
      <c r="CZP17" s="62"/>
      <c r="CZQ17" s="62"/>
      <c r="CZR17" s="62"/>
      <c r="CZS17" s="62"/>
      <c r="CZT17" s="62"/>
      <c r="CZU17" s="62"/>
      <c r="CZV17" s="62"/>
      <c r="CZW17" s="62"/>
      <c r="CZX17" s="62"/>
      <c r="CZY17" s="62"/>
      <c r="CZZ17" s="62"/>
      <c r="DAA17" s="62"/>
      <c r="DAB17" s="62"/>
      <c r="DAC17" s="62"/>
      <c r="DAD17" s="62"/>
      <c r="DAE17" s="62"/>
      <c r="DAF17" s="62"/>
      <c r="DAG17" s="62"/>
      <c r="DAH17" s="62"/>
      <c r="DAI17" s="62"/>
      <c r="DAJ17" s="62"/>
      <c r="DAK17" s="62"/>
      <c r="DAL17" s="62"/>
      <c r="DAM17" s="62"/>
      <c r="DAN17" s="62"/>
      <c r="DAO17" s="62"/>
      <c r="DAP17" s="62"/>
      <c r="DAQ17" s="62"/>
      <c r="DAR17" s="62"/>
      <c r="DAS17" s="62"/>
      <c r="DAT17" s="62"/>
      <c r="DAU17" s="62"/>
      <c r="DAV17" s="62"/>
      <c r="DAW17" s="62"/>
      <c r="DAX17" s="62"/>
      <c r="DAY17" s="62"/>
      <c r="DAZ17" s="62"/>
      <c r="DBA17" s="62"/>
      <c r="DBB17" s="62"/>
      <c r="DBC17" s="62"/>
      <c r="DBD17" s="62"/>
      <c r="DBE17" s="62"/>
      <c r="DBF17" s="62"/>
      <c r="DBG17" s="62"/>
      <c r="DBH17" s="62"/>
      <c r="DBI17" s="62"/>
      <c r="DBJ17" s="62"/>
      <c r="DBK17" s="62"/>
      <c r="DBL17" s="62"/>
      <c r="DBM17" s="62"/>
      <c r="DBN17" s="62"/>
      <c r="DBO17" s="62"/>
      <c r="DBP17" s="62"/>
      <c r="DBQ17" s="62"/>
      <c r="DBR17" s="62"/>
      <c r="DBS17" s="62"/>
      <c r="DBT17" s="62"/>
      <c r="DBU17" s="62"/>
      <c r="DBV17" s="62"/>
      <c r="DBW17" s="62"/>
      <c r="DBX17" s="62"/>
      <c r="DBY17" s="62"/>
      <c r="DBZ17" s="62"/>
      <c r="DCA17" s="62"/>
      <c r="DCB17" s="62"/>
      <c r="DCC17" s="62"/>
      <c r="DCD17" s="62"/>
      <c r="DCE17" s="62"/>
      <c r="DCF17" s="62"/>
      <c r="DCG17" s="62"/>
      <c r="DCH17" s="62"/>
      <c r="DCI17" s="62"/>
      <c r="DCJ17" s="62"/>
      <c r="DCK17" s="62"/>
      <c r="DCL17" s="62"/>
      <c r="DCM17" s="62"/>
      <c r="DCN17" s="62"/>
      <c r="DCO17" s="62"/>
      <c r="DCP17" s="62"/>
      <c r="DCQ17" s="62"/>
      <c r="DCR17" s="62"/>
      <c r="DCS17" s="62"/>
      <c r="DCT17" s="62"/>
      <c r="DCU17" s="62"/>
      <c r="DCV17" s="62"/>
      <c r="DCW17" s="62"/>
      <c r="DCX17" s="62"/>
      <c r="DCY17" s="62"/>
      <c r="DCZ17" s="62"/>
      <c r="DDA17" s="62"/>
      <c r="DDB17" s="62"/>
      <c r="DDC17" s="62"/>
      <c r="DDD17" s="62"/>
      <c r="DDE17" s="62"/>
      <c r="DDF17" s="62"/>
      <c r="DDG17" s="62"/>
      <c r="DDH17" s="62"/>
      <c r="DDI17" s="62"/>
      <c r="DDJ17" s="62"/>
      <c r="DDK17" s="62"/>
      <c r="DDL17" s="62"/>
      <c r="DDM17" s="62"/>
      <c r="DDN17" s="62"/>
      <c r="DDO17" s="62"/>
      <c r="DDP17" s="62"/>
      <c r="DDQ17" s="62"/>
      <c r="DDR17" s="62"/>
      <c r="DDS17" s="62"/>
      <c r="DDT17" s="62"/>
      <c r="DDU17" s="62"/>
      <c r="DDV17" s="62"/>
      <c r="DDW17" s="62"/>
      <c r="DDX17" s="62"/>
      <c r="DDY17" s="62"/>
      <c r="DDZ17" s="62"/>
      <c r="DEA17" s="62"/>
      <c r="DEB17" s="62"/>
      <c r="DEC17" s="62"/>
      <c r="DED17" s="62"/>
      <c r="DEE17" s="62"/>
      <c r="DEF17" s="62"/>
      <c r="DEG17" s="62"/>
      <c r="DEH17" s="62"/>
      <c r="DEI17" s="62"/>
      <c r="DEJ17" s="62"/>
      <c r="DEK17" s="62"/>
      <c r="DEL17" s="62"/>
      <c r="DEM17" s="62"/>
      <c r="DEN17" s="62"/>
      <c r="DEO17" s="62"/>
      <c r="DEP17" s="62"/>
      <c r="DEQ17" s="62"/>
      <c r="DER17" s="62"/>
      <c r="DES17" s="62"/>
      <c r="DET17" s="62"/>
      <c r="DEU17" s="62"/>
      <c r="DEV17" s="62"/>
      <c r="DEW17" s="62"/>
      <c r="DEX17" s="62"/>
      <c r="DEY17" s="62"/>
      <c r="DEZ17" s="62"/>
      <c r="DFA17" s="62"/>
      <c r="DFB17" s="62"/>
      <c r="DFC17" s="62"/>
      <c r="DFD17" s="62"/>
      <c r="DFE17" s="62"/>
      <c r="DFF17" s="62"/>
      <c r="DFG17" s="62"/>
      <c r="DFH17" s="62"/>
      <c r="DFI17" s="62"/>
      <c r="DFJ17" s="62"/>
      <c r="DFK17" s="62"/>
      <c r="DFL17" s="62"/>
      <c r="DFM17" s="62"/>
      <c r="DFN17" s="62"/>
      <c r="DFO17" s="62"/>
      <c r="DFP17" s="62"/>
      <c r="DFQ17" s="62"/>
      <c r="DFR17" s="62"/>
      <c r="DFS17" s="62"/>
      <c r="DFT17" s="62"/>
      <c r="DFU17" s="62"/>
      <c r="DFV17" s="62"/>
      <c r="DFW17" s="62"/>
      <c r="DFX17" s="62"/>
      <c r="DFY17" s="62"/>
      <c r="DFZ17" s="62"/>
      <c r="DGA17" s="62"/>
      <c r="DGB17" s="62"/>
      <c r="DGC17" s="62"/>
      <c r="DGD17" s="62"/>
      <c r="DGE17" s="62"/>
      <c r="DGF17" s="62"/>
      <c r="DGG17" s="62"/>
      <c r="DGH17" s="62"/>
      <c r="DGI17" s="62"/>
      <c r="DGJ17" s="62"/>
      <c r="DGK17" s="62"/>
      <c r="DGL17" s="62"/>
      <c r="DGM17" s="62"/>
      <c r="DGN17" s="62"/>
      <c r="DGO17" s="62"/>
      <c r="DGP17" s="62"/>
      <c r="DGQ17" s="62"/>
      <c r="DGR17" s="62"/>
      <c r="DGS17" s="62"/>
      <c r="DGT17" s="62"/>
      <c r="DGU17" s="62"/>
      <c r="DGV17" s="62"/>
      <c r="DGW17" s="62"/>
      <c r="DGX17" s="62"/>
      <c r="DGY17" s="62"/>
      <c r="DGZ17" s="62"/>
      <c r="DHA17" s="62"/>
      <c r="DHB17" s="62"/>
      <c r="DHC17" s="62"/>
      <c r="DHD17" s="62"/>
      <c r="DHE17" s="62"/>
      <c r="DHF17" s="62"/>
      <c r="DHG17" s="62"/>
      <c r="DHH17" s="62"/>
      <c r="DHI17" s="62"/>
      <c r="DHJ17" s="62"/>
      <c r="DHK17" s="62"/>
      <c r="DHL17" s="62"/>
      <c r="DHM17" s="62"/>
      <c r="DHN17" s="62"/>
      <c r="DHO17" s="62"/>
      <c r="DHP17" s="62"/>
      <c r="DHQ17" s="62"/>
      <c r="DHR17" s="62"/>
      <c r="DHS17" s="62"/>
      <c r="DHT17" s="62"/>
      <c r="DHU17" s="62"/>
      <c r="DHV17" s="62"/>
      <c r="DHW17" s="62"/>
      <c r="DHX17" s="62"/>
      <c r="DHY17" s="62"/>
      <c r="DHZ17" s="62"/>
      <c r="DIA17" s="62"/>
      <c r="DIB17" s="62"/>
      <c r="DIC17" s="62"/>
      <c r="DID17" s="62"/>
      <c r="DIE17" s="62"/>
      <c r="DIF17" s="62"/>
      <c r="DIG17" s="62"/>
      <c r="DIH17" s="62"/>
      <c r="DII17" s="62"/>
      <c r="DIJ17" s="62"/>
      <c r="DIK17" s="62"/>
      <c r="DIL17" s="62"/>
      <c r="DIM17" s="62"/>
      <c r="DIN17" s="62"/>
      <c r="DIO17" s="62"/>
      <c r="DIP17" s="62"/>
      <c r="DIQ17" s="62"/>
      <c r="DIR17" s="62"/>
      <c r="DIS17" s="62"/>
      <c r="DIT17" s="62"/>
      <c r="DIU17" s="62"/>
      <c r="DIV17" s="62"/>
      <c r="DIW17" s="62"/>
      <c r="DIX17" s="62"/>
      <c r="DIY17" s="62"/>
      <c r="DIZ17" s="62"/>
      <c r="DJA17" s="62"/>
      <c r="DJB17" s="62"/>
      <c r="DJC17" s="62"/>
      <c r="DJD17" s="62"/>
      <c r="DJE17" s="62"/>
      <c r="DJF17" s="62"/>
      <c r="DJG17" s="62"/>
      <c r="DJH17" s="62"/>
      <c r="DJI17" s="62"/>
      <c r="DJJ17" s="62"/>
      <c r="DJK17" s="62"/>
      <c r="DJL17" s="62"/>
      <c r="DJM17" s="62"/>
      <c r="DJN17" s="62"/>
      <c r="DJO17" s="62"/>
      <c r="DJP17" s="62"/>
      <c r="DJQ17" s="62"/>
      <c r="DJR17" s="62"/>
      <c r="DJS17" s="62"/>
      <c r="DJT17" s="62"/>
      <c r="DJU17" s="62"/>
      <c r="DJV17" s="62"/>
      <c r="DJW17" s="62"/>
      <c r="DJX17" s="62"/>
      <c r="DJY17" s="62"/>
      <c r="DJZ17" s="62"/>
      <c r="DKA17" s="62"/>
      <c r="DKB17" s="62"/>
      <c r="DKC17" s="62"/>
      <c r="DKD17" s="62"/>
      <c r="DKE17" s="62"/>
      <c r="DKF17" s="62"/>
      <c r="DKG17" s="62"/>
      <c r="DKH17" s="62"/>
      <c r="DKI17" s="62"/>
      <c r="DKJ17" s="62"/>
      <c r="DKK17" s="62"/>
      <c r="DKL17" s="62"/>
      <c r="DKM17" s="62"/>
      <c r="DKN17" s="62"/>
      <c r="DKO17" s="62"/>
      <c r="DKP17" s="62"/>
      <c r="DKQ17" s="62"/>
      <c r="DKR17" s="62"/>
      <c r="DKS17" s="62"/>
      <c r="DKT17" s="62"/>
      <c r="DKU17" s="62"/>
      <c r="DKV17" s="62"/>
      <c r="DKW17" s="62"/>
      <c r="DKX17" s="62"/>
      <c r="DKY17" s="62"/>
      <c r="DKZ17" s="62"/>
      <c r="DLA17" s="62"/>
      <c r="DLB17" s="62"/>
      <c r="DLC17" s="62"/>
      <c r="DLD17" s="62"/>
      <c r="DLE17" s="62"/>
      <c r="DLF17" s="62"/>
      <c r="DLG17" s="62"/>
      <c r="DLH17" s="62"/>
      <c r="DLI17" s="62"/>
      <c r="DLJ17" s="62"/>
      <c r="DLK17" s="62"/>
      <c r="DLL17" s="62"/>
      <c r="DLM17" s="62"/>
      <c r="DLN17" s="62"/>
      <c r="DLO17" s="62"/>
      <c r="DLP17" s="62"/>
      <c r="DLQ17" s="62"/>
      <c r="DLR17" s="62"/>
      <c r="DLS17" s="62"/>
      <c r="DLT17" s="62"/>
      <c r="DLU17" s="62"/>
      <c r="DLV17" s="62"/>
      <c r="DLW17" s="62"/>
      <c r="DLX17" s="62"/>
      <c r="DLY17" s="62"/>
      <c r="DLZ17" s="62"/>
      <c r="DMA17" s="62"/>
      <c r="DMB17" s="62"/>
      <c r="DMC17" s="62"/>
      <c r="DMD17" s="62"/>
      <c r="DME17" s="62"/>
      <c r="DMF17" s="62"/>
      <c r="DMG17" s="62"/>
      <c r="DMH17" s="62"/>
      <c r="DMI17" s="62"/>
      <c r="DMJ17" s="62"/>
      <c r="DMK17" s="62"/>
      <c r="DML17" s="62"/>
      <c r="DMM17" s="62"/>
      <c r="DMN17" s="62"/>
      <c r="DMO17" s="62"/>
      <c r="DMP17" s="62"/>
      <c r="DMQ17" s="62"/>
      <c r="DMR17" s="62"/>
      <c r="DMS17" s="62"/>
      <c r="DMT17" s="62"/>
      <c r="DMU17" s="62"/>
      <c r="DMV17" s="62"/>
      <c r="DMW17" s="62"/>
      <c r="DMX17" s="62"/>
      <c r="DMY17" s="62"/>
      <c r="DMZ17" s="62"/>
      <c r="DNA17" s="62"/>
      <c r="DNB17" s="62"/>
      <c r="DNC17" s="62"/>
      <c r="DND17" s="62"/>
      <c r="DNE17" s="62"/>
      <c r="DNF17" s="62"/>
      <c r="DNG17" s="62"/>
      <c r="DNH17" s="62"/>
      <c r="DNI17" s="62"/>
      <c r="DNJ17" s="62"/>
      <c r="DNK17" s="62"/>
      <c r="DNL17" s="62"/>
      <c r="DNM17" s="62"/>
      <c r="DNN17" s="62"/>
      <c r="DNO17" s="62"/>
      <c r="DNP17" s="62"/>
      <c r="DNQ17" s="62"/>
      <c r="DNR17" s="62"/>
      <c r="DNS17" s="62"/>
      <c r="DNT17" s="62"/>
      <c r="DNU17" s="62"/>
      <c r="DNV17" s="62"/>
      <c r="DNW17" s="62"/>
      <c r="DNX17" s="62"/>
      <c r="DNY17" s="62"/>
      <c r="DNZ17" s="62"/>
      <c r="DOA17" s="62"/>
      <c r="DOB17" s="62"/>
      <c r="DOC17" s="62"/>
      <c r="DOD17" s="62"/>
      <c r="DOE17" s="62"/>
      <c r="DOF17" s="62"/>
      <c r="DOG17" s="62"/>
      <c r="DOH17" s="62"/>
      <c r="DOI17" s="62"/>
      <c r="DOJ17" s="62"/>
      <c r="DOK17" s="62"/>
      <c r="DOL17" s="62"/>
      <c r="DOM17" s="62"/>
      <c r="DON17" s="62"/>
      <c r="DOO17" s="62"/>
      <c r="DOP17" s="62"/>
      <c r="DOQ17" s="62"/>
      <c r="DOR17" s="62"/>
      <c r="DOS17" s="62"/>
      <c r="DOT17" s="62"/>
      <c r="DOU17" s="62"/>
      <c r="DOV17" s="62"/>
      <c r="DOW17" s="62"/>
      <c r="DOX17" s="62"/>
      <c r="DOY17" s="62"/>
      <c r="DOZ17" s="62"/>
      <c r="DPA17" s="62"/>
      <c r="DPB17" s="62"/>
      <c r="DPC17" s="62"/>
      <c r="DPD17" s="62"/>
      <c r="DPE17" s="62"/>
      <c r="DPF17" s="62"/>
      <c r="DPG17" s="62"/>
      <c r="DPH17" s="62"/>
      <c r="DPI17" s="62"/>
      <c r="DPJ17" s="62"/>
      <c r="DPK17" s="62"/>
      <c r="DPL17" s="62"/>
      <c r="DPM17" s="62"/>
      <c r="DPN17" s="62"/>
      <c r="DPO17" s="62"/>
      <c r="DPP17" s="62"/>
      <c r="DPQ17" s="62"/>
      <c r="DPR17" s="62"/>
      <c r="DPS17" s="62"/>
      <c r="DPT17" s="62"/>
      <c r="DPU17" s="62"/>
      <c r="DPV17" s="62"/>
      <c r="DPW17" s="62"/>
      <c r="DPX17" s="62"/>
      <c r="DPY17" s="62"/>
      <c r="DPZ17" s="62"/>
      <c r="DQA17" s="62"/>
      <c r="DQB17" s="62"/>
      <c r="DQC17" s="62"/>
      <c r="DQD17" s="62"/>
      <c r="DQE17" s="62"/>
      <c r="DQF17" s="62"/>
      <c r="DQG17" s="62"/>
      <c r="DQH17" s="62"/>
      <c r="DQI17" s="62"/>
      <c r="DQJ17" s="62"/>
      <c r="DQK17" s="62"/>
      <c r="DQL17" s="62"/>
      <c r="DQM17" s="62"/>
      <c r="DQN17" s="62"/>
      <c r="DQO17" s="62"/>
      <c r="DQP17" s="62"/>
      <c r="DQQ17" s="62"/>
      <c r="DQR17" s="62"/>
      <c r="DQS17" s="62"/>
      <c r="DQT17" s="62"/>
      <c r="DQU17" s="62"/>
      <c r="DQV17" s="62"/>
      <c r="DQW17" s="62"/>
      <c r="DQX17" s="62"/>
      <c r="DQY17" s="62"/>
      <c r="DQZ17" s="62"/>
      <c r="DRA17" s="62"/>
      <c r="DRB17" s="62"/>
      <c r="DRC17" s="62"/>
      <c r="DRD17" s="62"/>
      <c r="DRE17" s="62"/>
      <c r="DRF17" s="62"/>
      <c r="DRG17" s="62"/>
      <c r="DRH17" s="62"/>
      <c r="DRI17" s="62"/>
      <c r="DRJ17" s="62"/>
      <c r="DRK17" s="62"/>
      <c r="DRL17" s="62"/>
      <c r="DRM17" s="62"/>
      <c r="DRN17" s="62"/>
      <c r="DRO17" s="62"/>
      <c r="DRP17" s="62"/>
      <c r="DRQ17" s="62"/>
      <c r="DRR17" s="62"/>
      <c r="DRS17" s="62"/>
      <c r="DRT17" s="62"/>
      <c r="DRU17" s="62"/>
      <c r="DRV17" s="62"/>
      <c r="DRW17" s="62"/>
      <c r="DRX17" s="62"/>
      <c r="DRY17" s="62"/>
      <c r="DRZ17" s="62"/>
      <c r="DSA17" s="62"/>
      <c r="DSB17" s="62"/>
      <c r="DSC17" s="62"/>
      <c r="DSD17" s="62"/>
      <c r="DSE17" s="62"/>
      <c r="DSF17" s="62"/>
      <c r="DSG17" s="62"/>
      <c r="DSH17" s="62"/>
      <c r="DSI17" s="62"/>
      <c r="DSJ17" s="62"/>
      <c r="DSK17" s="62"/>
      <c r="DSL17" s="62"/>
      <c r="DSM17" s="62"/>
      <c r="DSN17" s="62"/>
      <c r="DSO17" s="62"/>
      <c r="DSP17" s="62"/>
      <c r="DSQ17" s="62"/>
      <c r="DSR17" s="62"/>
      <c r="DSS17" s="62"/>
      <c r="DST17" s="62"/>
      <c r="DSU17" s="62"/>
      <c r="DSV17" s="62"/>
      <c r="DSW17" s="62"/>
      <c r="DSX17" s="62"/>
      <c r="DSY17" s="62"/>
      <c r="DSZ17" s="62"/>
      <c r="DTA17" s="62"/>
      <c r="DTB17" s="62"/>
      <c r="DTC17" s="62"/>
      <c r="DTD17" s="62"/>
      <c r="DTE17" s="62"/>
      <c r="DTF17" s="62"/>
      <c r="DTG17" s="62"/>
      <c r="DTH17" s="62"/>
      <c r="DTI17" s="62"/>
      <c r="DTJ17" s="62"/>
      <c r="DTK17" s="62"/>
      <c r="DTL17" s="62"/>
      <c r="DTM17" s="62"/>
      <c r="DTN17" s="62"/>
      <c r="DTO17" s="62"/>
      <c r="DTP17" s="62"/>
      <c r="DTQ17" s="62"/>
      <c r="DTR17" s="62"/>
      <c r="DTS17" s="62"/>
      <c r="DTT17" s="62"/>
      <c r="DTU17" s="62"/>
      <c r="DTV17" s="62"/>
      <c r="DTW17" s="62"/>
      <c r="DTX17" s="62"/>
      <c r="DTY17" s="62"/>
      <c r="DTZ17" s="62"/>
      <c r="DUA17" s="62"/>
      <c r="DUB17" s="62"/>
      <c r="DUC17" s="62"/>
      <c r="DUD17" s="62"/>
      <c r="DUE17" s="62"/>
      <c r="DUF17" s="62"/>
      <c r="DUG17" s="62"/>
      <c r="DUH17" s="62"/>
      <c r="DUI17" s="62"/>
      <c r="DUJ17" s="62"/>
      <c r="DUK17" s="62"/>
      <c r="DUL17" s="62"/>
      <c r="DUM17" s="62"/>
      <c r="DUN17" s="62"/>
      <c r="DUO17" s="62"/>
      <c r="DUP17" s="62"/>
      <c r="DUQ17" s="62"/>
      <c r="DUR17" s="62"/>
      <c r="DUS17" s="62"/>
      <c r="DUT17" s="62"/>
      <c r="DUU17" s="62"/>
      <c r="DUV17" s="62"/>
      <c r="DUW17" s="62"/>
      <c r="DUX17" s="62"/>
      <c r="DUY17" s="62"/>
      <c r="DUZ17" s="62"/>
      <c r="DVA17" s="62"/>
      <c r="DVB17" s="62"/>
      <c r="DVC17" s="62"/>
      <c r="DVD17" s="62"/>
      <c r="DVE17" s="62"/>
      <c r="DVF17" s="62"/>
      <c r="DVG17" s="62"/>
      <c r="DVH17" s="62"/>
      <c r="DVI17" s="62"/>
      <c r="DVJ17" s="62"/>
      <c r="DVK17" s="62"/>
      <c r="DVL17" s="62"/>
      <c r="DVM17" s="62"/>
      <c r="DVN17" s="62"/>
      <c r="DVO17" s="62"/>
      <c r="DVP17" s="62"/>
      <c r="DVQ17" s="62"/>
      <c r="DVR17" s="62"/>
      <c r="DVS17" s="62"/>
      <c r="DVT17" s="62"/>
      <c r="DVU17" s="62"/>
      <c r="DVV17" s="62"/>
      <c r="DVW17" s="62"/>
      <c r="DVX17" s="62"/>
      <c r="DVY17" s="62"/>
      <c r="DVZ17" s="62"/>
      <c r="DWA17" s="62"/>
      <c r="DWB17" s="62"/>
      <c r="DWC17" s="62"/>
      <c r="DWD17" s="62"/>
      <c r="DWE17" s="62"/>
      <c r="DWF17" s="62"/>
      <c r="DWG17" s="62"/>
      <c r="DWH17" s="62"/>
      <c r="DWI17" s="62"/>
      <c r="DWJ17" s="62"/>
      <c r="DWK17" s="62"/>
      <c r="DWL17" s="62"/>
      <c r="DWM17" s="62"/>
      <c r="DWN17" s="62"/>
      <c r="DWO17" s="62"/>
      <c r="DWP17" s="62"/>
      <c r="DWQ17" s="62"/>
      <c r="DWR17" s="62"/>
      <c r="DWS17" s="62"/>
      <c r="DWT17" s="62"/>
      <c r="DWU17" s="62"/>
      <c r="DWV17" s="62"/>
      <c r="DWW17" s="62"/>
      <c r="DWX17" s="62"/>
      <c r="DWY17" s="62"/>
      <c r="DWZ17" s="62"/>
      <c r="DXA17" s="62"/>
      <c r="DXB17" s="62"/>
      <c r="DXC17" s="62"/>
      <c r="DXD17" s="62"/>
      <c r="DXE17" s="62"/>
      <c r="DXF17" s="62"/>
      <c r="DXG17" s="62"/>
      <c r="DXH17" s="62"/>
      <c r="DXI17" s="62"/>
      <c r="DXJ17" s="62"/>
      <c r="DXK17" s="62"/>
      <c r="DXL17" s="62"/>
      <c r="DXM17" s="62"/>
      <c r="DXN17" s="62"/>
      <c r="DXO17" s="62"/>
      <c r="DXP17" s="62"/>
      <c r="DXQ17" s="62"/>
      <c r="DXR17" s="62"/>
      <c r="DXS17" s="62"/>
      <c r="DXT17" s="62"/>
      <c r="DXU17" s="62"/>
      <c r="DXV17" s="62"/>
      <c r="DXW17" s="62"/>
      <c r="DXX17" s="62"/>
      <c r="DXY17" s="62"/>
      <c r="DXZ17" s="62"/>
      <c r="DYA17" s="62"/>
      <c r="DYB17" s="62"/>
      <c r="DYC17" s="62"/>
      <c r="DYD17" s="62"/>
      <c r="DYE17" s="62"/>
      <c r="DYF17" s="62"/>
      <c r="DYG17" s="62"/>
      <c r="DYH17" s="62"/>
      <c r="DYI17" s="62"/>
      <c r="DYJ17" s="62"/>
      <c r="DYK17" s="62"/>
      <c r="DYL17" s="62"/>
      <c r="DYM17" s="62"/>
      <c r="DYN17" s="62"/>
      <c r="DYO17" s="62"/>
      <c r="DYP17" s="62"/>
      <c r="DYQ17" s="62"/>
      <c r="DYR17" s="62"/>
      <c r="DYS17" s="62"/>
      <c r="DYT17" s="62"/>
      <c r="DYU17" s="62"/>
      <c r="DYV17" s="62"/>
      <c r="DYW17" s="62"/>
      <c r="DYX17" s="62"/>
      <c r="DYY17" s="62"/>
      <c r="DYZ17" s="62"/>
      <c r="DZA17" s="62"/>
      <c r="DZB17" s="62"/>
      <c r="DZC17" s="62"/>
      <c r="DZD17" s="62"/>
      <c r="DZE17" s="62"/>
      <c r="DZF17" s="62"/>
      <c r="DZG17" s="62"/>
      <c r="DZH17" s="62"/>
      <c r="DZI17" s="62"/>
      <c r="DZJ17" s="62"/>
      <c r="DZK17" s="62"/>
      <c r="DZL17" s="62"/>
      <c r="DZM17" s="62"/>
      <c r="DZN17" s="62"/>
      <c r="DZO17" s="62"/>
      <c r="DZP17" s="62"/>
      <c r="DZQ17" s="62"/>
      <c r="DZR17" s="62"/>
      <c r="DZS17" s="62"/>
      <c r="DZT17" s="62"/>
      <c r="DZU17" s="62"/>
      <c r="DZV17" s="62"/>
      <c r="DZW17" s="62"/>
      <c r="DZX17" s="62"/>
      <c r="DZY17" s="62"/>
      <c r="DZZ17" s="62"/>
      <c r="EAA17" s="62"/>
      <c r="EAB17" s="62"/>
      <c r="EAC17" s="62"/>
      <c r="EAD17" s="62"/>
      <c r="EAE17" s="62"/>
      <c r="EAF17" s="62"/>
      <c r="EAG17" s="62"/>
      <c r="EAH17" s="62"/>
      <c r="EAI17" s="62"/>
      <c r="EAJ17" s="62"/>
      <c r="EAK17" s="62"/>
      <c r="EAL17" s="62"/>
      <c r="EAM17" s="62"/>
      <c r="EAN17" s="62"/>
      <c r="EAO17" s="62"/>
      <c r="EAP17" s="62"/>
      <c r="EAQ17" s="62"/>
      <c r="EAR17" s="62"/>
      <c r="EAS17" s="62"/>
      <c r="EAT17" s="62"/>
      <c r="EAU17" s="62"/>
      <c r="EAV17" s="62"/>
      <c r="EAW17" s="62"/>
      <c r="EAX17" s="62"/>
      <c r="EAY17" s="62"/>
      <c r="EAZ17" s="62"/>
      <c r="EBA17" s="62"/>
      <c r="EBB17" s="62"/>
      <c r="EBC17" s="62"/>
      <c r="EBD17" s="62"/>
      <c r="EBE17" s="62"/>
      <c r="EBF17" s="62"/>
      <c r="EBG17" s="62"/>
      <c r="EBH17" s="62"/>
      <c r="EBI17" s="62"/>
      <c r="EBJ17" s="62"/>
      <c r="EBK17" s="62"/>
      <c r="EBL17" s="62"/>
      <c r="EBM17" s="62"/>
      <c r="EBN17" s="62"/>
      <c r="EBO17" s="62"/>
      <c r="EBP17" s="62"/>
      <c r="EBQ17" s="62"/>
      <c r="EBR17" s="62"/>
      <c r="EBS17" s="62"/>
      <c r="EBT17" s="62"/>
      <c r="EBU17" s="62"/>
      <c r="EBV17" s="62"/>
      <c r="EBW17" s="62"/>
      <c r="EBX17" s="62"/>
      <c r="EBY17" s="62"/>
      <c r="EBZ17" s="62"/>
      <c r="ECA17" s="62"/>
      <c r="ECB17" s="62"/>
      <c r="ECC17" s="62"/>
      <c r="ECD17" s="62"/>
      <c r="ECE17" s="62"/>
      <c r="ECF17" s="62"/>
      <c r="ECG17" s="62"/>
      <c r="ECH17" s="62"/>
      <c r="ECI17" s="62"/>
      <c r="ECJ17" s="62"/>
      <c r="ECK17" s="62"/>
      <c r="ECL17" s="62"/>
      <c r="ECM17" s="62"/>
      <c r="ECN17" s="62"/>
      <c r="ECO17" s="62"/>
      <c r="ECP17" s="62"/>
      <c r="ECQ17" s="62"/>
      <c r="ECR17" s="62"/>
      <c r="ECS17" s="62"/>
      <c r="ECT17" s="62"/>
      <c r="ECU17" s="62"/>
      <c r="ECV17" s="62"/>
      <c r="ECW17" s="62"/>
      <c r="ECX17" s="62"/>
      <c r="ECY17" s="62"/>
      <c r="ECZ17" s="62"/>
      <c r="EDA17" s="62"/>
      <c r="EDB17" s="62"/>
      <c r="EDC17" s="62"/>
      <c r="EDD17" s="62"/>
      <c r="EDE17" s="62"/>
      <c r="EDF17" s="62"/>
      <c r="EDG17" s="62"/>
      <c r="EDH17" s="62"/>
      <c r="EDI17" s="62"/>
      <c r="EDJ17" s="62"/>
      <c r="EDK17" s="62"/>
      <c r="EDL17" s="62"/>
      <c r="EDM17" s="62"/>
      <c r="EDN17" s="62"/>
      <c r="EDO17" s="62"/>
      <c r="EDP17" s="62"/>
      <c r="EDQ17" s="62"/>
      <c r="EDR17" s="62"/>
      <c r="EDS17" s="62"/>
      <c r="EDT17" s="62"/>
      <c r="EDU17" s="62"/>
      <c r="EDV17" s="62"/>
      <c r="EDW17" s="62"/>
      <c r="EDX17" s="62"/>
      <c r="EDY17" s="62"/>
      <c r="EDZ17" s="62"/>
      <c r="EEA17" s="62"/>
      <c r="EEB17" s="62"/>
      <c r="EEC17" s="62"/>
      <c r="EED17" s="62"/>
      <c r="EEE17" s="62"/>
      <c r="EEF17" s="62"/>
      <c r="EEG17" s="62"/>
      <c r="EEH17" s="62"/>
      <c r="EEI17" s="62"/>
      <c r="EEJ17" s="62"/>
      <c r="EEK17" s="62"/>
      <c r="EEL17" s="62"/>
      <c r="EEM17" s="62"/>
      <c r="EEN17" s="62"/>
      <c r="EEO17" s="62"/>
      <c r="EEP17" s="62"/>
      <c r="EEQ17" s="62"/>
      <c r="EER17" s="62"/>
      <c r="EES17" s="62"/>
      <c r="EET17" s="62"/>
      <c r="EEU17" s="62"/>
      <c r="EEV17" s="62"/>
      <c r="EEW17" s="62"/>
      <c r="EEX17" s="62"/>
      <c r="EEY17" s="62"/>
      <c r="EEZ17" s="62"/>
      <c r="EFA17" s="62"/>
      <c r="EFB17" s="62"/>
      <c r="EFC17" s="62"/>
      <c r="EFD17" s="62"/>
      <c r="EFE17" s="62"/>
      <c r="EFF17" s="62"/>
      <c r="EFG17" s="62"/>
      <c r="EFH17" s="62"/>
      <c r="EFI17" s="62"/>
      <c r="EFJ17" s="62"/>
      <c r="EFK17" s="62"/>
      <c r="EFL17" s="62"/>
      <c r="EFM17" s="62"/>
      <c r="EFN17" s="62"/>
      <c r="EFO17" s="62"/>
      <c r="EFP17" s="62"/>
      <c r="EFQ17" s="62"/>
      <c r="EFR17" s="62"/>
      <c r="EFS17" s="62"/>
      <c r="EFT17" s="62"/>
      <c r="EFU17" s="62"/>
      <c r="EFV17" s="62"/>
      <c r="EFW17" s="62"/>
      <c r="EFX17" s="62"/>
      <c r="EFY17" s="62"/>
      <c r="EFZ17" s="62"/>
      <c r="EGA17" s="62"/>
      <c r="EGB17" s="62"/>
      <c r="EGC17" s="62"/>
      <c r="EGD17" s="62"/>
      <c r="EGE17" s="62"/>
      <c r="EGF17" s="62"/>
      <c r="EGG17" s="62"/>
      <c r="EGH17" s="62"/>
      <c r="EGI17" s="62"/>
      <c r="EGJ17" s="62"/>
      <c r="EGK17" s="62"/>
      <c r="EGL17" s="62"/>
      <c r="EGM17" s="62"/>
      <c r="EGN17" s="62"/>
      <c r="EGO17" s="62"/>
      <c r="EGP17" s="62"/>
      <c r="EGQ17" s="62"/>
      <c r="EGR17" s="62"/>
      <c r="EGS17" s="62"/>
      <c r="EGT17" s="62"/>
      <c r="EGU17" s="62"/>
      <c r="EGV17" s="62"/>
      <c r="EGW17" s="62"/>
      <c r="EGX17" s="62"/>
      <c r="EGY17" s="62"/>
      <c r="EGZ17" s="62"/>
      <c r="EHA17" s="62"/>
      <c r="EHB17" s="62"/>
      <c r="EHC17" s="62"/>
      <c r="EHD17" s="62"/>
      <c r="EHE17" s="62"/>
      <c r="EHF17" s="62"/>
      <c r="EHG17" s="62"/>
      <c r="EHH17" s="62"/>
      <c r="EHI17" s="62"/>
      <c r="EHJ17" s="62"/>
      <c r="EHK17" s="62"/>
      <c r="EHL17" s="62"/>
      <c r="EHM17" s="62"/>
      <c r="EHN17" s="62"/>
      <c r="EHO17" s="62"/>
      <c r="EHP17" s="62"/>
      <c r="EHQ17" s="62"/>
      <c r="EHR17" s="62"/>
      <c r="EHS17" s="62"/>
      <c r="EHT17" s="62"/>
      <c r="EHU17" s="62"/>
      <c r="EHV17" s="62"/>
      <c r="EHW17" s="62"/>
      <c r="EHX17" s="62"/>
      <c r="EHY17" s="62"/>
      <c r="EHZ17" s="62"/>
      <c r="EIA17" s="62"/>
      <c r="EIB17" s="62"/>
      <c r="EIC17" s="62"/>
      <c r="EID17" s="62"/>
      <c r="EIE17" s="62"/>
      <c r="EIF17" s="62"/>
      <c r="EIG17" s="62"/>
      <c r="EIH17" s="62"/>
      <c r="EII17" s="62"/>
      <c r="EIJ17" s="62"/>
      <c r="EIK17" s="62"/>
      <c r="EIL17" s="62"/>
      <c r="EIM17" s="62"/>
      <c r="EIN17" s="62"/>
      <c r="EIO17" s="62"/>
      <c r="EIP17" s="62"/>
      <c r="EIQ17" s="62"/>
      <c r="EIR17" s="62"/>
      <c r="EIS17" s="62"/>
      <c r="EIT17" s="62"/>
      <c r="EIU17" s="62"/>
      <c r="EIV17" s="62"/>
      <c r="EIW17" s="62"/>
      <c r="EIX17" s="62"/>
      <c r="EIY17" s="62"/>
      <c r="EIZ17" s="62"/>
      <c r="EJA17" s="62"/>
      <c r="EJB17" s="62"/>
      <c r="EJC17" s="62"/>
      <c r="EJD17" s="62"/>
      <c r="EJE17" s="62"/>
      <c r="EJF17" s="62"/>
      <c r="EJG17" s="62"/>
      <c r="EJH17" s="62"/>
      <c r="EJI17" s="62"/>
      <c r="EJJ17" s="62"/>
      <c r="EJK17" s="62"/>
      <c r="EJL17" s="62"/>
      <c r="EJM17" s="62"/>
      <c r="EJN17" s="62"/>
      <c r="EJO17" s="62"/>
      <c r="EJP17" s="62"/>
      <c r="EJQ17" s="62"/>
      <c r="EJR17" s="62"/>
      <c r="EJS17" s="62"/>
      <c r="EJT17" s="62"/>
      <c r="EJU17" s="62"/>
      <c r="EJV17" s="62"/>
      <c r="EJW17" s="62"/>
      <c r="EJX17" s="62"/>
      <c r="EJY17" s="62"/>
      <c r="EJZ17" s="62"/>
      <c r="EKA17" s="62"/>
      <c r="EKB17" s="62"/>
      <c r="EKC17" s="62"/>
      <c r="EKD17" s="62"/>
      <c r="EKE17" s="62"/>
      <c r="EKF17" s="62"/>
      <c r="EKG17" s="62"/>
      <c r="EKH17" s="62"/>
      <c r="EKI17" s="62"/>
      <c r="EKJ17" s="62"/>
      <c r="EKK17" s="62"/>
      <c r="EKL17" s="62"/>
      <c r="EKM17" s="62"/>
      <c r="EKN17" s="62"/>
      <c r="EKO17" s="62"/>
      <c r="EKP17" s="62"/>
      <c r="EKQ17" s="62"/>
      <c r="EKR17" s="62"/>
      <c r="EKS17" s="62"/>
      <c r="EKT17" s="62"/>
      <c r="EKU17" s="62"/>
      <c r="EKV17" s="62"/>
      <c r="EKW17" s="62"/>
      <c r="EKX17" s="62"/>
      <c r="EKY17" s="62"/>
      <c r="EKZ17" s="62"/>
      <c r="ELA17" s="62"/>
      <c r="ELB17" s="62"/>
      <c r="ELC17" s="62"/>
      <c r="ELD17" s="62"/>
      <c r="ELE17" s="62"/>
      <c r="ELF17" s="62"/>
      <c r="ELG17" s="62"/>
      <c r="ELH17" s="62"/>
      <c r="ELI17" s="62"/>
      <c r="ELJ17" s="62"/>
      <c r="ELK17" s="62"/>
      <c r="ELL17" s="62"/>
      <c r="ELM17" s="62"/>
      <c r="ELN17" s="62"/>
      <c r="ELO17" s="62"/>
      <c r="ELP17" s="62"/>
      <c r="ELQ17" s="62"/>
      <c r="ELR17" s="62"/>
      <c r="ELS17" s="62"/>
      <c r="ELT17" s="62"/>
      <c r="ELU17" s="62"/>
      <c r="ELV17" s="62"/>
      <c r="ELW17" s="62"/>
      <c r="ELX17" s="62"/>
      <c r="ELY17" s="62"/>
      <c r="ELZ17" s="62"/>
      <c r="EMA17" s="62"/>
      <c r="EMB17" s="62"/>
      <c r="EMC17" s="62"/>
      <c r="EMD17" s="62"/>
      <c r="EME17" s="62"/>
      <c r="EMF17" s="62"/>
      <c r="EMG17" s="62"/>
      <c r="EMH17" s="62"/>
      <c r="EMI17" s="62"/>
      <c r="EMJ17" s="62"/>
      <c r="EMK17" s="62"/>
      <c r="EML17" s="62"/>
      <c r="EMM17" s="62"/>
      <c r="EMN17" s="62"/>
      <c r="EMO17" s="62"/>
      <c r="EMP17" s="62"/>
      <c r="EMQ17" s="62"/>
      <c r="EMR17" s="62"/>
      <c r="EMS17" s="62"/>
      <c r="EMT17" s="62"/>
      <c r="EMU17" s="62"/>
      <c r="EMV17" s="62"/>
      <c r="EMW17" s="62"/>
      <c r="EMX17" s="62"/>
      <c r="EMY17" s="62"/>
      <c r="EMZ17" s="62"/>
      <c r="ENA17" s="62"/>
      <c r="ENB17" s="62"/>
      <c r="ENC17" s="62"/>
      <c r="END17" s="62"/>
      <c r="ENE17" s="62"/>
      <c r="ENF17" s="62"/>
      <c r="ENG17" s="62"/>
      <c r="ENH17" s="62"/>
      <c r="ENI17" s="62"/>
      <c r="ENJ17" s="62"/>
      <c r="ENK17" s="62"/>
      <c r="ENL17" s="62"/>
      <c r="ENM17" s="62"/>
      <c r="ENN17" s="62"/>
      <c r="ENO17" s="62"/>
      <c r="ENP17" s="62"/>
      <c r="ENQ17" s="62"/>
      <c r="ENR17" s="62"/>
      <c r="ENS17" s="62"/>
      <c r="ENT17" s="62"/>
      <c r="ENU17" s="62"/>
      <c r="ENV17" s="62"/>
      <c r="ENW17" s="62"/>
      <c r="ENX17" s="62"/>
      <c r="ENY17" s="62"/>
      <c r="ENZ17" s="62"/>
      <c r="EOA17" s="62"/>
      <c r="EOB17" s="62"/>
      <c r="EOC17" s="62"/>
      <c r="EOD17" s="62"/>
      <c r="EOE17" s="62"/>
      <c r="EOF17" s="62"/>
      <c r="EOG17" s="62"/>
      <c r="EOH17" s="62"/>
      <c r="EOI17" s="62"/>
      <c r="EOJ17" s="62"/>
      <c r="EOK17" s="62"/>
      <c r="EOL17" s="62"/>
      <c r="EOM17" s="62"/>
      <c r="EON17" s="62"/>
      <c r="EOO17" s="62"/>
      <c r="EOP17" s="62"/>
      <c r="EOQ17" s="62"/>
      <c r="EOR17" s="62"/>
      <c r="EOS17" s="62"/>
      <c r="EOT17" s="62"/>
      <c r="EOU17" s="62"/>
      <c r="EOV17" s="62"/>
      <c r="EOW17" s="62"/>
      <c r="EOX17" s="62"/>
      <c r="EOY17" s="62"/>
      <c r="EOZ17" s="62"/>
      <c r="EPA17" s="62"/>
      <c r="EPB17" s="62"/>
      <c r="EPC17" s="62"/>
      <c r="EPD17" s="62"/>
      <c r="EPE17" s="62"/>
      <c r="EPF17" s="62"/>
      <c r="EPG17" s="62"/>
      <c r="EPH17" s="62"/>
      <c r="EPI17" s="62"/>
      <c r="EPJ17" s="62"/>
      <c r="EPK17" s="62"/>
      <c r="EPL17" s="62"/>
      <c r="EPM17" s="62"/>
      <c r="EPN17" s="62"/>
      <c r="EPO17" s="62"/>
      <c r="EPP17" s="62"/>
      <c r="EPQ17" s="62"/>
      <c r="EPR17" s="62"/>
      <c r="EPS17" s="62"/>
      <c r="EPT17" s="62"/>
      <c r="EPU17" s="62"/>
      <c r="EPV17" s="62"/>
      <c r="EPW17" s="62"/>
      <c r="EPX17" s="62"/>
      <c r="EPY17" s="62"/>
      <c r="EPZ17" s="62"/>
      <c r="EQA17" s="62"/>
      <c r="EQB17" s="62"/>
      <c r="EQC17" s="62"/>
      <c r="EQD17" s="62"/>
      <c r="EQE17" s="62"/>
      <c r="EQF17" s="62"/>
      <c r="EQG17" s="62"/>
      <c r="EQH17" s="62"/>
      <c r="EQI17" s="62"/>
      <c r="EQJ17" s="62"/>
      <c r="EQK17" s="62"/>
      <c r="EQL17" s="62"/>
      <c r="EQM17" s="62"/>
      <c r="EQN17" s="62"/>
      <c r="EQO17" s="62"/>
      <c r="EQP17" s="62"/>
      <c r="EQQ17" s="62"/>
      <c r="EQR17" s="62"/>
      <c r="EQS17" s="62"/>
      <c r="EQT17" s="62"/>
      <c r="EQU17" s="62"/>
      <c r="EQV17" s="62"/>
      <c r="EQW17" s="62"/>
      <c r="EQX17" s="62"/>
      <c r="EQY17" s="62"/>
      <c r="EQZ17" s="62"/>
      <c r="ERA17" s="62"/>
      <c r="ERB17" s="62"/>
      <c r="ERC17" s="62"/>
      <c r="ERD17" s="62"/>
      <c r="ERE17" s="62"/>
      <c r="ERF17" s="62"/>
      <c r="ERG17" s="62"/>
      <c r="ERH17" s="62"/>
      <c r="ERI17" s="62"/>
      <c r="ERJ17" s="62"/>
      <c r="ERK17" s="62"/>
      <c r="ERL17" s="62"/>
      <c r="ERM17" s="62"/>
      <c r="ERN17" s="62"/>
      <c r="ERO17" s="62"/>
      <c r="ERP17" s="62"/>
      <c r="ERQ17" s="62"/>
      <c r="ERR17" s="62"/>
      <c r="ERS17" s="62"/>
      <c r="ERT17" s="62"/>
      <c r="ERU17" s="62"/>
      <c r="ERV17" s="62"/>
      <c r="ERW17" s="62"/>
      <c r="ERX17" s="62"/>
      <c r="ERY17" s="62"/>
      <c r="ERZ17" s="62"/>
      <c r="ESA17" s="62"/>
      <c r="ESB17" s="62"/>
      <c r="ESC17" s="62"/>
      <c r="ESD17" s="62"/>
      <c r="ESE17" s="62"/>
      <c r="ESF17" s="62"/>
      <c r="ESG17" s="62"/>
      <c r="ESH17" s="62"/>
      <c r="ESI17" s="62"/>
      <c r="ESJ17" s="62"/>
      <c r="ESK17" s="62"/>
      <c r="ESL17" s="62"/>
      <c r="ESM17" s="62"/>
      <c r="ESN17" s="62"/>
      <c r="ESO17" s="62"/>
      <c r="ESP17" s="62"/>
      <c r="ESQ17" s="62"/>
      <c r="ESR17" s="62"/>
      <c r="ESS17" s="62"/>
      <c r="EST17" s="62"/>
      <c r="ESU17" s="62"/>
      <c r="ESV17" s="62"/>
      <c r="ESW17" s="62"/>
      <c r="ESX17" s="62"/>
      <c r="ESY17" s="62"/>
      <c r="ESZ17" s="62"/>
      <c r="ETA17" s="62"/>
      <c r="ETB17" s="62"/>
      <c r="ETC17" s="62"/>
      <c r="ETD17" s="62"/>
      <c r="ETE17" s="62"/>
      <c r="ETF17" s="62"/>
      <c r="ETG17" s="62"/>
      <c r="ETH17" s="62"/>
      <c r="ETI17" s="62"/>
      <c r="ETJ17" s="62"/>
      <c r="ETK17" s="62"/>
      <c r="ETL17" s="62"/>
      <c r="ETM17" s="62"/>
      <c r="ETN17" s="62"/>
      <c r="ETO17" s="62"/>
      <c r="ETP17" s="62"/>
      <c r="ETQ17" s="62"/>
      <c r="ETR17" s="62"/>
      <c r="ETS17" s="62"/>
      <c r="ETT17" s="62"/>
      <c r="ETU17" s="62"/>
      <c r="ETV17" s="62"/>
      <c r="ETW17" s="62"/>
      <c r="ETX17" s="62"/>
      <c r="ETY17" s="62"/>
      <c r="ETZ17" s="62"/>
      <c r="EUA17" s="62"/>
      <c r="EUB17" s="62"/>
      <c r="EUC17" s="62"/>
      <c r="EUD17" s="62"/>
      <c r="EUE17" s="62"/>
      <c r="EUF17" s="62"/>
      <c r="EUG17" s="62"/>
      <c r="EUH17" s="62"/>
      <c r="EUI17" s="62"/>
      <c r="EUJ17" s="62"/>
      <c r="EUK17" s="62"/>
      <c r="EUL17" s="62"/>
      <c r="EUM17" s="62"/>
      <c r="EUN17" s="62"/>
      <c r="EUO17" s="62"/>
      <c r="EUP17" s="62"/>
      <c r="EUQ17" s="62"/>
      <c r="EUR17" s="62"/>
      <c r="EUS17" s="62"/>
      <c r="EUT17" s="62"/>
      <c r="EUU17" s="62"/>
      <c r="EUV17" s="62"/>
      <c r="EUW17" s="62"/>
      <c r="EUX17" s="62"/>
      <c r="EUY17" s="62"/>
      <c r="EUZ17" s="62"/>
      <c r="EVA17" s="62"/>
      <c r="EVB17" s="62"/>
      <c r="EVC17" s="62"/>
      <c r="EVD17" s="62"/>
      <c r="EVE17" s="62"/>
      <c r="EVF17" s="62"/>
      <c r="EVG17" s="62"/>
      <c r="EVH17" s="62"/>
      <c r="EVI17" s="62"/>
      <c r="EVJ17" s="62"/>
      <c r="EVK17" s="62"/>
      <c r="EVL17" s="62"/>
      <c r="EVM17" s="62"/>
      <c r="EVN17" s="62"/>
      <c r="EVO17" s="62"/>
      <c r="EVP17" s="62"/>
      <c r="EVQ17" s="62"/>
      <c r="EVR17" s="62"/>
      <c r="EVS17" s="62"/>
      <c r="EVT17" s="62"/>
      <c r="EVU17" s="62"/>
      <c r="EVV17" s="62"/>
      <c r="EVW17" s="62"/>
      <c r="EVX17" s="62"/>
      <c r="EVY17" s="62"/>
      <c r="EVZ17" s="62"/>
      <c r="EWA17" s="62"/>
      <c r="EWB17" s="62"/>
      <c r="EWC17" s="62"/>
      <c r="EWD17" s="62"/>
      <c r="EWE17" s="62"/>
      <c r="EWF17" s="62"/>
      <c r="EWG17" s="62"/>
      <c r="EWH17" s="62"/>
      <c r="EWI17" s="62"/>
      <c r="EWJ17" s="62"/>
      <c r="EWK17" s="62"/>
      <c r="EWL17" s="62"/>
      <c r="EWM17" s="62"/>
      <c r="EWN17" s="62"/>
      <c r="EWO17" s="62"/>
      <c r="EWP17" s="62"/>
      <c r="EWQ17" s="62"/>
      <c r="EWR17" s="62"/>
      <c r="EWS17" s="62"/>
      <c r="EWT17" s="62"/>
      <c r="EWU17" s="62"/>
      <c r="EWV17" s="62"/>
      <c r="EWW17" s="62"/>
      <c r="EWX17" s="62"/>
      <c r="EWY17" s="62"/>
      <c r="EWZ17" s="62"/>
      <c r="EXA17" s="62"/>
      <c r="EXB17" s="62"/>
      <c r="EXC17" s="62"/>
      <c r="EXD17" s="62"/>
      <c r="EXE17" s="62"/>
      <c r="EXF17" s="62"/>
      <c r="EXG17" s="62"/>
      <c r="EXH17" s="62"/>
      <c r="EXI17" s="62"/>
      <c r="EXJ17" s="62"/>
      <c r="EXK17" s="62"/>
      <c r="EXL17" s="62"/>
      <c r="EXM17" s="62"/>
      <c r="EXN17" s="62"/>
      <c r="EXO17" s="62"/>
      <c r="EXP17" s="62"/>
      <c r="EXQ17" s="62"/>
      <c r="EXR17" s="62"/>
      <c r="EXS17" s="62"/>
      <c r="EXT17" s="62"/>
      <c r="EXU17" s="62"/>
      <c r="EXV17" s="62"/>
      <c r="EXW17" s="62"/>
      <c r="EXX17" s="62"/>
      <c r="EXY17" s="62"/>
      <c r="EXZ17" s="62"/>
      <c r="EYA17" s="62"/>
      <c r="EYB17" s="62"/>
      <c r="EYC17" s="62"/>
      <c r="EYD17" s="62"/>
      <c r="EYE17" s="62"/>
      <c r="EYF17" s="62"/>
      <c r="EYG17" s="62"/>
      <c r="EYH17" s="62"/>
      <c r="EYI17" s="62"/>
      <c r="EYJ17" s="62"/>
      <c r="EYK17" s="62"/>
      <c r="EYL17" s="62"/>
      <c r="EYM17" s="62"/>
      <c r="EYN17" s="62"/>
      <c r="EYO17" s="62"/>
      <c r="EYP17" s="62"/>
      <c r="EYQ17" s="62"/>
      <c r="EYR17" s="62"/>
      <c r="EYS17" s="62"/>
      <c r="EYT17" s="62"/>
      <c r="EYU17" s="62"/>
      <c r="EYV17" s="62"/>
      <c r="EYW17" s="62"/>
      <c r="EYX17" s="62"/>
      <c r="EYY17" s="62"/>
      <c r="EYZ17" s="62"/>
      <c r="EZA17" s="62"/>
      <c r="EZB17" s="62"/>
      <c r="EZC17" s="62"/>
      <c r="EZD17" s="62"/>
      <c r="EZE17" s="62"/>
      <c r="EZF17" s="62"/>
      <c r="EZG17" s="62"/>
      <c r="EZH17" s="62"/>
      <c r="EZI17" s="62"/>
      <c r="EZJ17" s="62"/>
      <c r="EZK17" s="62"/>
      <c r="EZL17" s="62"/>
      <c r="EZM17" s="62"/>
      <c r="EZN17" s="62"/>
      <c r="EZO17" s="62"/>
      <c r="EZP17" s="62"/>
      <c r="EZQ17" s="62"/>
      <c r="EZR17" s="62"/>
      <c r="EZS17" s="62"/>
      <c r="EZT17" s="62"/>
      <c r="EZU17" s="62"/>
      <c r="EZV17" s="62"/>
      <c r="EZW17" s="62"/>
      <c r="EZX17" s="62"/>
      <c r="EZY17" s="62"/>
      <c r="EZZ17" s="62"/>
      <c r="FAA17" s="62"/>
      <c r="FAB17" s="62"/>
      <c r="FAC17" s="62"/>
      <c r="FAD17" s="62"/>
      <c r="FAE17" s="62"/>
      <c r="FAF17" s="62"/>
      <c r="FAG17" s="62"/>
      <c r="FAH17" s="62"/>
      <c r="FAI17" s="62"/>
      <c r="FAJ17" s="62"/>
      <c r="FAK17" s="62"/>
      <c r="FAL17" s="62"/>
      <c r="FAM17" s="62"/>
      <c r="FAN17" s="62"/>
      <c r="FAO17" s="62"/>
      <c r="FAP17" s="62"/>
      <c r="FAQ17" s="62"/>
      <c r="FAR17" s="62"/>
      <c r="FAS17" s="62"/>
      <c r="FAT17" s="62"/>
      <c r="FAU17" s="62"/>
      <c r="FAV17" s="62"/>
      <c r="FAW17" s="62"/>
      <c r="FAX17" s="62"/>
      <c r="FAY17" s="62"/>
      <c r="FAZ17" s="62"/>
      <c r="FBA17" s="62"/>
      <c r="FBB17" s="62"/>
      <c r="FBC17" s="62"/>
      <c r="FBD17" s="62"/>
      <c r="FBE17" s="62"/>
      <c r="FBF17" s="62"/>
      <c r="FBG17" s="62"/>
      <c r="FBH17" s="62"/>
      <c r="FBI17" s="62"/>
      <c r="FBJ17" s="62"/>
      <c r="FBK17" s="62"/>
      <c r="FBL17" s="62"/>
      <c r="FBM17" s="62"/>
      <c r="FBN17" s="62"/>
      <c r="FBO17" s="62"/>
      <c r="FBP17" s="62"/>
      <c r="FBQ17" s="62"/>
      <c r="FBR17" s="62"/>
      <c r="FBS17" s="62"/>
      <c r="FBT17" s="62"/>
      <c r="FBU17" s="62"/>
      <c r="FBV17" s="62"/>
      <c r="FBW17" s="62"/>
      <c r="FBX17" s="62"/>
      <c r="FBY17" s="62"/>
      <c r="FBZ17" s="62"/>
      <c r="FCA17" s="62"/>
      <c r="FCB17" s="62"/>
      <c r="FCC17" s="62"/>
      <c r="FCD17" s="62"/>
      <c r="FCE17" s="62"/>
      <c r="FCF17" s="62"/>
      <c r="FCG17" s="62"/>
      <c r="FCH17" s="62"/>
      <c r="FCI17" s="62"/>
      <c r="FCJ17" s="62"/>
      <c r="FCK17" s="62"/>
      <c r="FCL17" s="62"/>
      <c r="FCM17" s="62"/>
      <c r="FCN17" s="62"/>
      <c r="FCO17" s="62"/>
      <c r="FCP17" s="62"/>
      <c r="FCQ17" s="62"/>
      <c r="FCR17" s="62"/>
      <c r="FCS17" s="62"/>
      <c r="FCT17" s="62"/>
      <c r="FCU17" s="62"/>
      <c r="FCV17" s="62"/>
      <c r="FCW17" s="62"/>
      <c r="FCX17" s="62"/>
      <c r="FCY17" s="62"/>
      <c r="FCZ17" s="62"/>
      <c r="FDA17" s="62"/>
      <c r="FDB17" s="62"/>
      <c r="FDC17" s="62"/>
      <c r="FDD17" s="62"/>
      <c r="FDE17" s="62"/>
      <c r="FDF17" s="62"/>
      <c r="FDG17" s="62"/>
      <c r="FDH17" s="62"/>
      <c r="FDI17" s="62"/>
      <c r="FDJ17" s="62"/>
      <c r="FDK17" s="62"/>
      <c r="FDL17" s="62"/>
      <c r="FDM17" s="62"/>
      <c r="FDN17" s="62"/>
      <c r="FDO17" s="62"/>
      <c r="FDP17" s="62"/>
      <c r="FDQ17" s="62"/>
      <c r="FDR17" s="62"/>
      <c r="FDS17" s="62"/>
      <c r="FDT17" s="62"/>
      <c r="FDU17" s="62"/>
      <c r="FDV17" s="62"/>
      <c r="FDW17" s="62"/>
      <c r="FDX17" s="62"/>
      <c r="FDY17" s="62"/>
      <c r="FDZ17" s="62"/>
      <c r="FEA17" s="62"/>
      <c r="FEB17" s="62"/>
      <c r="FEC17" s="62"/>
      <c r="FED17" s="62"/>
      <c r="FEE17" s="62"/>
      <c r="FEF17" s="62"/>
      <c r="FEG17" s="62"/>
      <c r="FEH17" s="62"/>
      <c r="FEI17" s="62"/>
      <c r="FEJ17" s="62"/>
      <c r="FEK17" s="62"/>
      <c r="FEL17" s="62"/>
      <c r="FEM17" s="62"/>
      <c r="FEN17" s="62"/>
      <c r="FEO17" s="62"/>
      <c r="FEP17" s="62"/>
      <c r="FEQ17" s="62"/>
      <c r="FER17" s="62"/>
      <c r="FES17" s="62"/>
      <c r="FET17" s="62"/>
      <c r="FEU17" s="62"/>
      <c r="FEV17" s="62"/>
      <c r="FEW17" s="62"/>
      <c r="FEX17" s="62"/>
      <c r="FEY17" s="62"/>
      <c r="FEZ17" s="62"/>
      <c r="FFA17" s="62"/>
      <c r="FFB17" s="62"/>
      <c r="FFC17" s="62"/>
      <c r="FFD17" s="62"/>
      <c r="FFE17" s="62"/>
      <c r="FFF17" s="62"/>
      <c r="FFG17" s="62"/>
      <c r="FFH17" s="62"/>
      <c r="FFI17" s="62"/>
      <c r="FFJ17" s="62"/>
      <c r="FFK17" s="62"/>
      <c r="FFL17" s="62"/>
      <c r="FFM17" s="62"/>
      <c r="FFN17" s="62"/>
      <c r="FFO17" s="62"/>
      <c r="FFP17" s="62"/>
      <c r="FFQ17" s="62"/>
      <c r="FFR17" s="62"/>
      <c r="FFS17" s="62"/>
      <c r="FFT17" s="62"/>
      <c r="FFU17" s="62"/>
      <c r="FFV17" s="62"/>
      <c r="FFW17" s="62"/>
      <c r="FFX17" s="62"/>
      <c r="FFY17" s="62"/>
      <c r="FFZ17" s="62"/>
      <c r="FGA17" s="62"/>
      <c r="FGB17" s="62"/>
      <c r="FGC17" s="62"/>
      <c r="FGD17" s="62"/>
      <c r="FGE17" s="62"/>
      <c r="FGF17" s="62"/>
      <c r="FGG17" s="62"/>
      <c r="FGH17" s="62"/>
      <c r="FGI17" s="62"/>
      <c r="FGJ17" s="62"/>
      <c r="FGK17" s="62"/>
      <c r="FGL17" s="62"/>
      <c r="FGM17" s="62"/>
      <c r="FGN17" s="62"/>
      <c r="FGO17" s="62"/>
      <c r="FGP17" s="62"/>
      <c r="FGQ17" s="62"/>
      <c r="FGR17" s="62"/>
      <c r="FGS17" s="62"/>
      <c r="FGT17" s="62"/>
      <c r="FGU17" s="62"/>
      <c r="FGV17" s="62"/>
      <c r="FGW17" s="62"/>
      <c r="FGX17" s="62"/>
      <c r="FGY17" s="62"/>
      <c r="FGZ17" s="62"/>
      <c r="FHA17" s="62"/>
      <c r="FHB17" s="62"/>
      <c r="FHC17" s="62"/>
      <c r="FHD17" s="62"/>
      <c r="FHE17" s="62"/>
      <c r="FHF17" s="62"/>
      <c r="FHG17" s="62"/>
      <c r="FHH17" s="62"/>
      <c r="FHI17" s="62"/>
      <c r="FHJ17" s="62"/>
      <c r="FHK17" s="62"/>
      <c r="FHL17" s="62"/>
      <c r="FHM17" s="62"/>
      <c r="FHN17" s="62"/>
      <c r="FHO17" s="62"/>
      <c r="FHP17" s="62"/>
      <c r="FHQ17" s="62"/>
      <c r="FHR17" s="62"/>
      <c r="FHS17" s="62"/>
      <c r="FHT17" s="62"/>
      <c r="FHU17" s="62"/>
      <c r="FHV17" s="62"/>
      <c r="FHW17" s="62"/>
      <c r="FHX17" s="62"/>
      <c r="FHY17" s="62"/>
      <c r="FHZ17" s="62"/>
      <c r="FIA17" s="62"/>
      <c r="FIB17" s="62"/>
      <c r="FIC17" s="62"/>
      <c r="FID17" s="62"/>
      <c r="FIE17" s="62"/>
      <c r="FIF17" s="62"/>
      <c r="FIG17" s="62"/>
      <c r="FIH17" s="62"/>
      <c r="FII17" s="62"/>
      <c r="FIJ17" s="62"/>
      <c r="FIK17" s="62"/>
      <c r="FIL17" s="62"/>
      <c r="FIM17" s="62"/>
      <c r="FIN17" s="62"/>
      <c r="FIO17" s="62"/>
      <c r="FIP17" s="62"/>
      <c r="FIQ17" s="62"/>
      <c r="FIR17" s="62"/>
      <c r="FIS17" s="62"/>
      <c r="FIT17" s="62"/>
      <c r="FIU17" s="62"/>
      <c r="FIV17" s="62"/>
      <c r="FIW17" s="62"/>
      <c r="FIX17" s="62"/>
      <c r="FIY17" s="62"/>
      <c r="FIZ17" s="62"/>
      <c r="FJA17" s="62"/>
      <c r="FJB17" s="62"/>
      <c r="FJC17" s="62"/>
      <c r="FJD17" s="62"/>
      <c r="FJE17" s="62"/>
      <c r="FJF17" s="62"/>
      <c r="FJG17" s="62"/>
      <c r="FJH17" s="62"/>
      <c r="FJI17" s="62"/>
      <c r="FJJ17" s="62"/>
      <c r="FJK17" s="62"/>
      <c r="FJL17" s="62"/>
      <c r="FJM17" s="62"/>
      <c r="FJN17" s="62"/>
      <c r="FJO17" s="62"/>
      <c r="FJP17" s="62"/>
      <c r="FJQ17" s="62"/>
      <c r="FJR17" s="62"/>
      <c r="FJS17" s="62"/>
      <c r="FJT17" s="62"/>
      <c r="FJU17" s="62"/>
      <c r="FJV17" s="62"/>
      <c r="FJW17" s="62"/>
      <c r="FJX17" s="62"/>
      <c r="FJY17" s="62"/>
      <c r="FJZ17" s="62"/>
      <c r="FKA17" s="62"/>
      <c r="FKB17" s="62"/>
      <c r="FKC17" s="62"/>
      <c r="FKD17" s="62"/>
      <c r="FKE17" s="62"/>
      <c r="FKF17" s="62"/>
      <c r="FKG17" s="62"/>
      <c r="FKH17" s="62"/>
      <c r="FKI17" s="62"/>
      <c r="FKJ17" s="62"/>
      <c r="FKK17" s="62"/>
      <c r="FKL17" s="62"/>
      <c r="FKM17" s="62"/>
      <c r="FKN17" s="62"/>
      <c r="FKO17" s="62"/>
      <c r="FKP17" s="62"/>
      <c r="FKQ17" s="62"/>
      <c r="FKR17" s="62"/>
      <c r="FKS17" s="62"/>
      <c r="FKT17" s="62"/>
      <c r="FKU17" s="62"/>
      <c r="FKV17" s="62"/>
      <c r="FKW17" s="62"/>
      <c r="FKX17" s="62"/>
      <c r="FKY17" s="62"/>
      <c r="FKZ17" s="62"/>
      <c r="FLA17" s="62"/>
      <c r="FLB17" s="62"/>
      <c r="FLC17" s="62"/>
      <c r="FLD17" s="62"/>
      <c r="FLE17" s="62"/>
      <c r="FLF17" s="62"/>
      <c r="FLG17" s="62"/>
      <c r="FLH17" s="62"/>
      <c r="FLI17" s="62"/>
      <c r="FLJ17" s="62"/>
      <c r="FLK17" s="62"/>
      <c r="FLL17" s="62"/>
      <c r="FLM17" s="62"/>
      <c r="FLN17" s="62"/>
      <c r="FLO17" s="62"/>
      <c r="FLP17" s="62"/>
      <c r="FLQ17" s="62"/>
      <c r="FLR17" s="62"/>
      <c r="FLS17" s="62"/>
      <c r="FLT17" s="62"/>
      <c r="FLU17" s="62"/>
      <c r="FLV17" s="62"/>
      <c r="FLW17" s="62"/>
      <c r="FLX17" s="62"/>
      <c r="FLY17" s="62"/>
      <c r="FLZ17" s="62"/>
      <c r="FMA17" s="62"/>
      <c r="FMB17" s="62"/>
      <c r="FMC17" s="62"/>
      <c r="FMD17" s="62"/>
      <c r="FME17" s="62"/>
      <c r="FMF17" s="62"/>
      <c r="FMG17" s="62"/>
      <c r="FMH17" s="62"/>
      <c r="FMI17" s="62"/>
      <c r="FMJ17" s="62"/>
      <c r="FMK17" s="62"/>
      <c r="FML17" s="62"/>
      <c r="FMM17" s="62"/>
      <c r="FMN17" s="62"/>
      <c r="FMO17" s="62"/>
      <c r="FMP17" s="62"/>
      <c r="FMQ17" s="62"/>
      <c r="FMR17" s="62"/>
      <c r="FMS17" s="62"/>
      <c r="FMT17" s="62"/>
      <c r="FMU17" s="62"/>
      <c r="FMV17" s="62"/>
      <c r="FMW17" s="62"/>
      <c r="FMX17" s="62"/>
      <c r="FMY17" s="62"/>
      <c r="FMZ17" s="62"/>
      <c r="FNA17" s="62"/>
      <c r="FNB17" s="62"/>
      <c r="FNC17" s="62"/>
      <c r="FND17" s="62"/>
      <c r="FNE17" s="62"/>
      <c r="FNF17" s="62"/>
      <c r="FNG17" s="62"/>
      <c r="FNH17" s="62"/>
      <c r="FNI17" s="62"/>
      <c r="FNJ17" s="62"/>
      <c r="FNK17" s="62"/>
      <c r="FNL17" s="62"/>
      <c r="FNM17" s="62"/>
      <c r="FNN17" s="62"/>
      <c r="FNO17" s="62"/>
      <c r="FNP17" s="62"/>
      <c r="FNQ17" s="62"/>
      <c r="FNR17" s="62"/>
      <c r="FNS17" s="62"/>
      <c r="FNT17" s="62"/>
      <c r="FNU17" s="62"/>
      <c r="FNV17" s="62"/>
      <c r="FNW17" s="62"/>
      <c r="FNX17" s="62"/>
      <c r="FNY17" s="62"/>
      <c r="FNZ17" s="62"/>
      <c r="FOA17" s="62"/>
      <c r="FOB17" s="62"/>
      <c r="FOC17" s="62"/>
      <c r="FOD17" s="62"/>
      <c r="FOE17" s="62"/>
      <c r="FOF17" s="62"/>
      <c r="FOG17" s="62"/>
      <c r="FOH17" s="62"/>
      <c r="FOI17" s="62"/>
      <c r="FOJ17" s="62"/>
      <c r="FOK17" s="62"/>
      <c r="FOL17" s="62"/>
      <c r="FOM17" s="62"/>
      <c r="FON17" s="62"/>
      <c r="FOO17" s="62"/>
      <c r="FOP17" s="62"/>
      <c r="FOQ17" s="62"/>
      <c r="FOR17" s="62"/>
      <c r="FOS17" s="62"/>
      <c r="FOT17" s="62"/>
      <c r="FOU17" s="62"/>
      <c r="FOV17" s="62"/>
      <c r="FOW17" s="62"/>
      <c r="FOX17" s="62"/>
      <c r="FOY17" s="62"/>
      <c r="FOZ17" s="62"/>
      <c r="FPA17" s="62"/>
      <c r="FPB17" s="62"/>
      <c r="FPC17" s="62"/>
      <c r="FPD17" s="62"/>
      <c r="FPE17" s="62"/>
      <c r="FPF17" s="62"/>
      <c r="FPG17" s="62"/>
      <c r="FPH17" s="62"/>
      <c r="FPI17" s="62"/>
      <c r="FPJ17" s="62"/>
      <c r="FPK17" s="62"/>
      <c r="FPL17" s="62"/>
      <c r="FPM17" s="62"/>
      <c r="FPN17" s="62"/>
      <c r="FPO17" s="62"/>
      <c r="FPP17" s="62"/>
      <c r="FPQ17" s="62"/>
      <c r="FPR17" s="62"/>
      <c r="FPS17" s="62"/>
      <c r="FPT17" s="62"/>
      <c r="FPU17" s="62"/>
      <c r="FPV17" s="62"/>
      <c r="FPW17" s="62"/>
      <c r="FPX17" s="62"/>
      <c r="FPY17" s="62"/>
      <c r="FPZ17" s="62"/>
      <c r="FQA17" s="62"/>
      <c r="FQB17" s="62"/>
      <c r="FQC17" s="62"/>
      <c r="FQD17" s="62"/>
      <c r="FQE17" s="62"/>
      <c r="FQF17" s="62"/>
      <c r="FQG17" s="62"/>
      <c r="FQH17" s="62"/>
      <c r="FQI17" s="62"/>
      <c r="FQJ17" s="62"/>
      <c r="FQK17" s="62"/>
      <c r="FQL17" s="62"/>
      <c r="FQM17" s="62"/>
      <c r="FQN17" s="62"/>
      <c r="FQO17" s="62"/>
      <c r="FQP17" s="62"/>
      <c r="FQQ17" s="62"/>
      <c r="FQR17" s="62"/>
      <c r="FQS17" s="62"/>
      <c r="FQT17" s="62"/>
      <c r="FQU17" s="62"/>
      <c r="FQV17" s="62"/>
      <c r="FQW17" s="62"/>
      <c r="FQX17" s="62"/>
      <c r="FQY17" s="62"/>
      <c r="FQZ17" s="62"/>
      <c r="FRA17" s="62"/>
      <c r="FRB17" s="62"/>
      <c r="FRC17" s="62"/>
      <c r="FRD17" s="62"/>
      <c r="FRE17" s="62"/>
      <c r="FRF17" s="62"/>
      <c r="FRG17" s="62"/>
      <c r="FRH17" s="62"/>
      <c r="FRI17" s="62"/>
      <c r="FRJ17" s="62"/>
      <c r="FRK17" s="62"/>
      <c r="FRL17" s="62"/>
      <c r="FRM17" s="62"/>
      <c r="FRN17" s="62"/>
      <c r="FRO17" s="62"/>
      <c r="FRP17" s="62"/>
      <c r="FRQ17" s="62"/>
      <c r="FRR17" s="62"/>
      <c r="FRS17" s="62"/>
      <c r="FRT17" s="62"/>
      <c r="FRU17" s="62"/>
      <c r="FRV17" s="62"/>
      <c r="FRW17" s="62"/>
      <c r="FRX17" s="62"/>
      <c r="FRY17" s="62"/>
      <c r="FRZ17" s="62"/>
      <c r="FSA17" s="62"/>
      <c r="FSB17" s="62"/>
      <c r="FSC17" s="62"/>
      <c r="FSD17" s="62"/>
      <c r="FSE17" s="62"/>
      <c r="FSF17" s="62"/>
      <c r="FSG17" s="62"/>
      <c r="FSH17" s="62"/>
      <c r="FSI17" s="62"/>
      <c r="FSJ17" s="62"/>
      <c r="FSK17" s="62"/>
      <c r="FSL17" s="62"/>
      <c r="FSM17" s="62"/>
      <c r="FSN17" s="62"/>
      <c r="FSO17" s="62"/>
      <c r="FSP17" s="62"/>
      <c r="FSQ17" s="62"/>
      <c r="FSR17" s="62"/>
      <c r="FSS17" s="62"/>
      <c r="FST17" s="62"/>
      <c r="FSU17" s="62"/>
      <c r="FSV17" s="62"/>
      <c r="FSW17" s="62"/>
      <c r="FSX17" s="62"/>
      <c r="FSY17" s="62"/>
      <c r="FSZ17" s="62"/>
      <c r="FTA17" s="62"/>
      <c r="FTB17" s="62"/>
      <c r="FTC17" s="62"/>
      <c r="FTD17" s="62"/>
      <c r="FTE17" s="62"/>
      <c r="FTF17" s="62"/>
      <c r="FTG17" s="62"/>
      <c r="FTH17" s="62"/>
      <c r="FTI17" s="62"/>
      <c r="FTJ17" s="62"/>
      <c r="FTK17" s="62"/>
      <c r="FTL17" s="62"/>
      <c r="FTM17" s="62"/>
      <c r="FTN17" s="62"/>
      <c r="FTO17" s="62"/>
      <c r="FTP17" s="62"/>
      <c r="FTQ17" s="62"/>
      <c r="FTR17" s="62"/>
      <c r="FTS17" s="62"/>
      <c r="FTT17" s="62"/>
      <c r="FTU17" s="62"/>
      <c r="FTV17" s="62"/>
      <c r="FTW17" s="62"/>
      <c r="FTX17" s="62"/>
      <c r="FTY17" s="62"/>
      <c r="FTZ17" s="62"/>
      <c r="FUA17" s="62"/>
      <c r="FUB17" s="62"/>
      <c r="FUC17" s="62"/>
      <c r="FUD17" s="62"/>
      <c r="FUE17" s="62"/>
      <c r="FUF17" s="62"/>
      <c r="FUG17" s="62"/>
      <c r="FUH17" s="62"/>
      <c r="FUI17" s="62"/>
      <c r="FUJ17" s="62"/>
      <c r="FUK17" s="62"/>
      <c r="FUL17" s="62"/>
      <c r="FUM17" s="62"/>
      <c r="FUN17" s="62"/>
      <c r="FUO17" s="62"/>
      <c r="FUP17" s="62"/>
      <c r="FUQ17" s="62"/>
      <c r="FUR17" s="62"/>
      <c r="FUS17" s="62"/>
      <c r="FUT17" s="62"/>
      <c r="FUU17" s="62"/>
      <c r="FUV17" s="62"/>
      <c r="FUW17" s="62"/>
      <c r="FUX17" s="62"/>
      <c r="FUY17" s="62"/>
      <c r="FUZ17" s="62"/>
      <c r="FVA17" s="62"/>
      <c r="FVB17" s="62"/>
      <c r="FVC17" s="62"/>
      <c r="FVD17" s="62"/>
      <c r="FVE17" s="62"/>
      <c r="FVF17" s="62"/>
      <c r="FVG17" s="62"/>
      <c r="FVH17" s="62"/>
      <c r="FVI17" s="62"/>
      <c r="FVJ17" s="62"/>
      <c r="FVK17" s="62"/>
      <c r="FVL17" s="62"/>
      <c r="FVM17" s="62"/>
      <c r="FVN17" s="62"/>
      <c r="FVO17" s="62"/>
      <c r="FVP17" s="62"/>
      <c r="FVQ17" s="62"/>
      <c r="FVR17" s="62"/>
      <c r="FVS17" s="62"/>
      <c r="FVT17" s="62"/>
      <c r="FVU17" s="62"/>
      <c r="FVV17" s="62"/>
      <c r="FVW17" s="62"/>
      <c r="FVX17" s="62"/>
      <c r="FVY17" s="62"/>
      <c r="FVZ17" s="62"/>
      <c r="FWA17" s="62"/>
      <c r="FWB17" s="62"/>
      <c r="FWC17" s="62"/>
      <c r="FWD17" s="62"/>
      <c r="FWE17" s="62"/>
      <c r="FWF17" s="62"/>
      <c r="FWG17" s="62"/>
      <c r="FWH17" s="62"/>
      <c r="FWI17" s="62"/>
      <c r="FWJ17" s="62"/>
      <c r="FWK17" s="62"/>
      <c r="FWL17" s="62"/>
      <c r="FWM17" s="62"/>
      <c r="FWN17" s="62"/>
      <c r="FWO17" s="62"/>
      <c r="FWP17" s="62"/>
      <c r="FWQ17" s="62"/>
      <c r="FWR17" s="62"/>
      <c r="FWS17" s="62"/>
      <c r="FWT17" s="62"/>
      <c r="FWU17" s="62"/>
      <c r="FWV17" s="62"/>
      <c r="FWW17" s="62"/>
      <c r="FWX17" s="62"/>
      <c r="FWY17" s="62"/>
      <c r="FWZ17" s="62"/>
      <c r="FXA17" s="62"/>
      <c r="FXB17" s="62"/>
      <c r="FXC17" s="62"/>
      <c r="FXD17" s="62"/>
      <c r="FXE17" s="62"/>
      <c r="FXF17" s="62"/>
      <c r="FXG17" s="62"/>
      <c r="FXH17" s="62"/>
      <c r="FXI17" s="62"/>
      <c r="FXJ17" s="62"/>
      <c r="FXK17" s="62"/>
      <c r="FXL17" s="62"/>
      <c r="FXM17" s="62"/>
      <c r="FXN17" s="62"/>
      <c r="FXO17" s="62"/>
      <c r="FXP17" s="62"/>
      <c r="FXQ17" s="62"/>
      <c r="FXR17" s="62"/>
      <c r="FXS17" s="62"/>
      <c r="FXT17" s="62"/>
      <c r="FXU17" s="62"/>
      <c r="FXV17" s="62"/>
      <c r="FXW17" s="62"/>
      <c r="FXX17" s="62"/>
      <c r="FXY17" s="62"/>
      <c r="FXZ17" s="62"/>
      <c r="FYA17" s="62"/>
      <c r="FYB17" s="62"/>
      <c r="FYC17" s="62"/>
      <c r="FYD17" s="62"/>
      <c r="FYE17" s="62"/>
      <c r="FYF17" s="62"/>
      <c r="FYG17" s="62"/>
      <c r="FYH17" s="62"/>
      <c r="FYI17" s="62"/>
      <c r="FYJ17" s="62"/>
      <c r="FYK17" s="62"/>
      <c r="FYL17" s="62"/>
      <c r="FYM17" s="62"/>
      <c r="FYN17" s="62"/>
      <c r="FYO17" s="62"/>
      <c r="FYP17" s="62"/>
      <c r="FYQ17" s="62"/>
      <c r="FYR17" s="62"/>
      <c r="FYS17" s="62"/>
      <c r="FYT17" s="62"/>
      <c r="FYU17" s="62"/>
      <c r="FYV17" s="62"/>
      <c r="FYW17" s="62"/>
      <c r="FYX17" s="62"/>
      <c r="FYY17" s="62"/>
      <c r="FYZ17" s="62"/>
      <c r="FZA17" s="62"/>
      <c r="FZB17" s="62"/>
      <c r="FZC17" s="62"/>
      <c r="FZD17" s="62"/>
      <c r="FZE17" s="62"/>
      <c r="FZF17" s="62"/>
      <c r="FZG17" s="62"/>
      <c r="FZH17" s="62"/>
      <c r="FZI17" s="62"/>
      <c r="FZJ17" s="62"/>
      <c r="FZK17" s="62"/>
      <c r="FZL17" s="62"/>
      <c r="FZM17" s="62"/>
      <c r="FZN17" s="62"/>
      <c r="FZO17" s="62"/>
      <c r="FZP17" s="62"/>
      <c r="FZQ17" s="62"/>
      <c r="FZR17" s="62"/>
      <c r="FZS17" s="62"/>
      <c r="FZT17" s="62"/>
      <c r="FZU17" s="62"/>
      <c r="FZV17" s="62"/>
      <c r="FZW17" s="62"/>
      <c r="FZX17" s="62"/>
      <c r="FZY17" s="62"/>
      <c r="FZZ17" s="62"/>
      <c r="GAA17" s="62"/>
      <c r="GAB17" s="62"/>
      <c r="GAC17" s="62"/>
      <c r="GAD17" s="62"/>
      <c r="GAE17" s="62"/>
      <c r="GAF17" s="62"/>
      <c r="GAG17" s="62"/>
      <c r="GAH17" s="62"/>
      <c r="GAI17" s="62"/>
      <c r="GAJ17" s="62"/>
      <c r="GAK17" s="62"/>
      <c r="GAL17" s="62"/>
      <c r="GAM17" s="62"/>
      <c r="GAN17" s="62"/>
      <c r="GAO17" s="62"/>
      <c r="GAP17" s="62"/>
      <c r="GAQ17" s="62"/>
      <c r="GAR17" s="62"/>
      <c r="GAS17" s="62"/>
      <c r="GAT17" s="62"/>
      <c r="GAU17" s="62"/>
      <c r="GAV17" s="62"/>
      <c r="GAW17" s="62"/>
      <c r="GAX17" s="62"/>
      <c r="GAY17" s="62"/>
      <c r="GAZ17" s="62"/>
      <c r="GBA17" s="62"/>
      <c r="GBB17" s="62"/>
      <c r="GBC17" s="62"/>
      <c r="GBD17" s="62"/>
      <c r="GBE17" s="62"/>
      <c r="GBF17" s="62"/>
      <c r="GBG17" s="62"/>
      <c r="GBH17" s="62"/>
      <c r="GBI17" s="62"/>
      <c r="GBJ17" s="62"/>
      <c r="GBK17" s="62"/>
      <c r="GBL17" s="62"/>
      <c r="GBM17" s="62"/>
      <c r="GBN17" s="62"/>
      <c r="GBO17" s="62"/>
      <c r="GBP17" s="62"/>
      <c r="GBQ17" s="62"/>
      <c r="GBR17" s="62"/>
      <c r="GBS17" s="62"/>
      <c r="GBT17" s="62"/>
      <c r="GBU17" s="62"/>
      <c r="GBV17" s="62"/>
      <c r="GBW17" s="62"/>
      <c r="GBX17" s="62"/>
      <c r="GBY17" s="62"/>
      <c r="GBZ17" s="62"/>
      <c r="GCA17" s="62"/>
      <c r="GCB17" s="62"/>
      <c r="GCC17" s="62"/>
      <c r="GCD17" s="62"/>
      <c r="GCE17" s="62"/>
      <c r="GCF17" s="62"/>
      <c r="GCG17" s="62"/>
      <c r="GCH17" s="62"/>
      <c r="GCI17" s="62"/>
      <c r="GCJ17" s="62"/>
      <c r="GCK17" s="62"/>
      <c r="GCL17" s="62"/>
      <c r="GCM17" s="62"/>
      <c r="GCN17" s="62"/>
      <c r="GCO17" s="62"/>
      <c r="GCP17" s="62"/>
      <c r="GCQ17" s="62"/>
      <c r="GCR17" s="62"/>
      <c r="GCS17" s="62"/>
      <c r="GCT17" s="62"/>
      <c r="GCU17" s="62"/>
      <c r="GCV17" s="62"/>
      <c r="GCW17" s="62"/>
      <c r="GCX17" s="62"/>
      <c r="GCY17" s="62"/>
      <c r="GCZ17" s="62"/>
      <c r="GDA17" s="62"/>
      <c r="GDB17" s="62"/>
      <c r="GDC17" s="62"/>
      <c r="GDD17" s="62"/>
      <c r="GDE17" s="62"/>
      <c r="GDF17" s="62"/>
      <c r="GDG17" s="62"/>
      <c r="GDH17" s="62"/>
      <c r="GDI17" s="62"/>
      <c r="GDJ17" s="62"/>
      <c r="GDK17" s="62"/>
      <c r="GDL17" s="62"/>
      <c r="GDM17" s="62"/>
      <c r="GDN17" s="62"/>
      <c r="GDO17" s="62"/>
      <c r="GDP17" s="62"/>
      <c r="GDQ17" s="62"/>
      <c r="GDR17" s="62"/>
      <c r="GDS17" s="62"/>
      <c r="GDT17" s="62"/>
      <c r="GDU17" s="62"/>
      <c r="GDV17" s="62"/>
      <c r="GDW17" s="62"/>
      <c r="GDX17" s="62"/>
      <c r="GDY17" s="62"/>
      <c r="GDZ17" s="62"/>
      <c r="GEA17" s="62"/>
      <c r="GEB17" s="62"/>
      <c r="GEC17" s="62"/>
      <c r="GED17" s="62"/>
      <c r="GEE17" s="62"/>
      <c r="GEF17" s="62"/>
      <c r="GEG17" s="62"/>
      <c r="GEH17" s="62"/>
      <c r="GEI17" s="62"/>
      <c r="GEJ17" s="62"/>
      <c r="GEK17" s="62"/>
      <c r="GEL17" s="62"/>
      <c r="GEM17" s="62"/>
      <c r="GEN17" s="62"/>
      <c r="GEO17" s="62"/>
      <c r="GEP17" s="62"/>
      <c r="GEQ17" s="62"/>
      <c r="GER17" s="62"/>
      <c r="GES17" s="62"/>
      <c r="GET17" s="62"/>
      <c r="GEU17" s="62"/>
      <c r="GEV17" s="62"/>
      <c r="GEW17" s="62"/>
      <c r="GEX17" s="62"/>
      <c r="GEY17" s="62"/>
      <c r="GEZ17" s="62"/>
      <c r="GFA17" s="62"/>
      <c r="GFB17" s="62"/>
      <c r="GFC17" s="62"/>
      <c r="GFD17" s="62"/>
      <c r="GFE17" s="62"/>
      <c r="GFF17" s="62"/>
      <c r="GFG17" s="62"/>
      <c r="GFH17" s="62"/>
      <c r="GFI17" s="62"/>
      <c r="GFJ17" s="62"/>
      <c r="GFK17" s="62"/>
      <c r="GFL17" s="62"/>
      <c r="GFM17" s="62"/>
      <c r="GFN17" s="62"/>
      <c r="GFO17" s="62"/>
      <c r="GFP17" s="62"/>
      <c r="GFQ17" s="62"/>
      <c r="GFR17" s="62"/>
      <c r="GFS17" s="62"/>
      <c r="GFT17" s="62"/>
      <c r="GFU17" s="62"/>
      <c r="GFV17" s="62"/>
      <c r="GFW17" s="62"/>
      <c r="GFX17" s="62"/>
      <c r="GFY17" s="62"/>
      <c r="GFZ17" s="62"/>
      <c r="GGA17" s="62"/>
      <c r="GGB17" s="62"/>
      <c r="GGC17" s="62"/>
      <c r="GGD17" s="62"/>
      <c r="GGE17" s="62"/>
      <c r="GGF17" s="62"/>
      <c r="GGG17" s="62"/>
      <c r="GGH17" s="62"/>
      <c r="GGI17" s="62"/>
      <c r="GGJ17" s="62"/>
      <c r="GGK17" s="62"/>
      <c r="GGL17" s="62"/>
      <c r="GGM17" s="62"/>
      <c r="GGN17" s="62"/>
      <c r="GGO17" s="62"/>
      <c r="GGP17" s="62"/>
      <c r="GGQ17" s="62"/>
      <c r="GGR17" s="62"/>
      <c r="GGS17" s="62"/>
      <c r="GGT17" s="62"/>
      <c r="GGU17" s="62"/>
      <c r="GGV17" s="62"/>
      <c r="GGW17" s="62"/>
      <c r="GGX17" s="62"/>
      <c r="GGY17" s="62"/>
      <c r="GGZ17" s="62"/>
      <c r="GHA17" s="62"/>
      <c r="GHB17" s="62"/>
      <c r="GHC17" s="62"/>
      <c r="GHD17" s="62"/>
      <c r="GHE17" s="62"/>
      <c r="GHF17" s="62"/>
      <c r="GHG17" s="62"/>
      <c r="GHH17" s="62"/>
      <c r="GHI17" s="62"/>
      <c r="GHJ17" s="62"/>
      <c r="GHK17" s="62"/>
      <c r="GHL17" s="62"/>
      <c r="GHM17" s="62"/>
      <c r="GHN17" s="62"/>
      <c r="GHO17" s="62"/>
      <c r="GHP17" s="62"/>
      <c r="GHQ17" s="62"/>
      <c r="GHR17" s="62"/>
      <c r="GHS17" s="62"/>
      <c r="GHT17" s="62"/>
      <c r="GHU17" s="62"/>
      <c r="GHV17" s="62"/>
      <c r="GHW17" s="62"/>
      <c r="GHX17" s="62"/>
      <c r="GHY17" s="62"/>
      <c r="GHZ17" s="62"/>
      <c r="GIA17" s="62"/>
      <c r="GIB17" s="62"/>
      <c r="GIC17" s="62"/>
      <c r="GID17" s="62"/>
      <c r="GIE17" s="62"/>
      <c r="GIF17" s="62"/>
      <c r="GIG17" s="62"/>
      <c r="GIH17" s="62"/>
      <c r="GII17" s="62"/>
      <c r="GIJ17" s="62"/>
      <c r="GIK17" s="62"/>
      <c r="GIL17" s="62"/>
      <c r="GIM17" s="62"/>
      <c r="GIN17" s="62"/>
      <c r="GIO17" s="62"/>
      <c r="GIP17" s="62"/>
      <c r="GIQ17" s="62"/>
      <c r="GIR17" s="62"/>
      <c r="GIS17" s="62"/>
      <c r="GIT17" s="62"/>
      <c r="GIU17" s="62"/>
      <c r="GIV17" s="62"/>
      <c r="GIW17" s="62"/>
      <c r="GIX17" s="62"/>
      <c r="GIY17" s="62"/>
      <c r="GIZ17" s="62"/>
      <c r="GJA17" s="62"/>
      <c r="GJB17" s="62"/>
      <c r="GJC17" s="62"/>
      <c r="GJD17" s="62"/>
      <c r="GJE17" s="62"/>
      <c r="GJF17" s="62"/>
      <c r="GJG17" s="62"/>
      <c r="GJH17" s="62"/>
      <c r="GJI17" s="62"/>
      <c r="GJJ17" s="62"/>
      <c r="GJK17" s="62"/>
      <c r="GJL17" s="62"/>
      <c r="GJM17" s="62"/>
      <c r="GJN17" s="62"/>
      <c r="GJO17" s="62"/>
      <c r="GJP17" s="62"/>
      <c r="GJQ17" s="62"/>
      <c r="GJR17" s="62"/>
      <c r="GJS17" s="62"/>
      <c r="GJT17" s="62"/>
      <c r="GJU17" s="62"/>
      <c r="GJV17" s="62"/>
      <c r="GJW17" s="62"/>
      <c r="GJX17" s="62"/>
      <c r="GJY17" s="62"/>
      <c r="GJZ17" s="62"/>
      <c r="GKA17" s="62"/>
      <c r="GKB17" s="62"/>
      <c r="GKC17" s="62"/>
      <c r="GKD17" s="62"/>
      <c r="GKE17" s="62"/>
      <c r="GKF17" s="62"/>
      <c r="GKG17" s="62"/>
      <c r="GKH17" s="62"/>
      <c r="GKI17" s="62"/>
      <c r="GKJ17" s="62"/>
      <c r="GKK17" s="62"/>
      <c r="GKL17" s="62"/>
      <c r="GKM17" s="62"/>
      <c r="GKN17" s="62"/>
      <c r="GKO17" s="62"/>
      <c r="GKP17" s="62"/>
      <c r="GKQ17" s="62"/>
      <c r="GKR17" s="62"/>
      <c r="GKS17" s="62"/>
      <c r="GKT17" s="62"/>
      <c r="GKU17" s="62"/>
      <c r="GKV17" s="62"/>
      <c r="GKW17" s="62"/>
      <c r="GKX17" s="62"/>
      <c r="GKY17" s="62"/>
      <c r="GKZ17" s="62"/>
      <c r="GLA17" s="62"/>
      <c r="GLB17" s="62"/>
      <c r="GLC17" s="62"/>
      <c r="GLD17" s="62"/>
      <c r="GLE17" s="62"/>
      <c r="GLF17" s="62"/>
      <c r="GLG17" s="62"/>
      <c r="GLH17" s="62"/>
      <c r="GLI17" s="62"/>
      <c r="GLJ17" s="62"/>
      <c r="GLK17" s="62"/>
      <c r="GLL17" s="62"/>
      <c r="GLM17" s="62"/>
      <c r="GLN17" s="62"/>
      <c r="GLO17" s="62"/>
      <c r="GLP17" s="62"/>
      <c r="GLQ17" s="62"/>
      <c r="GLR17" s="62"/>
      <c r="GLS17" s="62"/>
      <c r="GLT17" s="62"/>
      <c r="GLU17" s="62"/>
      <c r="GLV17" s="62"/>
      <c r="GLW17" s="62"/>
      <c r="GLX17" s="62"/>
      <c r="GLY17" s="62"/>
      <c r="GLZ17" s="62"/>
      <c r="GMA17" s="62"/>
      <c r="GMB17" s="62"/>
      <c r="GMC17" s="62"/>
      <c r="GMD17" s="62"/>
      <c r="GME17" s="62"/>
      <c r="GMF17" s="62"/>
      <c r="GMG17" s="62"/>
      <c r="GMH17" s="62"/>
      <c r="GMI17" s="62"/>
      <c r="GMJ17" s="62"/>
      <c r="GMK17" s="62"/>
      <c r="GML17" s="62"/>
      <c r="GMM17" s="62"/>
      <c r="GMN17" s="62"/>
      <c r="GMO17" s="62"/>
      <c r="GMP17" s="62"/>
      <c r="GMQ17" s="62"/>
      <c r="GMR17" s="62"/>
      <c r="GMS17" s="62"/>
      <c r="GMT17" s="62"/>
      <c r="GMU17" s="62"/>
      <c r="GMV17" s="62"/>
      <c r="GMW17" s="62"/>
      <c r="GMX17" s="62"/>
      <c r="GMY17" s="62"/>
      <c r="GMZ17" s="62"/>
      <c r="GNA17" s="62"/>
      <c r="GNB17" s="62"/>
      <c r="GNC17" s="62"/>
      <c r="GND17" s="62"/>
      <c r="GNE17" s="62"/>
      <c r="GNF17" s="62"/>
      <c r="GNG17" s="62"/>
      <c r="GNH17" s="62"/>
      <c r="GNI17" s="62"/>
      <c r="GNJ17" s="62"/>
      <c r="GNK17" s="62"/>
      <c r="GNL17" s="62"/>
      <c r="GNM17" s="62"/>
      <c r="GNN17" s="62"/>
      <c r="GNO17" s="62"/>
      <c r="GNP17" s="62"/>
      <c r="GNQ17" s="62"/>
      <c r="GNR17" s="62"/>
      <c r="GNS17" s="62"/>
      <c r="GNT17" s="62"/>
      <c r="GNU17" s="62"/>
      <c r="GNV17" s="62"/>
      <c r="GNW17" s="62"/>
      <c r="GNX17" s="62"/>
      <c r="GNY17" s="62"/>
      <c r="GNZ17" s="62"/>
      <c r="GOA17" s="62"/>
      <c r="GOB17" s="62"/>
      <c r="GOC17" s="62"/>
      <c r="GOD17" s="62"/>
      <c r="GOE17" s="62"/>
      <c r="GOF17" s="62"/>
      <c r="GOG17" s="62"/>
      <c r="GOH17" s="62"/>
      <c r="GOI17" s="62"/>
      <c r="GOJ17" s="62"/>
      <c r="GOK17" s="62"/>
      <c r="GOL17" s="62"/>
      <c r="GOM17" s="62"/>
      <c r="GON17" s="62"/>
      <c r="GOO17" s="62"/>
      <c r="GOP17" s="62"/>
      <c r="GOQ17" s="62"/>
      <c r="GOR17" s="62"/>
      <c r="GOS17" s="62"/>
      <c r="GOT17" s="62"/>
      <c r="GOU17" s="62"/>
      <c r="GOV17" s="62"/>
      <c r="GOW17" s="62"/>
      <c r="GOX17" s="62"/>
      <c r="GOY17" s="62"/>
      <c r="GOZ17" s="62"/>
      <c r="GPA17" s="62"/>
      <c r="GPB17" s="62"/>
      <c r="GPC17" s="62"/>
      <c r="GPD17" s="62"/>
      <c r="GPE17" s="62"/>
      <c r="GPF17" s="62"/>
      <c r="GPG17" s="62"/>
      <c r="GPH17" s="62"/>
      <c r="GPI17" s="62"/>
      <c r="GPJ17" s="62"/>
      <c r="GPK17" s="62"/>
      <c r="GPL17" s="62"/>
      <c r="GPM17" s="62"/>
      <c r="GPN17" s="62"/>
      <c r="GPO17" s="62"/>
      <c r="GPP17" s="62"/>
      <c r="GPQ17" s="62"/>
      <c r="GPR17" s="62"/>
      <c r="GPS17" s="62"/>
      <c r="GPT17" s="62"/>
      <c r="GPU17" s="62"/>
      <c r="GPV17" s="62"/>
      <c r="GPW17" s="62"/>
      <c r="GPX17" s="62"/>
      <c r="GPY17" s="62"/>
      <c r="GPZ17" s="62"/>
      <c r="GQA17" s="62"/>
      <c r="GQB17" s="62"/>
      <c r="GQC17" s="62"/>
      <c r="GQD17" s="62"/>
      <c r="GQE17" s="62"/>
      <c r="GQF17" s="62"/>
      <c r="GQG17" s="62"/>
      <c r="GQH17" s="62"/>
      <c r="GQI17" s="62"/>
      <c r="GQJ17" s="62"/>
      <c r="GQK17" s="62"/>
      <c r="GQL17" s="62"/>
      <c r="GQM17" s="62"/>
      <c r="GQN17" s="62"/>
      <c r="GQO17" s="62"/>
      <c r="GQP17" s="62"/>
      <c r="GQQ17" s="62"/>
      <c r="GQR17" s="62"/>
      <c r="GQS17" s="62"/>
      <c r="GQT17" s="62"/>
      <c r="GQU17" s="62"/>
      <c r="GQV17" s="62"/>
      <c r="GQW17" s="62"/>
      <c r="GQX17" s="62"/>
      <c r="GQY17" s="62"/>
      <c r="GQZ17" s="62"/>
      <c r="GRA17" s="62"/>
      <c r="GRB17" s="62"/>
      <c r="GRC17" s="62"/>
      <c r="GRD17" s="62"/>
      <c r="GRE17" s="62"/>
      <c r="GRF17" s="62"/>
      <c r="GRG17" s="62"/>
      <c r="GRH17" s="62"/>
      <c r="GRI17" s="62"/>
      <c r="GRJ17" s="62"/>
      <c r="GRK17" s="62"/>
      <c r="GRL17" s="62"/>
      <c r="GRM17" s="62"/>
      <c r="GRN17" s="62"/>
      <c r="GRO17" s="62"/>
      <c r="GRP17" s="62"/>
      <c r="GRQ17" s="62"/>
      <c r="GRR17" s="62"/>
      <c r="GRS17" s="62"/>
      <c r="GRT17" s="62"/>
      <c r="GRU17" s="62"/>
      <c r="GRV17" s="62"/>
      <c r="GRW17" s="62"/>
      <c r="GRX17" s="62"/>
      <c r="GRY17" s="62"/>
      <c r="GRZ17" s="62"/>
      <c r="GSA17" s="62"/>
      <c r="GSB17" s="62"/>
      <c r="GSC17" s="62"/>
      <c r="GSD17" s="62"/>
      <c r="GSE17" s="62"/>
      <c r="GSF17" s="62"/>
      <c r="GSG17" s="62"/>
      <c r="GSH17" s="62"/>
      <c r="GSI17" s="62"/>
      <c r="GSJ17" s="62"/>
      <c r="GSK17" s="62"/>
      <c r="GSL17" s="62"/>
      <c r="GSM17" s="62"/>
      <c r="GSN17" s="62"/>
      <c r="GSO17" s="62"/>
      <c r="GSP17" s="62"/>
      <c r="GSQ17" s="62"/>
      <c r="GSR17" s="62"/>
      <c r="GSS17" s="62"/>
      <c r="GST17" s="62"/>
      <c r="GSU17" s="62"/>
      <c r="GSV17" s="62"/>
      <c r="GSW17" s="62"/>
      <c r="GSX17" s="62"/>
      <c r="GSY17" s="62"/>
      <c r="GSZ17" s="62"/>
      <c r="GTA17" s="62"/>
      <c r="GTB17" s="62"/>
      <c r="GTC17" s="62"/>
      <c r="GTD17" s="62"/>
      <c r="GTE17" s="62"/>
      <c r="GTF17" s="62"/>
      <c r="GTG17" s="62"/>
      <c r="GTH17" s="62"/>
      <c r="GTI17" s="62"/>
      <c r="GTJ17" s="62"/>
      <c r="GTK17" s="62"/>
      <c r="GTL17" s="62"/>
      <c r="GTM17" s="62"/>
      <c r="GTN17" s="62"/>
      <c r="GTO17" s="62"/>
      <c r="GTP17" s="62"/>
      <c r="GTQ17" s="62"/>
      <c r="GTR17" s="62"/>
      <c r="GTS17" s="62"/>
      <c r="GTT17" s="62"/>
      <c r="GTU17" s="62"/>
      <c r="GTV17" s="62"/>
      <c r="GTW17" s="62"/>
      <c r="GTX17" s="62"/>
      <c r="GTY17" s="62"/>
      <c r="GTZ17" s="62"/>
      <c r="GUA17" s="62"/>
      <c r="GUB17" s="62"/>
      <c r="GUC17" s="62"/>
      <c r="GUD17" s="62"/>
      <c r="GUE17" s="62"/>
      <c r="GUF17" s="62"/>
      <c r="GUG17" s="62"/>
      <c r="GUH17" s="62"/>
      <c r="GUI17" s="62"/>
      <c r="GUJ17" s="62"/>
      <c r="GUK17" s="62"/>
      <c r="GUL17" s="62"/>
      <c r="GUM17" s="62"/>
      <c r="GUN17" s="62"/>
      <c r="GUO17" s="62"/>
      <c r="GUP17" s="62"/>
      <c r="GUQ17" s="62"/>
      <c r="GUR17" s="62"/>
      <c r="GUS17" s="62"/>
      <c r="GUT17" s="62"/>
      <c r="GUU17" s="62"/>
      <c r="GUV17" s="62"/>
      <c r="GUW17" s="62"/>
      <c r="GUX17" s="62"/>
      <c r="GUY17" s="62"/>
      <c r="GUZ17" s="62"/>
      <c r="GVA17" s="62"/>
      <c r="GVB17" s="62"/>
      <c r="GVC17" s="62"/>
      <c r="GVD17" s="62"/>
      <c r="GVE17" s="62"/>
      <c r="GVF17" s="62"/>
      <c r="GVG17" s="62"/>
      <c r="GVH17" s="62"/>
      <c r="GVI17" s="62"/>
      <c r="GVJ17" s="62"/>
      <c r="GVK17" s="62"/>
      <c r="GVL17" s="62"/>
      <c r="GVM17" s="62"/>
      <c r="GVN17" s="62"/>
      <c r="GVO17" s="62"/>
      <c r="GVP17" s="62"/>
      <c r="GVQ17" s="62"/>
      <c r="GVR17" s="62"/>
      <c r="GVS17" s="62"/>
      <c r="GVT17" s="62"/>
      <c r="GVU17" s="62"/>
      <c r="GVV17" s="62"/>
      <c r="GVW17" s="62"/>
      <c r="GVX17" s="62"/>
      <c r="GVY17" s="62"/>
      <c r="GVZ17" s="62"/>
      <c r="GWA17" s="62"/>
      <c r="GWB17" s="62"/>
      <c r="GWC17" s="62"/>
      <c r="GWD17" s="62"/>
      <c r="GWE17" s="62"/>
      <c r="GWF17" s="62"/>
      <c r="GWG17" s="62"/>
      <c r="GWH17" s="62"/>
      <c r="GWI17" s="62"/>
      <c r="GWJ17" s="62"/>
      <c r="GWK17" s="62"/>
      <c r="GWL17" s="62"/>
      <c r="GWM17" s="62"/>
      <c r="GWN17" s="62"/>
      <c r="GWO17" s="62"/>
      <c r="GWP17" s="62"/>
      <c r="GWQ17" s="62"/>
      <c r="GWR17" s="62"/>
      <c r="GWS17" s="62"/>
      <c r="GWT17" s="62"/>
      <c r="GWU17" s="62"/>
      <c r="GWV17" s="62"/>
      <c r="GWW17" s="62"/>
      <c r="GWX17" s="62"/>
      <c r="GWY17" s="62"/>
      <c r="GWZ17" s="62"/>
      <c r="GXA17" s="62"/>
      <c r="GXB17" s="62"/>
      <c r="GXC17" s="62"/>
      <c r="GXD17" s="62"/>
      <c r="GXE17" s="62"/>
      <c r="GXF17" s="62"/>
      <c r="GXG17" s="62"/>
      <c r="GXH17" s="62"/>
      <c r="GXI17" s="62"/>
      <c r="GXJ17" s="62"/>
      <c r="GXK17" s="62"/>
      <c r="GXL17" s="62"/>
      <c r="GXM17" s="62"/>
      <c r="GXN17" s="62"/>
      <c r="GXO17" s="62"/>
      <c r="GXP17" s="62"/>
      <c r="GXQ17" s="62"/>
      <c r="GXR17" s="62"/>
      <c r="GXS17" s="62"/>
      <c r="GXT17" s="62"/>
      <c r="GXU17" s="62"/>
      <c r="GXV17" s="62"/>
      <c r="GXW17" s="62"/>
      <c r="GXX17" s="62"/>
      <c r="GXY17" s="62"/>
      <c r="GXZ17" s="62"/>
      <c r="GYA17" s="62"/>
      <c r="GYB17" s="62"/>
      <c r="GYC17" s="62"/>
      <c r="GYD17" s="62"/>
      <c r="GYE17" s="62"/>
      <c r="GYF17" s="62"/>
      <c r="GYG17" s="62"/>
      <c r="GYH17" s="62"/>
      <c r="GYI17" s="62"/>
      <c r="GYJ17" s="62"/>
      <c r="GYK17" s="62"/>
      <c r="GYL17" s="62"/>
      <c r="GYM17" s="62"/>
      <c r="GYN17" s="62"/>
      <c r="GYO17" s="62"/>
      <c r="GYP17" s="62"/>
      <c r="GYQ17" s="62"/>
      <c r="GYR17" s="62"/>
      <c r="GYS17" s="62"/>
      <c r="GYT17" s="62"/>
      <c r="GYU17" s="62"/>
      <c r="GYV17" s="62"/>
      <c r="GYW17" s="62"/>
      <c r="GYX17" s="62"/>
      <c r="GYY17" s="62"/>
      <c r="GYZ17" s="62"/>
      <c r="GZA17" s="62"/>
      <c r="GZB17" s="62"/>
      <c r="GZC17" s="62"/>
      <c r="GZD17" s="62"/>
      <c r="GZE17" s="62"/>
      <c r="GZF17" s="62"/>
      <c r="GZG17" s="62"/>
      <c r="GZH17" s="62"/>
      <c r="GZI17" s="62"/>
      <c r="GZJ17" s="62"/>
      <c r="GZK17" s="62"/>
      <c r="GZL17" s="62"/>
      <c r="GZM17" s="62"/>
      <c r="GZN17" s="62"/>
      <c r="GZO17" s="62"/>
      <c r="GZP17" s="62"/>
      <c r="GZQ17" s="62"/>
      <c r="GZR17" s="62"/>
      <c r="GZS17" s="62"/>
      <c r="GZT17" s="62"/>
      <c r="GZU17" s="62"/>
      <c r="GZV17" s="62"/>
      <c r="GZW17" s="62"/>
      <c r="GZX17" s="62"/>
      <c r="GZY17" s="62"/>
      <c r="GZZ17" s="62"/>
      <c r="HAA17" s="62"/>
      <c r="HAB17" s="62"/>
      <c r="HAC17" s="62"/>
      <c r="HAD17" s="62"/>
      <c r="HAE17" s="62"/>
      <c r="HAF17" s="62"/>
      <c r="HAG17" s="62"/>
      <c r="HAH17" s="62"/>
      <c r="HAI17" s="62"/>
      <c r="HAJ17" s="62"/>
      <c r="HAK17" s="62"/>
      <c r="HAL17" s="62"/>
      <c r="HAM17" s="62"/>
      <c r="HAN17" s="62"/>
      <c r="HAO17" s="62"/>
      <c r="HAP17" s="62"/>
      <c r="HAQ17" s="62"/>
      <c r="HAR17" s="62"/>
      <c r="HAS17" s="62"/>
      <c r="HAT17" s="62"/>
      <c r="HAU17" s="62"/>
      <c r="HAV17" s="62"/>
      <c r="HAW17" s="62"/>
      <c r="HAX17" s="62"/>
      <c r="HAY17" s="62"/>
      <c r="HAZ17" s="62"/>
      <c r="HBA17" s="62"/>
      <c r="HBB17" s="62"/>
      <c r="HBC17" s="62"/>
      <c r="HBD17" s="62"/>
      <c r="HBE17" s="62"/>
      <c r="HBF17" s="62"/>
      <c r="HBG17" s="62"/>
      <c r="HBH17" s="62"/>
      <c r="HBI17" s="62"/>
      <c r="HBJ17" s="62"/>
      <c r="HBK17" s="62"/>
      <c r="HBL17" s="62"/>
      <c r="HBM17" s="62"/>
      <c r="HBN17" s="62"/>
      <c r="HBO17" s="62"/>
      <c r="HBP17" s="62"/>
      <c r="HBQ17" s="62"/>
      <c r="HBR17" s="62"/>
      <c r="HBS17" s="62"/>
      <c r="HBT17" s="62"/>
      <c r="HBU17" s="62"/>
      <c r="HBV17" s="62"/>
      <c r="HBW17" s="62"/>
      <c r="HBX17" s="62"/>
      <c r="HBY17" s="62"/>
      <c r="HBZ17" s="62"/>
      <c r="HCA17" s="62"/>
      <c r="HCB17" s="62"/>
      <c r="HCC17" s="62"/>
      <c r="HCD17" s="62"/>
      <c r="HCE17" s="62"/>
      <c r="HCF17" s="62"/>
      <c r="HCG17" s="62"/>
      <c r="HCH17" s="62"/>
      <c r="HCI17" s="62"/>
      <c r="HCJ17" s="62"/>
      <c r="HCK17" s="62"/>
      <c r="HCL17" s="62"/>
      <c r="HCM17" s="62"/>
      <c r="HCN17" s="62"/>
      <c r="HCO17" s="62"/>
      <c r="HCP17" s="62"/>
      <c r="HCQ17" s="62"/>
      <c r="HCR17" s="62"/>
      <c r="HCS17" s="62"/>
      <c r="HCT17" s="62"/>
      <c r="HCU17" s="62"/>
      <c r="HCV17" s="62"/>
      <c r="HCW17" s="62"/>
      <c r="HCX17" s="62"/>
      <c r="HCY17" s="62"/>
      <c r="HCZ17" s="62"/>
      <c r="HDA17" s="62"/>
      <c r="HDB17" s="62"/>
      <c r="HDC17" s="62"/>
      <c r="HDD17" s="62"/>
      <c r="HDE17" s="62"/>
      <c r="HDF17" s="62"/>
      <c r="HDG17" s="62"/>
      <c r="HDH17" s="62"/>
      <c r="HDI17" s="62"/>
      <c r="HDJ17" s="62"/>
      <c r="HDK17" s="62"/>
      <c r="HDL17" s="62"/>
      <c r="HDM17" s="62"/>
      <c r="HDN17" s="62"/>
      <c r="HDO17" s="62"/>
      <c r="HDP17" s="62"/>
      <c r="HDQ17" s="62"/>
      <c r="HDR17" s="62"/>
      <c r="HDS17" s="62"/>
      <c r="HDT17" s="62"/>
      <c r="HDU17" s="62"/>
      <c r="HDV17" s="62"/>
      <c r="HDW17" s="62"/>
      <c r="HDX17" s="62"/>
      <c r="HDY17" s="62"/>
      <c r="HDZ17" s="62"/>
      <c r="HEA17" s="62"/>
      <c r="HEB17" s="62"/>
      <c r="HEC17" s="62"/>
      <c r="HED17" s="62"/>
      <c r="HEE17" s="62"/>
      <c r="HEF17" s="62"/>
      <c r="HEG17" s="62"/>
      <c r="HEH17" s="62"/>
      <c r="HEI17" s="62"/>
      <c r="HEJ17" s="62"/>
      <c r="HEK17" s="62"/>
      <c r="HEL17" s="62"/>
      <c r="HEM17" s="62"/>
      <c r="HEN17" s="62"/>
      <c r="HEO17" s="62"/>
      <c r="HEP17" s="62"/>
      <c r="HEQ17" s="62"/>
      <c r="HER17" s="62"/>
      <c r="HES17" s="62"/>
      <c r="HET17" s="62"/>
      <c r="HEU17" s="62"/>
      <c r="HEV17" s="62"/>
      <c r="HEW17" s="62"/>
      <c r="HEX17" s="62"/>
      <c r="HEY17" s="62"/>
      <c r="HEZ17" s="62"/>
      <c r="HFA17" s="62"/>
      <c r="HFB17" s="62"/>
      <c r="HFC17" s="62"/>
      <c r="HFD17" s="62"/>
      <c r="HFE17" s="62"/>
      <c r="HFF17" s="62"/>
      <c r="HFG17" s="62"/>
      <c r="HFH17" s="62"/>
      <c r="HFI17" s="62"/>
      <c r="HFJ17" s="62"/>
      <c r="HFK17" s="62"/>
      <c r="HFL17" s="62"/>
      <c r="HFM17" s="62"/>
      <c r="HFN17" s="62"/>
      <c r="HFO17" s="62"/>
      <c r="HFP17" s="62"/>
      <c r="HFQ17" s="62"/>
      <c r="HFR17" s="62"/>
      <c r="HFS17" s="62"/>
      <c r="HFT17" s="62"/>
      <c r="HFU17" s="62"/>
      <c r="HFV17" s="62"/>
      <c r="HFW17" s="62"/>
      <c r="HFX17" s="62"/>
      <c r="HFY17" s="62"/>
      <c r="HFZ17" s="62"/>
      <c r="HGA17" s="62"/>
      <c r="HGB17" s="62"/>
      <c r="HGC17" s="62"/>
      <c r="HGD17" s="62"/>
      <c r="HGE17" s="62"/>
      <c r="HGF17" s="62"/>
      <c r="HGG17" s="62"/>
      <c r="HGH17" s="62"/>
      <c r="HGI17" s="62"/>
      <c r="HGJ17" s="62"/>
      <c r="HGK17" s="62"/>
      <c r="HGL17" s="62"/>
      <c r="HGM17" s="62"/>
      <c r="HGN17" s="62"/>
      <c r="HGO17" s="62"/>
      <c r="HGP17" s="62"/>
      <c r="HGQ17" s="62"/>
      <c r="HGR17" s="62"/>
      <c r="HGS17" s="62"/>
      <c r="HGT17" s="62"/>
      <c r="HGU17" s="62"/>
      <c r="HGV17" s="62"/>
      <c r="HGW17" s="62"/>
      <c r="HGX17" s="62"/>
      <c r="HGY17" s="62"/>
      <c r="HGZ17" s="62"/>
      <c r="HHA17" s="62"/>
      <c r="HHB17" s="62"/>
      <c r="HHC17" s="62"/>
      <c r="HHD17" s="62"/>
      <c r="HHE17" s="62"/>
      <c r="HHF17" s="62"/>
      <c r="HHG17" s="62"/>
      <c r="HHH17" s="62"/>
      <c r="HHI17" s="62"/>
      <c r="HHJ17" s="62"/>
      <c r="HHK17" s="62"/>
      <c r="HHL17" s="62"/>
      <c r="HHM17" s="62"/>
      <c r="HHN17" s="62"/>
      <c r="HHO17" s="62"/>
      <c r="HHP17" s="62"/>
      <c r="HHQ17" s="62"/>
      <c r="HHR17" s="62"/>
      <c r="HHS17" s="62"/>
      <c r="HHT17" s="62"/>
      <c r="HHU17" s="62"/>
      <c r="HHV17" s="62"/>
      <c r="HHW17" s="62"/>
      <c r="HHX17" s="62"/>
      <c r="HHY17" s="62"/>
      <c r="HHZ17" s="62"/>
      <c r="HIA17" s="62"/>
      <c r="HIB17" s="62"/>
      <c r="HIC17" s="62"/>
      <c r="HID17" s="62"/>
      <c r="HIE17" s="62"/>
      <c r="HIF17" s="62"/>
      <c r="HIG17" s="62"/>
      <c r="HIH17" s="62"/>
      <c r="HII17" s="62"/>
      <c r="HIJ17" s="62"/>
      <c r="HIK17" s="62"/>
      <c r="HIL17" s="62"/>
      <c r="HIM17" s="62"/>
      <c r="HIN17" s="62"/>
      <c r="HIO17" s="62"/>
      <c r="HIP17" s="62"/>
      <c r="HIQ17" s="62"/>
      <c r="HIR17" s="62"/>
      <c r="HIS17" s="62"/>
      <c r="HIT17" s="62"/>
      <c r="HIU17" s="62"/>
      <c r="HIV17" s="62"/>
      <c r="HIW17" s="62"/>
      <c r="HIX17" s="62"/>
      <c r="HIY17" s="62"/>
      <c r="HIZ17" s="62"/>
      <c r="HJA17" s="62"/>
      <c r="HJB17" s="62"/>
      <c r="HJC17" s="62"/>
      <c r="HJD17" s="62"/>
      <c r="HJE17" s="62"/>
      <c r="HJF17" s="62"/>
      <c r="HJG17" s="62"/>
      <c r="HJH17" s="62"/>
      <c r="HJI17" s="62"/>
      <c r="HJJ17" s="62"/>
      <c r="HJK17" s="62"/>
      <c r="HJL17" s="62"/>
      <c r="HJM17" s="62"/>
      <c r="HJN17" s="62"/>
      <c r="HJO17" s="62"/>
      <c r="HJP17" s="62"/>
      <c r="HJQ17" s="62"/>
      <c r="HJR17" s="62"/>
      <c r="HJS17" s="62"/>
      <c r="HJT17" s="62"/>
      <c r="HJU17" s="62"/>
      <c r="HJV17" s="62"/>
      <c r="HJW17" s="62"/>
      <c r="HJX17" s="62"/>
      <c r="HJY17" s="62"/>
      <c r="HJZ17" s="62"/>
      <c r="HKA17" s="62"/>
      <c r="HKB17" s="62"/>
      <c r="HKC17" s="62"/>
      <c r="HKD17" s="62"/>
      <c r="HKE17" s="62"/>
      <c r="HKF17" s="62"/>
      <c r="HKG17" s="62"/>
      <c r="HKH17" s="62"/>
      <c r="HKI17" s="62"/>
      <c r="HKJ17" s="62"/>
      <c r="HKK17" s="62"/>
      <c r="HKL17" s="62"/>
      <c r="HKM17" s="62"/>
      <c r="HKN17" s="62"/>
      <c r="HKO17" s="62"/>
      <c r="HKP17" s="62"/>
      <c r="HKQ17" s="62"/>
      <c r="HKR17" s="62"/>
      <c r="HKS17" s="62"/>
      <c r="HKT17" s="62"/>
      <c r="HKU17" s="62"/>
      <c r="HKV17" s="62"/>
      <c r="HKW17" s="62"/>
      <c r="HKX17" s="62"/>
      <c r="HKY17" s="62"/>
      <c r="HKZ17" s="62"/>
      <c r="HLA17" s="62"/>
      <c r="HLB17" s="62"/>
      <c r="HLC17" s="62"/>
      <c r="HLD17" s="62"/>
      <c r="HLE17" s="62"/>
      <c r="HLF17" s="62"/>
      <c r="HLG17" s="62"/>
      <c r="HLH17" s="62"/>
      <c r="HLI17" s="62"/>
      <c r="HLJ17" s="62"/>
      <c r="HLK17" s="62"/>
      <c r="HLL17" s="62"/>
      <c r="HLM17" s="62"/>
      <c r="HLN17" s="62"/>
      <c r="HLO17" s="62"/>
      <c r="HLP17" s="62"/>
      <c r="HLQ17" s="62"/>
      <c r="HLR17" s="62"/>
      <c r="HLS17" s="62"/>
      <c r="HLT17" s="62"/>
      <c r="HLU17" s="62"/>
      <c r="HLV17" s="62"/>
      <c r="HLW17" s="62"/>
      <c r="HLX17" s="62"/>
      <c r="HLY17" s="62"/>
      <c r="HLZ17" s="62"/>
      <c r="HMA17" s="62"/>
      <c r="HMB17" s="62"/>
      <c r="HMC17" s="62"/>
      <c r="HMD17" s="62"/>
      <c r="HME17" s="62"/>
      <c r="HMF17" s="62"/>
      <c r="HMG17" s="62"/>
      <c r="HMH17" s="62"/>
      <c r="HMI17" s="62"/>
      <c r="HMJ17" s="62"/>
      <c r="HMK17" s="62"/>
      <c r="HML17" s="62"/>
      <c r="HMM17" s="62"/>
      <c r="HMN17" s="62"/>
      <c r="HMO17" s="62"/>
      <c r="HMP17" s="62"/>
      <c r="HMQ17" s="62"/>
      <c r="HMR17" s="62"/>
      <c r="HMS17" s="62"/>
      <c r="HMT17" s="62"/>
      <c r="HMU17" s="62"/>
      <c r="HMV17" s="62"/>
      <c r="HMW17" s="62"/>
      <c r="HMX17" s="62"/>
      <c r="HMY17" s="62"/>
      <c r="HMZ17" s="62"/>
      <c r="HNA17" s="62"/>
      <c r="HNB17" s="62"/>
      <c r="HNC17" s="62"/>
      <c r="HND17" s="62"/>
      <c r="HNE17" s="62"/>
      <c r="HNF17" s="62"/>
      <c r="HNG17" s="62"/>
      <c r="HNH17" s="62"/>
      <c r="HNI17" s="62"/>
      <c r="HNJ17" s="62"/>
      <c r="HNK17" s="62"/>
      <c r="HNL17" s="62"/>
      <c r="HNM17" s="62"/>
      <c r="HNN17" s="62"/>
      <c r="HNO17" s="62"/>
      <c r="HNP17" s="62"/>
      <c r="HNQ17" s="62"/>
      <c r="HNR17" s="62"/>
      <c r="HNS17" s="62"/>
      <c r="HNT17" s="62"/>
      <c r="HNU17" s="62"/>
      <c r="HNV17" s="62"/>
      <c r="HNW17" s="62"/>
      <c r="HNX17" s="62"/>
      <c r="HNY17" s="62"/>
      <c r="HNZ17" s="62"/>
      <c r="HOA17" s="62"/>
      <c r="HOB17" s="62"/>
      <c r="HOC17" s="62"/>
      <c r="HOD17" s="62"/>
      <c r="HOE17" s="62"/>
      <c r="HOF17" s="62"/>
      <c r="HOG17" s="62"/>
      <c r="HOH17" s="62"/>
      <c r="HOI17" s="62"/>
      <c r="HOJ17" s="62"/>
      <c r="HOK17" s="62"/>
      <c r="HOL17" s="62"/>
      <c r="HOM17" s="62"/>
      <c r="HON17" s="62"/>
      <c r="HOO17" s="62"/>
      <c r="HOP17" s="62"/>
      <c r="HOQ17" s="62"/>
      <c r="HOR17" s="62"/>
      <c r="HOS17" s="62"/>
      <c r="HOT17" s="62"/>
      <c r="HOU17" s="62"/>
      <c r="HOV17" s="62"/>
      <c r="HOW17" s="62"/>
      <c r="HOX17" s="62"/>
      <c r="HOY17" s="62"/>
      <c r="HOZ17" s="62"/>
      <c r="HPA17" s="62"/>
      <c r="HPB17" s="62"/>
      <c r="HPC17" s="62"/>
      <c r="HPD17" s="62"/>
      <c r="HPE17" s="62"/>
      <c r="HPF17" s="62"/>
      <c r="HPG17" s="62"/>
      <c r="HPH17" s="62"/>
      <c r="HPI17" s="62"/>
      <c r="HPJ17" s="62"/>
      <c r="HPK17" s="62"/>
      <c r="HPL17" s="62"/>
      <c r="HPM17" s="62"/>
      <c r="HPN17" s="62"/>
      <c r="HPO17" s="62"/>
      <c r="HPP17" s="62"/>
      <c r="HPQ17" s="62"/>
      <c r="HPR17" s="62"/>
      <c r="HPS17" s="62"/>
      <c r="HPT17" s="62"/>
      <c r="HPU17" s="62"/>
      <c r="HPV17" s="62"/>
      <c r="HPW17" s="62"/>
      <c r="HPX17" s="62"/>
      <c r="HPY17" s="62"/>
      <c r="HPZ17" s="62"/>
      <c r="HQA17" s="62"/>
      <c r="HQB17" s="62"/>
      <c r="HQC17" s="62"/>
      <c r="HQD17" s="62"/>
      <c r="HQE17" s="62"/>
      <c r="HQF17" s="62"/>
      <c r="HQG17" s="62"/>
      <c r="HQH17" s="62"/>
      <c r="HQI17" s="62"/>
      <c r="HQJ17" s="62"/>
      <c r="HQK17" s="62"/>
      <c r="HQL17" s="62"/>
      <c r="HQM17" s="62"/>
      <c r="HQN17" s="62"/>
      <c r="HQO17" s="62"/>
      <c r="HQP17" s="62"/>
      <c r="HQQ17" s="62"/>
      <c r="HQR17" s="62"/>
      <c r="HQS17" s="62"/>
      <c r="HQT17" s="62"/>
      <c r="HQU17" s="62"/>
      <c r="HQV17" s="62"/>
      <c r="HQW17" s="62"/>
      <c r="HQX17" s="62"/>
      <c r="HQY17" s="62"/>
      <c r="HQZ17" s="62"/>
      <c r="HRA17" s="62"/>
      <c r="HRB17" s="62"/>
      <c r="HRC17" s="62"/>
      <c r="HRD17" s="62"/>
      <c r="HRE17" s="62"/>
      <c r="HRF17" s="62"/>
      <c r="HRG17" s="62"/>
      <c r="HRH17" s="62"/>
      <c r="HRI17" s="62"/>
      <c r="HRJ17" s="62"/>
      <c r="HRK17" s="62"/>
      <c r="HRL17" s="62"/>
      <c r="HRM17" s="62"/>
      <c r="HRN17" s="62"/>
      <c r="HRO17" s="62"/>
      <c r="HRP17" s="62"/>
      <c r="HRQ17" s="62"/>
      <c r="HRR17" s="62"/>
      <c r="HRS17" s="62"/>
      <c r="HRT17" s="62"/>
      <c r="HRU17" s="62"/>
      <c r="HRV17" s="62"/>
      <c r="HRW17" s="62"/>
      <c r="HRX17" s="62"/>
      <c r="HRY17" s="62"/>
      <c r="HRZ17" s="62"/>
      <c r="HSA17" s="62"/>
      <c r="HSB17" s="62"/>
      <c r="HSC17" s="62"/>
      <c r="HSD17" s="62"/>
      <c r="HSE17" s="62"/>
      <c r="HSF17" s="62"/>
      <c r="HSG17" s="62"/>
      <c r="HSH17" s="62"/>
      <c r="HSI17" s="62"/>
      <c r="HSJ17" s="62"/>
      <c r="HSK17" s="62"/>
      <c r="HSL17" s="62"/>
      <c r="HSM17" s="62"/>
      <c r="HSN17" s="62"/>
      <c r="HSO17" s="62"/>
      <c r="HSP17" s="62"/>
      <c r="HSQ17" s="62"/>
      <c r="HSR17" s="62"/>
      <c r="HSS17" s="62"/>
      <c r="HST17" s="62"/>
      <c r="HSU17" s="62"/>
      <c r="HSV17" s="62"/>
      <c r="HSW17" s="62"/>
      <c r="HSX17" s="62"/>
      <c r="HSY17" s="62"/>
      <c r="HSZ17" s="62"/>
      <c r="HTA17" s="62"/>
      <c r="HTB17" s="62"/>
      <c r="HTC17" s="62"/>
      <c r="HTD17" s="62"/>
      <c r="HTE17" s="62"/>
      <c r="HTF17" s="62"/>
      <c r="HTG17" s="62"/>
      <c r="HTH17" s="62"/>
      <c r="HTI17" s="62"/>
      <c r="HTJ17" s="62"/>
      <c r="HTK17" s="62"/>
      <c r="HTL17" s="62"/>
      <c r="HTM17" s="62"/>
      <c r="HTN17" s="62"/>
      <c r="HTO17" s="62"/>
      <c r="HTP17" s="62"/>
      <c r="HTQ17" s="62"/>
      <c r="HTR17" s="62"/>
      <c r="HTS17" s="62"/>
      <c r="HTT17" s="62"/>
      <c r="HTU17" s="62"/>
      <c r="HTV17" s="62"/>
      <c r="HTW17" s="62"/>
      <c r="HTX17" s="62"/>
      <c r="HTY17" s="62"/>
      <c r="HTZ17" s="62"/>
      <c r="HUA17" s="62"/>
      <c r="HUB17" s="62"/>
      <c r="HUC17" s="62"/>
      <c r="HUD17" s="62"/>
      <c r="HUE17" s="62"/>
      <c r="HUF17" s="62"/>
      <c r="HUG17" s="62"/>
      <c r="HUH17" s="62"/>
      <c r="HUI17" s="62"/>
      <c r="HUJ17" s="62"/>
      <c r="HUK17" s="62"/>
      <c r="HUL17" s="62"/>
      <c r="HUM17" s="62"/>
      <c r="HUN17" s="62"/>
      <c r="HUO17" s="62"/>
      <c r="HUP17" s="62"/>
      <c r="HUQ17" s="62"/>
      <c r="HUR17" s="62"/>
      <c r="HUS17" s="62"/>
      <c r="HUT17" s="62"/>
      <c r="HUU17" s="62"/>
      <c r="HUV17" s="62"/>
      <c r="HUW17" s="62"/>
      <c r="HUX17" s="62"/>
      <c r="HUY17" s="62"/>
      <c r="HUZ17" s="62"/>
      <c r="HVA17" s="62"/>
      <c r="HVB17" s="62"/>
      <c r="HVC17" s="62"/>
      <c r="HVD17" s="62"/>
      <c r="HVE17" s="62"/>
      <c r="HVF17" s="62"/>
      <c r="HVG17" s="62"/>
      <c r="HVH17" s="62"/>
      <c r="HVI17" s="62"/>
      <c r="HVJ17" s="62"/>
      <c r="HVK17" s="62"/>
      <c r="HVL17" s="62"/>
      <c r="HVM17" s="62"/>
      <c r="HVN17" s="62"/>
      <c r="HVO17" s="62"/>
      <c r="HVP17" s="62"/>
      <c r="HVQ17" s="62"/>
      <c r="HVR17" s="62"/>
      <c r="HVS17" s="62"/>
      <c r="HVT17" s="62"/>
      <c r="HVU17" s="62"/>
      <c r="HVV17" s="62"/>
      <c r="HVW17" s="62"/>
      <c r="HVX17" s="62"/>
      <c r="HVY17" s="62"/>
      <c r="HVZ17" s="62"/>
      <c r="HWA17" s="62"/>
      <c r="HWB17" s="62"/>
      <c r="HWC17" s="62"/>
      <c r="HWD17" s="62"/>
      <c r="HWE17" s="62"/>
      <c r="HWF17" s="62"/>
      <c r="HWG17" s="62"/>
      <c r="HWH17" s="62"/>
      <c r="HWI17" s="62"/>
      <c r="HWJ17" s="62"/>
      <c r="HWK17" s="62"/>
      <c r="HWL17" s="62"/>
      <c r="HWM17" s="62"/>
      <c r="HWN17" s="62"/>
      <c r="HWO17" s="62"/>
      <c r="HWP17" s="62"/>
      <c r="HWQ17" s="62"/>
      <c r="HWR17" s="62"/>
      <c r="HWS17" s="62"/>
      <c r="HWT17" s="62"/>
      <c r="HWU17" s="62"/>
      <c r="HWV17" s="62"/>
      <c r="HWW17" s="62"/>
      <c r="HWX17" s="62"/>
      <c r="HWY17" s="62"/>
      <c r="HWZ17" s="62"/>
      <c r="HXA17" s="62"/>
      <c r="HXB17" s="62"/>
      <c r="HXC17" s="62"/>
      <c r="HXD17" s="62"/>
      <c r="HXE17" s="62"/>
      <c r="HXF17" s="62"/>
      <c r="HXG17" s="62"/>
      <c r="HXH17" s="62"/>
      <c r="HXI17" s="62"/>
      <c r="HXJ17" s="62"/>
      <c r="HXK17" s="62"/>
      <c r="HXL17" s="62"/>
      <c r="HXM17" s="62"/>
      <c r="HXN17" s="62"/>
      <c r="HXO17" s="62"/>
      <c r="HXP17" s="62"/>
      <c r="HXQ17" s="62"/>
      <c r="HXR17" s="62"/>
      <c r="HXS17" s="62"/>
      <c r="HXT17" s="62"/>
      <c r="HXU17" s="62"/>
      <c r="HXV17" s="62"/>
      <c r="HXW17" s="62"/>
      <c r="HXX17" s="62"/>
      <c r="HXY17" s="62"/>
      <c r="HXZ17" s="62"/>
      <c r="HYA17" s="62"/>
      <c r="HYB17" s="62"/>
      <c r="HYC17" s="62"/>
      <c r="HYD17" s="62"/>
      <c r="HYE17" s="62"/>
      <c r="HYF17" s="62"/>
      <c r="HYG17" s="62"/>
      <c r="HYH17" s="62"/>
      <c r="HYI17" s="62"/>
      <c r="HYJ17" s="62"/>
      <c r="HYK17" s="62"/>
      <c r="HYL17" s="62"/>
      <c r="HYM17" s="62"/>
      <c r="HYN17" s="62"/>
      <c r="HYO17" s="62"/>
      <c r="HYP17" s="62"/>
      <c r="HYQ17" s="62"/>
      <c r="HYR17" s="62"/>
      <c r="HYS17" s="62"/>
      <c r="HYT17" s="62"/>
      <c r="HYU17" s="62"/>
      <c r="HYV17" s="62"/>
      <c r="HYW17" s="62"/>
      <c r="HYX17" s="62"/>
      <c r="HYY17" s="62"/>
      <c r="HYZ17" s="62"/>
      <c r="HZA17" s="62"/>
      <c r="HZB17" s="62"/>
      <c r="HZC17" s="62"/>
      <c r="HZD17" s="62"/>
      <c r="HZE17" s="62"/>
      <c r="HZF17" s="62"/>
      <c r="HZG17" s="62"/>
      <c r="HZH17" s="62"/>
      <c r="HZI17" s="62"/>
      <c r="HZJ17" s="62"/>
      <c r="HZK17" s="62"/>
      <c r="HZL17" s="62"/>
      <c r="HZM17" s="62"/>
      <c r="HZN17" s="62"/>
      <c r="HZO17" s="62"/>
      <c r="HZP17" s="62"/>
      <c r="HZQ17" s="62"/>
      <c r="HZR17" s="62"/>
      <c r="HZS17" s="62"/>
      <c r="HZT17" s="62"/>
      <c r="HZU17" s="62"/>
      <c r="HZV17" s="62"/>
      <c r="HZW17" s="62"/>
      <c r="HZX17" s="62"/>
      <c r="HZY17" s="62"/>
      <c r="HZZ17" s="62"/>
      <c r="IAA17" s="62"/>
      <c r="IAB17" s="62"/>
      <c r="IAC17" s="62"/>
      <c r="IAD17" s="62"/>
      <c r="IAE17" s="62"/>
      <c r="IAF17" s="62"/>
      <c r="IAG17" s="62"/>
      <c r="IAH17" s="62"/>
      <c r="IAI17" s="62"/>
      <c r="IAJ17" s="62"/>
      <c r="IAK17" s="62"/>
      <c r="IAL17" s="62"/>
      <c r="IAM17" s="62"/>
      <c r="IAN17" s="62"/>
      <c r="IAO17" s="62"/>
      <c r="IAP17" s="62"/>
      <c r="IAQ17" s="62"/>
      <c r="IAR17" s="62"/>
      <c r="IAS17" s="62"/>
      <c r="IAT17" s="62"/>
      <c r="IAU17" s="62"/>
      <c r="IAV17" s="62"/>
      <c r="IAW17" s="62"/>
      <c r="IAX17" s="62"/>
      <c r="IAY17" s="62"/>
      <c r="IAZ17" s="62"/>
      <c r="IBA17" s="62"/>
      <c r="IBB17" s="62"/>
      <c r="IBC17" s="62"/>
      <c r="IBD17" s="62"/>
      <c r="IBE17" s="62"/>
      <c r="IBF17" s="62"/>
      <c r="IBG17" s="62"/>
      <c r="IBH17" s="62"/>
      <c r="IBI17" s="62"/>
      <c r="IBJ17" s="62"/>
      <c r="IBK17" s="62"/>
      <c r="IBL17" s="62"/>
      <c r="IBM17" s="62"/>
      <c r="IBN17" s="62"/>
      <c r="IBO17" s="62"/>
      <c r="IBP17" s="62"/>
      <c r="IBQ17" s="62"/>
      <c r="IBR17" s="62"/>
      <c r="IBS17" s="62"/>
      <c r="IBT17" s="62"/>
      <c r="IBU17" s="62"/>
      <c r="IBV17" s="62"/>
      <c r="IBW17" s="62"/>
      <c r="IBX17" s="62"/>
      <c r="IBY17" s="62"/>
      <c r="IBZ17" s="62"/>
      <c r="ICA17" s="62"/>
      <c r="ICB17" s="62"/>
      <c r="ICC17" s="62"/>
      <c r="ICD17" s="62"/>
      <c r="ICE17" s="62"/>
      <c r="ICF17" s="62"/>
      <c r="ICG17" s="62"/>
      <c r="ICH17" s="62"/>
      <c r="ICI17" s="62"/>
      <c r="ICJ17" s="62"/>
      <c r="ICK17" s="62"/>
      <c r="ICL17" s="62"/>
      <c r="ICM17" s="62"/>
      <c r="ICN17" s="62"/>
      <c r="ICO17" s="62"/>
      <c r="ICP17" s="62"/>
      <c r="ICQ17" s="62"/>
      <c r="ICR17" s="62"/>
      <c r="ICS17" s="62"/>
      <c r="ICT17" s="62"/>
      <c r="ICU17" s="62"/>
      <c r="ICV17" s="62"/>
      <c r="ICW17" s="62"/>
      <c r="ICX17" s="62"/>
      <c r="ICY17" s="62"/>
      <c r="ICZ17" s="62"/>
      <c r="IDA17" s="62"/>
      <c r="IDB17" s="62"/>
      <c r="IDC17" s="62"/>
      <c r="IDD17" s="62"/>
      <c r="IDE17" s="62"/>
      <c r="IDF17" s="62"/>
      <c r="IDG17" s="62"/>
      <c r="IDH17" s="62"/>
      <c r="IDI17" s="62"/>
      <c r="IDJ17" s="62"/>
      <c r="IDK17" s="62"/>
      <c r="IDL17" s="62"/>
      <c r="IDM17" s="62"/>
      <c r="IDN17" s="62"/>
      <c r="IDO17" s="62"/>
      <c r="IDP17" s="62"/>
      <c r="IDQ17" s="62"/>
      <c r="IDR17" s="62"/>
      <c r="IDS17" s="62"/>
      <c r="IDT17" s="62"/>
      <c r="IDU17" s="62"/>
      <c r="IDV17" s="62"/>
      <c r="IDW17" s="62"/>
      <c r="IDX17" s="62"/>
      <c r="IDY17" s="62"/>
      <c r="IDZ17" s="62"/>
      <c r="IEA17" s="62"/>
      <c r="IEB17" s="62"/>
      <c r="IEC17" s="62"/>
      <c r="IED17" s="62"/>
      <c r="IEE17" s="62"/>
      <c r="IEF17" s="62"/>
      <c r="IEG17" s="62"/>
      <c r="IEH17" s="62"/>
      <c r="IEI17" s="62"/>
      <c r="IEJ17" s="62"/>
      <c r="IEK17" s="62"/>
      <c r="IEL17" s="62"/>
      <c r="IEM17" s="62"/>
      <c r="IEN17" s="62"/>
      <c r="IEO17" s="62"/>
      <c r="IEP17" s="62"/>
      <c r="IEQ17" s="62"/>
      <c r="IER17" s="62"/>
      <c r="IES17" s="62"/>
      <c r="IET17" s="62"/>
      <c r="IEU17" s="62"/>
      <c r="IEV17" s="62"/>
      <c r="IEW17" s="62"/>
      <c r="IEX17" s="62"/>
      <c r="IEY17" s="62"/>
      <c r="IEZ17" s="62"/>
      <c r="IFA17" s="62"/>
      <c r="IFB17" s="62"/>
      <c r="IFC17" s="62"/>
      <c r="IFD17" s="62"/>
      <c r="IFE17" s="62"/>
      <c r="IFF17" s="62"/>
      <c r="IFG17" s="62"/>
      <c r="IFH17" s="62"/>
      <c r="IFI17" s="62"/>
      <c r="IFJ17" s="62"/>
      <c r="IFK17" s="62"/>
      <c r="IFL17" s="62"/>
      <c r="IFM17" s="62"/>
      <c r="IFN17" s="62"/>
      <c r="IFO17" s="62"/>
      <c r="IFP17" s="62"/>
      <c r="IFQ17" s="62"/>
      <c r="IFR17" s="62"/>
      <c r="IFS17" s="62"/>
      <c r="IFT17" s="62"/>
      <c r="IFU17" s="62"/>
      <c r="IFV17" s="62"/>
      <c r="IFW17" s="62"/>
      <c r="IFX17" s="62"/>
      <c r="IFY17" s="62"/>
      <c r="IFZ17" s="62"/>
      <c r="IGA17" s="62"/>
      <c r="IGB17" s="62"/>
      <c r="IGC17" s="62"/>
      <c r="IGD17" s="62"/>
      <c r="IGE17" s="62"/>
      <c r="IGF17" s="62"/>
      <c r="IGG17" s="62"/>
      <c r="IGH17" s="62"/>
      <c r="IGI17" s="62"/>
      <c r="IGJ17" s="62"/>
      <c r="IGK17" s="62"/>
      <c r="IGL17" s="62"/>
      <c r="IGM17" s="62"/>
      <c r="IGN17" s="62"/>
      <c r="IGO17" s="62"/>
      <c r="IGP17" s="62"/>
      <c r="IGQ17" s="62"/>
      <c r="IGR17" s="62"/>
      <c r="IGS17" s="62"/>
      <c r="IGT17" s="62"/>
      <c r="IGU17" s="62"/>
      <c r="IGV17" s="62"/>
      <c r="IGW17" s="62"/>
      <c r="IGX17" s="62"/>
      <c r="IGY17" s="62"/>
      <c r="IGZ17" s="62"/>
      <c r="IHA17" s="62"/>
      <c r="IHB17" s="62"/>
      <c r="IHC17" s="62"/>
      <c r="IHD17" s="62"/>
      <c r="IHE17" s="62"/>
      <c r="IHF17" s="62"/>
      <c r="IHG17" s="62"/>
      <c r="IHH17" s="62"/>
      <c r="IHI17" s="62"/>
      <c r="IHJ17" s="62"/>
      <c r="IHK17" s="62"/>
      <c r="IHL17" s="62"/>
      <c r="IHM17" s="62"/>
      <c r="IHN17" s="62"/>
      <c r="IHO17" s="62"/>
      <c r="IHP17" s="62"/>
      <c r="IHQ17" s="62"/>
      <c r="IHR17" s="62"/>
      <c r="IHS17" s="62"/>
      <c r="IHT17" s="62"/>
      <c r="IHU17" s="62"/>
      <c r="IHV17" s="62"/>
      <c r="IHW17" s="62"/>
      <c r="IHX17" s="62"/>
      <c r="IHY17" s="62"/>
      <c r="IHZ17" s="62"/>
      <c r="IIA17" s="62"/>
      <c r="IIB17" s="62"/>
      <c r="IIC17" s="62"/>
      <c r="IID17" s="62"/>
      <c r="IIE17" s="62"/>
      <c r="IIF17" s="62"/>
      <c r="IIG17" s="62"/>
      <c r="IIH17" s="62"/>
      <c r="III17" s="62"/>
      <c r="IIJ17" s="62"/>
      <c r="IIK17" s="62"/>
      <c r="IIL17" s="62"/>
      <c r="IIM17" s="62"/>
      <c r="IIN17" s="62"/>
      <c r="IIO17" s="62"/>
      <c r="IIP17" s="62"/>
      <c r="IIQ17" s="62"/>
      <c r="IIR17" s="62"/>
      <c r="IIS17" s="62"/>
      <c r="IIT17" s="62"/>
      <c r="IIU17" s="62"/>
      <c r="IIV17" s="62"/>
      <c r="IIW17" s="62"/>
      <c r="IIX17" s="62"/>
      <c r="IIY17" s="62"/>
      <c r="IIZ17" s="62"/>
      <c r="IJA17" s="62"/>
      <c r="IJB17" s="62"/>
      <c r="IJC17" s="62"/>
      <c r="IJD17" s="62"/>
      <c r="IJE17" s="62"/>
      <c r="IJF17" s="62"/>
      <c r="IJG17" s="62"/>
      <c r="IJH17" s="62"/>
      <c r="IJI17" s="62"/>
      <c r="IJJ17" s="62"/>
      <c r="IJK17" s="62"/>
      <c r="IJL17" s="62"/>
      <c r="IJM17" s="62"/>
      <c r="IJN17" s="62"/>
      <c r="IJO17" s="62"/>
      <c r="IJP17" s="62"/>
      <c r="IJQ17" s="62"/>
      <c r="IJR17" s="62"/>
      <c r="IJS17" s="62"/>
      <c r="IJT17" s="62"/>
      <c r="IJU17" s="62"/>
      <c r="IJV17" s="62"/>
      <c r="IJW17" s="62"/>
      <c r="IJX17" s="62"/>
      <c r="IJY17" s="62"/>
      <c r="IJZ17" s="62"/>
      <c r="IKA17" s="62"/>
      <c r="IKB17" s="62"/>
      <c r="IKC17" s="62"/>
      <c r="IKD17" s="62"/>
      <c r="IKE17" s="62"/>
      <c r="IKF17" s="62"/>
      <c r="IKG17" s="62"/>
      <c r="IKH17" s="62"/>
      <c r="IKI17" s="62"/>
      <c r="IKJ17" s="62"/>
      <c r="IKK17" s="62"/>
      <c r="IKL17" s="62"/>
      <c r="IKM17" s="62"/>
      <c r="IKN17" s="62"/>
      <c r="IKO17" s="62"/>
      <c r="IKP17" s="62"/>
      <c r="IKQ17" s="62"/>
      <c r="IKR17" s="62"/>
      <c r="IKS17" s="62"/>
      <c r="IKT17" s="62"/>
      <c r="IKU17" s="62"/>
      <c r="IKV17" s="62"/>
      <c r="IKW17" s="62"/>
      <c r="IKX17" s="62"/>
      <c r="IKY17" s="62"/>
      <c r="IKZ17" s="62"/>
      <c r="ILA17" s="62"/>
      <c r="ILB17" s="62"/>
      <c r="ILC17" s="62"/>
      <c r="ILD17" s="62"/>
      <c r="ILE17" s="62"/>
      <c r="ILF17" s="62"/>
      <c r="ILG17" s="62"/>
      <c r="ILH17" s="62"/>
      <c r="ILI17" s="62"/>
      <c r="ILJ17" s="62"/>
      <c r="ILK17" s="62"/>
      <c r="ILL17" s="62"/>
      <c r="ILM17" s="62"/>
      <c r="ILN17" s="62"/>
      <c r="ILO17" s="62"/>
      <c r="ILP17" s="62"/>
      <c r="ILQ17" s="62"/>
      <c r="ILR17" s="62"/>
      <c r="ILS17" s="62"/>
      <c r="ILT17" s="62"/>
      <c r="ILU17" s="62"/>
      <c r="ILV17" s="62"/>
      <c r="ILW17" s="62"/>
      <c r="ILX17" s="62"/>
      <c r="ILY17" s="62"/>
      <c r="ILZ17" s="62"/>
      <c r="IMA17" s="62"/>
      <c r="IMB17" s="62"/>
      <c r="IMC17" s="62"/>
      <c r="IMD17" s="62"/>
      <c r="IME17" s="62"/>
      <c r="IMF17" s="62"/>
      <c r="IMG17" s="62"/>
      <c r="IMH17" s="62"/>
      <c r="IMI17" s="62"/>
      <c r="IMJ17" s="62"/>
      <c r="IMK17" s="62"/>
      <c r="IML17" s="62"/>
      <c r="IMM17" s="62"/>
      <c r="IMN17" s="62"/>
      <c r="IMO17" s="62"/>
      <c r="IMP17" s="62"/>
      <c r="IMQ17" s="62"/>
      <c r="IMR17" s="62"/>
      <c r="IMS17" s="62"/>
      <c r="IMT17" s="62"/>
      <c r="IMU17" s="62"/>
      <c r="IMV17" s="62"/>
      <c r="IMW17" s="62"/>
      <c r="IMX17" s="62"/>
      <c r="IMY17" s="62"/>
      <c r="IMZ17" s="62"/>
      <c r="INA17" s="62"/>
      <c r="INB17" s="62"/>
      <c r="INC17" s="62"/>
      <c r="IND17" s="62"/>
      <c r="INE17" s="62"/>
      <c r="INF17" s="62"/>
      <c r="ING17" s="62"/>
      <c r="INH17" s="62"/>
      <c r="INI17" s="62"/>
      <c r="INJ17" s="62"/>
      <c r="INK17" s="62"/>
      <c r="INL17" s="62"/>
      <c r="INM17" s="62"/>
      <c r="INN17" s="62"/>
      <c r="INO17" s="62"/>
      <c r="INP17" s="62"/>
      <c r="INQ17" s="62"/>
      <c r="INR17" s="62"/>
      <c r="INS17" s="62"/>
      <c r="INT17" s="62"/>
      <c r="INU17" s="62"/>
      <c r="INV17" s="62"/>
      <c r="INW17" s="62"/>
      <c r="INX17" s="62"/>
      <c r="INY17" s="62"/>
      <c r="INZ17" s="62"/>
      <c r="IOA17" s="62"/>
      <c r="IOB17" s="62"/>
      <c r="IOC17" s="62"/>
      <c r="IOD17" s="62"/>
      <c r="IOE17" s="62"/>
      <c r="IOF17" s="62"/>
      <c r="IOG17" s="62"/>
      <c r="IOH17" s="62"/>
      <c r="IOI17" s="62"/>
      <c r="IOJ17" s="62"/>
      <c r="IOK17" s="62"/>
      <c r="IOL17" s="62"/>
      <c r="IOM17" s="62"/>
      <c r="ION17" s="62"/>
      <c r="IOO17" s="62"/>
      <c r="IOP17" s="62"/>
      <c r="IOQ17" s="62"/>
      <c r="IOR17" s="62"/>
      <c r="IOS17" s="62"/>
      <c r="IOT17" s="62"/>
      <c r="IOU17" s="62"/>
      <c r="IOV17" s="62"/>
      <c r="IOW17" s="62"/>
      <c r="IOX17" s="62"/>
      <c r="IOY17" s="62"/>
      <c r="IOZ17" s="62"/>
      <c r="IPA17" s="62"/>
      <c r="IPB17" s="62"/>
      <c r="IPC17" s="62"/>
      <c r="IPD17" s="62"/>
      <c r="IPE17" s="62"/>
      <c r="IPF17" s="62"/>
      <c r="IPG17" s="62"/>
      <c r="IPH17" s="62"/>
      <c r="IPI17" s="62"/>
      <c r="IPJ17" s="62"/>
      <c r="IPK17" s="62"/>
      <c r="IPL17" s="62"/>
      <c r="IPM17" s="62"/>
      <c r="IPN17" s="62"/>
      <c r="IPO17" s="62"/>
      <c r="IPP17" s="62"/>
      <c r="IPQ17" s="62"/>
      <c r="IPR17" s="62"/>
      <c r="IPS17" s="62"/>
      <c r="IPT17" s="62"/>
      <c r="IPU17" s="62"/>
      <c r="IPV17" s="62"/>
      <c r="IPW17" s="62"/>
      <c r="IPX17" s="62"/>
      <c r="IPY17" s="62"/>
      <c r="IPZ17" s="62"/>
      <c r="IQA17" s="62"/>
      <c r="IQB17" s="62"/>
      <c r="IQC17" s="62"/>
      <c r="IQD17" s="62"/>
      <c r="IQE17" s="62"/>
      <c r="IQF17" s="62"/>
      <c r="IQG17" s="62"/>
      <c r="IQH17" s="62"/>
      <c r="IQI17" s="62"/>
      <c r="IQJ17" s="62"/>
      <c r="IQK17" s="62"/>
      <c r="IQL17" s="62"/>
      <c r="IQM17" s="62"/>
      <c r="IQN17" s="62"/>
      <c r="IQO17" s="62"/>
      <c r="IQP17" s="62"/>
      <c r="IQQ17" s="62"/>
      <c r="IQR17" s="62"/>
      <c r="IQS17" s="62"/>
      <c r="IQT17" s="62"/>
      <c r="IQU17" s="62"/>
      <c r="IQV17" s="62"/>
      <c r="IQW17" s="62"/>
      <c r="IQX17" s="62"/>
      <c r="IQY17" s="62"/>
      <c r="IQZ17" s="62"/>
      <c r="IRA17" s="62"/>
      <c r="IRB17" s="62"/>
      <c r="IRC17" s="62"/>
      <c r="IRD17" s="62"/>
      <c r="IRE17" s="62"/>
      <c r="IRF17" s="62"/>
      <c r="IRG17" s="62"/>
      <c r="IRH17" s="62"/>
      <c r="IRI17" s="62"/>
      <c r="IRJ17" s="62"/>
      <c r="IRK17" s="62"/>
      <c r="IRL17" s="62"/>
      <c r="IRM17" s="62"/>
      <c r="IRN17" s="62"/>
      <c r="IRO17" s="62"/>
      <c r="IRP17" s="62"/>
      <c r="IRQ17" s="62"/>
      <c r="IRR17" s="62"/>
      <c r="IRS17" s="62"/>
      <c r="IRT17" s="62"/>
      <c r="IRU17" s="62"/>
      <c r="IRV17" s="62"/>
      <c r="IRW17" s="62"/>
      <c r="IRX17" s="62"/>
      <c r="IRY17" s="62"/>
      <c r="IRZ17" s="62"/>
      <c r="ISA17" s="62"/>
      <c r="ISB17" s="62"/>
      <c r="ISC17" s="62"/>
      <c r="ISD17" s="62"/>
      <c r="ISE17" s="62"/>
      <c r="ISF17" s="62"/>
      <c r="ISG17" s="62"/>
      <c r="ISH17" s="62"/>
      <c r="ISI17" s="62"/>
      <c r="ISJ17" s="62"/>
      <c r="ISK17" s="62"/>
      <c r="ISL17" s="62"/>
      <c r="ISM17" s="62"/>
      <c r="ISN17" s="62"/>
      <c r="ISO17" s="62"/>
      <c r="ISP17" s="62"/>
      <c r="ISQ17" s="62"/>
      <c r="ISR17" s="62"/>
      <c r="ISS17" s="62"/>
      <c r="IST17" s="62"/>
      <c r="ISU17" s="62"/>
      <c r="ISV17" s="62"/>
      <c r="ISW17" s="62"/>
      <c r="ISX17" s="62"/>
      <c r="ISY17" s="62"/>
      <c r="ISZ17" s="62"/>
      <c r="ITA17" s="62"/>
      <c r="ITB17" s="62"/>
      <c r="ITC17" s="62"/>
      <c r="ITD17" s="62"/>
      <c r="ITE17" s="62"/>
      <c r="ITF17" s="62"/>
      <c r="ITG17" s="62"/>
      <c r="ITH17" s="62"/>
      <c r="ITI17" s="62"/>
      <c r="ITJ17" s="62"/>
      <c r="ITK17" s="62"/>
      <c r="ITL17" s="62"/>
      <c r="ITM17" s="62"/>
      <c r="ITN17" s="62"/>
      <c r="ITO17" s="62"/>
      <c r="ITP17" s="62"/>
      <c r="ITQ17" s="62"/>
      <c r="ITR17" s="62"/>
      <c r="ITS17" s="62"/>
      <c r="ITT17" s="62"/>
      <c r="ITU17" s="62"/>
      <c r="ITV17" s="62"/>
      <c r="ITW17" s="62"/>
      <c r="ITX17" s="62"/>
      <c r="ITY17" s="62"/>
      <c r="ITZ17" s="62"/>
      <c r="IUA17" s="62"/>
      <c r="IUB17" s="62"/>
      <c r="IUC17" s="62"/>
      <c r="IUD17" s="62"/>
      <c r="IUE17" s="62"/>
      <c r="IUF17" s="62"/>
      <c r="IUG17" s="62"/>
      <c r="IUH17" s="62"/>
      <c r="IUI17" s="62"/>
      <c r="IUJ17" s="62"/>
      <c r="IUK17" s="62"/>
      <c r="IUL17" s="62"/>
      <c r="IUM17" s="62"/>
      <c r="IUN17" s="62"/>
      <c r="IUO17" s="62"/>
      <c r="IUP17" s="62"/>
      <c r="IUQ17" s="62"/>
      <c r="IUR17" s="62"/>
      <c r="IUS17" s="62"/>
      <c r="IUT17" s="62"/>
      <c r="IUU17" s="62"/>
      <c r="IUV17" s="62"/>
      <c r="IUW17" s="62"/>
      <c r="IUX17" s="62"/>
      <c r="IUY17" s="62"/>
      <c r="IUZ17" s="62"/>
      <c r="IVA17" s="62"/>
      <c r="IVB17" s="62"/>
      <c r="IVC17" s="62"/>
      <c r="IVD17" s="62"/>
      <c r="IVE17" s="62"/>
      <c r="IVF17" s="62"/>
      <c r="IVG17" s="62"/>
      <c r="IVH17" s="62"/>
      <c r="IVI17" s="62"/>
      <c r="IVJ17" s="62"/>
      <c r="IVK17" s="62"/>
      <c r="IVL17" s="62"/>
      <c r="IVM17" s="62"/>
      <c r="IVN17" s="62"/>
      <c r="IVO17" s="62"/>
      <c r="IVP17" s="62"/>
      <c r="IVQ17" s="62"/>
      <c r="IVR17" s="62"/>
      <c r="IVS17" s="62"/>
      <c r="IVT17" s="62"/>
      <c r="IVU17" s="62"/>
      <c r="IVV17" s="62"/>
      <c r="IVW17" s="62"/>
      <c r="IVX17" s="62"/>
      <c r="IVY17" s="62"/>
      <c r="IVZ17" s="62"/>
      <c r="IWA17" s="62"/>
      <c r="IWB17" s="62"/>
      <c r="IWC17" s="62"/>
      <c r="IWD17" s="62"/>
      <c r="IWE17" s="62"/>
      <c r="IWF17" s="62"/>
      <c r="IWG17" s="62"/>
      <c r="IWH17" s="62"/>
      <c r="IWI17" s="62"/>
      <c r="IWJ17" s="62"/>
      <c r="IWK17" s="62"/>
      <c r="IWL17" s="62"/>
      <c r="IWM17" s="62"/>
      <c r="IWN17" s="62"/>
      <c r="IWO17" s="62"/>
      <c r="IWP17" s="62"/>
      <c r="IWQ17" s="62"/>
      <c r="IWR17" s="62"/>
      <c r="IWS17" s="62"/>
      <c r="IWT17" s="62"/>
      <c r="IWU17" s="62"/>
      <c r="IWV17" s="62"/>
      <c r="IWW17" s="62"/>
      <c r="IWX17" s="62"/>
      <c r="IWY17" s="62"/>
      <c r="IWZ17" s="62"/>
      <c r="IXA17" s="62"/>
      <c r="IXB17" s="62"/>
      <c r="IXC17" s="62"/>
      <c r="IXD17" s="62"/>
      <c r="IXE17" s="62"/>
      <c r="IXF17" s="62"/>
      <c r="IXG17" s="62"/>
      <c r="IXH17" s="62"/>
      <c r="IXI17" s="62"/>
      <c r="IXJ17" s="62"/>
      <c r="IXK17" s="62"/>
      <c r="IXL17" s="62"/>
      <c r="IXM17" s="62"/>
      <c r="IXN17" s="62"/>
      <c r="IXO17" s="62"/>
      <c r="IXP17" s="62"/>
      <c r="IXQ17" s="62"/>
      <c r="IXR17" s="62"/>
      <c r="IXS17" s="62"/>
      <c r="IXT17" s="62"/>
      <c r="IXU17" s="62"/>
      <c r="IXV17" s="62"/>
      <c r="IXW17" s="62"/>
      <c r="IXX17" s="62"/>
      <c r="IXY17" s="62"/>
      <c r="IXZ17" s="62"/>
      <c r="IYA17" s="62"/>
      <c r="IYB17" s="62"/>
      <c r="IYC17" s="62"/>
      <c r="IYD17" s="62"/>
      <c r="IYE17" s="62"/>
      <c r="IYF17" s="62"/>
      <c r="IYG17" s="62"/>
      <c r="IYH17" s="62"/>
      <c r="IYI17" s="62"/>
      <c r="IYJ17" s="62"/>
      <c r="IYK17" s="62"/>
      <c r="IYL17" s="62"/>
      <c r="IYM17" s="62"/>
      <c r="IYN17" s="62"/>
      <c r="IYO17" s="62"/>
      <c r="IYP17" s="62"/>
      <c r="IYQ17" s="62"/>
      <c r="IYR17" s="62"/>
      <c r="IYS17" s="62"/>
      <c r="IYT17" s="62"/>
      <c r="IYU17" s="62"/>
      <c r="IYV17" s="62"/>
      <c r="IYW17" s="62"/>
      <c r="IYX17" s="62"/>
      <c r="IYY17" s="62"/>
      <c r="IYZ17" s="62"/>
      <c r="IZA17" s="62"/>
      <c r="IZB17" s="62"/>
      <c r="IZC17" s="62"/>
      <c r="IZD17" s="62"/>
      <c r="IZE17" s="62"/>
      <c r="IZF17" s="62"/>
      <c r="IZG17" s="62"/>
      <c r="IZH17" s="62"/>
      <c r="IZI17" s="62"/>
      <c r="IZJ17" s="62"/>
      <c r="IZK17" s="62"/>
      <c r="IZL17" s="62"/>
      <c r="IZM17" s="62"/>
      <c r="IZN17" s="62"/>
      <c r="IZO17" s="62"/>
      <c r="IZP17" s="62"/>
      <c r="IZQ17" s="62"/>
      <c r="IZR17" s="62"/>
      <c r="IZS17" s="62"/>
      <c r="IZT17" s="62"/>
      <c r="IZU17" s="62"/>
      <c r="IZV17" s="62"/>
      <c r="IZW17" s="62"/>
      <c r="IZX17" s="62"/>
      <c r="IZY17" s="62"/>
      <c r="IZZ17" s="62"/>
      <c r="JAA17" s="62"/>
      <c r="JAB17" s="62"/>
      <c r="JAC17" s="62"/>
      <c r="JAD17" s="62"/>
      <c r="JAE17" s="62"/>
      <c r="JAF17" s="62"/>
      <c r="JAG17" s="62"/>
      <c r="JAH17" s="62"/>
      <c r="JAI17" s="62"/>
      <c r="JAJ17" s="62"/>
      <c r="JAK17" s="62"/>
      <c r="JAL17" s="62"/>
      <c r="JAM17" s="62"/>
      <c r="JAN17" s="62"/>
      <c r="JAO17" s="62"/>
      <c r="JAP17" s="62"/>
      <c r="JAQ17" s="62"/>
      <c r="JAR17" s="62"/>
      <c r="JAS17" s="62"/>
      <c r="JAT17" s="62"/>
      <c r="JAU17" s="62"/>
      <c r="JAV17" s="62"/>
      <c r="JAW17" s="62"/>
      <c r="JAX17" s="62"/>
      <c r="JAY17" s="62"/>
      <c r="JAZ17" s="62"/>
      <c r="JBA17" s="62"/>
      <c r="JBB17" s="62"/>
      <c r="JBC17" s="62"/>
      <c r="JBD17" s="62"/>
      <c r="JBE17" s="62"/>
      <c r="JBF17" s="62"/>
      <c r="JBG17" s="62"/>
      <c r="JBH17" s="62"/>
      <c r="JBI17" s="62"/>
      <c r="JBJ17" s="62"/>
      <c r="JBK17" s="62"/>
      <c r="JBL17" s="62"/>
      <c r="JBM17" s="62"/>
      <c r="JBN17" s="62"/>
      <c r="JBO17" s="62"/>
      <c r="JBP17" s="62"/>
      <c r="JBQ17" s="62"/>
      <c r="JBR17" s="62"/>
      <c r="JBS17" s="62"/>
      <c r="JBT17" s="62"/>
      <c r="JBU17" s="62"/>
      <c r="JBV17" s="62"/>
      <c r="JBW17" s="62"/>
      <c r="JBX17" s="62"/>
      <c r="JBY17" s="62"/>
      <c r="JBZ17" s="62"/>
      <c r="JCA17" s="62"/>
      <c r="JCB17" s="62"/>
      <c r="JCC17" s="62"/>
      <c r="JCD17" s="62"/>
      <c r="JCE17" s="62"/>
      <c r="JCF17" s="62"/>
      <c r="JCG17" s="62"/>
      <c r="JCH17" s="62"/>
      <c r="JCI17" s="62"/>
      <c r="JCJ17" s="62"/>
      <c r="JCK17" s="62"/>
      <c r="JCL17" s="62"/>
      <c r="JCM17" s="62"/>
      <c r="JCN17" s="62"/>
      <c r="JCO17" s="62"/>
      <c r="JCP17" s="62"/>
      <c r="JCQ17" s="62"/>
      <c r="JCR17" s="62"/>
      <c r="JCS17" s="62"/>
      <c r="JCT17" s="62"/>
      <c r="JCU17" s="62"/>
      <c r="JCV17" s="62"/>
      <c r="JCW17" s="62"/>
      <c r="JCX17" s="62"/>
      <c r="JCY17" s="62"/>
      <c r="JCZ17" s="62"/>
      <c r="JDA17" s="62"/>
      <c r="JDB17" s="62"/>
      <c r="JDC17" s="62"/>
      <c r="JDD17" s="62"/>
      <c r="JDE17" s="62"/>
      <c r="JDF17" s="62"/>
      <c r="JDG17" s="62"/>
      <c r="JDH17" s="62"/>
      <c r="JDI17" s="62"/>
      <c r="JDJ17" s="62"/>
      <c r="JDK17" s="62"/>
      <c r="JDL17" s="62"/>
      <c r="JDM17" s="62"/>
      <c r="JDN17" s="62"/>
      <c r="JDO17" s="62"/>
      <c r="JDP17" s="62"/>
      <c r="JDQ17" s="62"/>
      <c r="JDR17" s="62"/>
      <c r="JDS17" s="62"/>
      <c r="JDT17" s="62"/>
      <c r="JDU17" s="62"/>
      <c r="JDV17" s="62"/>
      <c r="JDW17" s="62"/>
      <c r="JDX17" s="62"/>
      <c r="JDY17" s="62"/>
      <c r="JDZ17" s="62"/>
      <c r="JEA17" s="62"/>
      <c r="JEB17" s="62"/>
      <c r="JEC17" s="62"/>
      <c r="JED17" s="62"/>
      <c r="JEE17" s="62"/>
      <c r="JEF17" s="62"/>
      <c r="JEG17" s="62"/>
      <c r="JEH17" s="62"/>
      <c r="JEI17" s="62"/>
      <c r="JEJ17" s="62"/>
      <c r="JEK17" s="62"/>
      <c r="JEL17" s="62"/>
      <c r="JEM17" s="62"/>
      <c r="JEN17" s="62"/>
      <c r="JEO17" s="62"/>
      <c r="JEP17" s="62"/>
      <c r="JEQ17" s="62"/>
      <c r="JER17" s="62"/>
      <c r="JES17" s="62"/>
      <c r="JET17" s="62"/>
      <c r="JEU17" s="62"/>
      <c r="JEV17" s="62"/>
      <c r="JEW17" s="62"/>
      <c r="JEX17" s="62"/>
      <c r="JEY17" s="62"/>
      <c r="JEZ17" s="62"/>
      <c r="JFA17" s="62"/>
      <c r="JFB17" s="62"/>
      <c r="JFC17" s="62"/>
      <c r="JFD17" s="62"/>
      <c r="JFE17" s="62"/>
      <c r="JFF17" s="62"/>
      <c r="JFG17" s="62"/>
      <c r="JFH17" s="62"/>
      <c r="JFI17" s="62"/>
      <c r="JFJ17" s="62"/>
      <c r="JFK17" s="62"/>
      <c r="JFL17" s="62"/>
      <c r="JFM17" s="62"/>
      <c r="JFN17" s="62"/>
      <c r="JFO17" s="62"/>
      <c r="JFP17" s="62"/>
      <c r="JFQ17" s="62"/>
      <c r="JFR17" s="62"/>
      <c r="JFS17" s="62"/>
      <c r="JFT17" s="62"/>
      <c r="JFU17" s="62"/>
      <c r="JFV17" s="62"/>
      <c r="JFW17" s="62"/>
      <c r="JFX17" s="62"/>
      <c r="JFY17" s="62"/>
      <c r="JFZ17" s="62"/>
      <c r="JGA17" s="62"/>
      <c r="JGB17" s="62"/>
      <c r="JGC17" s="62"/>
      <c r="JGD17" s="62"/>
      <c r="JGE17" s="62"/>
      <c r="JGF17" s="62"/>
      <c r="JGG17" s="62"/>
      <c r="JGH17" s="62"/>
      <c r="JGI17" s="62"/>
      <c r="JGJ17" s="62"/>
      <c r="JGK17" s="62"/>
      <c r="JGL17" s="62"/>
      <c r="JGM17" s="62"/>
      <c r="JGN17" s="62"/>
      <c r="JGO17" s="62"/>
      <c r="JGP17" s="62"/>
      <c r="JGQ17" s="62"/>
      <c r="JGR17" s="62"/>
      <c r="JGS17" s="62"/>
      <c r="JGT17" s="62"/>
      <c r="JGU17" s="62"/>
      <c r="JGV17" s="62"/>
      <c r="JGW17" s="62"/>
      <c r="JGX17" s="62"/>
      <c r="JGY17" s="62"/>
      <c r="JGZ17" s="62"/>
      <c r="JHA17" s="62"/>
      <c r="JHB17" s="62"/>
      <c r="JHC17" s="62"/>
      <c r="JHD17" s="62"/>
      <c r="JHE17" s="62"/>
      <c r="JHF17" s="62"/>
      <c r="JHG17" s="62"/>
      <c r="JHH17" s="62"/>
      <c r="JHI17" s="62"/>
      <c r="JHJ17" s="62"/>
      <c r="JHK17" s="62"/>
      <c r="JHL17" s="62"/>
      <c r="JHM17" s="62"/>
      <c r="JHN17" s="62"/>
      <c r="JHO17" s="62"/>
      <c r="JHP17" s="62"/>
      <c r="JHQ17" s="62"/>
      <c r="JHR17" s="62"/>
      <c r="JHS17" s="62"/>
      <c r="JHT17" s="62"/>
      <c r="JHU17" s="62"/>
      <c r="JHV17" s="62"/>
      <c r="JHW17" s="62"/>
      <c r="JHX17" s="62"/>
      <c r="JHY17" s="62"/>
      <c r="JHZ17" s="62"/>
      <c r="JIA17" s="62"/>
      <c r="JIB17" s="62"/>
      <c r="JIC17" s="62"/>
      <c r="JID17" s="62"/>
      <c r="JIE17" s="62"/>
      <c r="JIF17" s="62"/>
      <c r="JIG17" s="62"/>
      <c r="JIH17" s="62"/>
      <c r="JII17" s="62"/>
      <c r="JIJ17" s="62"/>
      <c r="JIK17" s="62"/>
      <c r="JIL17" s="62"/>
      <c r="JIM17" s="62"/>
      <c r="JIN17" s="62"/>
      <c r="JIO17" s="62"/>
      <c r="JIP17" s="62"/>
      <c r="JIQ17" s="62"/>
      <c r="JIR17" s="62"/>
      <c r="JIS17" s="62"/>
      <c r="JIT17" s="62"/>
      <c r="JIU17" s="62"/>
      <c r="JIV17" s="62"/>
      <c r="JIW17" s="62"/>
      <c r="JIX17" s="62"/>
      <c r="JIY17" s="62"/>
      <c r="JIZ17" s="62"/>
      <c r="JJA17" s="62"/>
      <c r="JJB17" s="62"/>
      <c r="JJC17" s="62"/>
      <c r="JJD17" s="62"/>
      <c r="JJE17" s="62"/>
      <c r="JJF17" s="62"/>
      <c r="JJG17" s="62"/>
      <c r="JJH17" s="62"/>
      <c r="JJI17" s="62"/>
      <c r="JJJ17" s="62"/>
      <c r="JJK17" s="62"/>
      <c r="JJL17" s="62"/>
      <c r="JJM17" s="62"/>
      <c r="JJN17" s="62"/>
      <c r="JJO17" s="62"/>
      <c r="JJP17" s="62"/>
      <c r="JJQ17" s="62"/>
      <c r="JJR17" s="62"/>
      <c r="JJS17" s="62"/>
      <c r="JJT17" s="62"/>
      <c r="JJU17" s="62"/>
      <c r="JJV17" s="62"/>
      <c r="JJW17" s="62"/>
      <c r="JJX17" s="62"/>
      <c r="JJY17" s="62"/>
      <c r="JJZ17" s="62"/>
      <c r="JKA17" s="62"/>
      <c r="JKB17" s="62"/>
      <c r="JKC17" s="62"/>
      <c r="JKD17" s="62"/>
      <c r="JKE17" s="62"/>
      <c r="JKF17" s="62"/>
      <c r="JKG17" s="62"/>
      <c r="JKH17" s="62"/>
      <c r="JKI17" s="62"/>
      <c r="JKJ17" s="62"/>
      <c r="JKK17" s="62"/>
      <c r="JKL17" s="62"/>
      <c r="JKM17" s="62"/>
      <c r="JKN17" s="62"/>
      <c r="JKO17" s="62"/>
      <c r="JKP17" s="62"/>
      <c r="JKQ17" s="62"/>
      <c r="JKR17" s="62"/>
      <c r="JKS17" s="62"/>
      <c r="JKT17" s="62"/>
      <c r="JKU17" s="62"/>
      <c r="JKV17" s="62"/>
      <c r="JKW17" s="62"/>
      <c r="JKX17" s="62"/>
      <c r="JKY17" s="62"/>
      <c r="JKZ17" s="62"/>
      <c r="JLA17" s="62"/>
      <c r="JLB17" s="62"/>
      <c r="JLC17" s="62"/>
      <c r="JLD17" s="62"/>
      <c r="JLE17" s="62"/>
      <c r="JLF17" s="62"/>
      <c r="JLG17" s="62"/>
      <c r="JLH17" s="62"/>
      <c r="JLI17" s="62"/>
      <c r="JLJ17" s="62"/>
      <c r="JLK17" s="62"/>
      <c r="JLL17" s="62"/>
      <c r="JLM17" s="62"/>
      <c r="JLN17" s="62"/>
      <c r="JLO17" s="62"/>
      <c r="JLP17" s="62"/>
      <c r="JLQ17" s="62"/>
      <c r="JLR17" s="62"/>
      <c r="JLS17" s="62"/>
      <c r="JLT17" s="62"/>
      <c r="JLU17" s="62"/>
      <c r="JLV17" s="62"/>
      <c r="JLW17" s="62"/>
      <c r="JLX17" s="62"/>
      <c r="JLY17" s="62"/>
      <c r="JLZ17" s="62"/>
      <c r="JMA17" s="62"/>
      <c r="JMB17" s="62"/>
      <c r="JMC17" s="62"/>
      <c r="JMD17" s="62"/>
      <c r="JME17" s="62"/>
      <c r="JMF17" s="62"/>
      <c r="JMG17" s="62"/>
      <c r="JMH17" s="62"/>
      <c r="JMI17" s="62"/>
      <c r="JMJ17" s="62"/>
      <c r="JMK17" s="62"/>
      <c r="JML17" s="62"/>
      <c r="JMM17" s="62"/>
      <c r="JMN17" s="62"/>
      <c r="JMO17" s="62"/>
      <c r="JMP17" s="62"/>
      <c r="JMQ17" s="62"/>
      <c r="JMR17" s="62"/>
      <c r="JMS17" s="62"/>
      <c r="JMT17" s="62"/>
      <c r="JMU17" s="62"/>
      <c r="JMV17" s="62"/>
      <c r="JMW17" s="62"/>
      <c r="JMX17" s="62"/>
      <c r="JMY17" s="62"/>
      <c r="JMZ17" s="62"/>
      <c r="JNA17" s="62"/>
      <c r="JNB17" s="62"/>
      <c r="JNC17" s="62"/>
      <c r="JND17" s="62"/>
      <c r="JNE17" s="62"/>
      <c r="JNF17" s="62"/>
      <c r="JNG17" s="62"/>
      <c r="JNH17" s="62"/>
      <c r="JNI17" s="62"/>
      <c r="JNJ17" s="62"/>
      <c r="JNK17" s="62"/>
      <c r="JNL17" s="62"/>
      <c r="JNM17" s="62"/>
      <c r="JNN17" s="62"/>
      <c r="JNO17" s="62"/>
      <c r="JNP17" s="62"/>
      <c r="JNQ17" s="62"/>
      <c r="JNR17" s="62"/>
      <c r="JNS17" s="62"/>
      <c r="JNT17" s="62"/>
      <c r="JNU17" s="62"/>
      <c r="JNV17" s="62"/>
      <c r="JNW17" s="62"/>
      <c r="JNX17" s="62"/>
      <c r="JNY17" s="62"/>
      <c r="JNZ17" s="62"/>
      <c r="JOA17" s="62"/>
      <c r="JOB17" s="62"/>
      <c r="JOC17" s="62"/>
      <c r="JOD17" s="62"/>
      <c r="JOE17" s="62"/>
      <c r="JOF17" s="62"/>
      <c r="JOG17" s="62"/>
      <c r="JOH17" s="62"/>
      <c r="JOI17" s="62"/>
      <c r="JOJ17" s="62"/>
      <c r="JOK17" s="62"/>
      <c r="JOL17" s="62"/>
      <c r="JOM17" s="62"/>
      <c r="JON17" s="62"/>
      <c r="JOO17" s="62"/>
      <c r="JOP17" s="62"/>
      <c r="JOQ17" s="62"/>
      <c r="JOR17" s="62"/>
      <c r="JOS17" s="62"/>
      <c r="JOT17" s="62"/>
      <c r="JOU17" s="62"/>
      <c r="JOV17" s="62"/>
      <c r="JOW17" s="62"/>
      <c r="JOX17" s="62"/>
      <c r="JOY17" s="62"/>
      <c r="JOZ17" s="62"/>
      <c r="JPA17" s="62"/>
      <c r="JPB17" s="62"/>
      <c r="JPC17" s="62"/>
      <c r="JPD17" s="62"/>
      <c r="JPE17" s="62"/>
      <c r="JPF17" s="62"/>
      <c r="JPG17" s="62"/>
      <c r="JPH17" s="62"/>
      <c r="JPI17" s="62"/>
      <c r="JPJ17" s="62"/>
      <c r="JPK17" s="62"/>
      <c r="JPL17" s="62"/>
      <c r="JPM17" s="62"/>
      <c r="JPN17" s="62"/>
      <c r="JPO17" s="62"/>
      <c r="JPP17" s="62"/>
      <c r="JPQ17" s="62"/>
      <c r="JPR17" s="62"/>
      <c r="JPS17" s="62"/>
      <c r="JPT17" s="62"/>
      <c r="JPU17" s="62"/>
      <c r="JPV17" s="62"/>
      <c r="JPW17" s="62"/>
      <c r="JPX17" s="62"/>
      <c r="JPY17" s="62"/>
      <c r="JPZ17" s="62"/>
      <c r="JQA17" s="62"/>
      <c r="JQB17" s="62"/>
      <c r="JQC17" s="62"/>
      <c r="JQD17" s="62"/>
      <c r="JQE17" s="62"/>
      <c r="JQF17" s="62"/>
      <c r="JQG17" s="62"/>
      <c r="JQH17" s="62"/>
      <c r="JQI17" s="62"/>
      <c r="JQJ17" s="62"/>
      <c r="JQK17" s="62"/>
      <c r="JQL17" s="62"/>
      <c r="JQM17" s="62"/>
      <c r="JQN17" s="62"/>
      <c r="JQO17" s="62"/>
      <c r="JQP17" s="62"/>
      <c r="JQQ17" s="62"/>
      <c r="JQR17" s="62"/>
      <c r="JQS17" s="62"/>
      <c r="JQT17" s="62"/>
      <c r="JQU17" s="62"/>
      <c r="JQV17" s="62"/>
      <c r="JQW17" s="62"/>
      <c r="JQX17" s="62"/>
      <c r="JQY17" s="62"/>
      <c r="JQZ17" s="62"/>
      <c r="JRA17" s="62"/>
      <c r="JRB17" s="62"/>
      <c r="JRC17" s="62"/>
      <c r="JRD17" s="62"/>
      <c r="JRE17" s="62"/>
      <c r="JRF17" s="62"/>
      <c r="JRG17" s="62"/>
      <c r="JRH17" s="62"/>
      <c r="JRI17" s="62"/>
      <c r="JRJ17" s="62"/>
      <c r="JRK17" s="62"/>
      <c r="JRL17" s="62"/>
      <c r="JRM17" s="62"/>
      <c r="JRN17" s="62"/>
      <c r="JRO17" s="62"/>
      <c r="JRP17" s="62"/>
      <c r="JRQ17" s="62"/>
      <c r="JRR17" s="62"/>
      <c r="JRS17" s="62"/>
      <c r="JRT17" s="62"/>
      <c r="JRU17" s="62"/>
      <c r="JRV17" s="62"/>
      <c r="JRW17" s="62"/>
      <c r="JRX17" s="62"/>
      <c r="JRY17" s="62"/>
      <c r="JRZ17" s="62"/>
      <c r="JSA17" s="62"/>
      <c r="JSB17" s="62"/>
      <c r="JSC17" s="62"/>
      <c r="JSD17" s="62"/>
      <c r="JSE17" s="62"/>
      <c r="JSF17" s="62"/>
      <c r="JSG17" s="62"/>
      <c r="JSH17" s="62"/>
      <c r="JSI17" s="62"/>
      <c r="JSJ17" s="62"/>
      <c r="JSK17" s="62"/>
      <c r="JSL17" s="62"/>
      <c r="JSM17" s="62"/>
      <c r="JSN17" s="62"/>
      <c r="JSO17" s="62"/>
      <c r="JSP17" s="62"/>
      <c r="JSQ17" s="62"/>
      <c r="JSR17" s="62"/>
      <c r="JSS17" s="62"/>
      <c r="JST17" s="62"/>
      <c r="JSU17" s="62"/>
      <c r="JSV17" s="62"/>
      <c r="JSW17" s="62"/>
      <c r="JSX17" s="62"/>
      <c r="JSY17" s="62"/>
      <c r="JSZ17" s="62"/>
      <c r="JTA17" s="62"/>
      <c r="JTB17" s="62"/>
      <c r="JTC17" s="62"/>
      <c r="JTD17" s="62"/>
      <c r="JTE17" s="62"/>
      <c r="JTF17" s="62"/>
      <c r="JTG17" s="62"/>
      <c r="JTH17" s="62"/>
      <c r="JTI17" s="62"/>
      <c r="JTJ17" s="62"/>
      <c r="JTK17" s="62"/>
      <c r="JTL17" s="62"/>
      <c r="JTM17" s="62"/>
      <c r="JTN17" s="62"/>
      <c r="JTO17" s="62"/>
      <c r="JTP17" s="62"/>
      <c r="JTQ17" s="62"/>
      <c r="JTR17" s="62"/>
      <c r="JTS17" s="62"/>
      <c r="JTT17" s="62"/>
      <c r="JTU17" s="62"/>
      <c r="JTV17" s="62"/>
      <c r="JTW17" s="62"/>
      <c r="JTX17" s="62"/>
      <c r="JTY17" s="62"/>
      <c r="JTZ17" s="62"/>
      <c r="JUA17" s="62"/>
      <c r="JUB17" s="62"/>
      <c r="JUC17" s="62"/>
      <c r="JUD17" s="62"/>
      <c r="JUE17" s="62"/>
      <c r="JUF17" s="62"/>
      <c r="JUG17" s="62"/>
      <c r="JUH17" s="62"/>
      <c r="JUI17" s="62"/>
      <c r="JUJ17" s="62"/>
      <c r="JUK17" s="62"/>
      <c r="JUL17" s="62"/>
      <c r="JUM17" s="62"/>
      <c r="JUN17" s="62"/>
      <c r="JUO17" s="62"/>
      <c r="JUP17" s="62"/>
      <c r="JUQ17" s="62"/>
      <c r="JUR17" s="62"/>
      <c r="JUS17" s="62"/>
      <c r="JUT17" s="62"/>
      <c r="JUU17" s="62"/>
      <c r="JUV17" s="62"/>
      <c r="JUW17" s="62"/>
      <c r="JUX17" s="62"/>
      <c r="JUY17" s="62"/>
      <c r="JUZ17" s="62"/>
      <c r="JVA17" s="62"/>
      <c r="JVB17" s="62"/>
      <c r="JVC17" s="62"/>
      <c r="JVD17" s="62"/>
      <c r="JVE17" s="62"/>
      <c r="JVF17" s="62"/>
      <c r="JVG17" s="62"/>
      <c r="JVH17" s="62"/>
      <c r="JVI17" s="62"/>
      <c r="JVJ17" s="62"/>
      <c r="JVK17" s="62"/>
      <c r="JVL17" s="62"/>
      <c r="JVM17" s="62"/>
      <c r="JVN17" s="62"/>
      <c r="JVO17" s="62"/>
      <c r="JVP17" s="62"/>
      <c r="JVQ17" s="62"/>
      <c r="JVR17" s="62"/>
      <c r="JVS17" s="62"/>
      <c r="JVT17" s="62"/>
      <c r="JVU17" s="62"/>
      <c r="JVV17" s="62"/>
      <c r="JVW17" s="62"/>
      <c r="JVX17" s="62"/>
      <c r="JVY17" s="62"/>
      <c r="JVZ17" s="62"/>
      <c r="JWA17" s="62"/>
      <c r="JWB17" s="62"/>
      <c r="JWC17" s="62"/>
      <c r="JWD17" s="62"/>
      <c r="JWE17" s="62"/>
      <c r="JWF17" s="62"/>
      <c r="JWG17" s="62"/>
      <c r="JWH17" s="62"/>
      <c r="JWI17" s="62"/>
      <c r="JWJ17" s="62"/>
      <c r="JWK17" s="62"/>
      <c r="JWL17" s="62"/>
      <c r="JWM17" s="62"/>
      <c r="JWN17" s="62"/>
      <c r="JWO17" s="62"/>
      <c r="JWP17" s="62"/>
      <c r="JWQ17" s="62"/>
      <c r="JWR17" s="62"/>
      <c r="JWS17" s="62"/>
      <c r="JWT17" s="62"/>
      <c r="JWU17" s="62"/>
      <c r="JWV17" s="62"/>
      <c r="JWW17" s="62"/>
      <c r="JWX17" s="62"/>
      <c r="JWY17" s="62"/>
      <c r="JWZ17" s="62"/>
      <c r="JXA17" s="62"/>
      <c r="JXB17" s="62"/>
      <c r="JXC17" s="62"/>
      <c r="JXD17" s="62"/>
      <c r="JXE17" s="62"/>
      <c r="JXF17" s="62"/>
      <c r="JXG17" s="62"/>
      <c r="JXH17" s="62"/>
      <c r="JXI17" s="62"/>
      <c r="JXJ17" s="62"/>
      <c r="JXK17" s="62"/>
      <c r="JXL17" s="62"/>
      <c r="JXM17" s="62"/>
      <c r="JXN17" s="62"/>
      <c r="JXO17" s="62"/>
      <c r="JXP17" s="62"/>
      <c r="JXQ17" s="62"/>
      <c r="JXR17" s="62"/>
      <c r="JXS17" s="62"/>
      <c r="JXT17" s="62"/>
      <c r="JXU17" s="62"/>
      <c r="JXV17" s="62"/>
      <c r="JXW17" s="62"/>
      <c r="JXX17" s="62"/>
      <c r="JXY17" s="62"/>
      <c r="JXZ17" s="62"/>
      <c r="JYA17" s="62"/>
      <c r="JYB17" s="62"/>
      <c r="JYC17" s="62"/>
      <c r="JYD17" s="62"/>
      <c r="JYE17" s="62"/>
      <c r="JYF17" s="62"/>
      <c r="JYG17" s="62"/>
      <c r="JYH17" s="62"/>
      <c r="JYI17" s="62"/>
      <c r="JYJ17" s="62"/>
      <c r="JYK17" s="62"/>
      <c r="JYL17" s="62"/>
      <c r="JYM17" s="62"/>
      <c r="JYN17" s="62"/>
      <c r="JYO17" s="62"/>
      <c r="JYP17" s="62"/>
      <c r="JYQ17" s="62"/>
      <c r="JYR17" s="62"/>
      <c r="JYS17" s="62"/>
      <c r="JYT17" s="62"/>
      <c r="JYU17" s="62"/>
      <c r="JYV17" s="62"/>
      <c r="JYW17" s="62"/>
      <c r="JYX17" s="62"/>
      <c r="JYY17" s="62"/>
      <c r="JYZ17" s="62"/>
      <c r="JZA17" s="62"/>
      <c r="JZB17" s="62"/>
      <c r="JZC17" s="62"/>
      <c r="JZD17" s="62"/>
      <c r="JZE17" s="62"/>
      <c r="JZF17" s="62"/>
      <c r="JZG17" s="62"/>
      <c r="JZH17" s="62"/>
      <c r="JZI17" s="62"/>
      <c r="JZJ17" s="62"/>
      <c r="JZK17" s="62"/>
      <c r="JZL17" s="62"/>
      <c r="JZM17" s="62"/>
      <c r="JZN17" s="62"/>
      <c r="JZO17" s="62"/>
      <c r="JZP17" s="62"/>
      <c r="JZQ17" s="62"/>
      <c r="JZR17" s="62"/>
      <c r="JZS17" s="62"/>
      <c r="JZT17" s="62"/>
      <c r="JZU17" s="62"/>
      <c r="JZV17" s="62"/>
      <c r="JZW17" s="62"/>
      <c r="JZX17" s="62"/>
      <c r="JZY17" s="62"/>
      <c r="JZZ17" s="62"/>
      <c r="KAA17" s="62"/>
      <c r="KAB17" s="62"/>
      <c r="KAC17" s="62"/>
      <c r="KAD17" s="62"/>
      <c r="KAE17" s="62"/>
      <c r="KAF17" s="62"/>
      <c r="KAG17" s="62"/>
      <c r="KAH17" s="62"/>
      <c r="KAI17" s="62"/>
      <c r="KAJ17" s="62"/>
      <c r="KAK17" s="62"/>
      <c r="KAL17" s="62"/>
      <c r="KAM17" s="62"/>
      <c r="KAN17" s="62"/>
      <c r="KAO17" s="62"/>
      <c r="KAP17" s="62"/>
      <c r="KAQ17" s="62"/>
      <c r="KAR17" s="62"/>
      <c r="KAS17" s="62"/>
      <c r="KAT17" s="62"/>
      <c r="KAU17" s="62"/>
      <c r="KAV17" s="62"/>
      <c r="KAW17" s="62"/>
      <c r="KAX17" s="62"/>
      <c r="KAY17" s="62"/>
      <c r="KAZ17" s="62"/>
      <c r="KBA17" s="62"/>
      <c r="KBB17" s="62"/>
      <c r="KBC17" s="62"/>
      <c r="KBD17" s="62"/>
      <c r="KBE17" s="62"/>
      <c r="KBF17" s="62"/>
      <c r="KBG17" s="62"/>
      <c r="KBH17" s="62"/>
      <c r="KBI17" s="62"/>
      <c r="KBJ17" s="62"/>
      <c r="KBK17" s="62"/>
      <c r="KBL17" s="62"/>
      <c r="KBM17" s="62"/>
      <c r="KBN17" s="62"/>
      <c r="KBO17" s="62"/>
      <c r="KBP17" s="62"/>
      <c r="KBQ17" s="62"/>
      <c r="KBR17" s="62"/>
      <c r="KBS17" s="62"/>
      <c r="KBT17" s="62"/>
      <c r="KBU17" s="62"/>
      <c r="KBV17" s="62"/>
      <c r="KBW17" s="62"/>
      <c r="KBX17" s="62"/>
      <c r="KBY17" s="62"/>
      <c r="KBZ17" s="62"/>
      <c r="KCA17" s="62"/>
      <c r="KCB17" s="62"/>
      <c r="KCC17" s="62"/>
      <c r="KCD17" s="62"/>
      <c r="KCE17" s="62"/>
      <c r="KCF17" s="62"/>
      <c r="KCG17" s="62"/>
      <c r="KCH17" s="62"/>
      <c r="KCI17" s="62"/>
      <c r="KCJ17" s="62"/>
      <c r="KCK17" s="62"/>
      <c r="KCL17" s="62"/>
      <c r="KCM17" s="62"/>
      <c r="KCN17" s="62"/>
      <c r="KCO17" s="62"/>
      <c r="KCP17" s="62"/>
      <c r="KCQ17" s="62"/>
      <c r="KCR17" s="62"/>
      <c r="KCS17" s="62"/>
      <c r="KCT17" s="62"/>
      <c r="KCU17" s="62"/>
      <c r="KCV17" s="62"/>
      <c r="KCW17" s="62"/>
      <c r="KCX17" s="62"/>
      <c r="KCY17" s="62"/>
      <c r="KCZ17" s="62"/>
      <c r="KDA17" s="62"/>
      <c r="KDB17" s="62"/>
      <c r="KDC17" s="62"/>
      <c r="KDD17" s="62"/>
      <c r="KDE17" s="62"/>
      <c r="KDF17" s="62"/>
      <c r="KDG17" s="62"/>
      <c r="KDH17" s="62"/>
      <c r="KDI17" s="62"/>
      <c r="KDJ17" s="62"/>
      <c r="KDK17" s="62"/>
      <c r="KDL17" s="62"/>
      <c r="KDM17" s="62"/>
      <c r="KDN17" s="62"/>
      <c r="KDO17" s="62"/>
      <c r="KDP17" s="62"/>
      <c r="KDQ17" s="62"/>
      <c r="KDR17" s="62"/>
      <c r="KDS17" s="62"/>
      <c r="KDT17" s="62"/>
      <c r="KDU17" s="62"/>
      <c r="KDV17" s="62"/>
      <c r="KDW17" s="62"/>
      <c r="KDX17" s="62"/>
      <c r="KDY17" s="62"/>
      <c r="KDZ17" s="62"/>
      <c r="KEA17" s="62"/>
      <c r="KEB17" s="62"/>
      <c r="KEC17" s="62"/>
      <c r="KED17" s="62"/>
      <c r="KEE17" s="62"/>
      <c r="KEF17" s="62"/>
      <c r="KEG17" s="62"/>
      <c r="KEH17" s="62"/>
      <c r="KEI17" s="62"/>
      <c r="KEJ17" s="62"/>
      <c r="KEK17" s="62"/>
      <c r="KEL17" s="62"/>
      <c r="KEM17" s="62"/>
      <c r="KEN17" s="62"/>
      <c r="KEO17" s="62"/>
      <c r="KEP17" s="62"/>
      <c r="KEQ17" s="62"/>
      <c r="KER17" s="62"/>
      <c r="KES17" s="62"/>
      <c r="KET17" s="62"/>
      <c r="KEU17" s="62"/>
      <c r="KEV17" s="62"/>
      <c r="KEW17" s="62"/>
      <c r="KEX17" s="62"/>
      <c r="KEY17" s="62"/>
      <c r="KEZ17" s="62"/>
      <c r="KFA17" s="62"/>
      <c r="KFB17" s="62"/>
      <c r="KFC17" s="62"/>
      <c r="KFD17" s="62"/>
      <c r="KFE17" s="62"/>
      <c r="KFF17" s="62"/>
      <c r="KFG17" s="62"/>
      <c r="KFH17" s="62"/>
      <c r="KFI17" s="62"/>
      <c r="KFJ17" s="62"/>
      <c r="KFK17" s="62"/>
      <c r="KFL17" s="62"/>
      <c r="KFM17" s="62"/>
      <c r="KFN17" s="62"/>
      <c r="KFO17" s="62"/>
      <c r="KFP17" s="62"/>
      <c r="KFQ17" s="62"/>
      <c r="KFR17" s="62"/>
      <c r="KFS17" s="62"/>
      <c r="KFT17" s="62"/>
      <c r="KFU17" s="62"/>
      <c r="KFV17" s="62"/>
      <c r="KFW17" s="62"/>
      <c r="KFX17" s="62"/>
      <c r="KFY17" s="62"/>
      <c r="KFZ17" s="62"/>
      <c r="KGA17" s="62"/>
      <c r="KGB17" s="62"/>
      <c r="KGC17" s="62"/>
      <c r="KGD17" s="62"/>
      <c r="KGE17" s="62"/>
      <c r="KGF17" s="62"/>
      <c r="KGG17" s="62"/>
      <c r="KGH17" s="62"/>
      <c r="KGI17" s="62"/>
      <c r="KGJ17" s="62"/>
      <c r="KGK17" s="62"/>
      <c r="KGL17" s="62"/>
      <c r="KGM17" s="62"/>
      <c r="KGN17" s="62"/>
      <c r="KGO17" s="62"/>
      <c r="KGP17" s="62"/>
      <c r="KGQ17" s="62"/>
      <c r="KGR17" s="62"/>
      <c r="KGS17" s="62"/>
      <c r="KGT17" s="62"/>
      <c r="KGU17" s="62"/>
      <c r="KGV17" s="62"/>
      <c r="KGW17" s="62"/>
      <c r="KGX17" s="62"/>
      <c r="KGY17" s="62"/>
      <c r="KGZ17" s="62"/>
      <c r="KHA17" s="62"/>
      <c r="KHB17" s="62"/>
      <c r="KHC17" s="62"/>
      <c r="KHD17" s="62"/>
      <c r="KHE17" s="62"/>
      <c r="KHF17" s="62"/>
      <c r="KHG17" s="62"/>
      <c r="KHH17" s="62"/>
      <c r="KHI17" s="62"/>
      <c r="KHJ17" s="62"/>
      <c r="KHK17" s="62"/>
      <c r="KHL17" s="62"/>
      <c r="KHM17" s="62"/>
      <c r="KHN17" s="62"/>
      <c r="KHO17" s="62"/>
      <c r="KHP17" s="62"/>
      <c r="KHQ17" s="62"/>
      <c r="KHR17" s="62"/>
      <c r="KHS17" s="62"/>
      <c r="KHT17" s="62"/>
      <c r="KHU17" s="62"/>
      <c r="KHV17" s="62"/>
      <c r="KHW17" s="62"/>
      <c r="KHX17" s="62"/>
      <c r="KHY17" s="62"/>
      <c r="KHZ17" s="62"/>
      <c r="KIA17" s="62"/>
      <c r="KIB17" s="62"/>
      <c r="KIC17" s="62"/>
      <c r="KID17" s="62"/>
      <c r="KIE17" s="62"/>
      <c r="KIF17" s="62"/>
      <c r="KIG17" s="62"/>
      <c r="KIH17" s="62"/>
      <c r="KII17" s="62"/>
      <c r="KIJ17" s="62"/>
      <c r="KIK17" s="62"/>
      <c r="KIL17" s="62"/>
      <c r="KIM17" s="62"/>
      <c r="KIN17" s="62"/>
      <c r="KIO17" s="62"/>
      <c r="KIP17" s="62"/>
      <c r="KIQ17" s="62"/>
      <c r="KIR17" s="62"/>
      <c r="KIS17" s="62"/>
      <c r="KIT17" s="62"/>
      <c r="KIU17" s="62"/>
      <c r="KIV17" s="62"/>
      <c r="KIW17" s="62"/>
      <c r="KIX17" s="62"/>
      <c r="KIY17" s="62"/>
      <c r="KIZ17" s="62"/>
      <c r="KJA17" s="62"/>
      <c r="KJB17" s="62"/>
      <c r="KJC17" s="62"/>
      <c r="KJD17" s="62"/>
      <c r="KJE17" s="62"/>
      <c r="KJF17" s="62"/>
      <c r="KJG17" s="62"/>
      <c r="KJH17" s="62"/>
      <c r="KJI17" s="62"/>
      <c r="KJJ17" s="62"/>
      <c r="KJK17" s="62"/>
      <c r="KJL17" s="62"/>
      <c r="KJM17" s="62"/>
      <c r="KJN17" s="62"/>
      <c r="KJO17" s="62"/>
      <c r="KJP17" s="62"/>
      <c r="KJQ17" s="62"/>
      <c r="KJR17" s="62"/>
      <c r="KJS17" s="62"/>
      <c r="KJT17" s="62"/>
      <c r="KJU17" s="62"/>
      <c r="KJV17" s="62"/>
      <c r="KJW17" s="62"/>
      <c r="KJX17" s="62"/>
      <c r="KJY17" s="62"/>
      <c r="KJZ17" s="62"/>
      <c r="KKA17" s="62"/>
      <c r="KKB17" s="62"/>
      <c r="KKC17" s="62"/>
      <c r="KKD17" s="62"/>
      <c r="KKE17" s="62"/>
      <c r="KKF17" s="62"/>
      <c r="KKG17" s="62"/>
      <c r="KKH17" s="62"/>
      <c r="KKI17" s="62"/>
      <c r="KKJ17" s="62"/>
      <c r="KKK17" s="62"/>
      <c r="KKL17" s="62"/>
      <c r="KKM17" s="62"/>
      <c r="KKN17" s="62"/>
      <c r="KKO17" s="62"/>
      <c r="KKP17" s="62"/>
      <c r="KKQ17" s="62"/>
      <c r="KKR17" s="62"/>
      <c r="KKS17" s="62"/>
      <c r="KKT17" s="62"/>
      <c r="KKU17" s="62"/>
      <c r="KKV17" s="62"/>
      <c r="KKW17" s="62"/>
      <c r="KKX17" s="62"/>
      <c r="KKY17" s="62"/>
      <c r="KKZ17" s="62"/>
      <c r="KLA17" s="62"/>
      <c r="KLB17" s="62"/>
      <c r="KLC17" s="62"/>
      <c r="KLD17" s="62"/>
      <c r="KLE17" s="62"/>
      <c r="KLF17" s="62"/>
      <c r="KLG17" s="62"/>
      <c r="KLH17" s="62"/>
      <c r="KLI17" s="62"/>
      <c r="KLJ17" s="62"/>
      <c r="KLK17" s="62"/>
      <c r="KLL17" s="62"/>
      <c r="KLM17" s="62"/>
      <c r="KLN17" s="62"/>
      <c r="KLO17" s="62"/>
      <c r="KLP17" s="62"/>
      <c r="KLQ17" s="62"/>
      <c r="KLR17" s="62"/>
      <c r="KLS17" s="62"/>
      <c r="KLT17" s="62"/>
      <c r="KLU17" s="62"/>
      <c r="KLV17" s="62"/>
      <c r="KLW17" s="62"/>
      <c r="KLX17" s="62"/>
      <c r="KLY17" s="62"/>
      <c r="KLZ17" s="62"/>
      <c r="KMA17" s="62"/>
      <c r="KMB17" s="62"/>
      <c r="KMC17" s="62"/>
      <c r="KMD17" s="62"/>
      <c r="KME17" s="62"/>
      <c r="KMF17" s="62"/>
      <c r="KMG17" s="62"/>
      <c r="KMH17" s="62"/>
      <c r="KMI17" s="62"/>
      <c r="KMJ17" s="62"/>
      <c r="KMK17" s="62"/>
      <c r="KML17" s="62"/>
      <c r="KMM17" s="62"/>
      <c r="KMN17" s="62"/>
      <c r="KMO17" s="62"/>
      <c r="KMP17" s="62"/>
      <c r="KMQ17" s="62"/>
      <c r="KMR17" s="62"/>
      <c r="KMS17" s="62"/>
      <c r="KMT17" s="62"/>
      <c r="KMU17" s="62"/>
      <c r="KMV17" s="62"/>
      <c r="KMW17" s="62"/>
      <c r="KMX17" s="62"/>
      <c r="KMY17" s="62"/>
      <c r="KMZ17" s="62"/>
      <c r="KNA17" s="62"/>
      <c r="KNB17" s="62"/>
      <c r="KNC17" s="62"/>
      <c r="KND17" s="62"/>
      <c r="KNE17" s="62"/>
      <c r="KNF17" s="62"/>
      <c r="KNG17" s="62"/>
      <c r="KNH17" s="62"/>
      <c r="KNI17" s="62"/>
      <c r="KNJ17" s="62"/>
      <c r="KNK17" s="62"/>
      <c r="KNL17" s="62"/>
      <c r="KNM17" s="62"/>
      <c r="KNN17" s="62"/>
      <c r="KNO17" s="62"/>
      <c r="KNP17" s="62"/>
      <c r="KNQ17" s="62"/>
      <c r="KNR17" s="62"/>
      <c r="KNS17" s="62"/>
      <c r="KNT17" s="62"/>
      <c r="KNU17" s="62"/>
      <c r="KNV17" s="62"/>
      <c r="KNW17" s="62"/>
      <c r="KNX17" s="62"/>
      <c r="KNY17" s="62"/>
      <c r="KNZ17" s="62"/>
      <c r="KOA17" s="62"/>
      <c r="KOB17" s="62"/>
      <c r="KOC17" s="62"/>
      <c r="KOD17" s="62"/>
      <c r="KOE17" s="62"/>
      <c r="KOF17" s="62"/>
      <c r="KOG17" s="62"/>
      <c r="KOH17" s="62"/>
      <c r="KOI17" s="62"/>
      <c r="KOJ17" s="62"/>
      <c r="KOK17" s="62"/>
      <c r="KOL17" s="62"/>
      <c r="KOM17" s="62"/>
      <c r="KON17" s="62"/>
      <c r="KOO17" s="62"/>
      <c r="KOP17" s="62"/>
      <c r="KOQ17" s="62"/>
      <c r="KOR17" s="62"/>
      <c r="KOS17" s="62"/>
      <c r="KOT17" s="62"/>
      <c r="KOU17" s="62"/>
      <c r="KOV17" s="62"/>
      <c r="KOW17" s="62"/>
      <c r="KOX17" s="62"/>
      <c r="KOY17" s="62"/>
      <c r="KOZ17" s="62"/>
      <c r="KPA17" s="62"/>
      <c r="KPB17" s="62"/>
      <c r="KPC17" s="62"/>
      <c r="KPD17" s="62"/>
      <c r="KPE17" s="62"/>
      <c r="KPF17" s="62"/>
      <c r="KPG17" s="62"/>
      <c r="KPH17" s="62"/>
      <c r="KPI17" s="62"/>
      <c r="KPJ17" s="62"/>
      <c r="KPK17" s="62"/>
      <c r="KPL17" s="62"/>
      <c r="KPM17" s="62"/>
      <c r="KPN17" s="62"/>
      <c r="KPO17" s="62"/>
      <c r="KPP17" s="62"/>
      <c r="KPQ17" s="62"/>
      <c r="KPR17" s="62"/>
      <c r="KPS17" s="62"/>
      <c r="KPT17" s="62"/>
      <c r="KPU17" s="62"/>
      <c r="KPV17" s="62"/>
      <c r="KPW17" s="62"/>
      <c r="KPX17" s="62"/>
      <c r="KPY17" s="62"/>
      <c r="KPZ17" s="62"/>
      <c r="KQA17" s="62"/>
      <c r="KQB17" s="62"/>
      <c r="KQC17" s="62"/>
      <c r="KQD17" s="62"/>
      <c r="KQE17" s="62"/>
      <c r="KQF17" s="62"/>
      <c r="KQG17" s="62"/>
      <c r="KQH17" s="62"/>
      <c r="KQI17" s="62"/>
      <c r="KQJ17" s="62"/>
      <c r="KQK17" s="62"/>
      <c r="KQL17" s="62"/>
      <c r="KQM17" s="62"/>
      <c r="KQN17" s="62"/>
      <c r="KQO17" s="62"/>
      <c r="KQP17" s="62"/>
      <c r="KQQ17" s="62"/>
      <c r="KQR17" s="62"/>
      <c r="KQS17" s="62"/>
      <c r="KQT17" s="62"/>
      <c r="KQU17" s="62"/>
      <c r="KQV17" s="62"/>
      <c r="KQW17" s="62"/>
      <c r="KQX17" s="62"/>
      <c r="KQY17" s="62"/>
      <c r="KQZ17" s="62"/>
      <c r="KRA17" s="62"/>
      <c r="KRB17" s="62"/>
      <c r="KRC17" s="62"/>
      <c r="KRD17" s="62"/>
      <c r="KRE17" s="62"/>
      <c r="KRF17" s="62"/>
      <c r="KRG17" s="62"/>
      <c r="KRH17" s="62"/>
      <c r="KRI17" s="62"/>
      <c r="KRJ17" s="62"/>
      <c r="KRK17" s="62"/>
      <c r="KRL17" s="62"/>
      <c r="KRM17" s="62"/>
      <c r="KRN17" s="62"/>
      <c r="KRO17" s="62"/>
      <c r="KRP17" s="62"/>
      <c r="KRQ17" s="62"/>
      <c r="KRR17" s="62"/>
      <c r="KRS17" s="62"/>
      <c r="KRT17" s="62"/>
      <c r="KRU17" s="62"/>
      <c r="KRV17" s="62"/>
      <c r="KRW17" s="62"/>
      <c r="KRX17" s="62"/>
      <c r="KRY17" s="62"/>
      <c r="KRZ17" s="62"/>
      <c r="KSA17" s="62"/>
      <c r="KSB17" s="62"/>
      <c r="KSC17" s="62"/>
      <c r="KSD17" s="62"/>
      <c r="KSE17" s="62"/>
      <c r="KSF17" s="62"/>
      <c r="KSG17" s="62"/>
      <c r="KSH17" s="62"/>
      <c r="KSI17" s="62"/>
      <c r="KSJ17" s="62"/>
      <c r="KSK17" s="62"/>
      <c r="KSL17" s="62"/>
      <c r="KSM17" s="62"/>
      <c r="KSN17" s="62"/>
      <c r="KSO17" s="62"/>
      <c r="KSP17" s="62"/>
      <c r="KSQ17" s="62"/>
      <c r="KSR17" s="62"/>
      <c r="KSS17" s="62"/>
      <c r="KST17" s="62"/>
      <c r="KSU17" s="62"/>
      <c r="KSV17" s="62"/>
      <c r="KSW17" s="62"/>
      <c r="KSX17" s="62"/>
      <c r="KSY17" s="62"/>
      <c r="KSZ17" s="62"/>
      <c r="KTA17" s="62"/>
      <c r="KTB17" s="62"/>
      <c r="KTC17" s="62"/>
      <c r="KTD17" s="62"/>
      <c r="KTE17" s="62"/>
      <c r="KTF17" s="62"/>
      <c r="KTG17" s="62"/>
      <c r="KTH17" s="62"/>
      <c r="KTI17" s="62"/>
      <c r="KTJ17" s="62"/>
      <c r="KTK17" s="62"/>
      <c r="KTL17" s="62"/>
      <c r="KTM17" s="62"/>
      <c r="KTN17" s="62"/>
      <c r="KTO17" s="62"/>
      <c r="KTP17" s="62"/>
      <c r="KTQ17" s="62"/>
      <c r="KTR17" s="62"/>
      <c r="KTS17" s="62"/>
      <c r="KTT17" s="62"/>
      <c r="KTU17" s="62"/>
      <c r="KTV17" s="62"/>
      <c r="KTW17" s="62"/>
      <c r="KTX17" s="62"/>
      <c r="KTY17" s="62"/>
      <c r="KTZ17" s="62"/>
      <c r="KUA17" s="62"/>
      <c r="KUB17" s="62"/>
      <c r="KUC17" s="62"/>
      <c r="KUD17" s="62"/>
      <c r="KUE17" s="62"/>
      <c r="KUF17" s="62"/>
      <c r="KUG17" s="62"/>
      <c r="KUH17" s="62"/>
      <c r="KUI17" s="62"/>
      <c r="KUJ17" s="62"/>
      <c r="KUK17" s="62"/>
      <c r="KUL17" s="62"/>
      <c r="KUM17" s="62"/>
      <c r="KUN17" s="62"/>
      <c r="KUO17" s="62"/>
      <c r="KUP17" s="62"/>
      <c r="KUQ17" s="62"/>
      <c r="KUR17" s="62"/>
      <c r="KUS17" s="62"/>
      <c r="KUT17" s="62"/>
      <c r="KUU17" s="62"/>
      <c r="KUV17" s="62"/>
      <c r="KUW17" s="62"/>
      <c r="KUX17" s="62"/>
      <c r="KUY17" s="62"/>
      <c r="KUZ17" s="62"/>
      <c r="KVA17" s="62"/>
      <c r="KVB17" s="62"/>
      <c r="KVC17" s="62"/>
      <c r="KVD17" s="62"/>
      <c r="KVE17" s="62"/>
      <c r="KVF17" s="62"/>
      <c r="KVG17" s="62"/>
      <c r="KVH17" s="62"/>
      <c r="KVI17" s="62"/>
      <c r="KVJ17" s="62"/>
      <c r="KVK17" s="62"/>
      <c r="KVL17" s="62"/>
      <c r="KVM17" s="62"/>
      <c r="KVN17" s="62"/>
      <c r="KVO17" s="62"/>
      <c r="KVP17" s="62"/>
      <c r="KVQ17" s="62"/>
      <c r="KVR17" s="62"/>
      <c r="KVS17" s="62"/>
      <c r="KVT17" s="62"/>
      <c r="KVU17" s="62"/>
      <c r="KVV17" s="62"/>
      <c r="KVW17" s="62"/>
      <c r="KVX17" s="62"/>
      <c r="KVY17" s="62"/>
      <c r="KVZ17" s="62"/>
      <c r="KWA17" s="62"/>
      <c r="KWB17" s="62"/>
      <c r="KWC17" s="62"/>
      <c r="KWD17" s="62"/>
      <c r="KWE17" s="62"/>
      <c r="KWF17" s="62"/>
      <c r="KWG17" s="62"/>
      <c r="KWH17" s="62"/>
      <c r="KWI17" s="62"/>
      <c r="KWJ17" s="62"/>
      <c r="KWK17" s="62"/>
      <c r="KWL17" s="62"/>
      <c r="KWM17" s="62"/>
      <c r="KWN17" s="62"/>
      <c r="KWO17" s="62"/>
      <c r="KWP17" s="62"/>
      <c r="KWQ17" s="62"/>
      <c r="KWR17" s="62"/>
      <c r="KWS17" s="62"/>
      <c r="KWT17" s="62"/>
      <c r="KWU17" s="62"/>
      <c r="KWV17" s="62"/>
      <c r="KWW17" s="62"/>
      <c r="KWX17" s="62"/>
      <c r="KWY17" s="62"/>
      <c r="KWZ17" s="62"/>
      <c r="KXA17" s="62"/>
      <c r="KXB17" s="62"/>
      <c r="KXC17" s="62"/>
      <c r="KXD17" s="62"/>
      <c r="KXE17" s="62"/>
      <c r="KXF17" s="62"/>
      <c r="KXG17" s="62"/>
      <c r="KXH17" s="62"/>
      <c r="KXI17" s="62"/>
      <c r="KXJ17" s="62"/>
      <c r="KXK17" s="62"/>
      <c r="KXL17" s="62"/>
      <c r="KXM17" s="62"/>
      <c r="KXN17" s="62"/>
      <c r="KXO17" s="62"/>
      <c r="KXP17" s="62"/>
      <c r="KXQ17" s="62"/>
      <c r="KXR17" s="62"/>
      <c r="KXS17" s="62"/>
      <c r="KXT17" s="62"/>
      <c r="KXU17" s="62"/>
      <c r="KXV17" s="62"/>
      <c r="KXW17" s="62"/>
      <c r="KXX17" s="62"/>
      <c r="KXY17" s="62"/>
      <c r="KXZ17" s="62"/>
      <c r="KYA17" s="62"/>
      <c r="KYB17" s="62"/>
      <c r="KYC17" s="62"/>
      <c r="KYD17" s="62"/>
      <c r="KYE17" s="62"/>
      <c r="KYF17" s="62"/>
      <c r="KYG17" s="62"/>
      <c r="KYH17" s="62"/>
      <c r="KYI17" s="62"/>
      <c r="KYJ17" s="62"/>
      <c r="KYK17" s="62"/>
      <c r="KYL17" s="62"/>
      <c r="KYM17" s="62"/>
      <c r="KYN17" s="62"/>
      <c r="KYO17" s="62"/>
      <c r="KYP17" s="62"/>
      <c r="KYQ17" s="62"/>
      <c r="KYR17" s="62"/>
      <c r="KYS17" s="62"/>
      <c r="KYT17" s="62"/>
      <c r="KYU17" s="62"/>
      <c r="KYV17" s="62"/>
      <c r="KYW17" s="62"/>
      <c r="KYX17" s="62"/>
      <c r="KYY17" s="62"/>
      <c r="KYZ17" s="62"/>
      <c r="KZA17" s="62"/>
      <c r="KZB17" s="62"/>
      <c r="KZC17" s="62"/>
      <c r="KZD17" s="62"/>
      <c r="KZE17" s="62"/>
      <c r="KZF17" s="62"/>
      <c r="KZG17" s="62"/>
      <c r="KZH17" s="62"/>
      <c r="KZI17" s="62"/>
      <c r="KZJ17" s="62"/>
      <c r="KZK17" s="62"/>
      <c r="KZL17" s="62"/>
      <c r="KZM17" s="62"/>
      <c r="KZN17" s="62"/>
      <c r="KZO17" s="62"/>
      <c r="KZP17" s="62"/>
      <c r="KZQ17" s="62"/>
      <c r="KZR17" s="62"/>
      <c r="KZS17" s="62"/>
      <c r="KZT17" s="62"/>
      <c r="KZU17" s="62"/>
      <c r="KZV17" s="62"/>
      <c r="KZW17" s="62"/>
      <c r="KZX17" s="62"/>
      <c r="KZY17" s="62"/>
      <c r="KZZ17" s="62"/>
      <c r="LAA17" s="62"/>
      <c r="LAB17" s="62"/>
      <c r="LAC17" s="62"/>
      <c r="LAD17" s="62"/>
      <c r="LAE17" s="62"/>
      <c r="LAF17" s="62"/>
      <c r="LAG17" s="62"/>
      <c r="LAH17" s="62"/>
      <c r="LAI17" s="62"/>
      <c r="LAJ17" s="62"/>
      <c r="LAK17" s="62"/>
      <c r="LAL17" s="62"/>
      <c r="LAM17" s="62"/>
      <c r="LAN17" s="62"/>
      <c r="LAO17" s="62"/>
      <c r="LAP17" s="62"/>
      <c r="LAQ17" s="62"/>
      <c r="LAR17" s="62"/>
      <c r="LAS17" s="62"/>
      <c r="LAT17" s="62"/>
      <c r="LAU17" s="62"/>
      <c r="LAV17" s="62"/>
      <c r="LAW17" s="62"/>
      <c r="LAX17" s="62"/>
      <c r="LAY17" s="62"/>
      <c r="LAZ17" s="62"/>
      <c r="LBA17" s="62"/>
      <c r="LBB17" s="62"/>
      <c r="LBC17" s="62"/>
      <c r="LBD17" s="62"/>
      <c r="LBE17" s="62"/>
      <c r="LBF17" s="62"/>
      <c r="LBG17" s="62"/>
      <c r="LBH17" s="62"/>
      <c r="LBI17" s="62"/>
      <c r="LBJ17" s="62"/>
      <c r="LBK17" s="62"/>
      <c r="LBL17" s="62"/>
      <c r="LBM17" s="62"/>
      <c r="LBN17" s="62"/>
      <c r="LBO17" s="62"/>
      <c r="LBP17" s="62"/>
      <c r="LBQ17" s="62"/>
      <c r="LBR17" s="62"/>
      <c r="LBS17" s="62"/>
      <c r="LBT17" s="62"/>
      <c r="LBU17" s="62"/>
      <c r="LBV17" s="62"/>
      <c r="LBW17" s="62"/>
      <c r="LBX17" s="62"/>
      <c r="LBY17" s="62"/>
      <c r="LBZ17" s="62"/>
      <c r="LCA17" s="62"/>
      <c r="LCB17" s="62"/>
      <c r="LCC17" s="62"/>
      <c r="LCD17" s="62"/>
      <c r="LCE17" s="62"/>
      <c r="LCF17" s="62"/>
      <c r="LCG17" s="62"/>
      <c r="LCH17" s="62"/>
      <c r="LCI17" s="62"/>
      <c r="LCJ17" s="62"/>
      <c r="LCK17" s="62"/>
      <c r="LCL17" s="62"/>
      <c r="LCM17" s="62"/>
      <c r="LCN17" s="62"/>
      <c r="LCO17" s="62"/>
      <c r="LCP17" s="62"/>
      <c r="LCQ17" s="62"/>
      <c r="LCR17" s="62"/>
      <c r="LCS17" s="62"/>
      <c r="LCT17" s="62"/>
      <c r="LCU17" s="62"/>
      <c r="LCV17" s="62"/>
      <c r="LCW17" s="62"/>
      <c r="LCX17" s="62"/>
      <c r="LCY17" s="62"/>
      <c r="LCZ17" s="62"/>
      <c r="LDA17" s="62"/>
      <c r="LDB17" s="62"/>
      <c r="LDC17" s="62"/>
      <c r="LDD17" s="62"/>
      <c r="LDE17" s="62"/>
      <c r="LDF17" s="62"/>
      <c r="LDG17" s="62"/>
      <c r="LDH17" s="62"/>
      <c r="LDI17" s="62"/>
      <c r="LDJ17" s="62"/>
      <c r="LDK17" s="62"/>
      <c r="LDL17" s="62"/>
      <c r="LDM17" s="62"/>
      <c r="LDN17" s="62"/>
      <c r="LDO17" s="62"/>
      <c r="LDP17" s="62"/>
      <c r="LDQ17" s="62"/>
      <c r="LDR17" s="62"/>
      <c r="LDS17" s="62"/>
      <c r="LDT17" s="62"/>
      <c r="LDU17" s="62"/>
      <c r="LDV17" s="62"/>
      <c r="LDW17" s="62"/>
      <c r="LDX17" s="62"/>
      <c r="LDY17" s="62"/>
      <c r="LDZ17" s="62"/>
      <c r="LEA17" s="62"/>
      <c r="LEB17" s="62"/>
      <c r="LEC17" s="62"/>
      <c r="LED17" s="62"/>
      <c r="LEE17" s="62"/>
      <c r="LEF17" s="62"/>
      <c r="LEG17" s="62"/>
      <c r="LEH17" s="62"/>
      <c r="LEI17" s="62"/>
      <c r="LEJ17" s="62"/>
      <c r="LEK17" s="62"/>
      <c r="LEL17" s="62"/>
      <c r="LEM17" s="62"/>
      <c r="LEN17" s="62"/>
      <c r="LEO17" s="62"/>
      <c r="LEP17" s="62"/>
      <c r="LEQ17" s="62"/>
      <c r="LER17" s="62"/>
      <c r="LES17" s="62"/>
      <c r="LET17" s="62"/>
      <c r="LEU17" s="62"/>
      <c r="LEV17" s="62"/>
      <c r="LEW17" s="62"/>
      <c r="LEX17" s="62"/>
      <c r="LEY17" s="62"/>
      <c r="LEZ17" s="62"/>
      <c r="LFA17" s="62"/>
      <c r="LFB17" s="62"/>
      <c r="LFC17" s="62"/>
      <c r="LFD17" s="62"/>
      <c r="LFE17" s="62"/>
      <c r="LFF17" s="62"/>
      <c r="LFG17" s="62"/>
      <c r="LFH17" s="62"/>
      <c r="LFI17" s="62"/>
      <c r="LFJ17" s="62"/>
      <c r="LFK17" s="62"/>
      <c r="LFL17" s="62"/>
      <c r="LFM17" s="62"/>
      <c r="LFN17" s="62"/>
      <c r="LFO17" s="62"/>
      <c r="LFP17" s="62"/>
      <c r="LFQ17" s="62"/>
      <c r="LFR17" s="62"/>
      <c r="LFS17" s="62"/>
      <c r="LFT17" s="62"/>
      <c r="LFU17" s="62"/>
      <c r="LFV17" s="62"/>
      <c r="LFW17" s="62"/>
      <c r="LFX17" s="62"/>
      <c r="LFY17" s="62"/>
      <c r="LFZ17" s="62"/>
      <c r="LGA17" s="62"/>
      <c r="LGB17" s="62"/>
      <c r="LGC17" s="62"/>
      <c r="LGD17" s="62"/>
      <c r="LGE17" s="62"/>
      <c r="LGF17" s="62"/>
      <c r="LGG17" s="62"/>
      <c r="LGH17" s="62"/>
      <c r="LGI17" s="62"/>
      <c r="LGJ17" s="62"/>
      <c r="LGK17" s="62"/>
      <c r="LGL17" s="62"/>
      <c r="LGM17" s="62"/>
      <c r="LGN17" s="62"/>
      <c r="LGO17" s="62"/>
      <c r="LGP17" s="62"/>
      <c r="LGQ17" s="62"/>
      <c r="LGR17" s="62"/>
      <c r="LGS17" s="62"/>
      <c r="LGT17" s="62"/>
      <c r="LGU17" s="62"/>
      <c r="LGV17" s="62"/>
      <c r="LGW17" s="62"/>
      <c r="LGX17" s="62"/>
      <c r="LGY17" s="62"/>
      <c r="LGZ17" s="62"/>
      <c r="LHA17" s="62"/>
      <c r="LHB17" s="62"/>
      <c r="LHC17" s="62"/>
      <c r="LHD17" s="62"/>
      <c r="LHE17" s="62"/>
      <c r="LHF17" s="62"/>
      <c r="LHG17" s="62"/>
      <c r="LHH17" s="62"/>
      <c r="LHI17" s="62"/>
      <c r="LHJ17" s="62"/>
      <c r="LHK17" s="62"/>
      <c r="LHL17" s="62"/>
      <c r="LHM17" s="62"/>
      <c r="LHN17" s="62"/>
      <c r="LHO17" s="62"/>
      <c r="LHP17" s="62"/>
      <c r="LHQ17" s="62"/>
      <c r="LHR17" s="62"/>
      <c r="LHS17" s="62"/>
      <c r="LHT17" s="62"/>
      <c r="LHU17" s="62"/>
      <c r="LHV17" s="62"/>
      <c r="LHW17" s="62"/>
      <c r="LHX17" s="62"/>
      <c r="LHY17" s="62"/>
      <c r="LHZ17" s="62"/>
      <c r="LIA17" s="62"/>
      <c r="LIB17" s="62"/>
      <c r="LIC17" s="62"/>
      <c r="LID17" s="62"/>
      <c r="LIE17" s="62"/>
      <c r="LIF17" s="62"/>
      <c r="LIG17" s="62"/>
      <c r="LIH17" s="62"/>
      <c r="LII17" s="62"/>
      <c r="LIJ17" s="62"/>
      <c r="LIK17" s="62"/>
      <c r="LIL17" s="62"/>
      <c r="LIM17" s="62"/>
      <c r="LIN17" s="62"/>
      <c r="LIO17" s="62"/>
      <c r="LIP17" s="62"/>
      <c r="LIQ17" s="62"/>
      <c r="LIR17" s="62"/>
      <c r="LIS17" s="62"/>
      <c r="LIT17" s="62"/>
      <c r="LIU17" s="62"/>
      <c r="LIV17" s="62"/>
      <c r="LIW17" s="62"/>
      <c r="LIX17" s="62"/>
      <c r="LIY17" s="62"/>
      <c r="LIZ17" s="62"/>
      <c r="LJA17" s="62"/>
      <c r="LJB17" s="62"/>
      <c r="LJC17" s="62"/>
      <c r="LJD17" s="62"/>
      <c r="LJE17" s="62"/>
      <c r="LJF17" s="62"/>
      <c r="LJG17" s="62"/>
      <c r="LJH17" s="62"/>
      <c r="LJI17" s="62"/>
      <c r="LJJ17" s="62"/>
      <c r="LJK17" s="62"/>
      <c r="LJL17" s="62"/>
      <c r="LJM17" s="62"/>
      <c r="LJN17" s="62"/>
      <c r="LJO17" s="62"/>
      <c r="LJP17" s="62"/>
      <c r="LJQ17" s="62"/>
      <c r="LJR17" s="62"/>
      <c r="LJS17" s="62"/>
      <c r="LJT17" s="62"/>
      <c r="LJU17" s="62"/>
      <c r="LJV17" s="62"/>
      <c r="LJW17" s="62"/>
      <c r="LJX17" s="62"/>
      <c r="LJY17" s="62"/>
      <c r="LJZ17" s="62"/>
      <c r="LKA17" s="62"/>
      <c r="LKB17" s="62"/>
      <c r="LKC17" s="62"/>
      <c r="LKD17" s="62"/>
      <c r="LKE17" s="62"/>
      <c r="LKF17" s="62"/>
      <c r="LKG17" s="62"/>
      <c r="LKH17" s="62"/>
      <c r="LKI17" s="62"/>
      <c r="LKJ17" s="62"/>
      <c r="LKK17" s="62"/>
      <c r="LKL17" s="62"/>
      <c r="LKM17" s="62"/>
      <c r="LKN17" s="62"/>
      <c r="LKO17" s="62"/>
      <c r="LKP17" s="62"/>
      <c r="LKQ17" s="62"/>
      <c r="LKR17" s="62"/>
      <c r="LKS17" s="62"/>
      <c r="LKT17" s="62"/>
      <c r="LKU17" s="62"/>
      <c r="LKV17" s="62"/>
      <c r="LKW17" s="62"/>
      <c r="LKX17" s="62"/>
      <c r="LKY17" s="62"/>
      <c r="LKZ17" s="62"/>
      <c r="LLA17" s="62"/>
      <c r="LLB17" s="62"/>
      <c r="LLC17" s="62"/>
      <c r="LLD17" s="62"/>
      <c r="LLE17" s="62"/>
      <c r="LLF17" s="62"/>
      <c r="LLG17" s="62"/>
      <c r="LLH17" s="62"/>
      <c r="LLI17" s="62"/>
      <c r="LLJ17" s="62"/>
      <c r="LLK17" s="62"/>
      <c r="LLL17" s="62"/>
      <c r="LLM17" s="62"/>
      <c r="LLN17" s="62"/>
      <c r="LLO17" s="62"/>
      <c r="LLP17" s="62"/>
      <c r="LLQ17" s="62"/>
      <c r="LLR17" s="62"/>
      <c r="LLS17" s="62"/>
      <c r="LLT17" s="62"/>
      <c r="LLU17" s="62"/>
      <c r="LLV17" s="62"/>
      <c r="LLW17" s="62"/>
      <c r="LLX17" s="62"/>
      <c r="LLY17" s="62"/>
      <c r="LLZ17" s="62"/>
      <c r="LMA17" s="62"/>
      <c r="LMB17" s="62"/>
      <c r="LMC17" s="62"/>
      <c r="LMD17" s="62"/>
      <c r="LME17" s="62"/>
      <c r="LMF17" s="62"/>
      <c r="LMG17" s="62"/>
      <c r="LMH17" s="62"/>
      <c r="LMI17" s="62"/>
      <c r="LMJ17" s="62"/>
      <c r="LMK17" s="62"/>
      <c r="LML17" s="62"/>
      <c r="LMM17" s="62"/>
      <c r="LMN17" s="62"/>
      <c r="LMO17" s="62"/>
      <c r="LMP17" s="62"/>
      <c r="LMQ17" s="62"/>
      <c r="LMR17" s="62"/>
      <c r="LMS17" s="62"/>
      <c r="LMT17" s="62"/>
      <c r="LMU17" s="62"/>
      <c r="LMV17" s="62"/>
      <c r="LMW17" s="62"/>
      <c r="LMX17" s="62"/>
      <c r="LMY17" s="62"/>
      <c r="LMZ17" s="62"/>
      <c r="LNA17" s="62"/>
      <c r="LNB17" s="62"/>
      <c r="LNC17" s="62"/>
      <c r="LND17" s="62"/>
      <c r="LNE17" s="62"/>
      <c r="LNF17" s="62"/>
      <c r="LNG17" s="62"/>
      <c r="LNH17" s="62"/>
      <c r="LNI17" s="62"/>
      <c r="LNJ17" s="62"/>
      <c r="LNK17" s="62"/>
      <c r="LNL17" s="62"/>
      <c r="LNM17" s="62"/>
      <c r="LNN17" s="62"/>
      <c r="LNO17" s="62"/>
      <c r="LNP17" s="62"/>
      <c r="LNQ17" s="62"/>
      <c r="LNR17" s="62"/>
      <c r="LNS17" s="62"/>
      <c r="LNT17" s="62"/>
      <c r="LNU17" s="62"/>
      <c r="LNV17" s="62"/>
      <c r="LNW17" s="62"/>
      <c r="LNX17" s="62"/>
      <c r="LNY17" s="62"/>
      <c r="LNZ17" s="62"/>
      <c r="LOA17" s="62"/>
      <c r="LOB17" s="62"/>
      <c r="LOC17" s="62"/>
      <c r="LOD17" s="62"/>
      <c r="LOE17" s="62"/>
      <c r="LOF17" s="62"/>
      <c r="LOG17" s="62"/>
      <c r="LOH17" s="62"/>
      <c r="LOI17" s="62"/>
      <c r="LOJ17" s="62"/>
      <c r="LOK17" s="62"/>
      <c r="LOL17" s="62"/>
      <c r="LOM17" s="62"/>
      <c r="LON17" s="62"/>
      <c r="LOO17" s="62"/>
      <c r="LOP17" s="62"/>
      <c r="LOQ17" s="62"/>
      <c r="LOR17" s="62"/>
      <c r="LOS17" s="62"/>
      <c r="LOT17" s="62"/>
      <c r="LOU17" s="62"/>
      <c r="LOV17" s="62"/>
      <c r="LOW17" s="62"/>
      <c r="LOX17" s="62"/>
      <c r="LOY17" s="62"/>
      <c r="LOZ17" s="62"/>
      <c r="LPA17" s="62"/>
      <c r="LPB17" s="62"/>
      <c r="LPC17" s="62"/>
      <c r="LPD17" s="62"/>
      <c r="LPE17" s="62"/>
      <c r="LPF17" s="62"/>
      <c r="LPG17" s="62"/>
      <c r="LPH17" s="62"/>
      <c r="LPI17" s="62"/>
      <c r="LPJ17" s="62"/>
      <c r="LPK17" s="62"/>
      <c r="LPL17" s="62"/>
      <c r="LPM17" s="62"/>
      <c r="LPN17" s="62"/>
      <c r="LPO17" s="62"/>
      <c r="LPP17" s="62"/>
      <c r="LPQ17" s="62"/>
      <c r="LPR17" s="62"/>
      <c r="LPS17" s="62"/>
      <c r="LPT17" s="62"/>
      <c r="LPU17" s="62"/>
      <c r="LPV17" s="62"/>
      <c r="LPW17" s="62"/>
      <c r="LPX17" s="62"/>
      <c r="LPY17" s="62"/>
      <c r="LPZ17" s="62"/>
      <c r="LQA17" s="62"/>
      <c r="LQB17" s="62"/>
      <c r="LQC17" s="62"/>
      <c r="LQD17" s="62"/>
      <c r="LQE17" s="62"/>
      <c r="LQF17" s="62"/>
      <c r="LQG17" s="62"/>
      <c r="LQH17" s="62"/>
      <c r="LQI17" s="62"/>
      <c r="LQJ17" s="62"/>
      <c r="LQK17" s="62"/>
      <c r="LQL17" s="62"/>
      <c r="LQM17" s="62"/>
      <c r="LQN17" s="62"/>
      <c r="LQO17" s="62"/>
      <c r="LQP17" s="62"/>
      <c r="LQQ17" s="62"/>
      <c r="LQR17" s="62"/>
      <c r="LQS17" s="62"/>
      <c r="LQT17" s="62"/>
      <c r="LQU17" s="62"/>
      <c r="LQV17" s="62"/>
      <c r="LQW17" s="62"/>
      <c r="LQX17" s="62"/>
      <c r="LQY17" s="62"/>
      <c r="LQZ17" s="62"/>
      <c r="LRA17" s="62"/>
      <c r="LRB17" s="62"/>
      <c r="LRC17" s="62"/>
      <c r="LRD17" s="62"/>
      <c r="LRE17" s="62"/>
      <c r="LRF17" s="62"/>
      <c r="LRG17" s="62"/>
      <c r="LRH17" s="62"/>
      <c r="LRI17" s="62"/>
      <c r="LRJ17" s="62"/>
      <c r="LRK17" s="62"/>
      <c r="LRL17" s="62"/>
      <c r="LRM17" s="62"/>
      <c r="LRN17" s="62"/>
      <c r="LRO17" s="62"/>
      <c r="LRP17" s="62"/>
      <c r="LRQ17" s="62"/>
      <c r="LRR17" s="62"/>
      <c r="LRS17" s="62"/>
      <c r="LRT17" s="62"/>
      <c r="LRU17" s="62"/>
      <c r="LRV17" s="62"/>
      <c r="LRW17" s="62"/>
      <c r="LRX17" s="62"/>
      <c r="LRY17" s="62"/>
      <c r="LRZ17" s="62"/>
      <c r="LSA17" s="62"/>
      <c r="LSB17" s="62"/>
      <c r="LSC17" s="62"/>
      <c r="LSD17" s="62"/>
      <c r="LSE17" s="62"/>
      <c r="LSF17" s="62"/>
      <c r="LSG17" s="62"/>
      <c r="LSH17" s="62"/>
      <c r="LSI17" s="62"/>
      <c r="LSJ17" s="62"/>
      <c r="LSK17" s="62"/>
      <c r="LSL17" s="62"/>
      <c r="LSM17" s="62"/>
      <c r="LSN17" s="62"/>
      <c r="LSO17" s="62"/>
      <c r="LSP17" s="62"/>
      <c r="LSQ17" s="62"/>
      <c r="LSR17" s="62"/>
      <c r="LSS17" s="62"/>
      <c r="LST17" s="62"/>
      <c r="LSU17" s="62"/>
      <c r="LSV17" s="62"/>
      <c r="LSW17" s="62"/>
      <c r="LSX17" s="62"/>
      <c r="LSY17" s="62"/>
      <c r="LSZ17" s="62"/>
      <c r="LTA17" s="62"/>
      <c r="LTB17" s="62"/>
      <c r="LTC17" s="62"/>
      <c r="LTD17" s="62"/>
      <c r="LTE17" s="62"/>
      <c r="LTF17" s="62"/>
      <c r="LTG17" s="62"/>
      <c r="LTH17" s="62"/>
      <c r="LTI17" s="62"/>
      <c r="LTJ17" s="62"/>
      <c r="LTK17" s="62"/>
      <c r="LTL17" s="62"/>
      <c r="LTM17" s="62"/>
      <c r="LTN17" s="62"/>
      <c r="LTO17" s="62"/>
      <c r="LTP17" s="62"/>
      <c r="LTQ17" s="62"/>
      <c r="LTR17" s="62"/>
      <c r="LTS17" s="62"/>
      <c r="LTT17" s="62"/>
      <c r="LTU17" s="62"/>
      <c r="LTV17" s="62"/>
      <c r="LTW17" s="62"/>
      <c r="LTX17" s="62"/>
      <c r="LTY17" s="62"/>
      <c r="LTZ17" s="62"/>
      <c r="LUA17" s="62"/>
      <c r="LUB17" s="62"/>
      <c r="LUC17" s="62"/>
      <c r="LUD17" s="62"/>
      <c r="LUE17" s="62"/>
      <c r="LUF17" s="62"/>
      <c r="LUG17" s="62"/>
      <c r="LUH17" s="62"/>
      <c r="LUI17" s="62"/>
      <c r="LUJ17" s="62"/>
      <c r="LUK17" s="62"/>
      <c r="LUL17" s="62"/>
      <c r="LUM17" s="62"/>
      <c r="LUN17" s="62"/>
      <c r="LUO17" s="62"/>
      <c r="LUP17" s="62"/>
      <c r="LUQ17" s="62"/>
      <c r="LUR17" s="62"/>
      <c r="LUS17" s="62"/>
      <c r="LUT17" s="62"/>
      <c r="LUU17" s="62"/>
      <c r="LUV17" s="62"/>
      <c r="LUW17" s="62"/>
      <c r="LUX17" s="62"/>
      <c r="LUY17" s="62"/>
      <c r="LUZ17" s="62"/>
      <c r="LVA17" s="62"/>
      <c r="LVB17" s="62"/>
      <c r="LVC17" s="62"/>
      <c r="LVD17" s="62"/>
      <c r="LVE17" s="62"/>
      <c r="LVF17" s="62"/>
      <c r="LVG17" s="62"/>
      <c r="LVH17" s="62"/>
      <c r="LVI17" s="62"/>
      <c r="LVJ17" s="62"/>
      <c r="LVK17" s="62"/>
      <c r="LVL17" s="62"/>
      <c r="LVM17" s="62"/>
      <c r="LVN17" s="62"/>
      <c r="LVO17" s="62"/>
      <c r="LVP17" s="62"/>
      <c r="LVQ17" s="62"/>
      <c r="LVR17" s="62"/>
      <c r="LVS17" s="62"/>
      <c r="LVT17" s="62"/>
      <c r="LVU17" s="62"/>
      <c r="LVV17" s="62"/>
      <c r="LVW17" s="62"/>
      <c r="LVX17" s="62"/>
      <c r="LVY17" s="62"/>
      <c r="LVZ17" s="62"/>
      <c r="LWA17" s="62"/>
      <c r="LWB17" s="62"/>
      <c r="LWC17" s="62"/>
      <c r="LWD17" s="62"/>
      <c r="LWE17" s="62"/>
      <c r="LWF17" s="62"/>
      <c r="LWG17" s="62"/>
      <c r="LWH17" s="62"/>
      <c r="LWI17" s="62"/>
      <c r="LWJ17" s="62"/>
      <c r="LWK17" s="62"/>
      <c r="LWL17" s="62"/>
      <c r="LWM17" s="62"/>
      <c r="LWN17" s="62"/>
      <c r="LWO17" s="62"/>
      <c r="LWP17" s="62"/>
      <c r="LWQ17" s="62"/>
      <c r="LWR17" s="62"/>
      <c r="LWS17" s="62"/>
      <c r="LWT17" s="62"/>
      <c r="LWU17" s="62"/>
      <c r="LWV17" s="62"/>
      <c r="LWW17" s="62"/>
      <c r="LWX17" s="62"/>
      <c r="LWY17" s="62"/>
      <c r="LWZ17" s="62"/>
      <c r="LXA17" s="62"/>
      <c r="LXB17" s="62"/>
      <c r="LXC17" s="62"/>
      <c r="LXD17" s="62"/>
      <c r="LXE17" s="62"/>
      <c r="LXF17" s="62"/>
      <c r="LXG17" s="62"/>
      <c r="LXH17" s="62"/>
      <c r="LXI17" s="62"/>
      <c r="LXJ17" s="62"/>
      <c r="LXK17" s="62"/>
      <c r="LXL17" s="62"/>
      <c r="LXM17" s="62"/>
      <c r="LXN17" s="62"/>
      <c r="LXO17" s="62"/>
      <c r="LXP17" s="62"/>
      <c r="LXQ17" s="62"/>
      <c r="LXR17" s="62"/>
      <c r="LXS17" s="62"/>
      <c r="LXT17" s="62"/>
      <c r="LXU17" s="62"/>
      <c r="LXV17" s="62"/>
      <c r="LXW17" s="62"/>
      <c r="LXX17" s="62"/>
      <c r="LXY17" s="62"/>
      <c r="LXZ17" s="62"/>
      <c r="LYA17" s="62"/>
      <c r="LYB17" s="62"/>
      <c r="LYC17" s="62"/>
      <c r="LYD17" s="62"/>
      <c r="LYE17" s="62"/>
      <c r="LYF17" s="62"/>
      <c r="LYG17" s="62"/>
      <c r="LYH17" s="62"/>
      <c r="LYI17" s="62"/>
      <c r="LYJ17" s="62"/>
      <c r="LYK17" s="62"/>
      <c r="LYL17" s="62"/>
      <c r="LYM17" s="62"/>
      <c r="LYN17" s="62"/>
      <c r="LYO17" s="62"/>
      <c r="LYP17" s="62"/>
      <c r="LYQ17" s="62"/>
      <c r="LYR17" s="62"/>
      <c r="LYS17" s="62"/>
      <c r="LYT17" s="62"/>
      <c r="LYU17" s="62"/>
      <c r="LYV17" s="62"/>
      <c r="LYW17" s="62"/>
      <c r="LYX17" s="62"/>
      <c r="LYY17" s="62"/>
      <c r="LYZ17" s="62"/>
      <c r="LZA17" s="62"/>
      <c r="LZB17" s="62"/>
      <c r="LZC17" s="62"/>
      <c r="LZD17" s="62"/>
      <c r="LZE17" s="62"/>
      <c r="LZF17" s="62"/>
      <c r="LZG17" s="62"/>
      <c r="LZH17" s="62"/>
      <c r="LZI17" s="62"/>
      <c r="LZJ17" s="62"/>
      <c r="LZK17" s="62"/>
      <c r="LZL17" s="62"/>
      <c r="LZM17" s="62"/>
      <c r="LZN17" s="62"/>
      <c r="LZO17" s="62"/>
      <c r="LZP17" s="62"/>
      <c r="LZQ17" s="62"/>
      <c r="LZR17" s="62"/>
      <c r="LZS17" s="62"/>
      <c r="LZT17" s="62"/>
      <c r="LZU17" s="62"/>
      <c r="LZV17" s="62"/>
      <c r="LZW17" s="62"/>
      <c r="LZX17" s="62"/>
      <c r="LZY17" s="62"/>
      <c r="LZZ17" s="62"/>
      <c r="MAA17" s="62"/>
      <c r="MAB17" s="62"/>
      <c r="MAC17" s="62"/>
      <c r="MAD17" s="62"/>
      <c r="MAE17" s="62"/>
      <c r="MAF17" s="62"/>
      <c r="MAG17" s="62"/>
      <c r="MAH17" s="62"/>
      <c r="MAI17" s="62"/>
      <c r="MAJ17" s="62"/>
      <c r="MAK17" s="62"/>
      <c r="MAL17" s="62"/>
      <c r="MAM17" s="62"/>
      <c r="MAN17" s="62"/>
      <c r="MAO17" s="62"/>
      <c r="MAP17" s="62"/>
      <c r="MAQ17" s="62"/>
      <c r="MAR17" s="62"/>
      <c r="MAS17" s="62"/>
      <c r="MAT17" s="62"/>
      <c r="MAU17" s="62"/>
      <c r="MAV17" s="62"/>
      <c r="MAW17" s="62"/>
      <c r="MAX17" s="62"/>
      <c r="MAY17" s="62"/>
      <c r="MAZ17" s="62"/>
      <c r="MBA17" s="62"/>
      <c r="MBB17" s="62"/>
      <c r="MBC17" s="62"/>
      <c r="MBD17" s="62"/>
      <c r="MBE17" s="62"/>
      <c r="MBF17" s="62"/>
      <c r="MBG17" s="62"/>
      <c r="MBH17" s="62"/>
      <c r="MBI17" s="62"/>
      <c r="MBJ17" s="62"/>
      <c r="MBK17" s="62"/>
      <c r="MBL17" s="62"/>
      <c r="MBM17" s="62"/>
      <c r="MBN17" s="62"/>
      <c r="MBO17" s="62"/>
      <c r="MBP17" s="62"/>
      <c r="MBQ17" s="62"/>
      <c r="MBR17" s="62"/>
      <c r="MBS17" s="62"/>
      <c r="MBT17" s="62"/>
      <c r="MBU17" s="62"/>
      <c r="MBV17" s="62"/>
      <c r="MBW17" s="62"/>
      <c r="MBX17" s="62"/>
      <c r="MBY17" s="62"/>
      <c r="MBZ17" s="62"/>
      <c r="MCA17" s="62"/>
      <c r="MCB17" s="62"/>
      <c r="MCC17" s="62"/>
      <c r="MCD17" s="62"/>
      <c r="MCE17" s="62"/>
      <c r="MCF17" s="62"/>
      <c r="MCG17" s="62"/>
      <c r="MCH17" s="62"/>
      <c r="MCI17" s="62"/>
      <c r="MCJ17" s="62"/>
      <c r="MCK17" s="62"/>
      <c r="MCL17" s="62"/>
      <c r="MCM17" s="62"/>
      <c r="MCN17" s="62"/>
      <c r="MCO17" s="62"/>
      <c r="MCP17" s="62"/>
      <c r="MCQ17" s="62"/>
      <c r="MCR17" s="62"/>
      <c r="MCS17" s="62"/>
      <c r="MCT17" s="62"/>
      <c r="MCU17" s="62"/>
      <c r="MCV17" s="62"/>
      <c r="MCW17" s="62"/>
      <c r="MCX17" s="62"/>
      <c r="MCY17" s="62"/>
      <c r="MCZ17" s="62"/>
      <c r="MDA17" s="62"/>
      <c r="MDB17" s="62"/>
      <c r="MDC17" s="62"/>
      <c r="MDD17" s="62"/>
      <c r="MDE17" s="62"/>
      <c r="MDF17" s="62"/>
      <c r="MDG17" s="62"/>
      <c r="MDH17" s="62"/>
      <c r="MDI17" s="62"/>
      <c r="MDJ17" s="62"/>
      <c r="MDK17" s="62"/>
      <c r="MDL17" s="62"/>
      <c r="MDM17" s="62"/>
      <c r="MDN17" s="62"/>
      <c r="MDO17" s="62"/>
      <c r="MDP17" s="62"/>
      <c r="MDQ17" s="62"/>
      <c r="MDR17" s="62"/>
      <c r="MDS17" s="62"/>
      <c r="MDT17" s="62"/>
      <c r="MDU17" s="62"/>
      <c r="MDV17" s="62"/>
      <c r="MDW17" s="62"/>
      <c r="MDX17" s="62"/>
      <c r="MDY17" s="62"/>
      <c r="MDZ17" s="62"/>
      <c r="MEA17" s="62"/>
      <c r="MEB17" s="62"/>
      <c r="MEC17" s="62"/>
      <c r="MED17" s="62"/>
      <c r="MEE17" s="62"/>
      <c r="MEF17" s="62"/>
      <c r="MEG17" s="62"/>
      <c r="MEH17" s="62"/>
      <c r="MEI17" s="62"/>
      <c r="MEJ17" s="62"/>
      <c r="MEK17" s="62"/>
      <c r="MEL17" s="62"/>
      <c r="MEM17" s="62"/>
      <c r="MEN17" s="62"/>
      <c r="MEO17" s="62"/>
      <c r="MEP17" s="62"/>
      <c r="MEQ17" s="62"/>
      <c r="MER17" s="62"/>
      <c r="MES17" s="62"/>
      <c r="MET17" s="62"/>
      <c r="MEU17" s="62"/>
      <c r="MEV17" s="62"/>
      <c r="MEW17" s="62"/>
      <c r="MEX17" s="62"/>
      <c r="MEY17" s="62"/>
      <c r="MEZ17" s="62"/>
      <c r="MFA17" s="62"/>
      <c r="MFB17" s="62"/>
      <c r="MFC17" s="62"/>
      <c r="MFD17" s="62"/>
      <c r="MFE17" s="62"/>
      <c r="MFF17" s="62"/>
      <c r="MFG17" s="62"/>
      <c r="MFH17" s="62"/>
      <c r="MFI17" s="62"/>
      <c r="MFJ17" s="62"/>
      <c r="MFK17" s="62"/>
      <c r="MFL17" s="62"/>
      <c r="MFM17" s="62"/>
      <c r="MFN17" s="62"/>
      <c r="MFO17" s="62"/>
      <c r="MFP17" s="62"/>
      <c r="MFQ17" s="62"/>
      <c r="MFR17" s="62"/>
      <c r="MFS17" s="62"/>
      <c r="MFT17" s="62"/>
      <c r="MFU17" s="62"/>
      <c r="MFV17" s="62"/>
      <c r="MFW17" s="62"/>
      <c r="MFX17" s="62"/>
      <c r="MFY17" s="62"/>
      <c r="MFZ17" s="62"/>
      <c r="MGA17" s="62"/>
      <c r="MGB17" s="62"/>
      <c r="MGC17" s="62"/>
      <c r="MGD17" s="62"/>
      <c r="MGE17" s="62"/>
      <c r="MGF17" s="62"/>
      <c r="MGG17" s="62"/>
      <c r="MGH17" s="62"/>
      <c r="MGI17" s="62"/>
      <c r="MGJ17" s="62"/>
      <c r="MGK17" s="62"/>
      <c r="MGL17" s="62"/>
      <c r="MGM17" s="62"/>
      <c r="MGN17" s="62"/>
      <c r="MGO17" s="62"/>
      <c r="MGP17" s="62"/>
      <c r="MGQ17" s="62"/>
      <c r="MGR17" s="62"/>
      <c r="MGS17" s="62"/>
      <c r="MGT17" s="62"/>
      <c r="MGU17" s="62"/>
      <c r="MGV17" s="62"/>
      <c r="MGW17" s="62"/>
      <c r="MGX17" s="62"/>
      <c r="MGY17" s="62"/>
      <c r="MGZ17" s="62"/>
      <c r="MHA17" s="62"/>
      <c r="MHB17" s="62"/>
      <c r="MHC17" s="62"/>
      <c r="MHD17" s="62"/>
      <c r="MHE17" s="62"/>
      <c r="MHF17" s="62"/>
      <c r="MHG17" s="62"/>
      <c r="MHH17" s="62"/>
      <c r="MHI17" s="62"/>
      <c r="MHJ17" s="62"/>
      <c r="MHK17" s="62"/>
      <c r="MHL17" s="62"/>
      <c r="MHM17" s="62"/>
      <c r="MHN17" s="62"/>
      <c r="MHO17" s="62"/>
      <c r="MHP17" s="62"/>
      <c r="MHQ17" s="62"/>
      <c r="MHR17" s="62"/>
      <c r="MHS17" s="62"/>
      <c r="MHT17" s="62"/>
      <c r="MHU17" s="62"/>
      <c r="MHV17" s="62"/>
      <c r="MHW17" s="62"/>
      <c r="MHX17" s="62"/>
      <c r="MHY17" s="62"/>
      <c r="MHZ17" s="62"/>
      <c r="MIA17" s="62"/>
      <c r="MIB17" s="62"/>
      <c r="MIC17" s="62"/>
      <c r="MID17" s="62"/>
      <c r="MIE17" s="62"/>
      <c r="MIF17" s="62"/>
      <c r="MIG17" s="62"/>
      <c r="MIH17" s="62"/>
      <c r="MII17" s="62"/>
      <c r="MIJ17" s="62"/>
      <c r="MIK17" s="62"/>
      <c r="MIL17" s="62"/>
      <c r="MIM17" s="62"/>
      <c r="MIN17" s="62"/>
      <c r="MIO17" s="62"/>
      <c r="MIP17" s="62"/>
      <c r="MIQ17" s="62"/>
      <c r="MIR17" s="62"/>
      <c r="MIS17" s="62"/>
      <c r="MIT17" s="62"/>
      <c r="MIU17" s="62"/>
      <c r="MIV17" s="62"/>
      <c r="MIW17" s="62"/>
      <c r="MIX17" s="62"/>
      <c r="MIY17" s="62"/>
      <c r="MIZ17" s="62"/>
      <c r="MJA17" s="62"/>
      <c r="MJB17" s="62"/>
      <c r="MJC17" s="62"/>
      <c r="MJD17" s="62"/>
      <c r="MJE17" s="62"/>
      <c r="MJF17" s="62"/>
      <c r="MJG17" s="62"/>
      <c r="MJH17" s="62"/>
      <c r="MJI17" s="62"/>
      <c r="MJJ17" s="62"/>
      <c r="MJK17" s="62"/>
      <c r="MJL17" s="62"/>
      <c r="MJM17" s="62"/>
      <c r="MJN17" s="62"/>
      <c r="MJO17" s="62"/>
      <c r="MJP17" s="62"/>
      <c r="MJQ17" s="62"/>
      <c r="MJR17" s="62"/>
      <c r="MJS17" s="62"/>
      <c r="MJT17" s="62"/>
      <c r="MJU17" s="62"/>
      <c r="MJV17" s="62"/>
      <c r="MJW17" s="62"/>
      <c r="MJX17" s="62"/>
      <c r="MJY17" s="62"/>
      <c r="MJZ17" s="62"/>
      <c r="MKA17" s="62"/>
      <c r="MKB17" s="62"/>
      <c r="MKC17" s="62"/>
      <c r="MKD17" s="62"/>
      <c r="MKE17" s="62"/>
      <c r="MKF17" s="62"/>
      <c r="MKG17" s="62"/>
      <c r="MKH17" s="62"/>
      <c r="MKI17" s="62"/>
      <c r="MKJ17" s="62"/>
      <c r="MKK17" s="62"/>
      <c r="MKL17" s="62"/>
      <c r="MKM17" s="62"/>
      <c r="MKN17" s="62"/>
      <c r="MKO17" s="62"/>
      <c r="MKP17" s="62"/>
      <c r="MKQ17" s="62"/>
      <c r="MKR17" s="62"/>
      <c r="MKS17" s="62"/>
      <c r="MKT17" s="62"/>
      <c r="MKU17" s="62"/>
      <c r="MKV17" s="62"/>
      <c r="MKW17" s="62"/>
      <c r="MKX17" s="62"/>
      <c r="MKY17" s="62"/>
      <c r="MKZ17" s="62"/>
      <c r="MLA17" s="62"/>
      <c r="MLB17" s="62"/>
      <c r="MLC17" s="62"/>
      <c r="MLD17" s="62"/>
      <c r="MLE17" s="62"/>
      <c r="MLF17" s="62"/>
      <c r="MLG17" s="62"/>
      <c r="MLH17" s="62"/>
      <c r="MLI17" s="62"/>
      <c r="MLJ17" s="62"/>
      <c r="MLK17" s="62"/>
      <c r="MLL17" s="62"/>
      <c r="MLM17" s="62"/>
      <c r="MLN17" s="62"/>
      <c r="MLO17" s="62"/>
      <c r="MLP17" s="62"/>
      <c r="MLQ17" s="62"/>
      <c r="MLR17" s="62"/>
      <c r="MLS17" s="62"/>
      <c r="MLT17" s="62"/>
      <c r="MLU17" s="62"/>
      <c r="MLV17" s="62"/>
      <c r="MLW17" s="62"/>
      <c r="MLX17" s="62"/>
      <c r="MLY17" s="62"/>
      <c r="MLZ17" s="62"/>
      <c r="MMA17" s="62"/>
      <c r="MMB17" s="62"/>
      <c r="MMC17" s="62"/>
      <c r="MMD17" s="62"/>
      <c r="MME17" s="62"/>
      <c r="MMF17" s="62"/>
      <c r="MMG17" s="62"/>
      <c r="MMH17" s="62"/>
      <c r="MMI17" s="62"/>
      <c r="MMJ17" s="62"/>
      <c r="MMK17" s="62"/>
      <c r="MML17" s="62"/>
      <c r="MMM17" s="62"/>
      <c r="MMN17" s="62"/>
      <c r="MMO17" s="62"/>
      <c r="MMP17" s="62"/>
      <c r="MMQ17" s="62"/>
      <c r="MMR17" s="62"/>
      <c r="MMS17" s="62"/>
      <c r="MMT17" s="62"/>
      <c r="MMU17" s="62"/>
      <c r="MMV17" s="62"/>
      <c r="MMW17" s="62"/>
      <c r="MMX17" s="62"/>
      <c r="MMY17" s="62"/>
      <c r="MMZ17" s="62"/>
      <c r="MNA17" s="62"/>
      <c r="MNB17" s="62"/>
      <c r="MNC17" s="62"/>
      <c r="MND17" s="62"/>
      <c r="MNE17" s="62"/>
      <c r="MNF17" s="62"/>
      <c r="MNG17" s="62"/>
      <c r="MNH17" s="62"/>
      <c r="MNI17" s="62"/>
      <c r="MNJ17" s="62"/>
      <c r="MNK17" s="62"/>
      <c r="MNL17" s="62"/>
      <c r="MNM17" s="62"/>
      <c r="MNN17" s="62"/>
      <c r="MNO17" s="62"/>
      <c r="MNP17" s="62"/>
      <c r="MNQ17" s="62"/>
      <c r="MNR17" s="62"/>
      <c r="MNS17" s="62"/>
      <c r="MNT17" s="62"/>
      <c r="MNU17" s="62"/>
      <c r="MNV17" s="62"/>
      <c r="MNW17" s="62"/>
      <c r="MNX17" s="62"/>
      <c r="MNY17" s="62"/>
      <c r="MNZ17" s="62"/>
      <c r="MOA17" s="62"/>
      <c r="MOB17" s="62"/>
      <c r="MOC17" s="62"/>
      <c r="MOD17" s="62"/>
      <c r="MOE17" s="62"/>
      <c r="MOF17" s="62"/>
      <c r="MOG17" s="62"/>
      <c r="MOH17" s="62"/>
      <c r="MOI17" s="62"/>
      <c r="MOJ17" s="62"/>
      <c r="MOK17" s="62"/>
      <c r="MOL17" s="62"/>
      <c r="MOM17" s="62"/>
      <c r="MON17" s="62"/>
      <c r="MOO17" s="62"/>
      <c r="MOP17" s="62"/>
      <c r="MOQ17" s="62"/>
      <c r="MOR17" s="62"/>
      <c r="MOS17" s="62"/>
      <c r="MOT17" s="62"/>
      <c r="MOU17" s="62"/>
      <c r="MOV17" s="62"/>
      <c r="MOW17" s="62"/>
      <c r="MOX17" s="62"/>
      <c r="MOY17" s="62"/>
      <c r="MOZ17" s="62"/>
      <c r="MPA17" s="62"/>
      <c r="MPB17" s="62"/>
      <c r="MPC17" s="62"/>
      <c r="MPD17" s="62"/>
      <c r="MPE17" s="62"/>
      <c r="MPF17" s="62"/>
      <c r="MPG17" s="62"/>
      <c r="MPH17" s="62"/>
      <c r="MPI17" s="62"/>
      <c r="MPJ17" s="62"/>
      <c r="MPK17" s="62"/>
      <c r="MPL17" s="62"/>
      <c r="MPM17" s="62"/>
      <c r="MPN17" s="62"/>
      <c r="MPO17" s="62"/>
      <c r="MPP17" s="62"/>
      <c r="MPQ17" s="62"/>
      <c r="MPR17" s="62"/>
      <c r="MPS17" s="62"/>
      <c r="MPT17" s="62"/>
      <c r="MPU17" s="62"/>
      <c r="MPV17" s="62"/>
      <c r="MPW17" s="62"/>
      <c r="MPX17" s="62"/>
      <c r="MPY17" s="62"/>
      <c r="MPZ17" s="62"/>
      <c r="MQA17" s="62"/>
      <c r="MQB17" s="62"/>
      <c r="MQC17" s="62"/>
      <c r="MQD17" s="62"/>
      <c r="MQE17" s="62"/>
      <c r="MQF17" s="62"/>
      <c r="MQG17" s="62"/>
      <c r="MQH17" s="62"/>
      <c r="MQI17" s="62"/>
      <c r="MQJ17" s="62"/>
      <c r="MQK17" s="62"/>
      <c r="MQL17" s="62"/>
      <c r="MQM17" s="62"/>
      <c r="MQN17" s="62"/>
      <c r="MQO17" s="62"/>
      <c r="MQP17" s="62"/>
      <c r="MQQ17" s="62"/>
      <c r="MQR17" s="62"/>
      <c r="MQS17" s="62"/>
      <c r="MQT17" s="62"/>
      <c r="MQU17" s="62"/>
      <c r="MQV17" s="62"/>
      <c r="MQW17" s="62"/>
      <c r="MQX17" s="62"/>
      <c r="MQY17" s="62"/>
      <c r="MQZ17" s="62"/>
      <c r="MRA17" s="62"/>
      <c r="MRB17" s="62"/>
      <c r="MRC17" s="62"/>
      <c r="MRD17" s="62"/>
      <c r="MRE17" s="62"/>
      <c r="MRF17" s="62"/>
      <c r="MRG17" s="62"/>
      <c r="MRH17" s="62"/>
      <c r="MRI17" s="62"/>
      <c r="MRJ17" s="62"/>
      <c r="MRK17" s="62"/>
      <c r="MRL17" s="62"/>
      <c r="MRM17" s="62"/>
      <c r="MRN17" s="62"/>
      <c r="MRO17" s="62"/>
      <c r="MRP17" s="62"/>
      <c r="MRQ17" s="62"/>
      <c r="MRR17" s="62"/>
      <c r="MRS17" s="62"/>
      <c r="MRT17" s="62"/>
      <c r="MRU17" s="62"/>
      <c r="MRV17" s="62"/>
      <c r="MRW17" s="62"/>
      <c r="MRX17" s="62"/>
      <c r="MRY17" s="62"/>
      <c r="MRZ17" s="62"/>
      <c r="MSA17" s="62"/>
      <c r="MSB17" s="62"/>
      <c r="MSC17" s="62"/>
      <c r="MSD17" s="62"/>
      <c r="MSE17" s="62"/>
      <c r="MSF17" s="62"/>
      <c r="MSG17" s="62"/>
      <c r="MSH17" s="62"/>
      <c r="MSI17" s="62"/>
      <c r="MSJ17" s="62"/>
      <c r="MSK17" s="62"/>
      <c r="MSL17" s="62"/>
      <c r="MSM17" s="62"/>
      <c r="MSN17" s="62"/>
      <c r="MSO17" s="62"/>
      <c r="MSP17" s="62"/>
      <c r="MSQ17" s="62"/>
      <c r="MSR17" s="62"/>
      <c r="MSS17" s="62"/>
      <c r="MST17" s="62"/>
      <c r="MSU17" s="62"/>
      <c r="MSV17" s="62"/>
      <c r="MSW17" s="62"/>
      <c r="MSX17" s="62"/>
      <c r="MSY17" s="62"/>
      <c r="MSZ17" s="62"/>
      <c r="MTA17" s="62"/>
      <c r="MTB17" s="62"/>
      <c r="MTC17" s="62"/>
      <c r="MTD17" s="62"/>
      <c r="MTE17" s="62"/>
      <c r="MTF17" s="62"/>
      <c r="MTG17" s="62"/>
      <c r="MTH17" s="62"/>
      <c r="MTI17" s="62"/>
      <c r="MTJ17" s="62"/>
      <c r="MTK17" s="62"/>
      <c r="MTL17" s="62"/>
      <c r="MTM17" s="62"/>
      <c r="MTN17" s="62"/>
      <c r="MTO17" s="62"/>
      <c r="MTP17" s="62"/>
      <c r="MTQ17" s="62"/>
      <c r="MTR17" s="62"/>
      <c r="MTS17" s="62"/>
      <c r="MTT17" s="62"/>
      <c r="MTU17" s="62"/>
      <c r="MTV17" s="62"/>
      <c r="MTW17" s="62"/>
      <c r="MTX17" s="62"/>
      <c r="MTY17" s="62"/>
      <c r="MTZ17" s="62"/>
      <c r="MUA17" s="62"/>
      <c r="MUB17" s="62"/>
      <c r="MUC17" s="62"/>
      <c r="MUD17" s="62"/>
      <c r="MUE17" s="62"/>
      <c r="MUF17" s="62"/>
      <c r="MUG17" s="62"/>
      <c r="MUH17" s="62"/>
      <c r="MUI17" s="62"/>
      <c r="MUJ17" s="62"/>
      <c r="MUK17" s="62"/>
      <c r="MUL17" s="62"/>
      <c r="MUM17" s="62"/>
      <c r="MUN17" s="62"/>
      <c r="MUO17" s="62"/>
      <c r="MUP17" s="62"/>
      <c r="MUQ17" s="62"/>
      <c r="MUR17" s="62"/>
      <c r="MUS17" s="62"/>
      <c r="MUT17" s="62"/>
      <c r="MUU17" s="62"/>
      <c r="MUV17" s="62"/>
      <c r="MUW17" s="62"/>
      <c r="MUX17" s="62"/>
      <c r="MUY17" s="62"/>
      <c r="MUZ17" s="62"/>
      <c r="MVA17" s="62"/>
      <c r="MVB17" s="62"/>
      <c r="MVC17" s="62"/>
      <c r="MVD17" s="62"/>
      <c r="MVE17" s="62"/>
      <c r="MVF17" s="62"/>
      <c r="MVG17" s="62"/>
      <c r="MVH17" s="62"/>
      <c r="MVI17" s="62"/>
      <c r="MVJ17" s="62"/>
      <c r="MVK17" s="62"/>
      <c r="MVL17" s="62"/>
      <c r="MVM17" s="62"/>
      <c r="MVN17" s="62"/>
      <c r="MVO17" s="62"/>
      <c r="MVP17" s="62"/>
      <c r="MVQ17" s="62"/>
      <c r="MVR17" s="62"/>
      <c r="MVS17" s="62"/>
      <c r="MVT17" s="62"/>
      <c r="MVU17" s="62"/>
      <c r="MVV17" s="62"/>
      <c r="MVW17" s="62"/>
      <c r="MVX17" s="62"/>
      <c r="MVY17" s="62"/>
      <c r="MVZ17" s="62"/>
      <c r="MWA17" s="62"/>
      <c r="MWB17" s="62"/>
      <c r="MWC17" s="62"/>
      <c r="MWD17" s="62"/>
      <c r="MWE17" s="62"/>
      <c r="MWF17" s="62"/>
      <c r="MWG17" s="62"/>
      <c r="MWH17" s="62"/>
      <c r="MWI17" s="62"/>
      <c r="MWJ17" s="62"/>
      <c r="MWK17" s="62"/>
      <c r="MWL17" s="62"/>
      <c r="MWM17" s="62"/>
      <c r="MWN17" s="62"/>
      <c r="MWO17" s="62"/>
      <c r="MWP17" s="62"/>
      <c r="MWQ17" s="62"/>
      <c r="MWR17" s="62"/>
      <c r="MWS17" s="62"/>
      <c r="MWT17" s="62"/>
      <c r="MWU17" s="62"/>
      <c r="MWV17" s="62"/>
      <c r="MWW17" s="62"/>
      <c r="MWX17" s="62"/>
      <c r="MWY17" s="62"/>
      <c r="MWZ17" s="62"/>
      <c r="MXA17" s="62"/>
      <c r="MXB17" s="62"/>
      <c r="MXC17" s="62"/>
      <c r="MXD17" s="62"/>
      <c r="MXE17" s="62"/>
      <c r="MXF17" s="62"/>
      <c r="MXG17" s="62"/>
      <c r="MXH17" s="62"/>
      <c r="MXI17" s="62"/>
      <c r="MXJ17" s="62"/>
      <c r="MXK17" s="62"/>
      <c r="MXL17" s="62"/>
      <c r="MXM17" s="62"/>
      <c r="MXN17" s="62"/>
      <c r="MXO17" s="62"/>
      <c r="MXP17" s="62"/>
      <c r="MXQ17" s="62"/>
      <c r="MXR17" s="62"/>
      <c r="MXS17" s="62"/>
      <c r="MXT17" s="62"/>
      <c r="MXU17" s="62"/>
      <c r="MXV17" s="62"/>
      <c r="MXW17" s="62"/>
      <c r="MXX17" s="62"/>
      <c r="MXY17" s="62"/>
      <c r="MXZ17" s="62"/>
      <c r="MYA17" s="62"/>
      <c r="MYB17" s="62"/>
      <c r="MYC17" s="62"/>
      <c r="MYD17" s="62"/>
      <c r="MYE17" s="62"/>
      <c r="MYF17" s="62"/>
      <c r="MYG17" s="62"/>
      <c r="MYH17" s="62"/>
      <c r="MYI17" s="62"/>
      <c r="MYJ17" s="62"/>
      <c r="MYK17" s="62"/>
      <c r="MYL17" s="62"/>
      <c r="MYM17" s="62"/>
      <c r="MYN17" s="62"/>
      <c r="MYO17" s="62"/>
      <c r="MYP17" s="62"/>
      <c r="MYQ17" s="62"/>
      <c r="MYR17" s="62"/>
      <c r="MYS17" s="62"/>
      <c r="MYT17" s="62"/>
      <c r="MYU17" s="62"/>
      <c r="MYV17" s="62"/>
      <c r="MYW17" s="62"/>
      <c r="MYX17" s="62"/>
      <c r="MYY17" s="62"/>
      <c r="MYZ17" s="62"/>
      <c r="MZA17" s="62"/>
      <c r="MZB17" s="62"/>
      <c r="MZC17" s="62"/>
      <c r="MZD17" s="62"/>
      <c r="MZE17" s="62"/>
      <c r="MZF17" s="62"/>
      <c r="MZG17" s="62"/>
      <c r="MZH17" s="62"/>
      <c r="MZI17" s="62"/>
      <c r="MZJ17" s="62"/>
      <c r="MZK17" s="62"/>
      <c r="MZL17" s="62"/>
      <c r="MZM17" s="62"/>
      <c r="MZN17" s="62"/>
      <c r="MZO17" s="62"/>
      <c r="MZP17" s="62"/>
      <c r="MZQ17" s="62"/>
      <c r="MZR17" s="62"/>
      <c r="MZS17" s="62"/>
      <c r="MZT17" s="62"/>
      <c r="MZU17" s="62"/>
      <c r="MZV17" s="62"/>
      <c r="MZW17" s="62"/>
      <c r="MZX17" s="62"/>
      <c r="MZY17" s="62"/>
      <c r="MZZ17" s="62"/>
      <c r="NAA17" s="62"/>
      <c r="NAB17" s="62"/>
      <c r="NAC17" s="62"/>
      <c r="NAD17" s="62"/>
      <c r="NAE17" s="62"/>
      <c r="NAF17" s="62"/>
      <c r="NAG17" s="62"/>
      <c r="NAH17" s="62"/>
      <c r="NAI17" s="62"/>
      <c r="NAJ17" s="62"/>
      <c r="NAK17" s="62"/>
      <c r="NAL17" s="62"/>
      <c r="NAM17" s="62"/>
      <c r="NAN17" s="62"/>
      <c r="NAO17" s="62"/>
      <c r="NAP17" s="62"/>
      <c r="NAQ17" s="62"/>
      <c r="NAR17" s="62"/>
      <c r="NAS17" s="62"/>
      <c r="NAT17" s="62"/>
      <c r="NAU17" s="62"/>
      <c r="NAV17" s="62"/>
      <c r="NAW17" s="62"/>
      <c r="NAX17" s="62"/>
      <c r="NAY17" s="62"/>
      <c r="NAZ17" s="62"/>
      <c r="NBA17" s="62"/>
      <c r="NBB17" s="62"/>
      <c r="NBC17" s="62"/>
      <c r="NBD17" s="62"/>
      <c r="NBE17" s="62"/>
      <c r="NBF17" s="62"/>
      <c r="NBG17" s="62"/>
      <c r="NBH17" s="62"/>
      <c r="NBI17" s="62"/>
      <c r="NBJ17" s="62"/>
      <c r="NBK17" s="62"/>
      <c r="NBL17" s="62"/>
      <c r="NBM17" s="62"/>
      <c r="NBN17" s="62"/>
      <c r="NBO17" s="62"/>
      <c r="NBP17" s="62"/>
      <c r="NBQ17" s="62"/>
      <c r="NBR17" s="62"/>
      <c r="NBS17" s="62"/>
      <c r="NBT17" s="62"/>
      <c r="NBU17" s="62"/>
      <c r="NBV17" s="62"/>
      <c r="NBW17" s="62"/>
      <c r="NBX17" s="62"/>
      <c r="NBY17" s="62"/>
      <c r="NBZ17" s="62"/>
      <c r="NCA17" s="62"/>
      <c r="NCB17" s="62"/>
      <c r="NCC17" s="62"/>
      <c r="NCD17" s="62"/>
      <c r="NCE17" s="62"/>
      <c r="NCF17" s="62"/>
      <c r="NCG17" s="62"/>
      <c r="NCH17" s="62"/>
      <c r="NCI17" s="62"/>
      <c r="NCJ17" s="62"/>
      <c r="NCK17" s="62"/>
      <c r="NCL17" s="62"/>
      <c r="NCM17" s="62"/>
      <c r="NCN17" s="62"/>
      <c r="NCO17" s="62"/>
      <c r="NCP17" s="62"/>
      <c r="NCQ17" s="62"/>
      <c r="NCR17" s="62"/>
      <c r="NCS17" s="62"/>
      <c r="NCT17" s="62"/>
      <c r="NCU17" s="62"/>
      <c r="NCV17" s="62"/>
      <c r="NCW17" s="62"/>
      <c r="NCX17" s="62"/>
      <c r="NCY17" s="62"/>
      <c r="NCZ17" s="62"/>
      <c r="NDA17" s="62"/>
      <c r="NDB17" s="62"/>
      <c r="NDC17" s="62"/>
      <c r="NDD17" s="62"/>
      <c r="NDE17" s="62"/>
      <c r="NDF17" s="62"/>
      <c r="NDG17" s="62"/>
      <c r="NDH17" s="62"/>
      <c r="NDI17" s="62"/>
      <c r="NDJ17" s="62"/>
      <c r="NDK17" s="62"/>
      <c r="NDL17" s="62"/>
      <c r="NDM17" s="62"/>
      <c r="NDN17" s="62"/>
      <c r="NDO17" s="62"/>
      <c r="NDP17" s="62"/>
      <c r="NDQ17" s="62"/>
      <c r="NDR17" s="62"/>
      <c r="NDS17" s="62"/>
      <c r="NDT17" s="62"/>
      <c r="NDU17" s="62"/>
      <c r="NDV17" s="62"/>
      <c r="NDW17" s="62"/>
      <c r="NDX17" s="62"/>
      <c r="NDY17" s="62"/>
      <c r="NDZ17" s="62"/>
      <c r="NEA17" s="62"/>
      <c r="NEB17" s="62"/>
      <c r="NEC17" s="62"/>
      <c r="NED17" s="62"/>
      <c r="NEE17" s="62"/>
      <c r="NEF17" s="62"/>
      <c r="NEG17" s="62"/>
      <c r="NEH17" s="62"/>
      <c r="NEI17" s="62"/>
      <c r="NEJ17" s="62"/>
      <c r="NEK17" s="62"/>
      <c r="NEL17" s="62"/>
      <c r="NEM17" s="62"/>
      <c r="NEN17" s="62"/>
      <c r="NEO17" s="62"/>
      <c r="NEP17" s="62"/>
      <c r="NEQ17" s="62"/>
      <c r="NER17" s="62"/>
      <c r="NES17" s="62"/>
      <c r="NET17" s="62"/>
      <c r="NEU17" s="62"/>
      <c r="NEV17" s="62"/>
      <c r="NEW17" s="62"/>
      <c r="NEX17" s="62"/>
      <c r="NEY17" s="62"/>
      <c r="NEZ17" s="62"/>
      <c r="NFA17" s="62"/>
      <c r="NFB17" s="62"/>
      <c r="NFC17" s="62"/>
      <c r="NFD17" s="62"/>
      <c r="NFE17" s="62"/>
      <c r="NFF17" s="62"/>
      <c r="NFG17" s="62"/>
      <c r="NFH17" s="62"/>
      <c r="NFI17" s="62"/>
      <c r="NFJ17" s="62"/>
      <c r="NFK17" s="62"/>
      <c r="NFL17" s="62"/>
      <c r="NFM17" s="62"/>
      <c r="NFN17" s="62"/>
      <c r="NFO17" s="62"/>
      <c r="NFP17" s="62"/>
      <c r="NFQ17" s="62"/>
      <c r="NFR17" s="62"/>
      <c r="NFS17" s="62"/>
      <c r="NFT17" s="62"/>
      <c r="NFU17" s="62"/>
      <c r="NFV17" s="62"/>
      <c r="NFW17" s="62"/>
      <c r="NFX17" s="62"/>
      <c r="NFY17" s="62"/>
      <c r="NFZ17" s="62"/>
      <c r="NGA17" s="62"/>
      <c r="NGB17" s="62"/>
      <c r="NGC17" s="62"/>
      <c r="NGD17" s="62"/>
      <c r="NGE17" s="62"/>
      <c r="NGF17" s="62"/>
      <c r="NGG17" s="62"/>
      <c r="NGH17" s="62"/>
      <c r="NGI17" s="62"/>
      <c r="NGJ17" s="62"/>
      <c r="NGK17" s="62"/>
      <c r="NGL17" s="62"/>
      <c r="NGM17" s="62"/>
      <c r="NGN17" s="62"/>
      <c r="NGO17" s="62"/>
      <c r="NGP17" s="62"/>
      <c r="NGQ17" s="62"/>
      <c r="NGR17" s="62"/>
      <c r="NGS17" s="62"/>
      <c r="NGT17" s="62"/>
      <c r="NGU17" s="62"/>
      <c r="NGV17" s="62"/>
      <c r="NGW17" s="62"/>
      <c r="NGX17" s="62"/>
      <c r="NGY17" s="62"/>
      <c r="NGZ17" s="62"/>
      <c r="NHA17" s="62"/>
      <c r="NHB17" s="62"/>
      <c r="NHC17" s="62"/>
      <c r="NHD17" s="62"/>
      <c r="NHE17" s="62"/>
      <c r="NHF17" s="62"/>
      <c r="NHG17" s="62"/>
      <c r="NHH17" s="62"/>
      <c r="NHI17" s="62"/>
      <c r="NHJ17" s="62"/>
      <c r="NHK17" s="62"/>
      <c r="NHL17" s="62"/>
      <c r="NHM17" s="62"/>
      <c r="NHN17" s="62"/>
      <c r="NHO17" s="62"/>
      <c r="NHP17" s="62"/>
      <c r="NHQ17" s="62"/>
      <c r="NHR17" s="62"/>
      <c r="NHS17" s="62"/>
      <c r="NHT17" s="62"/>
      <c r="NHU17" s="62"/>
      <c r="NHV17" s="62"/>
      <c r="NHW17" s="62"/>
      <c r="NHX17" s="62"/>
      <c r="NHY17" s="62"/>
      <c r="NHZ17" s="62"/>
      <c r="NIA17" s="62"/>
      <c r="NIB17" s="62"/>
      <c r="NIC17" s="62"/>
      <c r="NID17" s="62"/>
      <c r="NIE17" s="62"/>
      <c r="NIF17" s="62"/>
      <c r="NIG17" s="62"/>
      <c r="NIH17" s="62"/>
      <c r="NII17" s="62"/>
      <c r="NIJ17" s="62"/>
      <c r="NIK17" s="62"/>
      <c r="NIL17" s="62"/>
      <c r="NIM17" s="62"/>
      <c r="NIN17" s="62"/>
      <c r="NIO17" s="62"/>
      <c r="NIP17" s="62"/>
      <c r="NIQ17" s="62"/>
      <c r="NIR17" s="62"/>
      <c r="NIS17" s="62"/>
      <c r="NIT17" s="62"/>
      <c r="NIU17" s="62"/>
      <c r="NIV17" s="62"/>
      <c r="NIW17" s="62"/>
      <c r="NIX17" s="62"/>
      <c r="NIY17" s="62"/>
      <c r="NIZ17" s="62"/>
      <c r="NJA17" s="62"/>
      <c r="NJB17" s="62"/>
      <c r="NJC17" s="62"/>
      <c r="NJD17" s="62"/>
      <c r="NJE17" s="62"/>
      <c r="NJF17" s="62"/>
      <c r="NJG17" s="62"/>
      <c r="NJH17" s="62"/>
      <c r="NJI17" s="62"/>
      <c r="NJJ17" s="62"/>
      <c r="NJK17" s="62"/>
      <c r="NJL17" s="62"/>
      <c r="NJM17" s="62"/>
      <c r="NJN17" s="62"/>
      <c r="NJO17" s="62"/>
      <c r="NJP17" s="62"/>
      <c r="NJQ17" s="62"/>
      <c r="NJR17" s="62"/>
      <c r="NJS17" s="62"/>
      <c r="NJT17" s="62"/>
      <c r="NJU17" s="62"/>
      <c r="NJV17" s="62"/>
      <c r="NJW17" s="62"/>
      <c r="NJX17" s="62"/>
      <c r="NJY17" s="62"/>
      <c r="NJZ17" s="62"/>
      <c r="NKA17" s="62"/>
      <c r="NKB17" s="62"/>
      <c r="NKC17" s="62"/>
      <c r="NKD17" s="62"/>
      <c r="NKE17" s="62"/>
      <c r="NKF17" s="62"/>
      <c r="NKG17" s="62"/>
      <c r="NKH17" s="62"/>
      <c r="NKI17" s="62"/>
      <c r="NKJ17" s="62"/>
      <c r="NKK17" s="62"/>
      <c r="NKL17" s="62"/>
      <c r="NKM17" s="62"/>
      <c r="NKN17" s="62"/>
      <c r="NKO17" s="62"/>
      <c r="NKP17" s="62"/>
      <c r="NKQ17" s="62"/>
      <c r="NKR17" s="62"/>
      <c r="NKS17" s="62"/>
      <c r="NKT17" s="62"/>
      <c r="NKU17" s="62"/>
      <c r="NKV17" s="62"/>
      <c r="NKW17" s="62"/>
      <c r="NKX17" s="62"/>
      <c r="NKY17" s="62"/>
      <c r="NKZ17" s="62"/>
      <c r="NLA17" s="62"/>
      <c r="NLB17" s="62"/>
      <c r="NLC17" s="62"/>
      <c r="NLD17" s="62"/>
      <c r="NLE17" s="62"/>
      <c r="NLF17" s="62"/>
      <c r="NLG17" s="62"/>
      <c r="NLH17" s="62"/>
      <c r="NLI17" s="62"/>
      <c r="NLJ17" s="62"/>
      <c r="NLK17" s="62"/>
      <c r="NLL17" s="62"/>
      <c r="NLM17" s="62"/>
      <c r="NLN17" s="62"/>
      <c r="NLO17" s="62"/>
      <c r="NLP17" s="62"/>
      <c r="NLQ17" s="62"/>
      <c r="NLR17" s="62"/>
      <c r="NLS17" s="62"/>
      <c r="NLT17" s="62"/>
      <c r="NLU17" s="62"/>
      <c r="NLV17" s="62"/>
      <c r="NLW17" s="62"/>
      <c r="NLX17" s="62"/>
      <c r="NLY17" s="62"/>
      <c r="NLZ17" s="62"/>
      <c r="NMA17" s="62"/>
      <c r="NMB17" s="62"/>
      <c r="NMC17" s="62"/>
      <c r="NMD17" s="62"/>
      <c r="NME17" s="62"/>
      <c r="NMF17" s="62"/>
      <c r="NMG17" s="62"/>
      <c r="NMH17" s="62"/>
      <c r="NMI17" s="62"/>
      <c r="NMJ17" s="62"/>
      <c r="NMK17" s="62"/>
      <c r="NML17" s="62"/>
      <c r="NMM17" s="62"/>
      <c r="NMN17" s="62"/>
      <c r="NMO17" s="62"/>
      <c r="NMP17" s="62"/>
      <c r="NMQ17" s="62"/>
      <c r="NMR17" s="62"/>
      <c r="NMS17" s="62"/>
      <c r="NMT17" s="62"/>
      <c r="NMU17" s="62"/>
      <c r="NMV17" s="62"/>
      <c r="NMW17" s="62"/>
      <c r="NMX17" s="62"/>
      <c r="NMY17" s="62"/>
      <c r="NMZ17" s="62"/>
      <c r="NNA17" s="62"/>
      <c r="NNB17" s="62"/>
      <c r="NNC17" s="62"/>
      <c r="NND17" s="62"/>
      <c r="NNE17" s="62"/>
      <c r="NNF17" s="62"/>
      <c r="NNG17" s="62"/>
      <c r="NNH17" s="62"/>
      <c r="NNI17" s="62"/>
      <c r="NNJ17" s="62"/>
      <c r="NNK17" s="62"/>
      <c r="NNL17" s="62"/>
      <c r="NNM17" s="62"/>
      <c r="NNN17" s="62"/>
      <c r="NNO17" s="62"/>
      <c r="NNP17" s="62"/>
      <c r="NNQ17" s="62"/>
      <c r="NNR17" s="62"/>
      <c r="NNS17" s="62"/>
      <c r="NNT17" s="62"/>
      <c r="NNU17" s="62"/>
      <c r="NNV17" s="62"/>
      <c r="NNW17" s="62"/>
      <c r="NNX17" s="62"/>
      <c r="NNY17" s="62"/>
      <c r="NNZ17" s="62"/>
      <c r="NOA17" s="62"/>
      <c r="NOB17" s="62"/>
      <c r="NOC17" s="62"/>
      <c r="NOD17" s="62"/>
      <c r="NOE17" s="62"/>
      <c r="NOF17" s="62"/>
      <c r="NOG17" s="62"/>
      <c r="NOH17" s="62"/>
      <c r="NOI17" s="62"/>
      <c r="NOJ17" s="62"/>
      <c r="NOK17" s="62"/>
      <c r="NOL17" s="62"/>
      <c r="NOM17" s="62"/>
      <c r="NON17" s="62"/>
      <c r="NOO17" s="62"/>
      <c r="NOP17" s="62"/>
      <c r="NOQ17" s="62"/>
      <c r="NOR17" s="62"/>
      <c r="NOS17" s="62"/>
      <c r="NOT17" s="62"/>
      <c r="NOU17" s="62"/>
      <c r="NOV17" s="62"/>
      <c r="NOW17" s="62"/>
      <c r="NOX17" s="62"/>
      <c r="NOY17" s="62"/>
      <c r="NOZ17" s="62"/>
      <c r="NPA17" s="62"/>
      <c r="NPB17" s="62"/>
      <c r="NPC17" s="62"/>
      <c r="NPD17" s="62"/>
      <c r="NPE17" s="62"/>
      <c r="NPF17" s="62"/>
      <c r="NPG17" s="62"/>
      <c r="NPH17" s="62"/>
      <c r="NPI17" s="62"/>
      <c r="NPJ17" s="62"/>
      <c r="NPK17" s="62"/>
      <c r="NPL17" s="62"/>
      <c r="NPM17" s="62"/>
      <c r="NPN17" s="62"/>
      <c r="NPO17" s="62"/>
      <c r="NPP17" s="62"/>
      <c r="NPQ17" s="62"/>
      <c r="NPR17" s="62"/>
      <c r="NPS17" s="62"/>
      <c r="NPT17" s="62"/>
      <c r="NPU17" s="62"/>
      <c r="NPV17" s="62"/>
      <c r="NPW17" s="62"/>
      <c r="NPX17" s="62"/>
      <c r="NPY17" s="62"/>
      <c r="NPZ17" s="62"/>
      <c r="NQA17" s="62"/>
      <c r="NQB17" s="62"/>
      <c r="NQC17" s="62"/>
      <c r="NQD17" s="62"/>
      <c r="NQE17" s="62"/>
      <c r="NQF17" s="62"/>
      <c r="NQG17" s="62"/>
      <c r="NQH17" s="62"/>
      <c r="NQI17" s="62"/>
      <c r="NQJ17" s="62"/>
      <c r="NQK17" s="62"/>
      <c r="NQL17" s="62"/>
      <c r="NQM17" s="62"/>
      <c r="NQN17" s="62"/>
      <c r="NQO17" s="62"/>
      <c r="NQP17" s="62"/>
      <c r="NQQ17" s="62"/>
      <c r="NQR17" s="62"/>
      <c r="NQS17" s="62"/>
      <c r="NQT17" s="62"/>
      <c r="NQU17" s="62"/>
      <c r="NQV17" s="62"/>
      <c r="NQW17" s="62"/>
      <c r="NQX17" s="62"/>
      <c r="NQY17" s="62"/>
      <c r="NQZ17" s="62"/>
      <c r="NRA17" s="62"/>
      <c r="NRB17" s="62"/>
      <c r="NRC17" s="62"/>
      <c r="NRD17" s="62"/>
      <c r="NRE17" s="62"/>
      <c r="NRF17" s="62"/>
      <c r="NRG17" s="62"/>
      <c r="NRH17" s="62"/>
      <c r="NRI17" s="62"/>
      <c r="NRJ17" s="62"/>
      <c r="NRK17" s="62"/>
      <c r="NRL17" s="62"/>
      <c r="NRM17" s="62"/>
      <c r="NRN17" s="62"/>
      <c r="NRO17" s="62"/>
      <c r="NRP17" s="62"/>
      <c r="NRQ17" s="62"/>
      <c r="NRR17" s="62"/>
      <c r="NRS17" s="62"/>
      <c r="NRT17" s="62"/>
      <c r="NRU17" s="62"/>
      <c r="NRV17" s="62"/>
      <c r="NRW17" s="62"/>
      <c r="NRX17" s="62"/>
      <c r="NRY17" s="62"/>
      <c r="NRZ17" s="62"/>
      <c r="NSA17" s="62"/>
      <c r="NSB17" s="62"/>
      <c r="NSC17" s="62"/>
      <c r="NSD17" s="62"/>
      <c r="NSE17" s="62"/>
      <c r="NSF17" s="62"/>
      <c r="NSG17" s="62"/>
      <c r="NSH17" s="62"/>
      <c r="NSI17" s="62"/>
      <c r="NSJ17" s="62"/>
      <c r="NSK17" s="62"/>
      <c r="NSL17" s="62"/>
      <c r="NSM17" s="62"/>
      <c r="NSN17" s="62"/>
      <c r="NSO17" s="62"/>
      <c r="NSP17" s="62"/>
      <c r="NSQ17" s="62"/>
      <c r="NSR17" s="62"/>
      <c r="NSS17" s="62"/>
      <c r="NST17" s="62"/>
      <c r="NSU17" s="62"/>
      <c r="NSV17" s="62"/>
      <c r="NSW17" s="62"/>
      <c r="NSX17" s="62"/>
      <c r="NSY17" s="62"/>
      <c r="NSZ17" s="62"/>
      <c r="NTA17" s="62"/>
      <c r="NTB17" s="62"/>
      <c r="NTC17" s="62"/>
      <c r="NTD17" s="62"/>
      <c r="NTE17" s="62"/>
      <c r="NTF17" s="62"/>
      <c r="NTG17" s="62"/>
      <c r="NTH17" s="62"/>
      <c r="NTI17" s="62"/>
      <c r="NTJ17" s="62"/>
      <c r="NTK17" s="62"/>
      <c r="NTL17" s="62"/>
      <c r="NTM17" s="62"/>
      <c r="NTN17" s="62"/>
      <c r="NTO17" s="62"/>
      <c r="NTP17" s="62"/>
      <c r="NTQ17" s="62"/>
      <c r="NTR17" s="62"/>
      <c r="NTS17" s="62"/>
      <c r="NTT17" s="62"/>
      <c r="NTU17" s="62"/>
      <c r="NTV17" s="62"/>
      <c r="NTW17" s="62"/>
      <c r="NTX17" s="62"/>
      <c r="NTY17" s="62"/>
      <c r="NTZ17" s="62"/>
      <c r="NUA17" s="62"/>
      <c r="NUB17" s="62"/>
      <c r="NUC17" s="62"/>
      <c r="NUD17" s="62"/>
      <c r="NUE17" s="62"/>
      <c r="NUF17" s="62"/>
      <c r="NUG17" s="62"/>
      <c r="NUH17" s="62"/>
      <c r="NUI17" s="62"/>
      <c r="NUJ17" s="62"/>
      <c r="NUK17" s="62"/>
      <c r="NUL17" s="62"/>
      <c r="NUM17" s="62"/>
      <c r="NUN17" s="62"/>
      <c r="NUO17" s="62"/>
      <c r="NUP17" s="62"/>
      <c r="NUQ17" s="62"/>
      <c r="NUR17" s="62"/>
      <c r="NUS17" s="62"/>
      <c r="NUT17" s="62"/>
      <c r="NUU17" s="62"/>
      <c r="NUV17" s="62"/>
      <c r="NUW17" s="62"/>
      <c r="NUX17" s="62"/>
      <c r="NUY17" s="62"/>
      <c r="NUZ17" s="62"/>
      <c r="NVA17" s="62"/>
      <c r="NVB17" s="62"/>
      <c r="NVC17" s="62"/>
      <c r="NVD17" s="62"/>
      <c r="NVE17" s="62"/>
      <c r="NVF17" s="62"/>
      <c r="NVG17" s="62"/>
      <c r="NVH17" s="62"/>
      <c r="NVI17" s="62"/>
      <c r="NVJ17" s="62"/>
      <c r="NVK17" s="62"/>
      <c r="NVL17" s="62"/>
      <c r="NVM17" s="62"/>
      <c r="NVN17" s="62"/>
      <c r="NVO17" s="62"/>
      <c r="NVP17" s="62"/>
      <c r="NVQ17" s="62"/>
      <c r="NVR17" s="62"/>
      <c r="NVS17" s="62"/>
      <c r="NVT17" s="62"/>
      <c r="NVU17" s="62"/>
      <c r="NVV17" s="62"/>
      <c r="NVW17" s="62"/>
      <c r="NVX17" s="62"/>
      <c r="NVY17" s="62"/>
      <c r="NVZ17" s="62"/>
      <c r="NWA17" s="62"/>
      <c r="NWB17" s="62"/>
      <c r="NWC17" s="62"/>
      <c r="NWD17" s="62"/>
      <c r="NWE17" s="62"/>
      <c r="NWF17" s="62"/>
      <c r="NWG17" s="62"/>
      <c r="NWH17" s="62"/>
      <c r="NWI17" s="62"/>
      <c r="NWJ17" s="62"/>
      <c r="NWK17" s="62"/>
      <c r="NWL17" s="62"/>
      <c r="NWM17" s="62"/>
      <c r="NWN17" s="62"/>
      <c r="NWO17" s="62"/>
      <c r="NWP17" s="62"/>
      <c r="NWQ17" s="62"/>
      <c r="NWR17" s="62"/>
      <c r="NWS17" s="62"/>
      <c r="NWT17" s="62"/>
      <c r="NWU17" s="62"/>
      <c r="NWV17" s="62"/>
      <c r="NWW17" s="62"/>
      <c r="NWX17" s="62"/>
      <c r="NWY17" s="62"/>
      <c r="NWZ17" s="62"/>
      <c r="NXA17" s="62"/>
      <c r="NXB17" s="62"/>
      <c r="NXC17" s="62"/>
      <c r="NXD17" s="62"/>
      <c r="NXE17" s="62"/>
      <c r="NXF17" s="62"/>
      <c r="NXG17" s="62"/>
      <c r="NXH17" s="62"/>
      <c r="NXI17" s="62"/>
      <c r="NXJ17" s="62"/>
      <c r="NXK17" s="62"/>
      <c r="NXL17" s="62"/>
      <c r="NXM17" s="62"/>
      <c r="NXN17" s="62"/>
      <c r="NXO17" s="62"/>
      <c r="NXP17" s="62"/>
      <c r="NXQ17" s="62"/>
      <c r="NXR17" s="62"/>
      <c r="NXS17" s="62"/>
      <c r="NXT17" s="62"/>
      <c r="NXU17" s="62"/>
      <c r="NXV17" s="62"/>
      <c r="NXW17" s="62"/>
      <c r="NXX17" s="62"/>
      <c r="NXY17" s="62"/>
      <c r="NXZ17" s="62"/>
      <c r="NYA17" s="62"/>
      <c r="NYB17" s="62"/>
      <c r="NYC17" s="62"/>
      <c r="NYD17" s="62"/>
      <c r="NYE17" s="62"/>
      <c r="NYF17" s="62"/>
      <c r="NYG17" s="62"/>
      <c r="NYH17" s="62"/>
      <c r="NYI17" s="62"/>
      <c r="NYJ17" s="62"/>
      <c r="NYK17" s="62"/>
      <c r="NYL17" s="62"/>
      <c r="NYM17" s="62"/>
      <c r="NYN17" s="62"/>
      <c r="NYO17" s="62"/>
      <c r="NYP17" s="62"/>
      <c r="NYQ17" s="62"/>
      <c r="NYR17" s="62"/>
      <c r="NYS17" s="62"/>
      <c r="NYT17" s="62"/>
      <c r="NYU17" s="62"/>
      <c r="NYV17" s="62"/>
      <c r="NYW17" s="62"/>
      <c r="NYX17" s="62"/>
      <c r="NYY17" s="62"/>
      <c r="NYZ17" s="62"/>
      <c r="NZA17" s="62"/>
      <c r="NZB17" s="62"/>
      <c r="NZC17" s="62"/>
      <c r="NZD17" s="62"/>
      <c r="NZE17" s="62"/>
      <c r="NZF17" s="62"/>
      <c r="NZG17" s="62"/>
      <c r="NZH17" s="62"/>
      <c r="NZI17" s="62"/>
      <c r="NZJ17" s="62"/>
      <c r="NZK17" s="62"/>
      <c r="NZL17" s="62"/>
      <c r="NZM17" s="62"/>
      <c r="NZN17" s="62"/>
      <c r="NZO17" s="62"/>
      <c r="NZP17" s="62"/>
      <c r="NZQ17" s="62"/>
      <c r="NZR17" s="62"/>
      <c r="NZS17" s="62"/>
      <c r="NZT17" s="62"/>
      <c r="NZU17" s="62"/>
      <c r="NZV17" s="62"/>
      <c r="NZW17" s="62"/>
      <c r="NZX17" s="62"/>
      <c r="NZY17" s="62"/>
      <c r="NZZ17" s="62"/>
      <c r="OAA17" s="62"/>
      <c r="OAB17" s="62"/>
      <c r="OAC17" s="62"/>
      <c r="OAD17" s="62"/>
      <c r="OAE17" s="62"/>
      <c r="OAF17" s="62"/>
      <c r="OAG17" s="62"/>
      <c r="OAH17" s="62"/>
      <c r="OAI17" s="62"/>
      <c r="OAJ17" s="62"/>
      <c r="OAK17" s="62"/>
      <c r="OAL17" s="62"/>
      <c r="OAM17" s="62"/>
      <c r="OAN17" s="62"/>
      <c r="OAO17" s="62"/>
      <c r="OAP17" s="62"/>
      <c r="OAQ17" s="62"/>
      <c r="OAR17" s="62"/>
      <c r="OAS17" s="62"/>
      <c r="OAT17" s="62"/>
      <c r="OAU17" s="62"/>
      <c r="OAV17" s="62"/>
      <c r="OAW17" s="62"/>
      <c r="OAX17" s="62"/>
      <c r="OAY17" s="62"/>
      <c r="OAZ17" s="62"/>
      <c r="OBA17" s="62"/>
      <c r="OBB17" s="62"/>
      <c r="OBC17" s="62"/>
      <c r="OBD17" s="62"/>
      <c r="OBE17" s="62"/>
      <c r="OBF17" s="62"/>
      <c r="OBG17" s="62"/>
      <c r="OBH17" s="62"/>
      <c r="OBI17" s="62"/>
      <c r="OBJ17" s="62"/>
      <c r="OBK17" s="62"/>
      <c r="OBL17" s="62"/>
      <c r="OBM17" s="62"/>
      <c r="OBN17" s="62"/>
      <c r="OBO17" s="62"/>
      <c r="OBP17" s="62"/>
      <c r="OBQ17" s="62"/>
      <c r="OBR17" s="62"/>
      <c r="OBS17" s="62"/>
      <c r="OBT17" s="62"/>
      <c r="OBU17" s="62"/>
      <c r="OBV17" s="62"/>
      <c r="OBW17" s="62"/>
      <c r="OBX17" s="62"/>
      <c r="OBY17" s="62"/>
      <c r="OBZ17" s="62"/>
      <c r="OCA17" s="62"/>
      <c r="OCB17" s="62"/>
      <c r="OCC17" s="62"/>
      <c r="OCD17" s="62"/>
      <c r="OCE17" s="62"/>
      <c r="OCF17" s="62"/>
      <c r="OCG17" s="62"/>
      <c r="OCH17" s="62"/>
      <c r="OCI17" s="62"/>
      <c r="OCJ17" s="62"/>
      <c r="OCK17" s="62"/>
      <c r="OCL17" s="62"/>
      <c r="OCM17" s="62"/>
      <c r="OCN17" s="62"/>
      <c r="OCO17" s="62"/>
      <c r="OCP17" s="62"/>
      <c r="OCQ17" s="62"/>
      <c r="OCR17" s="62"/>
      <c r="OCS17" s="62"/>
      <c r="OCT17" s="62"/>
      <c r="OCU17" s="62"/>
      <c r="OCV17" s="62"/>
      <c r="OCW17" s="62"/>
      <c r="OCX17" s="62"/>
      <c r="OCY17" s="62"/>
      <c r="OCZ17" s="62"/>
      <c r="ODA17" s="62"/>
      <c r="ODB17" s="62"/>
      <c r="ODC17" s="62"/>
      <c r="ODD17" s="62"/>
      <c r="ODE17" s="62"/>
      <c r="ODF17" s="62"/>
      <c r="ODG17" s="62"/>
      <c r="ODH17" s="62"/>
      <c r="ODI17" s="62"/>
      <c r="ODJ17" s="62"/>
      <c r="ODK17" s="62"/>
      <c r="ODL17" s="62"/>
      <c r="ODM17" s="62"/>
      <c r="ODN17" s="62"/>
      <c r="ODO17" s="62"/>
      <c r="ODP17" s="62"/>
      <c r="ODQ17" s="62"/>
      <c r="ODR17" s="62"/>
      <c r="ODS17" s="62"/>
      <c r="ODT17" s="62"/>
      <c r="ODU17" s="62"/>
      <c r="ODV17" s="62"/>
      <c r="ODW17" s="62"/>
      <c r="ODX17" s="62"/>
      <c r="ODY17" s="62"/>
      <c r="ODZ17" s="62"/>
      <c r="OEA17" s="62"/>
      <c r="OEB17" s="62"/>
      <c r="OEC17" s="62"/>
      <c r="OED17" s="62"/>
      <c r="OEE17" s="62"/>
      <c r="OEF17" s="62"/>
      <c r="OEG17" s="62"/>
      <c r="OEH17" s="62"/>
      <c r="OEI17" s="62"/>
      <c r="OEJ17" s="62"/>
      <c r="OEK17" s="62"/>
      <c r="OEL17" s="62"/>
      <c r="OEM17" s="62"/>
      <c r="OEN17" s="62"/>
      <c r="OEO17" s="62"/>
      <c r="OEP17" s="62"/>
      <c r="OEQ17" s="62"/>
      <c r="OER17" s="62"/>
      <c r="OES17" s="62"/>
      <c r="OET17" s="62"/>
      <c r="OEU17" s="62"/>
      <c r="OEV17" s="62"/>
      <c r="OEW17" s="62"/>
      <c r="OEX17" s="62"/>
      <c r="OEY17" s="62"/>
      <c r="OEZ17" s="62"/>
      <c r="OFA17" s="62"/>
      <c r="OFB17" s="62"/>
      <c r="OFC17" s="62"/>
      <c r="OFD17" s="62"/>
      <c r="OFE17" s="62"/>
      <c r="OFF17" s="62"/>
      <c r="OFG17" s="62"/>
      <c r="OFH17" s="62"/>
      <c r="OFI17" s="62"/>
      <c r="OFJ17" s="62"/>
      <c r="OFK17" s="62"/>
      <c r="OFL17" s="62"/>
      <c r="OFM17" s="62"/>
      <c r="OFN17" s="62"/>
      <c r="OFO17" s="62"/>
      <c r="OFP17" s="62"/>
      <c r="OFQ17" s="62"/>
      <c r="OFR17" s="62"/>
      <c r="OFS17" s="62"/>
      <c r="OFT17" s="62"/>
      <c r="OFU17" s="62"/>
      <c r="OFV17" s="62"/>
      <c r="OFW17" s="62"/>
      <c r="OFX17" s="62"/>
      <c r="OFY17" s="62"/>
      <c r="OFZ17" s="62"/>
      <c r="OGA17" s="62"/>
      <c r="OGB17" s="62"/>
      <c r="OGC17" s="62"/>
      <c r="OGD17" s="62"/>
      <c r="OGE17" s="62"/>
      <c r="OGF17" s="62"/>
      <c r="OGG17" s="62"/>
      <c r="OGH17" s="62"/>
      <c r="OGI17" s="62"/>
      <c r="OGJ17" s="62"/>
      <c r="OGK17" s="62"/>
      <c r="OGL17" s="62"/>
      <c r="OGM17" s="62"/>
      <c r="OGN17" s="62"/>
      <c r="OGO17" s="62"/>
      <c r="OGP17" s="62"/>
      <c r="OGQ17" s="62"/>
      <c r="OGR17" s="62"/>
      <c r="OGS17" s="62"/>
      <c r="OGT17" s="62"/>
      <c r="OGU17" s="62"/>
      <c r="OGV17" s="62"/>
      <c r="OGW17" s="62"/>
      <c r="OGX17" s="62"/>
      <c r="OGY17" s="62"/>
      <c r="OGZ17" s="62"/>
      <c r="OHA17" s="62"/>
      <c r="OHB17" s="62"/>
      <c r="OHC17" s="62"/>
      <c r="OHD17" s="62"/>
      <c r="OHE17" s="62"/>
      <c r="OHF17" s="62"/>
      <c r="OHG17" s="62"/>
      <c r="OHH17" s="62"/>
      <c r="OHI17" s="62"/>
      <c r="OHJ17" s="62"/>
      <c r="OHK17" s="62"/>
      <c r="OHL17" s="62"/>
      <c r="OHM17" s="62"/>
      <c r="OHN17" s="62"/>
      <c r="OHO17" s="62"/>
      <c r="OHP17" s="62"/>
      <c r="OHQ17" s="62"/>
      <c r="OHR17" s="62"/>
      <c r="OHS17" s="62"/>
      <c r="OHT17" s="62"/>
      <c r="OHU17" s="62"/>
      <c r="OHV17" s="62"/>
      <c r="OHW17" s="62"/>
      <c r="OHX17" s="62"/>
      <c r="OHY17" s="62"/>
      <c r="OHZ17" s="62"/>
      <c r="OIA17" s="62"/>
      <c r="OIB17" s="62"/>
      <c r="OIC17" s="62"/>
      <c r="OID17" s="62"/>
      <c r="OIE17" s="62"/>
      <c r="OIF17" s="62"/>
      <c r="OIG17" s="62"/>
      <c r="OIH17" s="62"/>
      <c r="OII17" s="62"/>
      <c r="OIJ17" s="62"/>
      <c r="OIK17" s="62"/>
      <c r="OIL17" s="62"/>
      <c r="OIM17" s="62"/>
      <c r="OIN17" s="62"/>
      <c r="OIO17" s="62"/>
      <c r="OIP17" s="62"/>
      <c r="OIQ17" s="62"/>
      <c r="OIR17" s="62"/>
      <c r="OIS17" s="62"/>
      <c r="OIT17" s="62"/>
      <c r="OIU17" s="62"/>
      <c r="OIV17" s="62"/>
      <c r="OIW17" s="62"/>
      <c r="OIX17" s="62"/>
      <c r="OIY17" s="62"/>
      <c r="OIZ17" s="62"/>
      <c r="OJA17" s="62"/>
      <c r="OJB17" s="62"/>
      <c r="OJC17" s="62"/>
      <c r="OJD17" s="62"/>
      <c r="OJE17" s="62"/>
      <c r="OJF17" s="62"/>
      <c r="OJG17" s="62"/>
      <c r="OJH17" s="62"/>
      <c r="OJI17" s="62"/>
      <c r="OJJ17" s="62"/>
      <c r="OJK17" s="62"/>
      <c r="OJL17" s="62"/>
      <c r="OJM17" s="62"/>
      <c r="OJN17" s="62"/>
      <c r="OJO17" s="62"/>
      <c r="OJP17" s="62"/>
      <c r="OJQ17" s="62"/>
      <c r="OJR17" s="62"/>
      <c r="OJS17" s="62"/>
      <c r="OJT17" s="62"/>
      <c r="OJU17" s="62"/>
      <c r="OJV17" s="62"/>
      <c r="OJW17" s="62"/>
      <c r="OJX17" s="62"/>
      <c r="OJY17" s="62"/>
      <c r="OJZ17" s="62"/>
      <c r="OKA17" s="62"/>
      <c r="OKB17" s="62"/>
      <c r="OKC17" s="62"/>
      <c r="OKD17" s="62"/>
      <c r="OKE17" s="62"/>
      <c r="OKF17" s="62"/>
      <c r="OKG17" s="62"/>
      <c r="OKH17" s="62"/>
      <c r="OKI17" s="62"/>
      <c r="OKJ17" s="62"/>
      <c r="OKK17" s="62"/>
      <c r="OKL17" s="62"/>
      <c r="OKM17" s="62"/>
      <c r="OKN17" s="62"/>
      <c r="OKO17" s="62"/>
      <c r="OKP17" s="62"/>
      <c r="OKQ17" s="62"/>
      <c r="OKR17" s="62"/>
      <c r="OKS17" s="62"/>
      <c r="OKT17" s="62"/>
      <c r="OKU17" s="62"/>
      <c r="OKV17" s="62"/>
      <c r="OKW17" s="62"/>
      <c r="OKX17" s="62"/>
      <c r="OKY17" s="62"/>
      <c r="OKZ17" s="62"/>
      <c r="OLA17" s="62"/>
      <c r="OLB17" s="62"/>
      <c r="OLC17" s="62"/>
      <c r="OLD17" s="62"/>
      <c r="OLE17" s="62"/>
      <c r="OLF17" s="62"/>
      <c r="OLG17" s="62"/>
      <c r="OLH17" s="62"/>
      <c r="OLI17" s="62"/>
      <c r="OLJ17" s="62"/>
      <c r="OLK17" s="62"/>
      <c r="OLL17" s="62"/>
      <c r="OLM17" s="62"/>
      <c r="OLN17" s="62"/>
      <c r="OLO17" s="62"/>
      <c r="OLP17" s="62"/>
      <c r="OLQ17" s="62"/>
      <c r="OLR17" s="62"/>
      <c r="OLS17" s="62"/>
      <c r="OLT17" s="62"/>
      <c r="OLU17" s="62"/>
      <c r="OLV17" s="62"/>
      <c r="OLW17" s="62"/>
      <c r="OLX17" s="62"/>
      <c r="OLY17" s="62"/>
      <c r="OLZ17" s="62"/>
      <c r="OMA17" s="62"/>
      <c r="OMB17" s="62"/>
      <c r="OMC17" s="62"/>
      <c r="OMD17" s="62"/>
      <c r="OME17" s="62"/>
      <c r="OMF17" s="62"/>
      <c r="OMG17" s="62"/>
      <c r="OMH17" s="62"/>
      <c r="OMI17" s="62"/>
      <c r="OMJ17" s="62"/>
      <c r="OMK17" s="62"/>
      <c r="OML17" s="62"/>
      <c r="OMM17" s="62"/>
      <c r="OMN17" s="62"/>
      <c r="OMO17" s="62"/>
      <c r="OMP17" s="62"/>
      <c r="OMQ17" s="62"/>
      <c r="OMR17" s="62"/>
      <c r="OMS17" s="62"/>
      <c r="OMT17" s="62"/>
      <c r="OMU17" s="62"/>
      <c r="OMV17" s="62"/>
      <c r="OMW17" s="62"/>
      <c r="OMX17" s="62"/>
      <c r="OMY17" s="62"/>
      <c r="OMZ17" s="62"/>
      <c r="ONA17" s="62"/>
      <c r="ONB17" s="62"/>
      <c r="ONC17" s="62"/>
      <c r="OND17" s="62"/>
      <c r="ONE17" s="62"/>
      <c r="ONF17" s="62"/>
      <c r="ONG17" s="62"/>
      <c r="ONH17" s="62"/>
      <c r="ONI17" s="62"/>
      <c r="ONJ17" s="62"/>
      <c r="ONK17" s="62"/>
      <c r="ONL17" s="62"/>
      <c r="ONM17" s="62"/>
      <c r="ONN17" s="62"/>
      <c r="ONO17" s="62"/>
      <c r="ONP17" s="62"/>
      <c r="ONQ17" s="62"/>
      <c r="ONR17" s="62"/>
      <c r="ONS17" s="62"/>
      <c r="ONT17" s="62"/>
      <c r="ONU17" s="62"/>
      <c r="ONV17" s="62"/>
      <c r="ONW17" s="62"/>
      <c r="ONX17" s="62"/>
      <c r="ONY17" s="62"/>
      <c r="ONZ17" s="62"/>
      <c r="OOA17" s="62"/>
      <c r="OOB17" s="62"/>
      <c r="OOC17" s="62"/>
      <c r="OOD17" s="62"/>
      <c r="OOE17" s="62"/>
      <c r="OOF17" s="62"/>
      <c r="OOG17" s="62"/>
      <c r="OOH17" s="62"/>
      <c r="OOI17" s="62"/>
      <c r="OOJ17" s="62"/>
      <c r="OOK17" s="62"/>
      <c r="OOL17" s="62"/>
      <c r="OOM17" s="62"/>
      <c r="OON17" s="62"/>
      <c r="OOO17" s="62"/>
      <c r="OOP17" s="62"/>
      <c r="OOQ17" s="62"/>
      <c r="OOR17" s="62"/>
      <c r="OOS17" s="62"/>
      <c r="OOT17" s="62"/>
      <c r="OOU17" s="62"/>
      <c r="OOV17" s="62"/>
      <c r="OOW17" s="62"/>
      <c r="OOX17" s="62"/>
      <c r="OOY17" s="62"/>
      <c r="OOZ17" s="62"/>
      <c r="OPA17" s="62"/>
      <c r="OPB17" s="62"/>
      <c r="OPC17" s="62"/>
      <c r="OPD17" s="62"/>
      <c r="OPE17" s="62"/>
      <c r="OPF17" s="62"/>
      <c r="OPG17" s="62"/>
      <c r="OPH17" s="62"/>
      <c r="OPI17" s="62"/>
      <c r="OPJ17" s="62"/>
      <c r="OPK17" s="62"/>
      <c r="OPL17" s="62"/>
      <c r="OPM17" s="62"/>
      <c r="OPN17" s="62"/>
      <c r="OPO17" s="62"/>
      <c r="OPP17" s="62"/>
      <c r="OPQ17" s="62"/>
      <c r="OPR17" s="62"/>
      <c r="OPS17" s="62"/>
      <c r="OPT17" s="62"/>
      <c r="OPU17" s="62"/>
      <c r="OPV17" s="62"/>
      <c r="OPW17" s="62"/>
      <c r="OPX17" s="62"/>
      <c r="OPY17" s="62"/>
      <c r="OPZ17" s="62"/>
      <c r="OQA17" s="62"/>
      <c r="OQB17" s="62"/>
      <c r="OQC17" s="62"/>
      <c r="OQD17" s="62"/>
      <c r="OQE17" s="62"/>
      <c r="OQF17" s="62"/>
      <c r="OQG17" s="62"/>
      <c r="OQH17" s="62"/>
      <c r="OQI17" s="62"/>
      <c r="OQJ17" s="62"/>
      <c r="OQK17" s="62"/>
      <c r="OQL17" s="62"/>
      <c r="OQM17" s="62"/>
      <c r="OQN17" s="62"/>
      <c r="OQO17" s="62"/>
      <c r="OQP17" s="62"/>
      <c r="OQQ17" s="62"/>
      <c r="OQR17" s="62"/>
      <c r="OQS17" s="62"/>
      <c r="OQT17" s="62"/>
      <c r="OQU17" s="62"/>
      <c r="OQV17" s="62"/>
      <c r="OQW17" s="62"/>
      <c r="OQX17" s="62"/>
      <c r="OQY17" s="62"/>
      <c r="OQZ17" s="62"/>
      <c r="ORA17" s="62"/>
      <c r="ORB17" s="62"/>
      <c r="ORC17" s="62"/>
      <c r="ORD17" s="62"/>
      <c r="ORE17" s="62"/>
      <c r="ORF17" s="62"/>
      <c r="ORG17" s="62"/>
      <c r="ORH17" s="62"/>
      <c r="ORI17" s="62"/>
      <c r="ORJ17" s="62"/>
      <c r="ORK17" s="62"/>
      <c r="ORL17" s="62"/>
      <c r="ORM17" s="62"/>
      <c r="ORN17" s="62"/>
      <c r="ORO17" s="62"/>
      <c r="ORP17" s="62"/>
      <c r="ORQ17" s="62"/>
      <c r="ORR17" s="62"/>
      <c r="ORS17" s="62"/>
      <c r="ORT17" s="62"/>
      <c r="ORU17" s="62"/>
      <c r="ORV17" s="62"/>
      <c r="ORW17" s="62"/>
      <c r="ORX17" s="62"/>
      <c r="ORY17" s="62"/>
      <c r="ORZ17" s="62"/>
      <c r="OSA17" s="62"/>
      <c r="OSB17" s="62"/>
      <c r="OSC17" s="62"/>
      <c r="OSD17" s="62"/>
      <c r="OSE17" s="62"/>
      <c r="OSF17" s="62"/>
      <c r="OSG17" s="62"/>
      <c r="OSH17" s="62"/>
      <c r="OSI17" s="62"/>
      <c r="OSJ17" s="62"/>
      <c r="OSK17" s="62"/>
      <c r="OSL17" s="62"/>
      <c r="OSM17" s="62"/>
      <c r="OSN17" s="62"/>
      <c r="OSO17" s="62"/>
      <c r="OSP17" s="62"/>
      <c r="OSQ17" s="62"/>
      <c r="OSR17" s="62"/>
      <c r="OSS17" s="62"/>
      <c r="OST17" s="62"/>
      <c r="OSU17" s="62"/>
      <c r="OSV17" s="62"/>
      <c r="OSW17" s="62"/>
      <c r="OSX17" s="62"/>
      <c r="OSY17" s="62"/>
      <c r="OSZ17" s="62"/>
      <c r="OTA17" s="62"/>
      <c r="OTB17" s="62"/>
      <c r="OTC17" s="62"/>
      <c r="OTD17" s="62"/>
      <c r="OTE17" s="62"/>
      <c r="OTF17" s="62"/>
      <c r="OTG17" s="62"/>
      <c r="OTH17" s="62"/>
      <c r="OTI17" s="62"/>
      <c r="OTJ17" s="62"/>
      <c r="OTK17" s="62"/>
      <c r="OTL17" s="62"/>
      <c r="OTM17" s="62"/>
      <c r="OTN17" s="62"/>
      <c r="OTO17" s="62"/>
      <c r="OTP17" s="62"/>
      <c r="OTQ17" s="62"/>
      <c r="OTR17" s="62"/>
      <c r="OTS17" s="62"/>
      <c r="OTT17" s="62"/>
      <c r="OTU17" s="62"/>
      <c r="OTV17" s="62"/>
      <c r="OTW17" s="62"/>
      <c r="OTX17" s="62"/>
      <c r="OTY17" s="62"/>
      <c r="OTZ17" s="62"/>
      <c r="OUA17" s="62"/>
      <c r="OUB17" s="62"/>
      <c r="OUC17" s="62"/>
      <c r="OUD17" s="62"/>
      <c r="OUE17" s="62"/>
      <c r="OUF17" s="62"/>
      <c r="OUG17" s="62"/>
      <c r="OUH17" s="62"/>
      <c r="OUI17" s="62"/>
      <c r="OUJ17" s="62"/>
      <c r="OUK17" s="62"/>
      <c r="OUL17" s="62"/>
      <c r="OUM17" s="62"/>
      <c r="OUN17" s="62"/>
      <c r="OUO17" s="62"/>
      <c r="OUP17" s="62"/>
      <c r="OUQ17" s="62"/>
      <c r="OUR17" s="62"/>
      <c r="OUS17" s="62"/>
      <c r="OUT17" s="62"/>
      <c r="OUU17" s="62"/>
      <c r="OUV17" s="62"/>
      <c r="OUW17" s="62"/>
      <c r="OUX17" s="62"/>
      <c r="OUY17" s="62"/>
      <c r="OUZ17" s="62"/>
      <c r="OVA17" s="62"/>
      <c r="OVB17" s="62"/>
      <c r="OVC17" s="62"/>
      <c r="OVD17" s="62"/>
      <c r="OVE17" s="62"/>
      <c r="OVF17" s="62"/>
      <c r="OVG17" s="62"/>
      <c r="OVH17" s="62"/>
      <c r="OVI17" s="62"/>
      <c r="OVJ17" s="62"/>
      <c r="OVK17" s="62"/>
      <c r="OVL17" s="62"/>
      <c r="OVM17" s="62"/>
      <c r="OVN17" s="62"/>
      <c r="OVO17" s="62"/>
      <c r="OVP17" s="62"/>
      <c r="OVQ17" s="62"/>
      <c r="OVR17" s="62"/>
      <c r="OVS17" s="62"/>
      <c r="OVT17" s="62"/>
      <c r="OVU17" s="62"/>
      <c r="OVV17" s="62"/>
      <c r="OVW17" s="62"/>
      <c r="OVX17" s="62"/>
      <c r="OVY17" s="62"/>
      <c r="OVZ17" s="62"/>
      <c r="OWA17" s="62"/>
      <c r="OWB17" s="62"/>
      <c r="OWC17" s="62"/>
      <c r="OWD17" s="62"/>
      <c r="OWE17" s="62"/>
      <c r="OWF17" s="62"/>
      <c r="OWG17" s="62"/>
      <c r="OWH17" s="62"/>
      <c r="OWI17" s="62"/>
      <c r="OWJ17" s="62"/>
      <c r="OWK17" s="62"/>
      <c r="OWL17" s="62"/>
      <c r="OWM17" s="62"/>
      <c r="OWN17" s="62"/>
      <c r="OWO17" s="62"/>
      <c r="OWP17" s="62"/>
      <c r="OWQ17" s="62"/>
      <c r="OWR17" s="62"/>
      <c r="OWS17" s="62"/>
      <c r="OWT17" s="62"/>
      <c r="OWU17" s="62"/>
      <c r="OWV17" s="62"/>
      <c r="OWW17" s="62"/>
      <c r="OWX17" s="62"/>
      <c r="OWY17" s="62"/>
      <c r="OWZ17" s="62"/>
      <c r="OXA17" s="62"/>
      <c r="OXB17" s="62"/>
      <c r="OXC17" s="62"/>
      <c r="OXD17" s="62"/>
      <c r="OXE17" s="62"/>
      <c r="OXF17" s="62"/>
      <c r="OXG17" s="62"/>
      <c r="OXH17" s="62"/>
      <c r="OXI17" s="62"/>
      <c r="OXJ17" s="62"/>
      <c r="OXK17" s="62"/>
      <c r="OXL17" s="62"/>
      <c r="OXM17" s="62"/>
      <c r="OXN17" s="62"/>
      <c r="OXO17" s="62"/>
      <c r="OXP17" s="62"/>
      <c r="OXQ17" s="62"/>
      <c r="OXR17" s="62"/>
      <c r="OXS17" s="62"/>
      <c r="OXT17" s="62"/>
      <c r="OXU17" s="62"/>
      <c r="OXV17" s="62"/>
      <c r="OXW17" s="62"/>
      <c r="OXX17" s="62"/>
      <c r="OXY17" s="62"/>
      <c r="OXZ17" s="62"/>
      <c r="OYA17" s="62"/>
      <c r="OYB17" s="62"/>
      <c r="OYC17" s="62"/>
      <c r="OYD17" s="62"/>
      <c r="OYE17" s="62"/>
      <c r="OYF17" s="62"/>
      <c r="OYG17" s="62"/>
      <c r="OYH17" s="62"/>
      <c r="OYI17" s="62"/>
      <c r="OYJ17" s="62"/>
      <c r="OYK17" s="62"/>
      <c r="OYL17" s="62"/>
      <c r="OYM17" s="62"/>
      <c r="OYN17" s="62"/>
      <c r="OYO17" s="62"/>
      <c r="OYP17" s="62"/>
      <c r="OYQ17" s="62"/>
      <c r="OYR17" s="62"/>
      <c r="OYS17" s="62"/>
      <c r="OYT17" s="62"/>
      <c r="OYU17" s="62"/>
      <c r="OYV17" s="62"/>
      <c r="OYW17" s="62"/>
      <c r="OYX17" s="62"/>
      <c r="OYY17" s="62"/>
      <c r="OYZ17" s="62"/>
      <c r="OZA17" s="62"/>
      <c r="OZB17" s="62"/>
      <c r="OZC17" s="62"/>
      <c r="OZD17" s="62"/>
      <c r="OZE17" s="62"/>
      <c r="OZF17" s="62"/>
      <c r="OZG17" s="62"/>
      <c r="OZH17" s="62"/>
      <c r="OZI17" s="62"/>
      <c r="OZJ17" s="62"/>
      <c r="OZK17" s="62"/>
      <c r="OZL17" s="62"/>
      <c r="OZM17" s="62"/>
      <c r="OZN17" s="62"/>
      <c r="OZO17" s="62"/>
      <c r="OZP17" s="62"/>
      <c r="OZQ17" s="62"/>
      <c r="OZR17" s="62"/>
      <c r="OZS17" s="62"/>
      <c r="OZT17" s="62"/>
      <c r="OZU17" s="62"/>
      <c r="OZV17" s="62"/>
      <c r="OZW17" s="62"/>
      <c r="OZX17" s="62"/>
      <c r="OZY17" s="62"/>
      <c r="OZZ17" s="62"/>
      <c r="PAA17" s="62"/>
      <c r="PAB17" s="62"/>
      <c r="PAC17" s="62"/>
      <c r="PAD17" s="62"/>
      <c r="PAE17" s="62"/>
      <c r="PAF17" s="62"/>
      <c r="PAG17" s="62"/>
      <c r="PAH17" s="62"/>
      <c r="PAI17" s="62"/>
      <c r="PAJ17" s="62"/>
      <c r="PAK17" s="62"/>
      <c r="PAL17" s="62"/>
      <c r="PAM17" s="62"/>
      <c r="PAN17" s="62"/>
      <c r="PAO17" s="62"/>
      <c r="PAP17" s="62"/>
      <c r="PAQ17" s="62"/>
      <c r="PAR17" s="62"/>
      <c r="PAS17" s="62"/>
      <c r="PAT17" s="62"/>
      <c r="PAU17" s="62"/>
      <c r="PAV17" s="62"/>
      <c r="PAW17" s="62"/>
      <c r="PAX17" s="62"/>
      <c r="PAY17" s="62"/>
      <c r="PAZ17" s="62"/>
      <c r="PBA17" s="62"/>
      <c r="PBB17" s="62"/>
      <c r="PBC17" s="62"/>
      <c r="PBD17" s="62"/>
      <c r="PBE17" s="62"/>
      <c r="PBF17" s="62"/>
      <c r="PBG17" s="62"/>
      <c r="PBH17" s="62"/>
      <c r="PBI17" s="62"/>
      <c r="PBJ17" s="62"/>
      <c r="PBK17" s="62"/>
      <c r="PBL17" s="62"/>
      <c r="PBM17" s="62"/>
      <c r="PBN17" s="62"/>
      <c r="PBO17" s="62"/>
      <c r="PBP17" s="62"/>
      <c r="PBQ17" s="62"/>
      <c r="PBR17" s="62"/>
      <c r="PBS17" s="62"/>
      <c r="PBT17" s="62"/>
      <c r="PBU17" s="62"/>
      <c r="PBV17" s="62"/>
      <c r="PBW17" s="62"/>
      <c r="PBX17" s="62"/>
      <c r="PBY17" s="62"/>
      <c r="PBZ17" s="62"/>
      <c r="PCA17" s="62"/>
      <c r="PCB17" s="62"/>
      <c r="PCC17" s="62"/>
      <c r="PCD17" s="62"/>
      <c r="PCE17" s="62"/>
      <c r="PCF17" s="62"/>
      <c r="PCG17" s="62"/>
      <c r="PCH17" s="62"/>
      <c r="PCI17" s="62"/>
      <c r="PCJ17" s="62"/>
      <c r="PCK17" s="62"/>
      <c r="PCL17" s="62"/>
      <c r="PCM17" s="62"/>
      <c r="PCN17" s="62"/>
      <c r="PCO17" s="62"/>
      <c r="PCP17" s="62"/>
      <c r="PCQ17" s="62"/>
      <c r="PCR17" s="62"/>
      <c r="PCS17" s="62"/>
      <c r="PCT17" s="62"/>
      <c r="PCU17" s="62"/>
      <c r="PCV17" s="62"/>
      <c r="PCW17" s="62"/>
      <c r="PCX17" s="62"/>
      <c r="PCY17" s="62"/>
      <c r="PCZ17" s="62"/>
      <c r="PDA17" s="62"/>
      <c r="PDB17" s="62"/>
      <c r="PDC17" s="62"/>
      <c r="PDD17" s="62"/>
      <c r="PDE17" s="62"/>
      <c r="PDF17" s="62"/>
      <c r="PDG17" s="62"/>
      <c r="PDH17" s="62"/>
      <c r="PDI17" s="62"/>
      <c r="PDJ17" s="62"/>
      <c r="PDK17" s="62"/>
      <c r="PDL17" s="62"/>
      <c r="PDM17" s="62"/>
      <c r="PDN17" s="62"/>
      <c r="PDO17" s="62"/>
      <c r="PDP17" s="62"/>
      <c r="PDQ17" s="62"/>
      <c r="PDR17" s="62"/>
      <c r="PDS17" s="62"/>
      <c r="PDT17" s="62"/>
      <c r="PDU17" s="62"/>
      <c r="PDV17" s="62"/>
      <c r="PDW17" s="62"/>
      <c r="PDX17" s="62"/>
      <c r="PDY17" s="62"/>
      <c r="PDZ17" s="62"/>
      <c r="PEA17" s="62"/>
      <c r="PEB17" s="62"/>
      <c r="PEC17" s="62"/>
      <c r="PED17" s="62"/>
      <c r="PEE17" s="62"/>
      <c r="PEF17" s="62"/>
      <c r="PEG17" s="62"/>
      <c r="PEH17" s="62"/>
      <c r="PEI17" s="62"/>
      <c r="PEJ17" s="62"/>
      <c r="PEK17" s="62"/>
      <c r="PEL17" s="62"/>
      <c r="PEM17" s="62"/>
      <c r="PEN17" s="62"/>
      <c r="PEO17" s="62"/>
      <c r="PEP17" s="62"/>
      <c r="PEQ17" s="62"/>
      <c r="PER17" s="62"/>
      <c r="PES17" s="62"/>
      <c r="PET17" s="62"/>
      <c r="PEU17" s="62"/>
      <c r="PEV17" s="62"/>
      <c r="PEW17" s="62"/>
      <c r="PEX17" s="62"/>
      <c r="PEY17" s="62"/>
      <c r="PEZ17" s="62"/>
      <c r="PFA17" s="62"/>
      <c r="PFB17" s="62"/>
      <c r="PFC17" s="62"/>
      <c r="PFD17" s="62"/>
      <c r="PFE17" s="62"/>
      <c r="PFF17" s="62"/>
      <c r="PFG17" s="62"/>
      <c r="PFH17" s="62"/>
      <c r="PFI17" s="62"/>
      <c r="PFJ17" s="62"/>
      <c r="PFK17" s="62"/>
      <c r="PFL17" s="62"/>
      <c r="PFM17" s="62"/>
      <c r="PFN17" s="62"/>
      <c r="PFO17" s="62"/>
      <c r="PFP17" s="62"/>
      <c r="PFQ17" s="62"/>
      <c r="PFR17" s="62"/>
      <c r="PFS17" s="62"/>
      <c r="PFT17" s="62"/>
      <c r="PFU17" s="62"/>
      <c r="PFV17" s="62"/>
      <c r="PFW17" s="62"/>
      <c r="PFX17" s="62"/>
      <c r="PFY17" s="62"/>
      <c r="PFZ17" s="62"/>
      <c r="PGA17" s="62"/>
      <c r="PGB17" s="62"/>
      <c r="PGC17" s="62"/>
      <c r="PGD17" s="62"/>
      <c r="PGE17" s="62"/>
      <c r="PGF17" s="62"/>
      <c r="PGG17" s="62"/>
      <c r="PGH17" s="62"/>
      <c r="PGI17" s="62"/>
      <c r="PGJ17" s="62"/>
      <c r="PGK17" s="62"/>
      <c r="PGL17" s="62"/>
      <c r="PGM17" s="62"/>
      <c r="PGN17" s="62"/>
      <c r="PGO17" s="62"/>
      <c r="PGP17" s="62"/>
      <c r="PGQ17" s="62"/>
      <c r="PGR17" s="62"/>
      <c r="PGS17" s="62"/>
      <c r="PGT17" s="62"/>
      <c r="PGU17" s="62"/>
      <c r="PGV17" s="62"/>
      <c r="PGW17" s="62"/>
      <c r="PGX17" s="62"/>
      <c r="PGY17" s="62"/>
      <c r="PGZ17" s="62"/>
      <c r="PHA17" s="62"/>
      <c r="PHB17" s="62"/>
      <c r="PHC17" s="62"/>
      <c r="PHD17" s="62"/>
      <c r="PHE17" s="62"/>
      <c r="PHF17" s="62"/>
      <c r="PHG17" s="62"/>
      <c r="PHH17" s="62"/>
      <c r="PHI17" s="62"/>
      <c r="PHJ17" s="62"/>
      <c r="PHK17" s="62"/>
      <c r="PHL17" s="62"/>
      <c r="PHM17" s="62"/>
      <c r="PHN17" s="62"/>
      <c r="PHO17" s="62"/>
      <c r="PHP17" s="62"/>
      <c r="PHQ17" s="62"/>
      <c r="PHR17" s="62"/>
      <c r="PHS17" s="62"/>
      <c r="PHT17" s="62"/>
      <c r="PHU17" s="62"/>
      <c r="PHV17" s="62"/>
      <c r="PHW17" s="62"/>
      <c r="PHX17" s="62"/>
      <c r="PHY17" s="62"/>
      <c r="PHZ17" s="62"/>
      <c r="PIA17" s="62"/>
      <c r="PIB17" s="62"/>
      <c r="PIC17" s="62"/>
      <c r="PID17" s="62"/>
      <c r="PIE17" s="62"/>
      <c r="PIF17" s="62"/>
      <c r="PIG17" s="62"/>
      <c r="PIH17" s="62"/>
      <c r="PII17" s="62"/>
      <c r="PIJ17" s="62"/>
      <c r="PIK17" s="62"/>
      <c r="PIL17" s="62"/>
      <c r="PIM17" s="62"/>
      <c r="PIN17" s="62"/>
      <c r="PIO17" s="62"/>
      <c r="PIP17" s="62"/>
      <c r="PIQ17" s="62"/>
      <c r="PIR17" s="62"/>
      <c r="PIS17" s="62"/>
      <c r="PIT17" s="62"/>
      <c r="PIU17" s="62"/>
      <c r="PIV17" s="62"/>
      <c r="PIW17" s="62"/>
      <c r="PIX17" s="62"/>
      <c r="PIY17" s="62"/>
      <c r="PIZ17" s="62"/>
      <c r="PJA17" s="62"/>
      <c r="PJB17" s="62"/>
      <c r="PJC17" s="62"/>
      <c r="PJD17" s="62"/>
      <c r="PJE17" s="62"/>
      <c r="PJF17" s="62"/>
      <c r="PJG17" s="62"/>
      <c r="PJH17" s="62"/>
      <c r="PJI17" s="62"/>
      <c r="PJJ17" s="62"/>
      <c r="PJK17" s="62"/>
      <c r="PJL17" s="62"/>
      <c r="PJM17" s="62"/>
      <c r="PJN17" s="62"/>
      <c r="PJO17" s="62"/>
      <c r="PJP17" s="62"/>
      <c r="PJQ17" s="62"/>
      <c r="PJR17" s="62"/>
      <c r="PJS17" s="62"/>
      <c r="PJT17" s="62"/>
      <c r="PJU17" s="62"/>
      <c r="PJV17" s="62"/>
      <c r="PJW17" s="62"/>
      <c r="PJX17" s="62"/>
      <c r="PJY17" s="62"/>
      <c r="PJZ17" s="62"/>
      <c r="PKA17" s="62"/>
      <c r="PKB17" s="62"/>
      <c r="PKC17" s="62"/>
      <c r="PKD17" s="62"/>
      <c r="PKE17" s="62"/>
      <c r="PKF17" s="62"/>
      <c r="PKG17" s="62"/>
      <c r="PKH17" s="62"/>
      <c r="PKI17" s="62"/>
      <c r="PKJ17" s="62"/>
      <c r="PKK17" s="62"/>
      <c r="PKL17" s="62"/>
      <c r="PKM17" s="62"/>
      <c r="PKN17" s="62"/>
      <c r="PKO17" s="62"/>
      <c r="PKP17" s="62"/>
      <c r="PKQ17" s="62"/>
      <c r="PKR17" s="62"/>
      <c r="PKS17" s="62"/>
      <c r="PKT17" s="62"/>
      <c r="PKU17" s="62"/>
      <c r="PKV17" s="62"/>
      <c r="PKW17" s="62"/>
      <c r="PKX17" s="62"/>
      <c r="PKY17" s="62"/>
      <c r="PKZ17" s="62"/>
      <c r="PLA17" s="62"/>
      <c r="PLB17" s="62"/>
      <c r="PLC17" s="62"/>
      <c r="PLD17" s="62"/>
      <c r="PLE17" s="62"/>
      <c r="PLF17" s="62"/>
      <c r="PLG17" s="62"/>
      <c r="PLH17" s="62"/>
      <c r="PLI17" s="62"/>
      <c r="PLJ17" s="62"/>
      <c r="PLK17" s="62"/>
      <c r="PLL17" s="62"/>
      <c r="PLM17" s="62"/>
      <c r="PLN17" s="62"/>
      <c r="PLO17" s="62"/>
      <c r="PLP17" s="62"/>
      <c r="PLQ17" s="62"/>
      <c r="PLR17" s="62"/>
      <c r="PLS17" s="62"/>
      <c r="PLT17" s="62"/>
      <c r="PLU17" s="62"/>
      <c r="PLV17" s="62"/>
      <c r="PLW17" s="62"/>
      <c r="PLX17" s="62"/>
      <c r="PLY17" s="62"/>
      <c r="PLZ17" s="62"/>
      <c r="PMA17" s="62"/>
      <c r="PMB17" s="62"/>
      <c r="PMC17" s="62"/>
      <c r="PMD17" s="62"/>
      <c r="PME17" s="62"/>
      <c r="PMF17" s="62"/>
      <c r="PMG17" s="62"/>
      <c r="PMH17" s="62"/>
      <c r="PMI17" s="62"/>
      <c r="PMJ17" s="62"/>
      <c r="PMK17" s="62"/>
      <c r="PML17" s="62"/>
      <c r="PMM17" s="62"/>
      <c r="PMN17" s="62"/>
      <c r="PMO17" s="62"/>
      <c r="PMP17" s="62"/>
      <c r="PMQ17" s="62"/>
      <c r="PMR17" s="62"/>
      <c r="PMS17" s="62"/>
      <c r="PMT17" s="62"/>
      <c r="PMU17" s="62"/>
      <c r="PMV17" s="62"/>
      <c r="PMW17" s="62"/>
      <c r="PMX17" s="62"/>
      <c r="PMY17" s="62"/>
      <c r="PMZ17" s="62"/>
      <c r="PNA17" s="62"/>
      <c r="PNB17" s="62"/>
      <c r="PNC17" s="62"/>
      <c r="PND17" s="62"/>
      <c r="PNE17" s="62"/>
      <c r="PNF17" s="62"/>
      <c r="PNG17" s="62"/>
      <c r="PNH17" s="62"/>
      <c r="PNI17" s="62"/>
      <c r="PNJ17" s="62"/>
      <c r="PNK17" s="62"/>
      <c r="PNL17" s="62"/>
      <c r="PNM17" s="62"/>
      <c r="PNN17" s="62"/>
      <c r="PNO17" s="62"/>
      <c r="PNP17" s="62"/>
      <c r="PNQ17" s="62"/>
      <c r="PNR17" s="62"/>
      <c r="PNS17" s="62"/>
      <c r="PNT17" s="62"/>
      <c r="PNU17" s="62"/>
      <c r="PNV17" s="62"/>
      <c r="PNW17" s="62"/>
      <c r="PNX17" s="62"/>
      <c r="PNY17" s="62"/>
      <c r="PNZ17" s="62"/>
      <c r="POA17" s="62"/>
      <c r="POB17" s="62"/>
      <c r="POC17" s="62"/>
      <c r="POD17" s="62"/>
      <c r="POE17" s="62"/>
      <c r="POF17" s="62"/>
      <c r="POG17" s="62"/>
      <c r="POH17" s="62"/>
      <c r="POI17" s="62"/>
      <c r="POJ17" s="62"/>
      <c r="POK17" s="62"/>
      <c r="POL17" s="62"/>
      <c r="POM17" s="62"/>
      <c r="PON17" s="62"/>
      <c r="POO17" s="62"/>
      <c r="POP17" s="62"/>
      <c r="POQ17" s="62"/>
      <c r="POR17" s="62"/>
      <c r="POS17" s="62"/>
      <c r="POT17" s="62"/>
      <c r="POU17" s="62"/>
      <c r="POV17" s="62"/>
      <c r="POW17" s="62"/>
      <c r="POX17" s="62"/>
      <c r="POY17" s="62"/>
      <c r="POZ17" s="62"/>
      <c r="PPA17" s="62"/>
      <c r="PPB17" s="62"/>
      <c r="PPC17" s="62"/>
      <c r="PPD17" s="62"/>
      <c r="PPE17" s="62"/>
      <c r="PPF17" s="62"/>
      <c r="PPG17" s="62"/>
      <c r="PPH17" s="62"/>
      <c r="PPI17" s="62"/>
      <c r="PPJ17" s="62"/>
      <c r="PPK17" s="62"/>
      <c r="PPL17" s="62"/>
      <c r="PPM17" s="62"/>
      <c r="PPN17" s="62"/>
      <c r="PPO17" s="62"/>
      <c r="PPP17" s="62"/>
      <c r="PPQ17" s="62"/>
      <c r="PPR17" s="62"/>
      <c r="PPS17" s="62"/>
      <c r="PPT17" s="62"/>
      <c r="PPU17" s="62"/>
      <c r="PPV17" s="62"/>
      <c r="PPW17" s="62"/>
      <c r="PPX17" s="62"/>
      <c r="PPY17" s="62"/>
      <c r="PPZ17" s="62"/>
      <c r="PQA17" s="62"/>
      <c r="PQB17" s="62"/>
      <c r="PQC17" s="62"/>
      <c r="PQD17" s="62"/>
      <c r="PQE17" s="62"/>
      <c r="PQF17" s="62"/>
      <c r="PQG17" s="62"/>
      <c r="PQH17" s="62"/>
      <c r="PQI17" s="62"/>
      <c r="PQJ17" s="62"/>
      <c r="PQK17" s="62"/>
      <c r="PQL17" s="62"/>
      <c r="PQM17" s="62"/>
      <c r="PQN17" s="62"/>
      <c r="PQO17" s="62"/>
      <c r="PQP17" s="62"/>
      <c r="PQQ17" s="62"/>
      <c r="PQR17" s="62"/>
      <c r="PQS17" s="62"/>
      <c r="PQT17" s="62"/>
      <c r="PQU17" s="62"/>
      <c r="PQV17" s="62"/>
      <c r="PQW17" s="62"/>
      <c r="PQX17" s="62"/>
      <c r="PQY17" s="62"/>
      <c r="PQZ17" s="62"/>
      <c r="PRA17" s="62"/>
      <c r="PRB17" s="62"/>
      <c r="PRC17" s="62"/>
      <c r="PRD17" s="62"/>
      <c r="PRE17" s="62"/>
      <c r="PRF17" s="62"/>
      <c r="PRG17" s="62"/>
      <c r="PRH17" s="62"/>
      <c r="PRI17" s="62"/>
      <c r="PRJ17" s="62"/>
      <c r="PRK17" s="62"/>
      <c r="PRL17" s="62"/>
      <c r="PRM17" s="62"/>
      <c r="PRN17" s="62"/>
      <c r="PRO17" s="62"/>
      <c r="PRP17" s="62"/>
      <c r="PRQ17" s="62"/>
      <c r="PRR17" s="62"/>
      <c r="PRS17" s="62"/>
      <c r="PRT17" s="62"/>
      <c r="PRU17" s="62"/>
      <c r="PRV17" s="62"/>
      <c r="PRW17" s="62"/>
      <c r="PRX17" s="62"/>
      <c r="PRY17" s="62"/>
      <c r="PRZ17" s="62"/>
      <c r="PSA17" s="62"/>
      <c r="PSB17" s="62"/>
      <c r="PSC17" s="62"/>
      <c r="PSD17" s="62"/>
      <c r="PSE17" s="62"/>
      <c r="PSF17" s="62"/>
      <c r="PSG17" s="62"/>
      <c r="PSH17" s="62"/>
      <c r="PSI17" s="62"/>
      <c r="PSJ17" s="62"/>
      <c r="PSK17" s="62"/>
      <c r="PSL17" s="62"/>
      <c r="PSM17" s="62"/>
      <c r="PSN17" s="62"/>
      <c r="PSO17" s="62"/>
      <c r="PSP17" s="62"/>
      <c r="PSQ17" s="62"/>
      <c r="PSR17" s="62"/>
      <c r="PSS17" s="62"/>
      <c r="PST17" s="62"/>
      <c r="PSU17" s="62"/>
      <c r="PSV17" s="62"/>
      <c r="PSW17" s="62"/>
      <c r="PSX17" s="62"/>
      <c r="PSY17" s="62"/>
      <c r="PSZ17" s="62"/>
      <c r="PTA17" s="62"/>
      <c r="PTB17" s="62"/>
      <c r="PTC17" s="62"/>
      <c r="PTD17" s="62"/>
      <c r="PTE17" s="62"/>
      <c r="PTF17" s="62"/>
      <c r="PTG17" s="62"/>
      <c r="PTH17" s="62"/>
      <c r="PTI17" s="62"/>
      <c r="PTJ17" s="62"/>
      <c r="PTK17" s="62"/>
      <c r="PTL17" s="62"/>
      <c r="PTM17" s="62"/>
      <c r="PTN17" s="62"/>
      <c r="PTO17" s="62"/>
      <c r="PTP17" s="62"/>
      <c r="PTQ17" s="62"/>
      <c r="PTR17" s="62"/>
      <c r="PTS17" s="62"/>
      <c r="PTT17" s="62"/>
      <c r="PTU17" s="62"/>
      <c r="PTV17" s="62"/>
      <c r="PTW17" s="62"/>
      <c r="PTX17" s="62"/>
      <c r="PTY17" s="62"/>
      <c r="PTZ17" s="62"/>
      <c r="PUA17" s="62"/>
      <c r="PUB17" s="62"/>
      <c r="PUC17" s="62"/>
      <c r="PUD17" s="62"/>
      <c r="PUE17" s="62"/>
      <c r="PUF17" s="62"/>
      <c r="PUG17" s="62"/>
      <c r="PUH17" s="62"/>
      <c r="PUI17" s="62"/>
      <c r="PUJ17" s="62"/>
      <c r="PUK17" s="62"/>
      <c r="PUL17" s="62"/>
      <c r="PUM17" s="62"/>
      <c r="PUN17" s="62"/>
      <c r="PUO17" s="62"/>
      <c r="PUP17" s="62"/>
      <c r="PUQ17" s="62"/>
      <c r="PUR17" s="62"/>
      <c r="PUS17" s="62"/>
      <c r="PUT17" s="62"/>
      <c r="PUU17" s="62"/>
      <c r="PUV17" s="62"/>
      <c r="PUW17" s="62"/>
      <c r="PUX17" s="62"/>
      <c r="PUY17" s="62"/>
      <c r="PUZ17" s="62"/>
      <c r="PVA17" s="62"/>
      <c r="PVB17" s="62"/>
      <c r="PVC17" s="62"/>
      <c r="PVD17" s="62"/>
      <c r="PVE17" s="62"/>
      <c r="PVF17" s="62"/>
      <c r="PVG17" s="62"/>
      <c r="PVH17" s="62"/>
      <c r="PVI17" s="62"/>
      <c r="PVJ17" s="62"/>
      <c r="PVK17" s="62"/>
      <c r="PVL17" s="62"/>
      <c r="PVM17" s="62"/>
      <c r="PVN17" s="62"/>
      <c r="PVO17" s="62"/>
      <c r="PVP17" s="62"/>
      <c r="PVQ17" s="62"/>
      <c r="PVR17" s="62"/>
      <c r="PVS17" s="62"/>
      <c r="PVT17" s="62"/>
      <c r="PVU17" s="62"/>
      <c r="PVV17" s="62"/>
      <c r="PVW17" s="62"/>
      <c r="PVX17" s="62"/>
      <c r="PVY17" s="62"/>
      <c r="PVZ17" s="62"/>
      <c r="PWA17" s="62"/>
      <c r="PWB17" s="62"/>
      <c r="PWC17" s="62"/>
      <c r="PWD17" s="62"/>
      <c r="PWE17" s="62"/>
      <c r="PWF17" s="62"/>
      <c r="PWG17" s="62"/>
      <c r="PWH17" s="62"/>
      <c r="PWI17" s="62"/>
      <c r="PWJ17" s="62"/>
      <c r="PWK17" s="62"/>
      <c r="PWL17" s="62"/>
      <c r="PWM17" s="62"/>
      <c r="PWN17" s="62"/>
      <c r="PWO17" s="62"/>
      <c r="PWP17" s="62"/>
      <c r="PWQ17" s="62"/>
      <c r="PWR17" s="62"/>
      <c r="PWS17" s="62"/>
      <c r="PWT17" s="62"/>
      <c r="PWU17" s="62"/>
      <c r="PWV17" s="62"/>
      <c r="PWW17" s="62"/>
      <c r="PWX17" s="62"/>
      <c r="PWY17" s="62"/>
      <c r="PWZ17" s="62"/>
      <c r="PXA17" s="62"/>
      <c r="PXB17" s="62"/>
      <c r="PXC17" s="62"/>
      <c r="PXD17" s="62"/>
      <c r="PXE17" s="62"/>
      <c r="PXF17" s="62"/>
      <c r="PXG17" s="62"/>
      <c r="PXH17" s="62"/>
      <c r="PXI17" s="62"/>
      <c r="PXJ17" s="62"/>
      <c r="PXK17" s="62"/>
      <c r="PXL17" s="62"/>
      <c r="PXM17" s="62"/>
      <c r="PXN17" s="62"/>
      <c r="PXO17" s="62"/>
      <c r="PXP17" s="62"/>
      <c r="PXQ17" s="62"/>
      <c r="PXR17" s="62"/>
      <c r="PXS17" s="62"/>
      <c r="PXT17" s="62"/>
      <c r="PXU17" s="62"/>
      <c r="PXV17" s="62"/>
      <c r="PXW17" s="62"/>
      <c r="PXX17" s="62"/>
      <c r="PXY17" s="62"/>
      <c r="PXZ17" s="62"/>
      <c r="PYA17" s="62"/>
      <c r="PYB17" s="62"/>
      <c r="PYC17" s="62"/>
      <c r="PYD17" s="62"/>
      <c r="PYE17" s="62"/>
      <c r="PYF17" s="62"/>
      <c r="PYG17" s="62"/>
      <c r="PYH17" s="62"/>
      <c r="PYI17" s="62"/>
      <c r="PYJ17" s="62"/>
      <c r="PYK17" s="62"/>
      <c r="PYL17" s="62"/>
      <c r="PYM17" s="62"/>
      <c r="PYN17" s="62"/>
      <c r="PYO17" s="62"/>
      <c r="PYP17" s="62"/>
      <c r="PYQ17" s="62"/>
      <c r="PYR17" s="62"/>
      <c r="PYS17" s="62"/>
      <c r="PYT17" s="62"/>
      <c r="PYU17" s="62"/>
      <c r="PYV17" s="62"/>
      <c r="PYW17" s="62"/>
      <c r="PYX17" s="62"/>
      <c r="PYY17" s="62"/>
      <c r="PYZ17" s="62"/>
      <c r="PZA17" s="62"/>
      <c r="PZB17" s="62"/>
      <c r="PZC17" s="62"/>
      <c r="PZD17" s="62"/>
      <c r="PZE17" s="62"/>
      <c r="PZF17" s="62"/>
      <c r="PZG17" s="62"/>
      <c r="PZH17" s="62"/>
      <c r="PZI17" s="62"/>
      <c r="PZJ17" s="62"/>
      <c r="PZK17" s="62"/>
      <c r="PZL17" s="62"/>
      <c r="PZM17" s="62"/>
      <c r="PZN17" s="62"/>
      <c r="PZO17" s="62"/>
      <c r="PZP17" s="62"/>
      <c r="PZQ17" s="62"/>
      <c r="PZR17" s="62"/>
      <c r="PZS17" s="62"/>
      <c r="PZT17" s="62"/>
      <c r="PZU17" s="62"/>
      <c r="PZV17" s="62"/>
      <c r="PZW17" s="62"/>
      <c r="PZX17" s="62"/>
      <c r="PZY17" s="62"/>
      <c r="PZZ17" s="62"/>
      <c r="QAA17" s="62"/>
      <c r="QAB17" s="62"/>
      <c r="QAC17" s="62"/>
      <c r="QAD17" s="62"/>
      <c r="QAE17" s="62"/>
      <c r="QAF17" s="62"/>
      <c r="QAG17" s="62"/>
      <c r="QAH17" s="62"/>
      <c r="QAI17" s="62"/>
      <c r="QAJ17" s="62"/>
      <c r="QAK17" s="62"/>
      <c r="QAL17" s="62"/>
      <c r="QAM17" s="62"/>
      <c r="QAN17" s="62"/>
      <c r="QAO17" s="62"/>
      <c r="QAP17" s="62"/>
      <c r="QAQ17" s="62"/>
      <c r="QAR17" s="62"/>
      <c r="QAS17" s="62"/>
      <c r="QAT17" s="62"/>
      <c r="QAU17" s="62"/>
      <c r="QAV17" s="62"/>
      <c r="QAW17" s="62"/>
      <c r="QAX17" s="62"/>
      <c r="QAY17" s="62"/>
      <c r="QAZ17" s="62"/>
      <c r="QBA17" s="62"/>
      <c r="QBB17" s="62"/>
      <c r="QBC17" s="62"/>
      <c r="QBD17" s="62"/>
      <c r="QBE17" s="62"/>
      <c r="QBF17" s="62"/>
      <c r="QBG17" s="62"/>
      <c r="QBH17" s="62"/>
      <c r="QBI17" s="62"/>
      <c r="QBJ17" s="62"/>
      <c r="QBK17" s="62"/>
      <c r="QBL17" s="62"/>
      <c r="QBM17" s="62"/>
      <c r="QBN17" s="62"/>
      <c r="QBO17" s="62"/>
      <c r="QBP17" s="62"/>
      <c r="QBQ17" s="62"/>
      <c r="QBR17" s="62"/>
      <c r="QBS17" s="62"/>
      <c r="QBT17" s="62"/>
      <c r="QBU17" s="62"/>
      <c r="QBV17" s="62"/>
      <c r="QBW17" s="62"/>
      <c r="QBX17" s="62"/>
      <c r="QBY17" s="62"/>
      <c r="QBZ17" s="62"/>
      <c r="QCA17" s="62"/>
      <c r="QCB17" s="62"/>
      <c r="QCC17" s="62"/>
      <c r="QCD17" s="62"/>
      <c r="QCE17" s="62"/>
      <c r="QCF17" s="62"/>
      <c r="QCG17" s="62"/>
      <c r="QCH17" s="62"/>
      <c r="QCI17" s="62"/>
      <c r="QCJ17" s="62"/>
      <c r="QCK17" s="62"/>
      <c r="QCL17" s="62"/>
      <c r="QCM17" s="62"/>
      <c r="QCN17" s="62"/>
      <c r="QCO17" s="62"/>
      <c r="QCP17" s="62"/>
      <c r="QCQ17" s="62"/>
      <c r="QCR17" s="62"/>
      <c r="QCS17" s="62"/>
      <c r="QCT17" s="62"/>
      <c r="QCU17" s="62"/>
      <c r="QCV17" s="62"/>
      <c r="QCW17" s="62"/>
      <c r="QCX17" s="62"/>
      <c r="QCY17" s="62"/>
      <c r="QCZ17" s="62"/>
      <c r="QDA17" s="62"/>
      <c r="QDB17" s="62"/>
      <c r="QDC17" s="62"/>
      <c r="QDD17" s="62"/>
      <c r="QDE17" s="62"/>
      <c r="QDF17" s="62"/>
      <c r="QDG17" s="62"/>
      <c r="QDH17" s="62"/>
      <c r="QDI17" s="62"/>
      <c r="QDJ17" s="62"/>
      <c r="QDK17" s="62"/>
      <c r="QDL17" s="62"/>
      <c r="QDM17" s="62"/>
      <c r="QDN17" s="62"/>
      <c r="QDO17" s="62"/>
      <c r="QDP17" s="62"/>
      <c r="QDQ17" s="62"/>
      <c r="QDR17" s="62"/>
      <c r="QDS17" s="62"/>
      <c r="QDT17" s="62"/>
      <c r="QDU17" s="62"/>
      <c r="QDV17" s="62"/>
      <c r="QDW17" s="62"/>
      <c r="QDX17" s="62"/>
      <c r="QDY17" s="62"/>
      <c r="QDZ17" s="62"/>
      <c r="QEA17" s="62"/>
      <c r="QEB17" s="62"/>
      <c r="QEC17" s="62"/>
      <c r="QED17" s="62"/>
      <c r="QEE17" s="62"/>
      <c r="QEF17" s="62"/>
      <c r="QEG17" s="62"/>
      <c r="QEH17" s="62"/>
      <c r="QEI17" s="62"/>
      <c r="QEJ17" s="62"/>
      <c r="QEK17" s="62"/>
      <c r="QEL17" s="62"/>
      <c r="QEM17" s="62"/>
      <c r="QEN17" s="62"/>
      <c r="QEO17" s="62"/>
      <c r="QEP17" s="62"/>
      <c r="QEQ17" s="62"/>
      <c r="QER17" s="62"/>
      <c r="QES17" s="62"/>
      <c r="QET17" s="62"/>
      <c r="QEU17" s="62"/>
      <c r="QEV17" s="62"/>
      <c r="QEW17" s="62"/>
      <c r="QEX17" s="62"/>
      <c r="QEY17" s="62"/>
      <c r="QEZ17" s="62"/>
      <c r="QFA17" s="62"/>
      <c r="QFB17" s="62"/>
      <c r="QFC17" s="62"/>
      <c r="QFD17" s="62"/>
      <c r="QFE17" s="62"/>
      <c r="QFF17" s="62"/>
      <c r="QFG17" s="62"/>
      <c r="QFH17" s="62"/>
      <c r="QFI17" s="62"/>
      <c r="QFJ17" s="62"/>
      <c r="QFK17" s="62"/>
      <c r="QFL17" s="62"/>
      <c r="QFM17" s="62"/>
      <c r="QFN17" s="62"/>
      <c r="QFO17" s="62"/>
      <c r="QFP17" s="62"/>
      <c r="QFQ17" s="62"/>
      <c r="QFR17" s="62"/>
      <c r="QFS17" s="62"/>
      <c r="QFT17" s="62"/>
      <c r="QFU17" s="62"/>
      <c r="QFV17" s="62"/>
      <c r="QFW17" s="62"/>
      <c r="QFX17" s="62"/>
      <c r="QFY17" s="62"/>
      <c r="QFZ17" s="62"/>
      <c r="QGA17" s="62"/>
      <c r="QGB17" s="62"/>
      <c r="QGC17" s="62"/>
      <c r="QGD17" s="62"/>
      <c r="QGE17" s="62"/>
      <c r="QGF17" s="62"/>
      <c r="QGG17" s="62"/>
      <c r="QGH17" s="62"/>
      <c r="QGI17" s="62"/>
      <c r="QGJ17" s="62"/>
      <c r="QGK17" s="62"/>
      <c r="QGL17" s="62"/>
      <c r="QGM17" s="62"/>
      <c r="QGN17" s="62"/>
      <c r="QGO17" s="62"/>
      <c r="QGP17" s="62"/>
      <c r="QGQ17" s="62"/>
      <c r="QGR17" s="62"/>
      <c r="QGS17" s="62"/>
      <c r="QGT17" s="62"/>
      <c r="QGU17" s="62"/>
      <c r="QGV17" s="62"/>
      <c r="QGW17" s="62"/>
      <c r="QGX17" s="62"/>
      <c r="QGY17" s="62"/>
      <c r="QGZ17" s="62"/>
      <c r="QHA17" s="62"/>
      <c r="QHB17" s="62"/>
      <c r="QHC17" s="62"/>
      <c r="QHD17" s="62"/>
      <c r="QHE17" s="62"/>
      <c r="QHF17" s="62"/>
      <c r="QHG17" s="62"/>
      <c r="QHH17" s="62"/>
      <c r="QHI17" s="62"/>
      <c r="QHJ17" s="62"/>
      <c r="QHK17" s="62"/>
      <c r="QHL17" s="62"/>
      <c r="QHM17" s="62"/>
      <c r="QHN17" s="62"/>
      <c r="QHO17" s="62"/>
      <c r="QHP17" s="62"/>
      <c r="QHQ17" s="62"/>
      <c r="QHR17" s="62"/>
      <c r="QHS17" s="62"/>
      <c r="QHT17" s="62"/>
      <c r="QHU17" s="62"/>
      <c r="QHV17" s="62"/>
      <c r="QHW17" s="62"/>
      <c r="QHX17" s="62"/>
      <c r="QHY17" s="62"/>
      <c r="QHZ17" s="62"/>
      <c r="QIA17" s="62"/>
      <c r="QIB17" s="62"/>
      <c r="QIC17" s="62"/>
      <c r="QID17" s="62"/>
      <c r="QIE17" s="62"/>
      <c r="QIF17" s="62"/>
      <c r="QIG17" s="62"/>
      <c r="QIH17" s="62"/>
      <c r="QII17" s="62"/>
      <c r="QIJ17" s="62"/>
      <c r="QIK17" s="62"/>
      <c r="QIL17" s="62"/>
      <c r="QIM17" s="62"/>
      <c r="QIN17" s="62"/>
      <c r="QIO17" s="62"/>
      <c r="QIP17" s="62"/>
      <c r="QIQ17" s="62"/>
      <c r="QIR17" s="62"/>
      <c r="QIS17" s="62"/>
      <c r="QIT17" s="62"/>
      <c r="QIU17" s="62"/>
      <c r="QIV17" s="62"/>
      <c r="QIW17" s="62"/>
      <c r="QIX17" s="62"/>
      <c r="QIY17" s="62"/>
      <c r="QIZ17" s="62"/>
      <c r="QJA17" s="62"/>
      <c r="QJB17" s="62"/>
      <c r="QJC17" s="62"/>
      <c r="QJD17" s="62"/>
      <c r="QJE17" s="62"/>
      <c r="QJF17" s="62"/>
      <c r="QJG17" s="62"/>
      <c r="QJH17" s="62"/>
      <c r="QJI17" s="62"/>
      <c r="QJJ17" s="62"/>
      <c r="QJK17" s="62"/>
      <c r="QJL17" s="62"/>
      <c r="QJM17" s="62"/>
      <c r="QJN17" s="62"/>
      <c r="QJO17" s="62"/>
      <c r="QJP17" s="62"/>
      <c r="QJQ17" s="62"/>
      <c r="QJR17" s="62"/>
      <c r="QJS17" s="62"/>
      <c r="QJT17" s="62"/>
      <c r="QJU17" s="62"/>
      <c r="QJV17" s="62"/>
      <c r="QJW17" s="62"/>
      <c r="QJX17" s="62"/>
      <c r="QJY17" s="62"/>
      <c r="QJZ17" s="62"/>
      <c r="QKA17" s="62"/>
      <c r="QKB17" s="62"/>
      <c r="QKC17" s="62"/>
      <c r="QKD17" s="62"/>
      <c r="QKE17" s="62"/>
      <c r="QKF17" s="62"/>
      <c r="QKG17" s="62"/>
      <c r="QKH17" s="62"/>
      <c r="QKI17" s="62"/>
      <c r="QKJ17" s="62"/>
      <c r="QKK17" s="62"/>
      <c r="QKL17" s="62"/>
      <c r="QKM17" s="62"/>
      <c r="QKN17" s="62"/>
      <c r="QKO17" s="62"/>
      <c r="QKP17" s="62"/>
      <c r="QKQ17" s="62"/>
      <c r="QKR17" s="62"/>
      <c r="QKS17" s="62"/>
      <c r="QKT17" s="62"/>
      <c r="QKU17" s="62"/>
      <c r="QKV17" s="62"/>
      <c r="QKW17" s="62"/>
      <c r="QKX17" s="62"/>
      <c r="QKY17" s="62"/>
      <c r="QKZ17" s="62"/>
      <c r="QLA17" s="62"/>
      <c r="QLB17" s="62"/>
      <c r="QLC17" s="62"/>
      <c r="QLD17" s="62"/>
      <c r="QLE17" s="62"/>
      <c r="QLF17" s="62"/>
      <c r="QLG17" s="62"/>
      <c r="QLH17" s="62"/>
      <c r="QLI17" s="62"/>
      <c r="QLJ17" s="62"/>
      <c r="QLK17" s="62"/>
      <c r="QLL17" s="62"/>
      <c r="QLM17" s="62"/>
      <c r="QLN17" s="62"/>
      <c r="QLO17" s="62"/>
      <c r="QLP17" s="62"/>
      <c r="QLQ17" s="62"/>
      <c r="QLR17" s="62"/>
      <c r="QLS17" s="62"/>
      <c r="QLT17" s="62"/>
      <c r="QLU17" s="62"/>
      <c r="QLV17" s="62"/>
      <c r="QLW17" s="62"/>
      <c r="QLX17" s="62"/>
      <c r="QLY17" s="62"/>
      <c r="QLZ17" s="62"/>
      <c r="QMA17" s="62"/>
      <c r="QMB17" s="62"/>
      <c r="QMC17" s="62"/>
      <c r="QMD17" s="62"/>
      <c r="QME17" s="62"/>
      <c r="QMF17" s="62"/>
      <c r="QMG17" s="62"/>
      <c r="QMH17" s="62"/>
      <c r="QMI17" s="62"/>
      <c r="QMJ17" s="62"/>
      <c r="QMK17" s="62"/>
      <c r="QML17" s="62"/>
      <c r="QMM17" s="62"/>
      <c r="QMN17" s="62"/>
      <c r="QMO17" s="62"/>
      <c r="QMP17" s="62"/>
      <c r="QMQ17" s="62"/>
      <c r="QMR17" s="62"/>
      <c r="QMS17" s="62"/>
      <c r="QMT17" s="62"/>
      <c r="QMU17" s="62"/>
      <c r="QMV17" s="62"/>
      <c r="QMW17" s="62"/>
      <c r="QMX17" s="62"/>
      <c r="QMY17" s="62"/>
      <c r="QMZ17" s="62"/>
      <c r="QNA17" s="62"/>
      <c r="QNB17" s="62"/>
      <c r="QNC17" s="62"/>
      <c r="QND17" s="62"/>
      <c r="QNE17" s="62"/>
      <c r="QNF17" s="62"/>
      <c r="QNG17" s="62"/>
      <c r="QNH17" s="62"/>
      <c r="QNI17" s="62"/>
      <c r="QNJ17" s="62"/>
      <c r="QNK17" s="62"/>
      <c r="QNL17" s="62"/>
      <c r="QNM17" s="62"/>
      <c r="QNN17" s="62"/>
      <c r="QNO17" s="62"/>
      <c r="QNP17" s="62"/>
      <c r="QNQ17" s="62"/>
      <c r="QNR17" s="62"/>
      <c r="QNS17" s="62"/>
      <c r="QNT17" s="62"/>
      <c r="QNU17" s="62"/>
      <c r="QNV17" s="62"/>
      <c r="QNW17" s="62"/>
      <c r="QNX17" s="62"/>
      <c r="QNY17" s="62"/>
      <c r="QNZ17" s="62"/>
      <c r="QOA17" s="62"/>
      <c r="QOB17" s="62"/>
      <c r="QOC17" s="62"/>
      <c r="QOD17" s="62"/>
      <c r="QOE17" s="62"/>
      <c r="QOF17" s="62"/>
      <c r="QOG17" s="62"/>
      <c r="QOH17" s="62"/>
      <c r="QOI17" s="62"/>
      <c r="QOJ17" s="62"/>
      <c r="QOK17" s="62"/>
      <c r="QOL17" s="62"/>
      <c r="QOM17" s="62"/>
      <c r="QON17" s="62"/>
      <c r="QOO17" s="62"/>
      <c r="QOP17" s="62"/>
      <c r="QOQ17" s="62"/>
      <c r="QOR17" s="62"/>
      <c r="QOS17" s="62"/>
      <c r="QOT17" s="62"/>
      <c r="QOU17" s="62"/>
      <c r="QOV17" s="62"/>
      <c r="QOW17" s="62"/>
      <c r="QOX17" s="62"/>
      <c r="QOY17" s="62"/>
      <c r="QOZ17" s="62"/>
      <c r="QPA17" s="62"/>
      <c r="QPB17" s="62"/>
      <c r="QPC17" s="62"/>
      <c r="QPD17" s="62"/>
      <c r="QPE17" s="62"/>
      <c r="QPF17" s="62"/>
      <c r="QPG17" s="62"/>
      <c r="QPH17" s="62"/>
      <c r="QPI17" s="62"/>
      <c r="QPJ17" s="62"/>
      <c r="QPK17" s="62"/>
      <c r="QPL17" s="62"/>
      <c r="QPM17" s="62"/>
      <c r="QPN17" s="62"/>
      <c r="QPO17" s="62"/>
      <c r="QPP17" s="62"/>
      <c r="QPQ17" s="62"/>
      <c r="QPR17" s="62"/>
      <c r="QPS17" s="62"/>
      <c r="QPT17" s="62"/>
      <c r="QPU17" s="62"/>
      <c r="QPV17" s="62"/>
      <c r="QPW17" s="62"/>
      <c r="QPX17" s="62"/>
      <c r="QPY17" s="62"/>
      <c r="QPZ17" s="62"/>
      <c r="QQA17" s="62"/>
      <c r="QQB17" s="62"/>
      <c r="QQC17" s="62"/>
      <c r="QQD17" s="62"/>
      <c r="QQE17" s="62"/>
      <c r="QQF17" s="62"/>
      <c r="QQG17" s="62"/>
      <c r="QQH17" s="62"/>
      <c r="QQI17" s="62"/>
      <c r="QQJ17" s="62"/>
      <c r="QQK17" s="62"/>
      <c r="QQL17" s="62"/>
      <c r="QQM17" s="62"/>
      <c r="QQN17" s="62"/>
      <c r="QQO17" s="62"/>
      <c r="QQP17" s="62"/>
      <c r="QQQ17" s="62"/>
      <c r="QQR17" s="62"/>
      <c r="QQS17" s="62"/>
      <c r="QQT17" s="62"/>
      <c r="QQU17" s="62"/>
      <c r="QQV17" s="62"/>
      <c r="QQW17" s="62"/>
      <c r="QQX17" s="62"/>
      <c r="QQY17" s="62"/>
      <c r="QQZ17" s="62"/>
      <c r="QRA17" s="62"/>
      <c r="QRB17" s="62"/>
      <c r="QRC17" s="62"/>
      <c r="QRD17" s="62"/>
      <c r="QRE17" s="62"/>
      <c r="QRF17" s="62"/>
      <c r="QRG17" s="62"/>
      <c r="QRH17" s="62"/>
      <c r="QRI17" s="62"/>
      <c r="QRJ17" s="62"/>
      <c r="QRK17" s="62"/>
      <c r="QRL17" s="62"/>
      <c r="QRM17" s="62"/>
      <c r="QRN17" s="62"/>
      <c r="QRO17" s="62"/>
      <c r="QRP17" s="62"/>
      <c r="QRQ17" s="62"/>
      <c r="QRR17" s="62"/>
      <c r="QRS17" s="62"/>
      <c r="QRT17" s="62"/>
      <c r="QRU17" s="62"/>
      <c r="QRV17" s="62"/>
      <c r="QRW17" s="62"/>
      <c r="QRX17" s="62"/>
      <c r="QRY17" s="62"/>
      <c r="QRZ17" s="62"/>
      <c r="QSA17" s="62"/>
      <c r="QSB17" s="62"/>
      <c r="QSC17" s="62"/>
      <c r="QSD17" s="62"/>
      <c r="QSE17" s="62"/>
      <c r="QSF17" s="62"/>
      <c r="QSG17" s="62"/>
      <c r="QSH17" s="62"/>
      <c r="QSI17" s="62"/>
      <c r="QSJ17" s="62"/>
      <c r="QSK17" s="62"/>
      <c r="QSL17" s="62"/>
      <c r="QSM17" s="62"/>
      <c r="QSN17" s="62"/>
      <c r="QSO17" s="62"/>
      <c r="QSP17" s="62"/>
      <c r="QSQ17" s="62"/>
      <c r="QSR17" s="62"/>
      <c r="QSS17" s="62"/>
      <c r="QST17" s="62"/>
      <c r="QSU17" s="62"/>
      <c r="QSV17" s="62"/>
      <c r="QSW17" s="62"/>
      <c r="QSX17" s="62"/>
      <c r="QSY17" s="62"/>
      <c r="QSZ17" s="62"/>
      <c r="QTA17" s="62"/>
      <c r="QTB17" s="62"/>
      <c r="QTC17" s="62"/>
      <c r="QTD17" s="62"/>
      <c r="QTE17" s="62"/>
      <c r="QTF17" s="62"/>
      <c r="QTG17" s="62"/>
      <c r="QTH17" s="62"/>
      <c r="QTI17" s="62"/>
      <c r="QTJ17" s="62"/>
      <c r="QTK17" s="62"/>
      <c r="QTL17" s="62"/>
      <c r="QTM17" s="62"/>
      <c r="QTN17" s="62"/>
      <c r="QTO17" s="62"/>
      <c r="QTP17" s="62"/>
      <c r="QTQ17" s="62"/>
      <c r="QTR17" s="62"/>
      <c r="QTS17" s="62"/>
      <c r="QTT17" s="62"/>
      <c r="QTU17" s="62"/>
      <c r="QTV17" s="62"/>
      <c r="QTW17" s="62"/>
      <c r="QTX17" s="62"/>
      <c r="QTY17" s="62"/>
      <c r="QTZ17" s="62"/>
      <c r="QUA17" s="62"/>
      <c r="QUB17" s="62"/>
      <c r="QUC17" s="62"/>
      <c r="QUD17" s="62"/>
      <c r="QUE17" s="62"/>
      <c r="QUF17" s="62"/>
      <c r="QUG17" s="62"/>
      <c r="QUH17" s="62"/>
      <c r="QUI17" s="62"/>
      <c r="QUJ17" s="62"/>
      <c r="QUK17" s="62"/>
      <c r="QUL17" s="62"/>
      <c r="QUM17" s="62"/>
      <c r="QUN17" s="62"/>
      <c r="QUO17" s="62"/>
      <c r="QUP17" s="62"/>
      <c r="QUQ17" s="62"/>
      <c r="QUR17" s="62"/>
      <c r="QUS17" s="62"/>
      <c r="QUT17" s="62"/>
      <c r="QUU17" s="62"/>
      <c r="QUV17" s="62"/>
      <c r="QUW17" s="62"/>
      <c r="QUX17" s="62"/>
      <c r="QUY17" s="62"/>
      <c r="QUZ17" s="62"/>
      <c r="QVA17" s="62"/>
      <c r="QVB17" s="62"/>
      <c r="QVC17" s="62"/>
      <c r="QVD17" s="62"/>
      <c r="QVE17" s="62"/>
      <c r="QVF17" s="62"/>
      <c r="QVG17" s="62"/>
      <c r="QVH17" s="62"/>
      <c r="QVI17" s="62"/>
      <c r="QVJ17" s="62"/>
      <c r="QVK17" s="62"/>
      <c r="QVL17" s="62"/>
      <c r="QVM17" s="62"/>
      <c r="QVN17" s="62"/>
      <c r="QVO17" s="62"/>
      <c r="QVP17" s="62"/>
      <c r="QVQ17" s="62"/>
      <c r="QVR17" s="62"/>
      <c r="QVS17" s="62"/>
      <c r="QVT17" s="62"/>
      <c r="QVU17" s="62"/>
      <c r="QVV17" s="62"/>
      <c r="QVW17" s="62"/>
      <c r="QVX17" s="62"/>
      <c r="QVY17" s="62"/>
      <c r="QVZ17" s="62"/>
      <c r="QWA17" s="62"/>
      <c r="QWB17" s="62"/>
      <c r="QWC17" s="62"/>
      <c r="QWD17" s="62"/>
      <c r="QWE17" s="62"/>
      <c r="QWF17" s="62"/>
      <c r="QWG17" s="62"/>
      <c r="QWH17" s="62"/>
      <c r="QWI17" s="62"/>
      <c r="QWJ17" s="62"/>
      <c r="QWK17" s="62"/>
      <c r="QWL17" s="62"/>
      <c r="QWM17" s="62"/>
      <c r="QWN17" s="62"/>
      <c r="QWO17" s="62"/>
      <c r="QWP17" s="62"/>
      <c r="QWQ17" s="62"/>
      <c r="QWR17" s="62"/>
      <c r="QWS17" s="62"/>
      <c r="QWT17" s="62"/>
      <c r="QWU17" s="62"/>
      <c r="QWV17" s="62"/>
      <c r="QWW17" s="62"/>
      <c r="QWX17" s="62"/>
      <c r="QWY17" s="62"/>
      <c r="QWZ17" s="62"/>
      <c r="QXA17" s="62"/>
      <c r="QXB17" s="62"/>
      <c r="QXC17" s="62"/>
      <c r="QXD17" s="62"/>
      <c r="QXE17" s="62"/>
      <c r="QXF17" s="62"/>
      <c r="QXG17" s="62"/>
      <c r="QXH17" s="62"/>
      <c r="QXI17" s="62"/>
      <c r="QXJ17" s="62"/>
      <c r="QXK17" s="62"/>
      <c r="QXL17" s="62"/>
      <c r="QXM17" s="62"/>
      <c r="QXN17" s="62"/>
      <c r="QXO17" s="62"/>
      <c r="QXP17" s="62"/>
      <c r="QXQ17" s="62"/>
      <c r="QXR17" s="62"/>
      <c r="QXS17" s="62"/>
      <c r="QXT17" s="62"/>
      <c r="QXU17" s="62"/>
      <c r="QXV17" s="62"/>
      <c r="QXW17" s="62"/>
      <c r="QXX17" s="62"/>
      <c r="QXY17" s="62"/>
      <c r="QXZ17" s="62"/>
      <c r="QYA17" s="62"/>
      <c r="QYB17" s="62"/>
      <c r="QYC17" s="62"/>
      <c r="QYD17" s="62"/>
      <c r="QYE17" s="62"/>
      <c r="QYF17" s="62"/>
      <c r="QYG17" s="62"/>
      <c r="QYH17" s="62"/>
      <c r="QYI17" s="62"/>
      <c r="QYJ17" s="62"/>
      <c r="QYK17" s="62"/>
      <c r="QYL17" s="62"/>
      <c r="QYM17" s="62"/>
      <c r="QYN17" s="62"/>
      <c r="QYO17" s="62"/>
      <c r="QYP17" s="62"/>
      <c r="QYQ17" s="62"/>
      <c r="QYR17" s="62"/>
      <c r="QYS17" s="62"/>
      <c r="QYT17" s="62"/>
      <c r="QYU17" s="62"/>
      <c r="QYV17" s="62"/>
      <c r="QYW17" s="62"/>
      <c r="QYX17" s="62"/>
      <c r="QYY17" s="62"/>
      <c r="QYZ17" s="62"/>
      <c r="QZA17" s="62"/>
      <c r="QZB17" s="62"/>
      <c r="QZC17" s="62"/>
      <c r="QZD17" s="62"/>
      <c r="QZE17" s="62"/>
      <c r="QZF17" s="62"/>
      <c r="QZG17" s="62"/>
      <c r="QZH17" s="62"/>
      <c r="QZI17" s="62"/>
      <c r="QZJ17" s="62"/>
      <c r="QZK17" s="62"/>
      <c r="QZL17" s="62"/>
      <c r="QZM17" s="62"/>
      <c r="QZN17" s="62"/>
      <c r="QZO17" s="62"/>
      <c r="QZP17" s="62"/>
      <c r="QZQ17" s="62"/>
      <c r="QZR17" s="62"/>
      <c r="QZS17" s="62"/>
      <c r="QZT17" s="62"/>
      <c r="QZU17" s="62"/>
      <c r="QZV17" s="62"/>
      <c r="QZW17" s="62"/>
      <c r="QZX17" s="62"/>
      <c r="QZY17" s="62"/>
      <c r="QZZ17" s="62"/>
      <c r="RAA17" s="62"/>
      <c r="RAB17" s="62"/>
      <c r="RAC17" s="62"/>
      <c r="RAD17" s="62"/>
      <c r="RAE17" s="62"/>
      <c r="RAF17" s="62"/>
      <c r="RAG17" s="62"/>
      <c r="RAH17" s="62"/>
      <c r="RAI17" s="62"/>
      <c r="RAJ17" s="62"/>
      <c r="RAK17" s="62"/>
      <c r="RAL17" s="62"/>
      <c r="RAM17" s="62"/>
      <c r="RAN17" s="62"/>
      <c r="RAO17" s="62"/>
      <c r="RAP17" s="62"/>
      <c r="RAQ17" s="62"/>
      <c r="RAR17" s="62"/>
      <c r="RAS17" s="62"/>
      <c r="RAT17" s="62"/>
      <c r="RAU17" s="62"/>
      <c r="RAV17" s="62"/>
      <c r="RAW17" s="62"/>
      <c r="RAX17" s="62"/>
      <c r="RAY17" s="62"/>
      <c r="RAZ17" s="62"/>
      <c r="RBA17" s="62"/>
      <c r="RBB17" s="62"/>
      <c r="RBC17" s="62"/>
      <c r="RBD17" s="62"/>
      <c r="RBE17" s="62"/>
      <c r="RBF17" s="62"/>
      <c r="RBG17" s="62"/>
      <c r="RBH17" s="62"/>
      <c r="RBI17" s="62"/>
      <c r="RBJ17" s="62"/>
      <c r="RBK17" s="62"/>
      <c r="RBL17" s="62"/>
      <c r="RBM17" s="62"/>
      <c r="RBN17" s="62"/>
      <c r="RBO17" s="62"/>
      <c r="RBP17" s="62"/>
      <c r="RBQ17" s="62"/>
      <c r="RBR17" s="62"/>
      <c r="RBS17" s="62"/>
      <c r="RBT17" s="62"/>
      <c r="RBU17" s="62"/>
      <c r="RBV17" s="62"/>
      <c r="RBW17" s="62"/>
      <c r="RBX17" s="62"/>
      <c r="RBY17" s="62"/>
      <c r="RBZ17" s="62"/>
      <c r="RCA17" s="62"/>
      <c r="RCB17" s="62"/>
      <c r="RCC17" s="62"/>
      <c r="RCD17" s="62"/>
      <c r="RCE17" s="62"/>
      <c r="RCF17" s="62"/>
      <c r="RCG17" s="62"/>
      <c r="RCH17" s="62"/>
      <c r="RCI17" s="62"/>
      <c r="RCJ17" s="62"/>
      <c r="RCK17" s="62"/>
      <c r="RCL17" s="62"/>
      <c r="RCM17" s="62"/>
      <c r="RCN17" s="62"/>
      <c r="RCO17" s="62"/>
      <c r="RCP17" s="62"/>
      <c r="RCQ17" s="62"/>
      <c r="RCR17" s="62"/>
      <c r="RCS17" s="62"/>
      <c r="RCT17" s="62"/>
      <c r="RCU17" s="62"/>
      <c r="RCV17" s="62"/>
      <c r="RCW17" s="62"/>
      <c r="RCX17" s="62"/>
      <c r="RCY17" s="62"/>
      <c r="RCZ17" s="62"/>
      <c r="RDA17" s="62"/>
      <c r="RDB17" s="62"/>
      <c r="RDC17" s="62"/>
      <c r="RDD17" s="62"/>
      <c r="RDE17" s="62"/>
      <c r="RDF17" s="62"/>
      <c r="RDG17" s="62"/>
      <c r="RDH17" s="62"/>
      <c r="RDI17" s="62"/>
      <c r="RDJ17" s="62"/>
      <c r="RDK17" s="62"/>
      <c r="RDL17" s="62"/>
      <c r="RDM17" s="62"/>
      <c r="RDN17" s="62"/>
      <c r="RDO17" s="62"/>
      <c r="RDP17" s="62"/>
      <c r="RDQ17" s="62"/>
      <c r="RDR17" s="62"/>
      <c r="RDS17" s="62"/>
      <c r="RDT17" s="62"/>
      <c r="RDU17" s="62"/>
      <c r="RDV17" s="62"/>
      <c r="RDW17" s="62"/>
      <c r="RDX17" s="62"/>
      <c r="RDY17" s="62"/>
      <c r="RDZ17" s="62"/>
      <c r="REA17" s="62"/>
      <c r="REB17" s="62"/>
      <c r="REC17" s="62"/>
      <c r="RED17" s="62"/>
      <c r="REE17" s="62"/>
      <c r="REF17" s="62"/>
      <c r="REG17" s="62"/>
      <c r="REH17" s="62"/>
      <c r="REI17" s="62"/>
      <c r="REJ17" s="62"/>
      <c r="REK17" s="62"/>
      <c r="REL17" s="62"/>
      <c r="REM17" s="62"/>
      <c r="REN17" s="62"/>
      <c r="REO17" s="62"/>
      <c r="REP17" s="62"/>
      <c r="REQ17" s="62"/>
      <c r="RER17" s="62"/>
      <c r="RES17" s="62"/>
      <c r="RET17" s="62"/>
      <c r="REU17" s="62"/>
      <c r="REV17" s="62"/>
      <c r="REW17" s="62"/>
      <c r="REX17" s="62"/>
      <c r="REY17" s="62"/>
      <c r="REZ17" s="62"/>
      <c r="RFA17" s="62"/>
      <c r="RFB17" s="62"/>
      <c r="RFC17" s="62"/>
      <c r="RFD17" s="62"/>
      <c r="RFE17" s="62"/>
      <c r="RFF17" s="62"/>
      <c r="RFG17" s="62"/>
      <c r="RFH17" s="62"/>
      <c r="RFI17" s="62"/>
      <c r="RFJ17" s="62"/>
      <c r="RFK17" s="62"/>
      <c r="RFL17" s="62"/>
      <c r="RFM17" s="62"/>
      <c r="RFN17" s="62"/>
      <c r="RFO17" s="62"/>
      <c r="RFP17" s="62"/>
      <c r="RFQ17" s="62"/>
      <c r="RFR17" s="62"/>
      <c r="RFS17" s="62"/>
      <c r="RFT17" s="62"/>
      <c r="RFU17" s="62"/>
      <c r="RFV17" s="62"/>
      <c r="RFW17" s="62"/>
      <c r="RFX17" s="62"/>
      <c r="RFY17" s="62"/>
      <c r="RFZ17" s="62"/>
      <c r="RGA17" s="62"/>
      <c r="RGB17" s="62"/>
      <c r="RGC17" s="62"/>
      <c r="RGD17" s="62"/>
      <c r="RGE17" s="62"/>
      <c r="RGF17" s="62"/>
      <c r="RGG17" s="62"/>
      <c r="RGH17" s="62"/>
      <c r="RGI17" s="62"/>
      <c r="RGJ17" s="62"/>
      <c r="RGK17" s="62"/>
      <c r="RGL17" s="62"/>
      <c r="RGM17" s="62"/>
      <c r="RGN17" s="62"/>
      <c r="RGO17" s="62"/>
      <c r="RGP17" s="62"/>
      <c r="RGQ17" s="62"/>
      <c r="RGR17" s="62"/>
      <c r="RGS17" s="62"/>
      <c r="RGT17" s="62"/>
      <c r="RGU17" s="62"/>
      <c r="RGV17" s="62"/>
      <c r="RGW17" s="62"/>
      <c r="RGX17" s="62"/>
      <c r="RGY17" s="62"/>
      <c r="RGZ17" s="62"/>
      <c r="RHA17" s="62"/>
      <c r="RHB17" s="62"/>
      <c r="RHC17" s="62"/>
      <c r="RHD17" s="62"/>
      <c r="RHE17" s="62"/>
      <c r="RHF17" s="62"/>
      <c r="RHG17" s="62"/>
      <c r="RHH17" s="62"/>
      <c r="RHI17" s="62"/>
      <c r="RHJ17" s="62"/>
      <c r="RHK17" s="62"/>
      <c r="RHL17" s="62"/>
      <c r="RHM17" s="62"/>
      <c r="RHN17" s="62"/>
      <c r="RHO17" s="62"/>
      <c r="RHP17" s="62"/>
      <c r="RHQ17" s="62"/>
      <c r="RHR17" s="62"/>
      <c r="RHS17" s="62"/>
      <c r="RHT17" s="62"/>
      <c r="RHU17" s="62"/>
      <c r="RHV17" s="62"/>
      <c r="RHW17" s="62"/>
      <c r="RHX17" s="62"/>
      <c r="RHY17" s="62"/>
      <c r="RHZ17" s="62"/>
      <c r="RIA17" s="62"/>
      <c r="RIB17" s="62"/>
      <c r="RIC17" s="62"/>
      <c r="RID17" s="62"/>
      <c r="RIE17" s="62"/>
      <c r="RIF17" s="62"/>
      <c r="RIG17" s="62"/>
      <c r="RIH17" s="62"/>
      <c r="RII17" s="62"/>
      <c r="RIJ17" s="62"/>
      <c r="RIK17" s="62"/>
      <c r="RIL17" s="62"/>
      <c r="RIM17" s="62"/>
      <c r="RIN17" s="62"/>
      <c r="RIO17" s="62"/>
      <c r="RIP17" s="62"/>
      <c r="RIQ17" s="62"/>
      <c r="RIR17" s="62"/>
      <c r="RIS17" s="62"/>
      <c r="RIT17" s="62"/>
      <c r="RIU17" s="62"/>
      <c r="RIV17" s="62"/>
      <c r="RIW17" s="62"/>
      <c r="RIX17" s="62"/>
      <c r="RIY17" s="62"/>
      <c r="RIZ17" s="62"/>
      <c r="RJA17" s="62"/>
      <c r="RJB17" s="62"/>
      <c r="RJC17" s="62"/>
      <c r="RJD17" s="62"/>
      <c r="RJE17" s="62"/>
      <c r="RJF17" s="62"/>
      <c r="RJG17" s="62"/>
      <c r="RJH17" s="62"/>
      <c r="RJI17" s="62"/>
      <c r="RJJ17" s="62"/>
      <c r="RJK17" s="62"/>
      <c r="RJL17" s="62"/>
      <c r="RJM17" s="62"/>
      <c r="RJN17" s="62"/>
      <c r="RJO17" s="62"/>
      <c r="RJP17" s="62"/>
      <c r="RJQ17" s="62"/>
      <c r="RJR17" s="62"/>
      <c r="RJS17" s="62"/>
      <c r="RJT17" s="62"/>
      <c r="RJU17" s="62"/>
      <c r="RJV17" s="62"/>
      <c r="RJW17" s="62"/>
      <c r="RJX17" s="62"/>
      <c r="RJY17" s="62"/>
      <c r="RJZ17" s="62"/>
      <c r="RKA17" s="62"/>
      <c r="RKB17" s="62"/>
      <c r="RKC17" s="62"/>
      <c r="RKD17" s="62"/>
      <c r="RKE17" s="62"/>
      <c r="RKF17" s="62"/>
      <c r="RKG17" s="62"/>
      <c r="RKH17" s="62"/>
      <c r="RKI17" s="62"/>
      <c r="RKJ17" s="62"/>
      <c r="RKK17" s="62"/>
      <c r="RKL17" s="62"/>
      <c r="RKM17" s="62"/>
      <c r="RKN17" s="62"/>
      <c r="RKO17" s="62"/>
      <c r="RKP17" s="62"/>
      <c r="RKQ17" s="62"/>
      <c r="RKR17" s="62"/>
      <c r="RKS17" s="62"/>
      <c r="RKT17" s="62"/>
      <c r="RKU17" s="62"/>
      <c r="RKV17" s="62"/>
      <c r="RKW17" s="62"/>
      <c r="RKX17" s="62"/>
      <c r="RKY17" s="62"/>
      <c r="RKZ17" s="62"/>
      <c r="RLA17" s="62"/>
      <c r="RLB17" s="62"/>
      <c r="RLC17" s="62"/>
      <c r="RLD17" s="62"/>
      <c r="RLE17" s="62"/>
      <c r="RLF17" s="62"/>
      <c r="RLG17" s="62"/>
      <c r="RLH17" s="62"/>
      <c r="RLI17" s="62"/>
      <c r="RLJ17" s="62"/>
      <c r="RLK17" s="62"/>
      <c r="RLL17" s="62"/>
      <c r="RLM17" s="62"/>
      <c r="RLN17" s="62"/>
      <c r="RLO17" s="62"/>
      <c r="RLP17" s="62"/>
      <c r="RLQ17" s="62"/>
      <c r="RLR17" s="62"/>
      <c r="RLS17" s="62"/>
      <c r="RLT17" s="62"/>
      <c r="RLU17" s="62"/>
      <c r="RLV17" s="62"/>
      <c r="RLW17" s="62"/>
      <c r="RLX17" s="62"/>
      <c r="RLY17" s="62"/>
      <c r="RLZ17" s="62"/>
      <c r="RMA17" s="62"/>
      <c r="RMB17" s="62"/>
      <c r="RMC17" s="62"/>
      <c r="RMD17" s="62"/>
      <c r="RME17" s="62"/>
      <c r="RMF17" s="62"/>
      <c r="RMG17" s="62"/>
      <c r="RMH17" s="62"/>
      <c r="RMI17" s="62"/>
      <c r="RMJ17" s="62"/>
      <c r="RMK17" s="62"/>
      <c r="RML17" s="62"/>
      <c r="RMM17" s="62"/>
      <c r="RMN17" s="62"/>
      <c r="RMO17" s="62"/>
      <c r="RMP17" s="62"/>
      <c r="RMQ17" s="62"/>
      <c r="RMR17" s="62"/>
      <c r="RMS17" s="62"/>
      <c r="RMT17" s="62"/>
      <c r="RMU17" s="62"/>
      <c r="RMV17" s="62"/>
      <c r="RMW17" s="62"/>
      <c r="RMX17" s="62"/>
      <c r="RMY17" s="62"/>
      <c r="RMZ17" s="62"/>
      <c r="RNA17" s="62"/>
      <c r="RNB17" s="62"/>
      <c r="RNC17" s="62"/>
      <c r="RND17" s="62"/>
      <c r="RNE17" s="62"/>
      <c r="RNF17" s="62"/>
      <c r="RNG17" s="62"/>
      <c r="RNH17" s="62"/>
      <c r="RNI17" s="62"/>
      <c r="RNJ17" s="62"/>
      <c r="RNK17" s="62"/>
      <c r="RNL17" s="62"/>
      <c r="RNM17" s="62"/>
      <c r="RNN17" s="62"/>
      <c r="RNO17" s="62"/>
      <c r="RNP17" s="62"/>
      <c r="RNQ17" s="62"/>
      <c r="RNR17" s="62"/>
      <c r="RNS17" s="62"/>
      <c r="RNT17" s="62"/>
      <c r="RNU17" s="62"/>
      <c r="RNV17" s="62"/>
      <c r="RNW17" s="62"/>
      <c r="RNX17" s="62"/>
      <c r="RNY17" s="62"/>
      <c r="RNZ17" s="62"/>
      <c r="ROA17" s="62"/>
      <c r="ROB17" s="62"/>
      <c r="ROC17" s="62"/>
      <c r="ROD17" s="62"/>
      <c r="ROE17" s="62"/>
      <c r="ROF17" s="62"/>
      <c r="ROG17" s="62"/>
      <c r="ROH17" s="62"/>
      <c r="ROI17" s="62"/>
      <c r="ROJ17" s="62"/>
      <c r="ROK17" s="62"/>
      <c r="ROL17" s="62"/>
      <c r="ROM17" s="62"/>
      <c r="RON17" s="62"/>
      <c r="ROO17" s="62"/>
      <c r="ROP17" s="62"/>
      <c r="ROQ17" s="62"/>
      <c r="ROR17" s="62"/>
      <c r="ROS17" s="62"/>
      <c r="ROT17" s="62"/>
      <c r="ROU17" s="62"/>
      <c r="ROV17" s="62"/>
      <c r="ROW17" s="62"/>
      <c r="ROX17" s="62"/>
      <c r="ROY17" s="62"/>
      <c r="ROZ17" s="62"/>
      <c r="RPA17" s="62"/>
      <c r="RPB17" s="62"/>
      <c r="RPC17" s="62"/>
      <c r="RPD17" s="62"/>
      <c r="RPE17" s="62"/>
      <c r="RPF17" s="62"/>
      <c r="RPG17" s="62"/>
      <c r="RPH17" s="62"/>
      <c r="RPI17" s="62"/>
      <c r="RPJ17" s="62"/>
      <c r="RPK17" s="62"/>
      <c r="RPL17" s="62"/>
      <c r="RPM17" s="62"/>
      <c r="RPN17" s="62"/>
      <c r="RPO17" s="62"/>
      <c r="RPP17" s="62"/>
      <c r="RPQ17" s="62"/>
      <c r="RPR17" s="62"/>
      <c r="RPS17" s="62"/>
      <c r="RPT17" s="62"/>
      <c r="RPU17" s="62"/>
      <c r="RPV17" s="62"/>
      <c r="RPW17" s="62"/>
      <c r="RPX17" s="62"/>
      <c r="RPY17" s="62"/>
      <c r="RPZ17" s="62"/>
      <c r="RQA17" s="62"/>
      <c r="RQB17" s="62"/>
      <c r="RQC17" s="62"/>
      <c r="RQD17" s="62"/>
      <c r="RQE17" s="62"/>
      <c r="RQF17" s="62"/>
      <c r="RQG17" s="62"/>
      <c r="RQH17" s="62"/>
      <c r="RQI17" s="62"/>
      <c r="RQJ17" s="62"/>
      <c r="RQK17" s="62"/>
      <c r="RQL17" s="62"/>
      <c r="RQM17" s="62"/>
      <c r="RQN17" s="62"/>
      <c r="RQO17" s="62"/>
      <c r="RQP17" s="62"/>
      <c r="RQQ17" s="62"/>
      <c r="RQR17" s="62"/>
      <c r="RQS17" s="62"/>
      <c r="RQT17" s="62"/>
      <c r="RQU17" s="62"/>
      <c r="RQV17" s="62"/>
      <c r="RQW17" s="62"/>
      <c r="RQX17" s="62"/>
      <c r="RQY17" s="62"/>
      <c r="RQZ17" s="62"/>
      <c r="RRA17" s="62"/>
      <c r="RRB17" s="62"/>
      <c r="RRC17" s="62"/>
      <c r="RRD17" s="62"/>
      <c r="RRE17" s="62"/>
      <c r="RRF17" s="62"/>
      <c r="RRG17" s="62"/>
      <c r="RRH17" s="62"/>
      <c r="RRI17" s="62"/>
      <c r="RRJ17" s="62"/>
      <c r="RRK17" s="62"/>
      <c r="RRL17" s="62"/>
      <c r="RRM17" s="62"/>
      <c r="RRN17" s="62"/>
      <c r="RRO17" s="62"/>
      <c r="RRP17" s="62"/>
      <c r="RRQ17" s="62"/>
      <c r="RRR17" s="62"/>
      <c r="RRS17" s="62"/>
      <c r="RRT17" s="62"/>
      <c r="RRU17" s="62"/>
      <c r="RRV17" s="62"/>
      <c r="RRW17" s="62"/>
      <c r="RRX17" s="62"/>
      <c r="RRY17" s="62"/>
      <c r="RRZ17" s="62"/>
      <c r="RSA17" s="62"/>
      <c r="RSB17" s="62"/>
      <c r="RSC17" s="62"/>
      <c r="RSD17" s="62"/>
      <c r="RSE17" s="62"/>
      <c r="RSF17" s="62"/>
      <c r="RSG17" s="62"/>
      <c r="RSH17" s="62"/>
      <c r="RSI17" s="62"/>
      <c r="RSJ17" s="62"/>
      <c r="RSK17" s="62"/>
      <c r="RSL17" s="62"/>
      <c r="RSM17" s="62"/>
      <c r="RSN17" s="62"/>
      <c r="RSO17" s="62"/>
      <c r="RSP17" s="62"/>
      <c r="RSQ17" s="62"/>
      <c r="RSR17" s="62"/>
      <c r="RSS17" s="62"/>
      <c r="RST17" s="62"/>
      <c r="RSU17" s="62"/>
      <c r="RSV17" s="62"/>
      <c r="RSW17" s="62"/>
      <c r="RSX17" s="62"/>
      <c r="RSY17" s="62"/>
      <c r="RSZ17" s="62"/>
      <c r="RTA17" s="62"/>
      <c r="RTB17" s="62"/>
      <c r="RTC17" s="62"/>
      <c r="RTD17" s="62"/>
      <c r="RTE17" s="62"/>
      <c r="RTF17" s="62"/>
      <c r="RTG17" s="62"/>
      <c r="RTH17" s="62"/>
      <c r="RTI17" s="62"/>
      <c r="RTJ17" s="62"/>
      <c r="RTK17" s="62"/>
      <c r="RTL17" s="62"/>
      <c r="RTM17" s="62"/>
      <c r="RTN17" s="62"/>
      <c r="RTO17" s="62"/>
      <c r="RTP17" s="62"/>
      <c r="RTQ17" s="62"/>
      <c r="RTR17" s="62"/>
      <c r="RTS17" s="62"/>
      <c r="RTT17" s="62"/>
      <c r="RTU17" s="62"/>
      <c r="RTV17" s="62"/>
      <c r="RTW17" s="62"/>
      <c r="RTX17" s="62"/>
      <c r="RTY17" s="62"/>
      <c r="RTZ17" s="62"/>
      <c r="RUA17" s="62"/>
      <c r="RUB17" s="62"/>
      <c r="RUC17" s="62"/>
      <c r="RUD17" s="62"/>
      <c r="RUE17" s="62"/>
      <c r="RUF17" s="62"/>
      <c r="RUG17" s="62"/>
      <c r="RUH17" s="62"/>
      <c r="RUI17" s="62"/>
      <c r="RUJ17" s="62"/>
      <c r="RUK17" s="62"/>
      <c r="RUL17" s="62"/>
      <c r="RUM17" s="62"/>
      <c r="RUN17" s="62"/>
      <c r="RUO17" s="62"/>
      <c r="RUP17" s="62"/>
      <c r="RUQ17" s="62"/>
      <c r="RUR17" s="62"/>
      <c r="RUS17" s="62"/>
      <c r="RUT17" s="62"/>
      <c r="RUU17" s="62"/>
      <c r="RUV17" s="62"/>
      <c r="RUW17" s="62"/>
      <c r="RUX17" s="62"/>
      <c r="RUY17" s="62"/>
      <c r="RUZ17" s="62"/>
      <c r="RVA17" s="62"/>
      <c r="RVB17" s="62"/>
      <c r="RVC17" s="62"/>
      <c r="RVD17" s="62"/>
      <c r="RVE17" s="62"/>
      <c r="RVF17" s="62"/>
      <c r="RVG17" s="62"/>
      <c r="RVH17" s="62"/>
      <c r="RVI17" s="62"/>
      <c r="RVJ17" s="62"/>
      <c r="RVK17" s="62"/>
      <c r="RVL17" s="62"/>
      <c r="RVM17" s="62"/>
      <c r="RVN17" s="62"/>
      <c r="RVO17" s="62"/>
      <c r="RVP17" s="62"/>
      <c r="RVQ17" s="62"/>
      <c r="RVR17" s="62"/>
      <c r="RVS17" s="62"/>
      <c r="RVT17" s="62"/>
      <c r="RVU17" s="62"/>
      <c r="RVV17" s="62"/>
      <c r="RVW17" s="62"/>
      <c r="RVX17" s="62"/>
      <c r="RVY17" s="62"/>
      <c r="RVZ17" s="62"/>
      <c r="RWA17" s="62"/>
      <c r="RWB17" s="62"/>
      <c r="RWC17" s="62"/>
      <c r="RWD17" s="62"/>
      <c r="RWE17" s="62"/>
      <c r="RWF17" s="62"/>
      <c r="RWG17" s="62"/>
      <c r="RWH17" s="62"/>
      <c r="RWI17" s="62"/>
      <c r="RWJ17" s="62"/>
      <c r="RWK17" s="62"/>
      <c r="RWL17" s="62"/>
      <c r="RWM17" s="62"/>
      <c r="RWN17" s="62"/>
      <c r="RWO17" s="62"/>
      <c r="RWP17" s="62"/>
      <c r="RWQ17" s="62"/>
      <c r="RWR17" s="62"/>
      <c r="RWS17" s="62"/>
      <c r="RWT17" s="62"/>
      <c r="RWU17" s="62"/>
      <c r="RWV17" s="62"/>
      <c r="RWW17" s="62"/>
      <c r="RWX17" s="62"/>
      <c r="RWY17" s="62"/>
      <c r="RWZ17" s="62"/>
      <c r="RXA17" s="62"/>
      <c r="RXB17" s="62"/>
      <c r="RXC17" s="62"/>
      <c r="RXD17" s="62"/>
      <c r="RXE17" s="62"/>
      <c r="RXF17" s="62"/>
      <c r="RXG17" s="62"/>
      <c r="RXH17" s="62"/>
      <c r="RXI17" s="62"/>
      <c r="RXJ17" s="62"/>
      <c r="RXK17" s="62"/>
      <c r="RXL17" s="62"/>
      <c r="RXM17" s="62"/>
      <c r="RXN17" s="62"/>
      <c r="RXO17" s="62"/>
      <c r="RXP17" s="62"/>
      <c r="RXQ17" s="62"/>
      <c r="RXR17" s="62"/>
      <c r="RXS17" s="62"/>
      <c r="RXT17" s="62"/>
      <c r="RXU17" s="62"/>
      <c r="RXV17" s="62"/>
      <c r="RXW17" s="62"/>
      <c r="RXX17" s="62"/>
      <c r="RXY17" s="62"/>
      <c r="RXZ17" s="62"/>
      <c r="RYA17" s="62"/>
      <c r="RYB17" s="62"/>
      <c r="RYC17" s="62"/>
      <c r="RYD17" s="62"/>
      <c r="RYE17" s="62"/>
      <c r="RYF17" s="62"/>
      <c r="RYG17" s="62"/>
      <c r="RYH17" s="62"/>
      <c r="RYI17" s="62"/>
      <c r="RYJ17" s="62"/>
      <c r="RYK17" s="62"/>
      <c r="RYL17" s="62"/>
      <c r="RYM17" s="62"/>
      <c r="RYN17" s="62"/>
      <c r="RYO17" s="62"/>
      <c r="RYP17" s="62"/>
      <c r="RYQ17" s="62"/>
      <c r="RYR17" s="62"/>
      <c r="RYS17" s="62"/>
      <c r="RYT17" s="62"/>
      <c r="RYU17" s="62"/>
      <c r="RYV17" s="62"/>
      <c r="RYW17" s="62"/>
      <c r="RYX17" s="62"/>
      <c r="RYY17" s="62"/>
      <c r="RYZ17" s="62"/>
      <c r="RZA17" s="62"/>
      <c r="RZB17" s="62"/>
      <c r="RZC17" s="62"/>
      <c r="RZD17" s="62"/>
      <c r="RZE17" s="62"/>
      <c r="RZF17" s="62"/>
      <c r="RZG17" s="62"/>
      <c r="RZH17" s="62"/>
      <c r="RZI17" s="62"/>
      <c r="RZJ17" s="62"/>
      <c r="RZK17" s="62"/>
      <c r="RZL17" s="62"/>
      <c r="RZM17" s="62"/>
      <c r="RZN17" s="62"/>
      <c r="RZO17" s="62"/>
      <c r="RZP17" s="62"/>
      <c r="RZQ17" s="62"/>
      <c r="RZR17" s="62"/>
      <c r="RZS17" s="62"/>
      <c r="RZT17" s="62"/>
      <c r="RZU17" s="62"/>
      <c r="RZV17" s="62"/>
      <c r="RZW17" s="62"/>
      <c r="RZX17" s="62"/>
      <c r="RZY17" s="62"/>
      <c r="RZZ17" s="62"/>
      <c r="SAA17" s="62"/>
      <c r="SAB17" s="62"/>
      <c r="SAC17" s="62"/>
      <c r="SAD17" s="62"/>
      <c r="SAE17" s="62"/>
      <c r="SAF17" s="62"/>
      <c r="SAG17" s="62"/>
      <c r="SAH17" s="62"/>
      <c r="SAI17" s="62"/>
      <c r="SAJ17" s="62"/>
      <c r="SAK17" s="62"/>
      <c r="SAL17" s="62"/>
      <c r="SAM17" s="62"/>
      <c r="SAN17" s="62"/>
      <c r="SAO17" s="62"/>
      <c r="SAP17" s="62"/>
      <c r="SAQ17" s="62"/>
      <c r="SAR17" s="62"/>
      <c r="SAS17" s="62"/>
      <c r="SAT17" s="62"/>
      <c r="SAU17" s="62"/>
      <c r="SAV17" s="62"/>
      <c r="SAW17" s="62"/>
      <c r="SAX17" s="62"/>
      <c r="SAY17" s="62"/>
      <c r="SAZ17" s="62"/>
      <c r="SBA17" s="62"/>
      <c r="SBB17" s="62"/>
      <c r="SBC17" s="62"/>
      <c r="SBD17" s="62"/>
      <c r="SBE17" s="62"/>
      <c r="SBF17" s="62"/>
      <c r="SBG17" s="62"/>
      <c r="SBH17" s="62"/>
      <c r="SBI17" s="62"/>
      <c r="SBJ17" s="62"/>
      <c r="SBK17" s="62"/>
      <c r="SBL17" s="62"/>
      <c r="SBM17" s="62"/>
      <c r="SBN17" s="62"/>
      <c r="SBO17" s="62"/>
      <c r="SBP17" s="62"/>
      <c r="SBQ17" s="62"/>
      <c r="SBR17" s="62"/>
      <c r="SBS17" s="62"/>
      <c r="SBT17" s="62"/>
      <c r="SBU17" s="62"/>
      <c r="SBV17" s="62"/>
      <c r="SBW17" s="62"/>
      <c r="SBX17" s="62"/>
      <c r="SBY17" s="62"/>
      <c r="SBZ17" s="62"/>
      <c r="SCA17" s="62"/>
      <c r="SCB17" s="62"/>
      <c r="SCC17" s="62"/>
      <c r="SCD17" s="62"/>
      <c r="SCE17" s="62"/>
      <c r="SCF17" s="62"/>
      <c r="SCG17" s="62"/>
      <c r="SCH17" s="62"/>
      <c r="SCI17" s="62"/>
      <c r="SCJ17" s="62"/>
      <c r="SCK17" s="62"/>
      <c r="SCL17" s="62"/>
      <c r="SCM17" s="62"/>
      <c r="SCN17" s="62"/>
      <c r="SCO17" s="62"/>
      <c r="SCP17" s="62"/>
      <c r="SCQ17" s="62"/>
      <c r="SCR17" s="62"/>
      <c r="SCS17" s="62"/>
      <c r="SCT17" s="62"/>
      <c r="SCU17" s="62"/>
      <c r="SCV17" s="62"/>
      <c r="SCW17" s="62"/>
      <c r="SCX17" s="62"/>
      <c r="SCY17" s="62"/>
      <c r="SCZ17" s="62"/>
      <c r="SDA17" s="62"/>
      <c r="SDB17" s="62"/>
      <c r="SDC17" s="62"/>
      <c r="SDD17" s="62"/>
      <c r="SDE17" s="62"/>
      <c r="SDF17" s="62"/>
      <c r="SDG17" s="62"/>
      <c r="SDH17" s="62"/>
      <c r="SDI17" s="62"/>
      <c r="SDJ17" s="62"/>
      <c r="SDK17" s="62"/>
      <c r="SDL17" s="62"/>
      <c r="SDM17" s="62"/>
      <c r="SDN17" s="62"/>
      <c r="SDO17" s="62"/>
      <c r="SDP17" s="62"/>
      <c r="SDQ17" s="62"/>
      <c r="SDR17" s="62"/>
      <c r="SDS17" s="62"/>
      <c r="SDT17" s="62"/>
      <c r="SDU17" s="62"/>
      <c r="SDV17" s="62"/>
      <c r="SDW17" s="62"/>
      <c r="SDX17" s="62"/>
      <c r="SDY17" s="62"/>
      <c r="SDZ17" s="62"/>
      <c r="SEA17" s="62"/>
      <c r="SEB17" s="62"/>
      <c r="SEC17" s="62"/>
      <c r="SED17" s="62"/>
      <c r="SEE17" s="62"/>
      <c r="SEF17" s="62"/>
      <c r="SEG17" s="62"/>
      <c r="SEH17" s="62"/>
      <c r="SEI17" s="62"/>
      <c r="SEJ17" s="62"/>
      <c r="SEK17" s="62"/>
      <c r="SEL17" s="62"/>
      <c r="SEM17" s="62"/>
      <c r="SEN17" s="62"/>
      <c r="SEO17" s="62"/>
      <c r="SEP17" s="62"/>
      <c r="SEQ17" s="62"/>
      <c r="SER17" s="62"/>
      <c r="SES17" s="62"/>
      <c r="SET17" s="62"/>
      <c r="SEU17" s="62"/>
      <c r="SEV17" s="62"/>
      <c r="SEW17" s="62"/>
      <c r="SEX17" s="62"/>
      <c r="SEY17" s="62"/>
      <c r="SEZ17" s="62"/>
      <c r="SFA17" s="62"/>
      <c r="SFB17" s="62"/>
      <c r="SFC17" s="62"/>
      <c r="SFD17" s="62"/>
      <c r="SFE17" s="62"/>
      <c r="SFF17" s="62"/>
      <c r="SFG17" s="62"/>
      <c r="SFH17" s="62"/>
      <c r="SFI17" s="62"/>
      <c r="SFJ17" s="62"/>
      <c r="SFK17" s="62"/>
      <c r="SFL17" s="62"/>
      <c r="SFM17" s="62"/>
      <c r="SFN17" s="62"/>
      <c r="SFO17" s="62"/>
      <c r="SFP17" s="62"/>
      <c r="SFQ17" s="62"/>
      <c r="SFR17" s="62"/>
      <c r="SFS17" s="62"/>
      <c r="SFT17" s="62"/>
      <c r="SFU17" s="62"/>
      <c r="SFV17" s="62"/>
      <c r="SFW17" s="62"/>
      <c r="SFX17" s="62"/>
      <c r="SFY17" s="62"/>
      <c r="SFZ17" s="62"/>
      <c r="SGA17" s="62"/>
      <c r="SGB17" s="62"/>
      <c r="SGC17" s="62"/>
      <c r="SGD17" s="62"/>
      <c r="SGE17" s="62"/>
      <c r="SGF17" s="62"/>
      <c r="SGG17" s="62"/>
      <c r="SGH17" s="62"/>
      <c r="SGI17" s="62"/>
      <c r="SGJ17" s="62"/>
      <c r="SGK17" s="62"/>
      <c r="SGL17" s="62"/>
      <c r="SGM17" s="62"/>
      <c r="SGN17" s="62"/>
      <c r="SGO17" s="62"/>
      <c r="SGP17" s="62"/>
      <c r="SGQ17" s="62"/>
      <c r="SGR17" s="62"/>
      <c r="SGS17" s="62"/>
      <c r="SGT17" s="62"/>
      <c r="SGU17" s="62"/>
      <c r="SGV17" s="62"/>
      <c r="SGW17" s="62"/>
      <c r="SGX17" s="62"/>
      <c r="SGY17" s="62"/>
      <c r="SGZ17" s="62"/>
      <c r="SHA17" s="62"/>
      <c r="SHB17" s="62"/>
      <c r="SHC17" s="62"/>
      <c r="SHD17" s="62"/>
      <c r="SHE17" s="62"/>
      <c r="SHF17" s="62"/>
      <c r="SHG17" s="62"/>
      <c r="SHH17" s="62"/>
      <c r="SHI17" s="62"/>
      <c r="SHJ17" s="62"/>
      <c r="SHK17" s="62"/>
      <c r="SHL17" s="62"/>
      <c r="SHM17" s="62"/>
      <c r="SHN17" s="62"/>
      <c r="SHO17" s="62"/>
      <c r="SHP17" s="62"/>
      <c r="SHQ17" s="62"/>
      <c r="SHR17" s="62"/>
      <c r="SHS17" s="62"/>
      <c r="SHT17" s="62"/>
      <c r="SHU17" s="62"/>
      <c r="SHV17" s="62"/>
      <c r="SHW17" s="62"/>
      <c r="SHX17" s="62"/>
      <c r="SHY17" s="62"/>
      <c r="SHZ17" s="62"/>
      <c r="SIA17" s="62"/>
      <c r="SIB17" s="62"/>
      <c r="SIC17" s="62"/>
      <c r="SID17" s="62"/>
      <c r="SIE17" s="62"/>
      <c r="SIF17" s="62"/>
      <c r="SIG17" s="62"/>
      <c r="SIH17" s="62"/>
      <c r="SII17" s="62"/>
      <c r="SIJ17" s="62"/>
      <c r="SIK17" s="62"/>
      <c r="SIL17" s="62"/>
      <c r="SIM17" s="62"/>
      <c r="SIN17" s="62"/>
      <c r="SIO17" s="62"/>
      <c r="SIP17" s="62"/>
      <c r="SIQ17" s="62"/>
      <c r="SIR17" s="62"/>
      <c r="SIS17" s="62"/>
      <c r="SIT17" s="62"/>
      <c r="SIU17" s="62"/>
      <c r="SIV17" s="62"/>
      <c r="SIW17" s="62"/>
      <c r="SIX17" s="62"/>
      <c r="SIY17" s="62"/>
      <c r="SIZ17" s="62"/>
      <c r="SJA17" s="62"/>
      <c r="SJB17" s="62"/>
      <c r="SJC17" s="62"/>
      <c r="SJD17" s="62"/>
      <c r="SJE17" s="62"/>
      <c r="SJF17" s="62"/>
      <c r="SJG17" s="62"/>
      <c r="SJH17" s="62"/>
      <c r="SJI17" s="62"/>
      <c r="SJJ17" s="62"/>
      <c r="SJK17" s="62"/>
      <c r="SJL17" s="62"/>
      <c r="SJM17" s="62"/>
      <c r="SJN17" s="62"/>
      <c r="SJO17" s="62"/>
      <c r="SJP17" s="62"/>
      <c r="SJQ17" s="62"/>
      <c r="SJR17" s="62"/>
      <c r="SJS17" s="62"/>
      <c r="SJT17" s="62"/>
      <c r="SJU17" s="62"/>
      <c r="SJV17" s="62"/>
      <c r="SJW17" s="62"/>
      <c r="SJX17" s="62"/>
      <c r="SJY17" s="62"/>
      <c r="SJZ17" s="62"/>
      <c r="SKA17" s="62"/>
      <c r="SKB17" s="62"/>
      <c r="SKC17" s="62"/>
      <c r="SKD17" s="62"/>
      <c r="SKE17" s="62"/>
      <c r="SKF17" s="62"/>
      <c r="SKG17" s="62"/>
      <c r="SKH17" s="62"/>
      <c r="SKI17" s="62"/>
      <c r="SKJ17" s="62"/>
      <c r="SKK17" s="62"/>
      <c r="SKL17" s="62"/>
      <c r="SKM17" s="62"/>
      <c r="SKN17" s="62"/>
      <c r="SKO17" s="62"/>
      <c r="SKP17" s="62"/>
      <c r="SKQ17" s="62"/>
      <c r="SKR17" s="62"/>
      <c r="SKS17" s="62"/>
      <c r="SKT17" s="62"/>
      <c r="SKU17" s="62"/>
      <c r="SKV17" s="62"/>
      <c r="SKW17" s="62"/>
      <c r="SKX17" s="62"/>
      <c r="SKY17" s="62"/>
      <c r="SKZ17" s="62"/>
      <c r="SLA17" s="62"/>
      <c r="SLB17" s="62"/>
      <c r="SLC17" s="62"/>
      <c r="SLD17" s="62"/>
      <c r="SLE17" s="62"/>
      <c r="SLF17" s="62"/>
      <c r="SLG17" s="62"/>
      <c r="SLH17" s="62"/>
      <c r="SLI17" s="62"/>
      <c r="SLJ17" s="62"/>
      <c r="SLK17" s="62"/>
      <c r="SLL17" s="62"/>
      <c r="SLM17" s="62"/>
      <c r="SLN17" s="62"/>
      <c r="SLO17" s="62"/>
      <c r="SLP17" s="62"/>
      <c r="SLQ17" s="62"/>
      <c r="SLR17" s="62"/>
      <c r="SLS17" s="62"/>
      <c r="SLT17" s="62"/>
      <c r="SLU17" s="62"/>
      <c r="SLV17" s="62"/>
      <c r="SLW17" s="62"/>
      <c r="SLX17" s="62"/>
      <c r="SLY17" s="62"/>
      <c r="SLZ17" s="62"/>
      <c r="SMA17" s="62"/>
      <c r="SMB17" s="62"/>
      <c r="SMC17" s="62"/>
      <c r="SMD17" s="62"/>
      <c r="SME17" s="62"/>
      <c r="SMF17" s="62"/>
      <c r="SMG17" s="62"/>
      <c r="SMH17" s="62"/>
      <c r="SMI17" s="62"/>
      <c r="SMJ17" s="62"/>
      <c r="SMK17" s="62"/>
      <c r="SML17" s="62"/>
      <c r="SMM17" s="62"/>
      <c r="SMN17" s="62"/>
      <c r="SMO17" s="62"/>
      <c r="SMP17" s="62"/>
      <c r="SMQ17" s="62"/>
      <c r="SMR17" s="62"/>
      <c r="SMS17" s="62"/>
      <c r="SMT17" s="62"/>
      <c r="SMU17" s="62"/>
      <c r="SMV17" s="62"/>
      <c r="SMW17" s="62"/>
      <c r="SMX17" s="62"/>
      <c r="SMY17" s="62"/>
      <c r="SMZ17" s="62"/>
      <c r="SNA17" s="62"/>
      <c r="SNB17" s="62"/>
      <c r="SNC17" s="62"/>
      <c r="SND17" s="62"/>
      <c r="SNE17" s="62"/>
      <c r="SNF17" s="62"/>
      <c r="SNG17" s="62"/>
      <c r="SNH17" s="62"/>
      <c r="SNI17" s="62"/>
      <c r="SNJ17" s="62"/>
      <c r="SNK17" s="62"/>
      <c r="SNL17" s="62"/>
      <c r="SNM17" s="62"/>
      <c r="SNN17" s="62"/>
      <c r="SNO17" s="62"/>
      <c r="SNP17" s="62"/>
      <c r="SNQ17" s="62"/>
      <c r="SNR17" s="62"/>
      <c r="SNS17" s="62"/>
      <c r="SNT17" s="62"/>
      <c r="SNU17" s="62"/>
      <c r="SNV17" s="62"/>
      <c r="SNW17" s="62"/>
      <c r="SNX17" s="62"/>
      <c r="SNY17" s="62"/>
      <c r="SNZ17" s="62"/>
      <c r="SOA17" s="62"/>
      <c r="SOB17" s="62"/>
      <c r="SOC17" s="62"/>
      <c r="SOD17" s="62"/>
      <c r="SOE17" s="62"/>
      <c r="SOF17" s="62"/>
      <c r="SOG17" s="62"/>
      <c r="SOH17" s="62"/>
      <c r="SOI17" s="62"/>
      <c r="SOJ17" s="62"/>
      <c r="SOK17" s="62"/>
      <c r="SOL17" s="62"/>
      <c r="SOM17" s="62"/>
      <c r="SON17" s="62"/>
      <c r="SOO17" s="62"/>
      <c r="SOP17" s="62"/>
      <c r="SOQ17" s="62"/>
      <c r="SOR17" s="62"/>
      <c r="SOS17" s="62"/>
      <c r="SOT17" s="62"/>
      <c r="SOU17" s="62"/>
      <c r="SOV17" s="62"/>
      <c r="SOW17" s="62"/>
      <c r="SOX17" s="62"/>
      <c r="SOY17" s="62"/>
      <c r="SOZ17" s="62"/>
      <c r="SPA17" s="62"/>
      <c r="SPB17" s="62"/>
      <c r="SPC17" s="62"/>
      <c r="SPD17" s="62"/>
      <c r="SPE17" s="62"/>
      <c r="SPF17" s="62"/>
      <c r="SPG17" s="62"/>
      <c r="SPH17" s="62"/>
      <c r="SPI17" s="62"/>
      <c r="SPJ17" s="62"/>
      <c r="SPK17" s="62"/>
      <c r="SPL17" s="62"/>
      <c r="SPM17" s="62"/>
      <c r="SPN17" s="62"/>
      <c r="SPO17" s="62"/>
      <c r="SPP17" s="62"/>
      <c r="SPQ17" s="62"/>
      <c r="SPR17" s="62"/>
      <c r="SPS17" s="62"/>
      <c r="SPT17" s="62"/>
      <c r="SPU17" s="62"/>
      <c r="SPV17" s="62"/>
      <c r="SPW17" s="62"/>
      <c r="SPX17" s="62"/>
      <c r="SPY17" s="62"/>
      <c r="SPZ17" s="62"/>
      <c r="SQA17" s="62"/>
      <c r="SQB17" s="62"/>
      <c r="SQC17" s="62"/>
      <c r="SQD17" s="62"/>
      <c r="SQE17" s="62"/>
      <c r="SQF17" s="62"/>
      <c r="SQG17" s="62"/>
      <c r="SQH17" s="62"/>
      <c r="SQI17" s="62"/>
      <c r="SQJ17" s="62"/>
      <c r="SQK17" s="62"/>
      <c r="SQL17" s="62"/>
      <c r="SQM17" s="62"/>
      <c r="SQN17" s="62"/>
      <c r="SQO17" s="62"/>
      <c r="SQP17" s="62"/>
      <c r="SQQ17" s="62"/>
      <c r="SQR17" s="62"/>
      <c r="SQS17" s="62"/>
      <c r="SQT17" s="62"/>
      <c r="SQU17" s="62"/>
      <c r="SQV17" s="62"/>
      <c r="SQW17" s="62"/>
      <c r="SQX17" s="62"/>
      <c r="SQY17" s="62"/>
      <c r="SQZ17" s="62"/>
      <c r="SRA17" s="62"/>
      <c r="SRB17" s="62"/>
      <c r="SRC17" s="62"/>
      <c r="SRD17" s="62"/>
      <c r="SRE17" s="62"/>
      <c r="SRF17" s="62"/>
      <c r="SRG17" s="62"/>
      <c r="SRH17" s="62"/>
      <c r="SRI17" s="62"/>
      <c r="SRJ17" s="62"/>
      <c r="SRK17" s="62"/>
      <c r="SRL17" s="62"/>
      <c r="SRM17" s="62"/>
      <c r="SRN17" s="62"/>
      <c r="SRO17" s="62"/>
      <c r="SRP17" s="62"/>
      <c r="SRQ17" s="62"/>
      <c r="SRR17" s="62"/>
      <c r="SRS17" s="62"/>
      <c r="SRT17" s="62"/>
      <c r="SRU17" s="62"/>
      <c r="SRV17" s="62"/>
      <c r="SRW17" s="62"/>
      <c r="SRX17" s="62"/>
      <c r="SRY17" s="62"/>
      <c r="SRZ17" s="62"/>
      <c r="SSA17" s="62"/>
      <c r="SSB17" s="62"/>
      <c r="SSC17" s="62"/>
      <c r="SSD17" s="62"/>
      <c r="SSE17" s="62"/>
      <c r="SSF17" s="62"/>
      <c r="SSG17" s="62"/>
      <c r="SSH17" s="62"/>
      <c r="SSI17" s="62"/>
      <c r="SSJ17" s="62"/>
      <c r="SSK17" s="62"/>
      <c r="SSL17" s="62"/>
      <c r="SSM17" s="62"/>
      <c r="SSN17" s="62"/>
      <c r="SSO17" s="62"/>
      <c r="SSP17" s="62"/>
      <c r="SSQ17" s="62"/>
      <c r="SSR17" s="62"/>
      <c r="SSS17" s="62"/>
      <c r="SST17" s="62"/>
      <c r="SSU17" s="62"/>
      <c r="SSV17" s="62"/>
      <c r="SSW17" s="62"/>
      <c r="SSX17" s="62"/>
      <c r="SSY17" s="62"/>
      <c r="SSZ17" s="62"/>
      <c r="STA17" s="62"/>
      <c r="STB17" s="62"/>
      <c r="STC17" s="62"/>
      <c r="STD17" s="62"/>
      <c r="STE17" s="62"/>
      <c r="STF17" s="62"/>
      <c r="STG17" s="62"/>
      <c r="STH17" s="62"/>
      <c r="STI17" s="62"/>
      <c r="STJ17" s="62"/>
      <c r="STK17" s="62"/>
      <c r="STL17" s="62"/>
      <c r="STM17" s="62"/>
      <c r="STN17" s="62"/>
      <c r="STO17" s="62"/>
      <c r="STP17" s="62"/>
      <c r="STQ17" s="62"/>
      <c r="STR17" s="62"/>
      <c r="STS17" s="62"/>
      <c r="STT17" s="62"/>
      <c r="STU17" s="62"/>
      <c r="STV17" s="62"/>
      <c r="STW17" s="62"/>
      <c r="STX17" s="62"/>
      <c r="STY17" s="62"/>
      <c r="STZ17" s="62"/>
      <c r="SUA17" s="62"/>
      <c r="SUB17" s="62"/>
      <c r="SUC17" s="62"/>
      <c r="SUD17" s="62"/>
      <c r="SUE17" s="62"/>
      <c r="SUF17" s="62"/>
      <c r="SUG17" s="62"/>
      <c r="SUH17" s="62"/>
      <c r="SUI17" s="62"/>
      <c r="SUJ17" s="62"/>
      <c r="SUK17" s="62"/>
      <c r="SUL17" s="62"/>
      <c r="SUM17" s="62"/>
      <c r="SUN17" s="62"/>
      <c r="SUO17" s="62"/>
      <c r="SUP17" s="62"/>
      <c r="SUQ17" s="62"/>
      <c r="SUR17" s="62"/>
      <c r="SUS17" s="62"/>
      <c r="SUT17" s="62"/>
      <c r="SUU17" s="62"/>
      <c r="SUV17" s="62"/>
      <c r="SUW17" s="62"/>
      <c r="SUX17" s="62"/>
      <c r="SUY17" s="62"/>
      <c r="SUZ17" s="62"/>
      <c r="SVA17" s="62"/>
      <c r="SVB17" s="62"/>
      <c r="SVC17" s="62"/>
      <c r="SVD17" s="62"/>
      <c r="SVE17" s="62"/>
      <c r="SVF17" s="62"/>
      <c r="SVG17" s="62"/>
      <c r="SVH17" s="62"/>
      <c r="SVI17" s="62"/>
      <c r="SVJ17" s="62"/>
      <c r="SVK17" s="62"/>
      <c r="SVL17" s="62"/>
      <c r="SVM17" s="62"/>
      <c r="SVN17" s="62"/>
      <c r="SVO17" s="62"/>
      <c r="SVP17" s="62"/>
      <c r="SVQ17" s="62"/>
      <c r="SVR17" s="62"/>
      <c r="SVS17" s="62"/>
      <c r="SVT17" s="62"/>
      <c r="SVU17" s="62"/>
      <c r="SVV17" s="62"/>
      <c r="SVW17" s="62"/>
      <c r="SVX17" s="62"/>
      <c r="SVY17" s="62"/>
      <c r="SVZ17" s="62"/>
      <c r="SWA17" s="62"/>
      <c r="SWB17" s="62"/>
      <c r="SWC17" s="62"/>
      <c r="SWD17" s="62"/>
      <c r="SWE17" s="62"/>
      <c r="SWF17" s="62"/>
      <c r="SWG17" s="62"/>
      <c r="SWH17" s="62"/>
      <c r="SWI17" s="62"/>
      <c r="SWJ17" s="62"/>
      <c r="SWK17" s="62"/>
      <c r="SWL17" s="62"/>
      <c r="SWM17" s="62"/>
      <c r="SWN17" s="62"/>
      <c r="SWO17" s="62"/>
      <c r="SWP17" s="62"/>
      <c r="SWQ17" s="62"/>
      <c r="SWR17" s="62"/>
      <c r="SWS17" s="62"/>
      <c r="SWT17" s="62"/>
      <c r="SWU17" s="62"/>
      <c r="SWV17" s="62"/>
      <c r="SWW17" s="62"/>
      <c r="SWX17" s="62"/>
      <c r="SWY17" s="62"/>
      <c r="SWZ17" s="62"/>
      <c r="SXA17" s="62"/>
      <c r="SXB17" s="62"/>
      <c r="SXC17" s="62"/>
      <c r="SXD17" s="62"/>
      <c r="SXE17" s="62"/>
      <c r="SXF17" s="62"/>
      <c r="SXG17" s="62"/>
      <c r="SXH17" s="62"/>
      <c r="SXI17" s="62"/>
      <c r="SXJ17" s="62"/>
      <c r="SXK17" s="62"/>
      <c r="SXL17" s="62"/>
      <c r="SXM17" s="62"/>
      <c r="SXN17" s="62"/>
      <c r="SXO17" s="62"/>
      <c r="SXP17" s="62"/>
      <c r="SXQ17" s="62"/>
      <c r="SXR17" s="62"/>
      <c r="SXS17" s="62"/>
      <c r="SXT17" s="62"/>
      <c r="SXU17" s="62"/>
      <c r="SXV17" s="62"/>
      <c r="SXW17" s="62"/>
      <c r="SXX17" s="62"/>
      <c r="SXY17" s="62"/>
      <c r="SXZ17" s="62"/>
      <c r="SYA17" s="62"/>
      <c r="SYB17" s="62"/>
      <c r="SYC17" s="62"/>
      <c r="SYD17" s="62"/>
      <c r="SYE17" s="62"/>
      <c r="SYF17" s="62"/>
      <c r="SYG17" s="62"/>
      <c r="SYH17" s="62"/>
      <c r="SYI17" s="62"/>
      <c r="SYJ17" s="62"/>
      <c r="SYK17" s="62"/>
      <c r="SYL17" s="62"/>
      <c r="SYM17" s="62"/>
      <c r="SYN17" s="62"/>
      <c r="SYO17" s="62"/>
      <c r="SYP17" s="62"/>
      <c r="SYQ17" s="62"/>
      <c r="SYR17" s="62"/>
      <c r="SYS17" s="62"/>
      <c r="SYT17" s="62"/>
      <c r="SYU17" s="62"/>
      <c r="SYV17" s="62"/>
      <c r="SYW17" s="62"/>
      <c r="SYX17" s="62"/>
      <c r="SYY17" s="62"/>
      <c r="SYZ17" s="62"/>
      <c r="SZA17" s="62"/>
      <c r="SZB17" s="62"/>
      <c r="SZC17" s="62"/>
      <c r="SZD17" s="62"/>
      <c r="SZE17" s="62"/>
      <c r="SZF17" s="62"/>
      <c r="SZG17" s="62"/>
      <c r="SZH17" s="62"/>
      <c r="SZI17" s="62"/>
      <c r="SZJ17" s="62"/>
      <c r="SZK17" s="62"/>
      <c r="SZL17" s="62"/>
      <c r="SZM17" s="62"/>
      <c r="SZN17" s="62"/>
      <c r="SZO17" s="62"/>
      <c r="SZP17" s="62"/>
      <c r="SZQ17" s="62"/>
      <c r="SZR17" s="62"/>
      <c r="SZS17" s="62"/>
      <c r="SZT17" s="62"/>
      <c r="SZU17" s="62"/>
      <c r="SZV17" s="62"/>
      <c r="SZW17" s="62"/>
      <c r="SZX17" s="62"/>
      <c r="SZY17" s="62"/>
      <c r="SZZ17" s="62"/>
      <c r="TAA17" s="62"/>
      <c r="TAB17" s="62"/>
      <c r="TAC17" s="62"/>
      <c r="TAD17" s="62"/>
      <c r="TAE17" s="62"/>
      <c r="TAF17" s="62"/>
      <c r="TAG17" s="62"/>
      <c r="TAH17" s="62"/>
      <c r="TAI17" s="62"/>
      <c r="TAJ17" s="62"/>
      <c r="TAK17" s="62"/>
      <c r="TAL17" s="62"/>
      <c r="TAM17" s="62"/>
      <c r="TAN17" s="62"/>
      <c r="TAO17" s="62"/>
      <c r="TAP17" s="62"/>
      <c r="TAQ17" s="62"/>
      <c r="TAR17" s="62"/>
      <c r="TAS17" s="62"/>
      <c r="TAT17" s="62"/>
      <c r="TAU17" s="62"/>
      <c r="TAV17" s="62"/>
      <c r="TAW17" s="62"/>
      <c r="TAX17" s="62"/>
      <c r="TAY17" s="62"/>
      <c r="TAZ17" s="62"/>
      <c r="TBA17" s="62"/>
      <c r="TBB17" s="62"/>
      <c r="TBC17" s="62"/>
      <c r="TBD17" s="62"/>
      <c r="TBE17" s="62"/>
      <c r="TBF17" s="62"/>
      <c r="TBG17" s="62"/>
      <c r="TBH17" s="62"/>
      <c r="TBI17" s="62"/>
      <c r="TBJ17" s="62"/>
      <c r="TBK17" s="62"/>
      <c r="TBL17" s="62"/>
      <c r="TBM17" s="62"/>
      <c r="TBN17" s="62"/>
      <c r="TBO17" s="62"/>
      <c r="TBP17" s="62"/>
      <c r="TBQ17" s="62"/>
      <c r="TBR17" s="62"/>
      <c r="TBS17" s="62"/>
      <c r="TBT17" s="62"/>
      <c r="TBU17" s="62"/>
      <c r="TBV17" s="62"/>
      <c r="TBW17" s="62"/>
      <c r="TBX17" s="62"/>
      <c r="TBY17" s="62"/>
      <c r="TBZ17" s="62"/>
      <c r="TCA17" s="62"/>
      <c r="TCB17" s="62"/>
      <c r="TCC17" s="62"/>
      <c r="TCD17" s="62"/>
      <c r="TCE17" s="62"/>
      <c r="TCF17" s="62"/>
      <c r="TCG17" s="62"/>
      <c r="TCH17" s="62"/>
      <c r="TCI17" s="62"/>
      <c r="TCJ17" s="62"/>
      <c r="TCK17" s="62"/>
      <c r="TCL17" s="62"/>
      <c r="TCM17" s="62"/>
      <c r="TCN17" s="62"/>
      <c r="TCO17" s="62"/>
      <c r="TCP17" s="62"/>
      <c r="TCQ17" s="62"/>
      <c r="TCR17" s="62"/>
      <c r="TCS17" s="62"/>
      <c r="TCT17" s="62"/>
      <c r="TCU17" s="62"/>
      <c r="TCV17" s="62"/>
      <c r="TCW17" s="62"/>
      <c r="TCX17" s="62"/>
      <c r="TCY17" s="62"/>
      <c r="TCZ17" s="62"/>
      <c r="TDA17" s="62"/>
      <c r="TDB17" s="62"/>
      <c r="TDC17" s="62"/>
      <c r="TDD17" s="62"/>
      <c r="TDE17" s="62"/>
      <c r="TDF17" s="62"/>
      <c r="TDG17" s="62"/>
      <c r="TDH17" s="62"/>
      <c r="TDI17" s="62"/>
      <c r="TDJ17" s="62"/>
      <c r="TDK17" s="62"/>
      <c r="TDL17" s="62"/>
      <c r="TDM17" s="62"/>
      <c r="TDN17" s="62"/>
      <c r="TDO17" s="62"/>
      <c r="TDP17" s="62"/>
      <c r="TDQ17" s="62"/>
      <c r="TDR17" s="62"/>
      <c r="TDS17" s="62"/>
      <c r="TDT17" s="62"/>
      <c r="TDU17" s="62"/>
      <c r="TDV17" s="62"/>
      <c r="TDW17" s="62"/>
      <c r="TDX17" s="62"/>
      <c r="TDY17" s="62"/>
      <c r="TDZ17" s="62"/>
      <c r="TEA17" s="62"/>
      <c r="TEB17" s="62"/>
      <c r="TEC17" s="62"/>
      <c r="TED17" s="62"/>
      <c r="TEE17" s="62"/>
      <c r="TEF17" s="62"/>
      <c r="TEG17" s="62"/>
      <c r="TEH17" s="62"/>
      <c r="TEI17" s="62"/>
      <c r="TEJ17" s="62"/>
      <c r="TEK17" s="62"/>
      <c r="TEL17" s="62"/>
      <c r="TEM17" s="62"/>
      <c r="TEN17" s="62"/>
      <c r="TEO17" s="62"/>
      <c r="TEP17" s="62"/>
      <c r="TEQ17" s="62"/>
      <c r="TER17" s="62"/>
      <c r="TES17" s="62"/>
      <c r="TET17" s="62"/>
      <c r="TEU17" s="62"/>
      <c r="TEV17" s="62"/>
      <c r="TEW17" s="62"/>
      <c r="TEX17" s="62"/>
      <c r="TEY17" s="62"/>
      <c r="TEZ17" s="62"/>
      <c r="TFA17" s="62"/>
      <c r="TFB17" s="62"/>
      <c r="TFC17" s="62"/>
      <c r="TFD17" s="62"/>
      <c r="TFE17" s="62"/>
      <c r="TFF17" s="62"/>
      <c r="TFG17" s="62"/>
      <c r="TFH17" s="62"/>
      <c r="TFI17" s="62"/>
      <c r="TFJ17" s="62"/>
      <c r="TFK17" s="62"/>
      <c r="TFL17" s="62"/>
      <c r="TFM17" s="62"/>
      <c r="TFN17" s="62"/>
      <c r="TFO17" s="62"/>
      <c r="TFP17" s="62"/>
      <c r="TFQ17" s="62"/>
      <c r="TFR17" s="62"/>
      <c r="TFS17" s="62"/>
      <c r="TFT17" s="62"/>
      <c r="TFU17" s="62"/>
      <c r="TFV17" s="62"/>
      <c r="TFW17" s="62"/>
      <c r="TFX17" s="62"/>
      <c r="TFY17" s="62"/>
      <c r="TFZ17" s="62"/>
      <c r="TGA17" s="62"/>
      <c r="TGB17" s="62"/>
      <c r="TGC17" s="62"/>
      <c r="TGD17" s="62"/>
      <c r="TGE17" s="62"/>
      <c r="TGF17" s="62"/>
      <c r="TGG17" s="62"/>
      <c r="TGH17" s="62"/>
      <c r="TGI17" s="62"/>
      <c r="TGJ17" s="62"/>
      <c r="TGK17" s="62"/>
      <c r="TGL17" s="62"/>
      <c r="TGM17" s="62"/>
      <c r="TGN17" s="62"/>
      <c r="TGO17" s="62"/>
      <c r="TGP17" s="62"/>
      <c r="TGQ17" s="62"/>
      <c r="TGR17" s="62"/>
      <c r="TGS17" s="62"/>
      <c r="TGT17" s="62"/>
      <c r="TGU17" s="62"/>
      <c r="TGV17" s="62"/>
      <c r="TGW17" s="62"/>
      <c r="TGX17" s="62"/>
      <c r="TGY17" s="62"/>
      <c r="TGZ17" s="62"/>
      <c r="THA17" s="62"/>
      <c r="THB17" s="62"/>
      <c r="THC17" s="62"/>
      <c r="THD17" s="62"/>
      <c r="THE17" s="62"/>
      <c r="THF17" s="62"/>
      <c r="THG17" s="62"/>
      <c r="THH17" s="62"/>
      <c r="THI17" s="62"/>
      <c r="THJ17" s="62"/>
      <c r="THK17" s="62"/>
      <c r="THL17" s="62"/>
      <c r="THM17" s="62"/>
      <c r="THN17" s="62"/>
      <c r="THO17" s="62"/>
      <c r="THP17" s="62"/>
      <c r="THQ17" s="62"/>
      <c r="THR17" s="62"/>
      <c r="THS17" s="62"/>
      <c r="THT17" s="62"/>
      <c r="THU17" s="62"/>
      <c r="THV17" s="62"/>
      <c r="THW17" s="62"/>
      <c r="THX17" s="62"/>
      <c r="THY17" s="62"/>
      <c r="THZ17" s="62"/>
      <c r="TIA17" s="62"/>
      <c r="TIB17" s="62"/>
      <c r="TIC17" s="62"/>
      <c r="TID17" s="62"/>
      <c r="TIE17" s="62"/>
      <c r="TIF17" s="62"/>
      <c r="TIG17" s="62"/>
      <c r="TIH17" s="62"/>
      <c r="TII17" s="62"/>
      <c r="TIJ17" s="62"/>
      <c r="TIK17" s="62"/>
      <c r="TIL17" s="62"/>
      <c r="TIM17" s="62"/>
      <c r="TIN17" s="62"/>
      <c r="TIO17" s="62"/>
      <c r="TIP17" s="62"/>
      <c r="TIQ17" s="62"/>
      <c r="TIR17" s="62"/>
      <c r="TIS17" s="62"/>
      <c r="TIT17" s="62"/>
      <c r="TIU17" s="62"/>
      <c r="TIV17" s="62"/>
      <c r="TIW17" s="62"/>
      <c r="TIX17" s="62"/>
      <c r="TIY17" s="62"/>
      <c r="TIZ17" s="62"/>
      <c r="TJA17" s="62"/>
      <c r="TJB17" s="62"/>
      <c r="TJC17" s="62"/>
      <c r="TJD17" s="62"/>
      <c r="TJE17" s="62"/>
      <c r="TJF17" s="62"/>
      <c r="TJG17" s="62"/>
      <c r="TJH17" s="62"/>
      <c r="TJI17" s="62"/>
      <c r="TJJ17" s="62"/>
      <c r="TJK17" s="62"/>
      <c r="TJL17" s="62"/>
      <c r="TJM17" s="62"/>
      <c r="TJN17" s="62"/>
      <c r="TJO17" s="62"/>
      <c r="TJP17" s="62"/>
      <c r="TJQ17" s="62"/>
      <c r="TJR17" s="62"/>
      <c r="TJS17" s="62"/>
      <c r="TJT17" s="62"/>
      <c r="TJU17" s="62"/>
      <c r="TJV17" s="62"/>
      <c r="TJW17" s="62"/>
      <c r="TJX17" s="62"/>
      <c r="TJY17" s="62"/>
      <c r="TJZ17" s="62"/>
      <c r="TKA17" s="62"/>
      <c r="TKB17" s="62"/>
      <c r="TKC17" s="62"/>
      <c r="TKD17" s="62"/>
      <c r="TKE17" s="62"/>
      <c r="TKF17" s="62"/>
      <c r="TKG17" s="62"/>
      <c r="TKH17" s="62"/>
      <c r="TKI17" s="62"/>
      <c r="TKJ17" s="62"/>
      <c r="TKK17" s="62"/>
      <c r="TKL17" s="62"/>
      <c r="TKM17" s="62"/>
      <c r="TKN17" s="62"/>
      <c r="TKO17" s="62"/>
      <c r="TKP17" s="62"/>
      <c r="TKQ17" s="62"/>
      <c r="TKR17" s="62"/>
      <c r="TKS17" s="62"/>
      <c r="TKT17" s="62"/>
      <c r="TKU17" s="62"/>
      <c r="TKV17" s="62"/>
      <c r="TKW17" s="62"/>
      <c r="TKX17" s="62"/>
      <c r="TKY17" s="62"/>
      <c r="TKZ17" s="62"/>
      <c r="TLA17" s="62"/>
      <c r="TLB17" s="62"/>
      <c r="TLC17" s="62"/>
      <c r="TLD17" s="62"/>
      <c r="TLE17" s="62"/>
      <c r="TLF17" s="62"/>
      <c r="TLG17" s="62"/>
      <c r="TLH17" s="62"/>
      <c r="TLI17" s="62"/>
      <c r="TLJ17" s="62"/>
      <c r="TLK17" s="62"/>
      <c r="TLL17" s="62"/>
      <c r="TLM17" s="62"/>
      <c r="TLN17" s="62"/>
      <c r="TLO17" s="62"/>
      <c r="TLP17" s="62"/>
      <c r="TLQ17" s="62"/>
      <c r="TLR17" s="62"/>
      <c r="TLS17" s="62"/>
      <c r="TLT17" s="62"/>
      <c r="TLU17" s="62"/>
      <c r="TLV17" s="62"/>
      <c r="TLW17" s="62"/>
      <c r="TLX17" s="62"/>
      <c r="TLY17" s="62"/>
      <c r="TLZ17" s="62"/>
      <c r="TMA17" s="62"/>
      <c r="TMB17" s="62"/>
      <c r="TMC17" s="62"/>
      <c r="TMD17" s="62"/>
      <c r="TME17" s="62"/>
      <c r="TMF17" s="62"/>
      <c r="TMG17" s="62"/>
      <c r="TMH17" s="62"/>
      <c r="TMI17" s="62"/>
      <c r="TMJ17" s="62"/>
      <c r="TMK17" s="62"/>
      <c r="TML17" s="62"/>
      <c r="TMM17" s="62"/>
      <c r="TMN17" s="62"/>
      <c r="TMO17" s="62"/>
      <c r="TMP17" s="62"/>
      <c r="TMQ17" s="62"/>
      <c r="TMR17" s="62"/>
      <c r="TMS17" s="62"/>
      <c r="TMT17" s="62"/>
      <c r="TMU17" s="62"/>
      <c r="TMV17" s="62"/>
      <c r="TMW17" s="62"/>
      <c r="TMX17" s="62"/>
      <c r="TMY17" s="62"/>
      <c r="TMZ17" s="62"/>
      <c r="TNA17" s="62"/>
      <c r="TNB17" s="62"/>
      <c r="TNC17" s="62"/>
      <c r="TND17" s="62"/>
      <c r="TNE17" s="62"/>
      <c r="TNF17" s="62"/>
      <c r="TNG17" s="62"/>
      <c r="TNH17" s="62"/>
      <c r="TNI17" s="62"/>
      <c r="TNJ17" s="62"/>
      <c r="TNK17" s="62"/>
      <c r="TNL17" s="62"/>
      <c r="TNM17" s="62"/>
      <c r="TNN17" s="62"/>
      <c r="TNO17" s="62"/>
      <c r="TNP17" s="62"/>
      <c r="TNQ17" s="62"/>
      <c r="TNR17" s="62"/>
      <c r="TNS17" s="62"/>
      <c r="TNT17" s="62"/>
      <c r="TNU17" s="62"/>
      <c r="TNV17" s="62"/>
      <c r="TNW17" s="62"/>
      <c r="TNX17" s="62"/>
      <c r="TNY17" s="62"/>
      <c r="TNZ17" s="62"/>
      <c r="TOA17" s="62"/>
      <c r="TOB17" s="62"/>
      <c r="TOC17" s="62"/>
      <c r="TOD17" s="62"/>
      <c r="TOE17" s="62"/>
      <c r="TOF17" s="62"/>
      <c r="TOG17" s="62"/>
      <c r="TOH17" s="62"/>
      <c r="TOI17" s="62"/>
      <c r="TOJ17" s="62"/>
      <c r="TOK17" s="62"/>
      <c r="TOL17" s="62"/>
      <c r="TOM17" s="62"/>
      <c r="TON17" s="62"/>
      <c r="TOO17" s="62"/>
      <c r="TOP17" s="62"/>
      <c r="TOQ17" s="62"/>
      <c r="TOR17" s="62"/>
      <c r="TOS17" s="62"/>
      <c r="TOT17" s="62"/>
      <c r="TOU17" s="62"/>
      <c r="TOV17" s="62"/>
      <c r="TOW17" s="62"/>
      <c r="TOX17" s="62"/>
      <c r="TOY17" s="62"/>
      <c r="TOZ17" s="62"/>
      <c r="TPA17" s="62"/>
      <c r="TPB17" s="62"/>
      <c r="TPC17" s="62"/>
      <c r="TPD17" s="62"/>
      <c r="TPE17" s="62"/>
      <c r="TPF17" s="62"/>
      <c r="TPG17" s="62"/>
      <c r="TPH17" s="62"/>
      <c r="TPI17" s="62"/>
      <c r="TPJ17" s="62"/>
      <c r="TPK17" s="62"/>
      <c r="TPL17" s="62"/>
      <c r="TPM17" s="62"/>
      <c r="TPN17" s="62"/>
      <c r="TPO17" s="62"/>
      <c r="TPP17" s="62"/>
      <c r="TPQ17" s="62"/>
      <c r="TPR17" s="62"/>
      <c r="TPS17" s="62"/>
      <c r="TPT17" s="62"/>
      <c r="TPU17" s="62"/>
      <c r="TPV17" s="62"/>
      <c r="TPW17" s="62"/>
      <c r="TPX17" s="62"/>
      <c r="TPY17" s="62"/>
      <c r="TPZ17" s="62"/>
      <c r="TQA17" s="62"/>
      <c r="TQB17" s="62"/>
      <c r="TQC17" s="62"/>
      <c r="TQD17" s="62"/>
      <c r="TQE17" s="62"/>
      <c r="TQF17" s="62"/>
      <c r="TQG17" s="62"/>
      <c r="TQH17" s="62"/>
      <c r="TQI17" s="62"/>
      <c r="TQJ17" s="62"/>
      <c r="TQK17" s="62"/>
      <c r="TQL17" s="62"/>
      <c r="TQM17" s="62"/>
      <c r="TQN17" s="62"/>
      <c r="TQO17" s="62"/>
      <c r="TQP17" s="62"/>
      <c r="TQQ17" s="62"/>
      <c r="TQR17" s="62"/>
      <c r="TQS17" s="62"/>
      <c r="TQT17" s="62"/>
      <c r="TQU17" s="62"/>
      <c r="TQV17" s="62"/>
      <c r="TQW17" s="62"/>
      <c r="TQX17" s="62"/>
      <c r="TQY17" s="62"/>
      <c r="TQZ17" s="62"/>
      <c r="TRA17" s="62"/>
      <c r="TRB17" s="62"/>
      <c r="TRC17" s="62"/>
      <c r="TRD17" s="62"/>
      <c r="TRE17" s="62"/>
      <c r="TRF17" s="62"/>
      <c r="TRG17" s="62"/>
      <c r="TRH17" s="62"/>
      <c r="TRI17" s="62"/>
      <c r="TRJ17" s="62"/>
      <c r="TRK17" s="62"/>
      <c r="TRL17" s="62"/>
      <c r="TRM17" s="62"/>
      <c r="TRN17" s="62"/>
      <c r="TRO17" s="62"/>
      <c r="TRP17" s="62"/>
      <c r="TRQ17" s="62"/>
      <c r="TRR17" s="62"/>
      <c r="TRS17" s="62"/>
      <c r="TRT17" s="62"/>
      <c r="TRU17" s="62"/>
      <c r="TRV17" s="62"/>
      <c r="TRW17" s="62"/>
      <c r="TRX17" s="62"/>
      <c r="TRY17" s="62"/>
      <c r="TRZ17" s="62"/>
      <c r="TSA17" s="62"/>
      <c r="TSB17" s="62"/>
      <c r="TSC17" s="62"/>
      <c r="TSD17" s="62"/>
      <c r="TSE17" s="62"/>
      <c r="TSF17" s="62"/>
      <c r="TSG17" s="62"/>
      <c r="TSH17" s="62"/>
      <c r="TSI17" s="62"/>
      <c r="TSJ17" s="62"/>
      <c r="TSK17" s="62"/>
      <c r="TSL17" s="62"/>
      <c r="TSM17" s="62"/>
      <c r="TSN17" s="62"/>
      <c r="TSO17" s="62"/>
      <c r="TSP17" s="62"/>
      <c r="TSQ17" s="62"/>
      <c r="TSR17" s="62"/>
      <c r="TSS17" s="62"/>
      <c r="TST17" s="62"/>
      <c r="TSU17" s="62"/>
      <c r="TSV17" s="62"/>
      <c r="TSW17" s="62"/>
      <c r="TSX17" s="62"/>
      <c r="TSY17" s="62"/>
      <c r="TSZ17" s="62"/>
      <c r="TTA17" s="62"/>
      <c r="TTB17" s="62"/>
      <c r="TTC17" s="62"/>
      <c r="TTD17" s="62"/>
      <c r="TTE17" s="62"/>
      <c r="TTF17" s="62"/>
      <c r="TTG17" s="62"/>
      <c r="TTH17" s="62"/>
      <c r="TTI17" s="62"/>
      <c r="TTJ17" s="62"/>
      <c r="TTK17" s="62"/>
      <c r="TTL17" s="62"/>
      <c r="TTM17" s="62"/>
      <c r="TTN17" s="62"/>
      <c r="TTO17" s="62"/>
      <c r="TTP17" s="62"/>
      <c r="TTQ17" s="62"/>
      <c r="TTR17" s="62"/>
      <c r="TTS17" s="62"/>
      <c r="TTT17" s="62"/>
      <c r="TTU17" s="62"/>
      <c r="TTV17" s="62"/>
      <c r="TTW17" s="62"/>
      <c r="TTX17" s="62"/>
      <c r="TTY17" s="62"/>
      <c r="TTZ17" s="62"/>
      <c r="TUA17" s="62"/>
      <c r="TUB17" s="62"/>
      <c r="TUC17" s="62"/>
      <c r="TUD17" s="62"/>
      <c r="TUE17" s="62"/>
      <c r="TUF17" s="62"/>
      <c r="TUG17" s="62"/>
      <c r="TUH17" s="62"/>
      <c r="TUI17" s="62"/>
      <c r="TUJ17" s="62"/>
      <c r="TUK17" s="62"/>
      <c r="TUL17" s="62"/>
      <c r="TUM17" s="62"/>
      <c r="TUN17" s="62"/>
      <c r="TUO17" s="62"/>
      <c r="TUP17" s="62"/>
      <c r="TUQ17" s="62"/>
      <c r="TUR17" s="62"/>
      <c r="TUS17" s="62"/>
      <c r="TUT17" s="62"/>
      <c r="TUU17" s="62"/>
      <c r="TUV17" s="62"/>
      <c r="TUW17" s="62"/>
      <c r="TUX17" s="62"/>
      <c r="TUY17" s="62"/>
      <c r="TUZ17" s="62"/>
      <c r="TVA17" s="62"/>
      <c r="TVB17" s="62"/>
      <c r="TVC17" s="62"/>
      <c r="TVD17" s="62"/>
      <c r="TVE17" s="62"/>
      <c r="TVF17" s="62"/>
      <c r="TVG17" s="62"/>
      <c r="TVH17" s="62"/>
      <c r="TVI17" s="62"/>
      <c r="TVJ17" s="62"/>
      <c r="TVK17" s="62"/>
      <c r="TVL17" s="62"/>
      <c r="TVM17" s="62"/>
      <c r="TVN17" s="62"/>
      <c r="TVO17" s="62"/>
      <c r="TVP17" s="62"/>
      <c r="TVQ17" s="62"/>
      <c r="TVR17" s="62"/>
      <c r="TVS17" s="62"/>
      <c r="TVT17" s="62"/>
      <c r="TVU17" s="62"/>
      <c r="TVV17" s="62"/>
      <c r="TVW17" s="62"/>
      <c r="TVX17" s="62"/>
      <c r="TVY17" s="62"/>
      <c r="TVZ17" s="62"/>
      <c r="TWA17" s="62"/>
      <c r="TWB17" s="62"/>
      <c r="TWC17" s="62"/>
      <c r="TWD17" s="62"/>
      <c r="TWE17" s="62"/>
      <c r="TWF17" s="62"/>
      <c r="TWG17" s="62"/>
      <c r="TWH17" s="62"/>
      <c r="TWI17" s="62"/>
      <c r="TWJ17" s="62"/>
      <c r="TWK17" s="62"/>
      <c r="TWL17" s="62"/>
      <c r="TWM17" s="62"/>
      <c r="TWN17" s="62"/>
      <c r="TWO17" s="62"/>
      <c r="TWP17" s="62"/>
      <c r="TWQ17" s="62"/>
      <c r="TWR17" s="62"/>
      <c r="TWS17" s="62"/>
      <c r="TWT17" s="62"/>
      <c r="TWU17" s="62"/>
      <c r="TWV17" s="62"/>
      <c r="TWW17" s="62"/>
      <c r="TWX17" s="62"/>
      <c r="TWY17" s="62"/>
      <c r="TWZ17" s="62"/>
      <c r="TXA17" s="62"/>
      <c r="TXB17" s="62"/>
      <c r="TXC17" s="62"/>
      <c r="TXD17" s="62"/>
      <c r="TXE17" s="62"/>
      <c r="TXF17" s="62"/>
      <c r="TXG17" s="62"/>
      <c r="TXH17" s="62"/>
      <c r="TXI17" s="62"/>
      <c r="TXJ17" s="62"/>
      <c r="TXK17" s="62"/>
      <c r="TXL17" s="62"/>
      <c r="TXM17" s="62"/>
      <c r="TXN17" s="62"/>
      <c r="TXO17" s="62"/>
      <c r="TXP17" s="62"/>
      <c r="TXQ17" s="62"/>
      <c r="TXR17" s="62"/>
      <c r="TXS17" s="62"/>
      <c r="TXT17" s="62"/>
      <c r="TXU17" s="62"/>
      <c r="TXV17" s="62"/>
      <c r="TXW17" s="62"/>
      <c r="TXX17" s="62"/>
      <c r="TXY17" s="62"/>
      <c r="TXZ17" s="62"/>
      <c r="TYA17" s="62"/>
      <c r="TYB17" s="62"/>
      <c r="TYC17" s="62"/>
      <c r="TYD17" s="62"/>
      <c r="TYE17" s="62"/>
      <c r="TYF17" s="62"/>
      <c r="TYG17" s="62"/>
      <c r="TYH17" s="62"/>
      <c r="TYI17" s="62"/>
      <c r="TYJ17" s="62"/>
      <c r="TYK17" s="62"/>
      <c r="TYL17" s="62"/>
      <c r="TYM17" s="62"/>
      <c r="TYN17" s="62"/>
      <c r="TYO17" s="62"/>
      <c r="TYP17" s="62"/>
      <c r="TYQ17" s="62"/>
      <c r="TYR17" s="62"/>
      <c r="TYS17" s="62"/>
      <c r="TYT17" s="62"/>
      <c r="TYU17" s="62"/>
      <c r="TYV17" s="62"/>
      <c r="TYW17" s="62"/>
      <c r="TYX17" s="62"/>
      <c r="TYY17" s="62"/>
      <c r="TYZ17" s="62"/>
      <c r="TZA17" s="62"/>
      <c r="TZB17" s="62"/>
      <c r="TZC17" s="62"/>
      <c r="TZD17" s="62"/>
      <c r="TZE17" s="62"/>
      <c r="TZF17" s="62"/>
      <c r="TZG17" s="62"/>
      <c r="TZH17" s="62"/>
      <c r="TZI17" s="62"/>
      <c r="TZJ17" s="62"/>
      <c r="TZK17" s="62"/>
      <c r="TZL17" s="62"/>
      <c r="TZM17" s="62"/>
      <c r="TZN17" s="62"/>
      <c r="TZO17" s="62"/>
      <c r="TZP17" s="62"/>
      <c r="TZQ17" s="62"/>
      <c r="TZR17" s="62"/>
      <c r="TZS17" s="62"/>
      <c r="TZT17" s="62"/>
      <c r="TZU17" s="62"/>
      <c r="TZV17" s="62"/>
      <c r="TZW17" s="62"/>
      <c r="TZX17" s="62"/>
      <c r="TZY17" s="62"/>
      <c r="TZZ17" s="62"/>
      <c r="UAA17" s="62"/>
      <c r="UAB17" s="62"/>
      <c r="UAC17" s="62"/>
      <c r="UAD17" s="62"/>
      <c r="UAE17" s="62"/>
      <c r="UAF17" s="62"/>
      <c r="UAG17" s="62"/>
      <c r="UAH17" s="62"/>
      <c r="UAI17" s="62"/>
      <c r="UAJ17" s="62"/>
      <c r="UAK17" s="62"/>
      <c r="UAL17" s="62"/>
      <c r="UAM17" s="62"/>
      <c r="UAN17" s="62"/>
      <c r="UAO17" s="62"/>
      <c r="UAP17" s="62"/>
      <c r="UAQ17" s="62"/>
      <c r="UAR17" s="62"/>
      <c r="UAS17" s="62"/>
      <c r="UAT17" s="62"/>
      <c r="UAU17" s="62"/>
      <c r="UAV17" s="62"/>
      <c r="UAW17" s="62"/>
      <c r="UAX17" s="62"/>
      <c r="UAY17" s="62"/>
      <c r="UAZ17" s="62"/>
      <c r="UBA17" s="62"/>
      <c r="UBB17" s="62"/>
      <c r="UBC17" s="62"/>
      <c r="UBD17" s="62"/>
      <c r="UBE17" s="62"/>
      <c r="UBF17" s="62"/>
      <c r="UBG17" s="62"/>
      <c r="UBH17" s="62"/>
      <c r="UBI17" s="62"/>
      <c r="UBJ17" s="62"/>
      <c r="UBK17" s="62"/>
      <c r="UBL17" s="62"/>
      <c r="UBM17" s="62"/>
      <c r="UBN17" s="62"/>
      <c r="UBO17" s="62"/>
      <c r="UBP17" s="62"/>
      <c r="UBQ17" s="62"/>
      <c r="UBR17" s="62"/>
      <c r="UBS17" s="62"/>
      <c r="UBT17" s="62"/>
      <c r="UBU17" s="62"/>
      <c r="UBV17" s="62"/>
      <c r="UBW17" s="62"/>
      <c r="UBX17" s="62"/>
      <c r="UBY17" s="62"/>
      <c r="UBZ17" s="62"/>
      <c r="UCA17" s="62"/>
      <c r="UCB17" s="62"/>
      <c r="UCC17" s="62"/>
      <c r="UCD17" s="62"/>
      <c r="UCE17" s="62"/>
      <c r="UCF17" s="62"/>
      <c r="UCG17" s="62"/>
      <c r="UCH17" s="62"/>
      <c r="UCI17" s="62"/>
      <c r="UCJ17" s="62"/>
      <c r="UCK17" s="62"/>
      <c r="UCL17" s="62"/>
      <c r="UCM17" s="62"/>
      <c r="UCN17" s="62"/>
      <c r="UCO17" s="62"/>
      <c r="UCP17" s="62"/>
      <c r="UCQ17" s="62"/>
      <c r="UCR17" s="62"/>
      <c r="UCS17" s="62"/>
      <c r="UCT17" s="62"/>
      <c r="UCU17" s="62"/>
      <c r="UCV17" s="62"/>
      <c r="UCW17" s="62"/>
      <c r="UCX17" s="62"/>
      <c r="UCY17" s="62"/>
      <c r="UCZ17" s="62"/>
      <c r="UDA17" s="62"/>
      <c r="UDB17" s="62"/>
      <c r="UDC17" s="62"/>
      <c r="UDD17" s="62"/>
      <c r="UDE17" s="62"/>
      <c r="UDF17" s="62"/>
      <c r="UDG17" s="62"/>
      <c r="UDH17" s="62"/>
      <c r="UDI17" s="62"/>
      <c r="UDJ17" s="62"/>
      <c r="UDK17" s="62"/>
      <c r="UDL17" s="62"/>
      <c r="UDM17" s="62"/>
      <c r="UDN17" s="62"/>
      <c r="UDO17" s="62"/>
      <c r="UDP17" s="62"/>
      <c r="UDQ17" s="62"/>
      <c r="UDR17" s="62"/>
      <c r="UDS17" s="62"/>
      <c r="UDT17" s="62"/>
      <c r="UDU17" s="62"/>
      <c r="UDV17" s="62"/>
      <c r="UDW17" s="62"/>
      <c r="UDX17" s="62"/>
      <c r="UDY17" s="62"/>
      <c r="UDZ17" s="62"/>
      <c r="UEA17" s="62"/>
      <c r="UEB17" s="62"/>
      <c r="UEC17" s="62"/>
      <c r="UED17" s="62"/>
      <c r="UEE17" s="62"/>
      <c r="UEF17" s="62"/>
      <c r="UEG17" s="62"/>
      <c r="UEH17" s="62"/>
      <c r="UEI17" s="62"/>
      <c r="UEJ17" s="62"/>
      <c r="UEK17" s="62"/>
      <c r="UEL17" s="62"/>
      <c r="UEM17" s="62"/>
      <c r="UEN17" s="62"/>
      <c r="UEO17" s="62"/>
      <c r="UEP17" s="62"/>
      <c r="UEQ17" s="62"/>
      <c r="UER17" s="62"/>
      <c r="UES17" s="62"/>
      <c r="UET17" s="62"/>
      <c r="UEU17" s="62"/>
      <c r="UEV17" s="62"/>
      <c r="UEW17" s="62"/>
      <c r="UEX17" s="62"/>
      <c r="UEY17" s="62"/>
      <c r="UEZ17" s="62"/>
      <c r="UFA17" s="62"/>
      <c r="UFB17" s="62"/>
      <c r="UFC17" s="62"/>
      <c r="UFD17" s="62"/>
      <c r="UFE17" s="62"/>
      <c r="UFF17" s="62"/>
      <c r="UFG17" s="62"/>
      <c r="UFH17" s="62"/>
      <c r="UFI17" s="62"/>
      <c r="UFJ17" s="62"/>
      <c r="UFK17" s="62"/>
      <c r="UFL17" s="62"/>
      <c r="UFM17" s="62"/>
      <c r="UFN17" s="62"/>
      <c r="UFO17" s="62"/>
      <c r="UFP17" s="62"/>
      <c r="UFQ17" s="62"/>
      <c r="UFR17" s="62"/>
      <c r="UFS17" s="62"/>
      <c r="UFT17" s="62"/>
      <c r="UFU17" s="62"/>
      <c r="UFV17" s="62"/>
      <c r="UFW17" s="62"/>
      <c r="UFX17" s="62"/>
      <c r="UFY17" s="62"/>
      <c r="UFZ17" s="62"/>
      <c r="UGA17" s="62"/>
      <c r="UGB17" s="62"/>
      <c r="UGC17" s="62"/>
      <c r="UGD17" s="62"/>
      <c r="UGE17" s="62"/>
      <c r="UGF17" s="62"/>
      <c r="UGG17" s="62"/>
      <c r="UGH17" s="62"/>
      <c r="UGI17" s="62"/>
      <c r="UGJ17" s="62"/>
      <c r="UGK17" s="62"/>
      <c r="UGL17" s="62"/>
      <c r="UGM17" s="62"/>
      <c r="UGN17" s="62"/>
      <c r="UGO17" s="62"/>
      <c r="UGP17" s="62"/>
      <c r="UGQ17" s="62"/>
      <c r="UGR17" s="62"/>
      <c r="UGS17" s="62"/>
      <c r="UGT17" s="62"/>
      <c r="UGU17" s="62"/>
      <c r="UGV17" s="62"/>
      <c r="UGW17" s="62"/>
      <c r="UGX17" s="62"/>
      <c r="UGY17" s="62"/>
      <c r="UGZ17" s="62"/>
      <c r="UHA17" s="62"/>
      <c r="UHB17" s="62"/>
      <c r="UHC17" s="62"/>
      <c r="UHD17" s="62"/>
      <c r="UHE17" s="62"/>
      <c r="UHF17" s="62"/>
      <c r="UHG17" s="62"/>
      <c r="UHH17" s="62"/>
      <c r="UHI17" s="62"/>
      <c r="UHJ17" s="62"/>
      <c r="UHK17" s="62"/>
      <c r="UHL17" s="62"/>
      <c r="UHM17" s="62"/>
      <c r="UHN17" s="62"/>
      <c r="UHO17" s="62"/>
      <c r="UHP17" s="62"/>
      <c r="UHQ17" s="62"/>
      <c r="UHR17" s="62"/>
      <c r="UHS17" s="62"/>
      <c r="UHT17" s="62"/>
      <c r="UHU17" s="62"/>
      <c r="UHV17" s="62"/>
      <c r="UHW17" s="62"/>
      <c r="UHX17" s="62"/>
      <c r="UHY17" s="62"/>
      <c r="UHZ17" s="62"/>
      <c r="UIA17" s="62"/>
      <c r="UIB17" s="62"/>
      <c r="UIC17" s="62"/>
      <c r="UID17" s="62"/>
      <c r="UIE17" s="62"/>
      <c r="UIF17" s="62"/>
      <c r="UIG17" s="62"/>
      <c r="UIH17" s="62"/>
      <c r="UII17" s="62"/>
      <c r="UIJ17" s="62"/>
      <c r="UIK17" s="62"/>
      <c r="UIL17" s="62"/>
      <c r="UIM17" s="62"/>
      <c r="UIN17" s="62"/>
      <c r="UIO17" s="62"/>
      <c r="UIP17" s="62"/>
      <c r="UIQ17" s="62"/>
      <c r="UIR17" s="62"/>
      <c r="UIS17" s="62"/>
      <c r="UIT17" s="62"/>
      <c r="UIU17" s="62"/>
      <c r="UIV17" s="62"/>
      <c r="UIW17" s="62"/>
      <c r="UIX17" s="62"/>
      <c r="UIY17" s="62"/>
      <c r="UIZ17" s="62"/>
      <c r="UJA17" s="62"/>
      <c r="UJB17" s="62"/>
      <c r="UJC17" s="62"/>
      <c r="UJD17" s="62"/>
      <c r="UJE17" s="62"/>
      <c r="UJF17" s="62"/>
      <c r="UJG17" s="62"/>
      <c r="UJH17" s="62"/>
      <c r="UJI17" s="62"/>
      <c r="UJJ17" s="62"/>
      <c r="UJK17" s="62"/>
      <c r="UJL17" s="62"/>
      <c r="UJM17" s="62"/>
      <c r="UJN17" s="62"/>
      <c r="UJO17" s="62"/>
      <c r="UJP17" s="62"/>
      <c r="UJQ17" s="62"/>
      <c r="UJR17" s="62"/>
      <c r="UJS17" s="62"/>
      <c r="UJT17" s="62"/>
      <c r="UJU17" s="62"/>
      <c r="UJV17" s="62"/>
      <c r="UJW17" s="62"/>
      <c r="UJX17" s="62"/>
      <c r="UJY17" s="62"/>
      <c r="UJZ17" s="62"/>
      <c r="UKA17" s="62"/>
      <c r="UKB17" s="62"/>
      <c r="UKC17" s="62"/>
      <c r="UKD17" s="62"/>
      <c r="UKE17" s="62"/>
      <c r="UKF17" s="62"/>
      <c r="UKG17" s="62"/>
      <c r="UKH17" s="62"/>
      <c r="UKI17" s="62"/>
      <c r="UKJ17" s="62"/>
      <c r="UKK17" s="62"/>
      <c r="UKL17" s="62"/>
      <c r="UKM17" s="62"/>
      <c r="UKN17" s="62"/>
      <c r="UKO17" s="62"/>
      <c r="UKP17" s="62"/>
      <c r="UKQ17" s="62"/>
      <c r="UKR17" s="62"/>
      <c r="UKS17" s="62"/>
      <c r="UKT17" s="62"/>
      <c r="UKU17" s="62"/>
      <c r="UKV17" s="62"/>
      <c r="UKW17" s="62"/>
      <c r="UKX17" s="62"/>
      <c r="UKY17" s="62"/>
      <c r="UKZ17" s="62"/>
      <c r="ULA17" s="62"/>
      <c r="ULB17" s="62"/>
      <c r="ULC17" s="62"/>
      <c r="ULD17" s="62"/>
      <c r="ULE17" s="62"/>
      <c r="ULF17" s="62"/>
      <c r="ULG17" s="62"/>
      <c r="ULH17" s="62"/>
      <c r="ULI17" s="62"/>
      <c r="ULJ17" s="62"/>
      <c r="ULK17" s="62"/>
      <c r="ULL17" s="62"/>
      <c r="ULM17" s="62"/>
      <c r="ULN17" s="62"/>
      <c r="ULO17" s="62"/>
      <c r="ULP17" s="62"/>
      <c r="ULQ17" s="62"/>
      <c r="ULR17" s="62"/>
      <c r="ULS17" s="62"/>
      <c r="ULT17" s="62"/>
      <c r="ULU17" s="62"/>
      <c r="ULV17" s="62"/>
      <c r="ULW17" s="62"/>
      <c r="ULX17" s="62"/>
      <c r="ULY17" s="62"/>
      <c r="ULZ17" s="62"/>
      <c r="UMA17" s="62"/>
      <c r="UMB17" s="62"/>
      <c r="UMC17" s="62"/>
      <c r="UMD17" s="62"/>
      <c r="UME17" s="62"/>
      <c r="UMF17" s="62"/>
      <c r="UMG17" s="62"/>
      <c r="UMH17" s="62"/>
      <c r="UMI17" s="62"/>
      <c r="UMJ17" s="62"/>
      <c r="UMK17" s="62"/>
      <c r="UML17" s="62"/>
      <c r="UMM17" s="62"/>
      <c r="UMN17" s="62"/>
      <c r="UMO17" s="62"/>
      <c r="UMP17" s="62"/>
      <c r="UMQ17" s="62"/>
      <c r="UMR17" s="62"/>
      <c r="UMS17" s="62"/>
      <c r="UMT17" s="62"/>
      <c r="UMU17" s="62"/>
      <c r="UMV17" s="62"/>
      <c r="UMW17" s="62"/>
      <c r="UMX17" s="62"/>
      <c r="UMY17" s="62"/>
      <c r="UMZ17" s="62"/>
      <c r="UNA17" s="62"/>
      <c r="UNB17" s="62"/>
      <c r="UNC17" s="62"/>
      <c r="UND17" s="62"/>
      <c r="UNE17" s="62"/>
      <c r="UNF17" s="62"/>
      <c r="UNG17" s="62"/>
      <c r="UNH17" s="62"/>
      <c r="UNI17" s="62"/>
      <c r="UNJ17" s="62"/>
      <c r="UNK17" s="62"/>
      <c r="UNL17" s="62"/>
      <c r="UNM17" s="62"/>
      <c r="UNN17" s="62"/>
      <c r="UNO17" s="62"/>
      <c r="UNP17" s="62"/>
      <c r="UNQ17" s="62"/>
      <c r="UNR17" s="62"/>
      <c r="UNS17" s="62"/>
      <c r="UNT17" s="62"/>
      <c r="UNU17" s="62"/>
      <c r="UNV17" s="62"/>
      <c r="UNW17" s="62"/>
      <c r="UNX17" s="62"/>
      <c r="UNY17" s="62"/>
      <c r="UNZ17" s="62"/>
      <c r="UOA17" s="62"/>
      <c r="UOB17" s="62"/>
      <c r="UOC17" s="62"/>
      <c r="UOD17" s="62"/>
      <c r="UOE17" s="62"/>
      <c r="UOF17" s="62"/>
      <c r="UOG17" s="62"/>
      <c r="UOH17" s="62"/>
      <c r="UOI17" s="62"/>
      <c r="UOJ17" s="62"/>
      <c r="UOK17" s="62"/>
      <c r="UOL17" s="62"/>
      <c r="UOM17" s="62"/>
      <c r="UON17" s="62"/>
      <c r="UOO17" s="62"/>
      <c r="UOP17" s="62"/>
      <c r="UOQ17" s="62"/>
      <c r="UOR17" s="62"/>
      <c r="UOS17" s="62"/>
      <c r="UOT17" s="62"/>
      <c r="UOU17" s="62"/>
      <c r="UOV17" s="62"/>
      <c r="UOW17" s="62"/>
      <c r="UOX17" s="62"/>
      <c r="UOY17" s="62"/>
      <c r="UOZ17" s="62"/>
      <c r="UPA17" s="62"/>
      <c r="UPB17" s="62"/>
      <c r="UPC17" s="62"/>
      <c r="UPD17" s="62"/>
      <c r="UPE17" s="62"/>
      <c r="UPF17" s="62"/>
      <c r="UPG17" s="62"/>
      <c r="UPH17" s="62"/>
      <c r="UPI17" s="62"/>
      <c r="UPJ17" s="62"/>
      <c r="UPK17" s="62"/>
      <c r="UPL17" s="62"/>
      <c r="UPM17" s="62"/>
      <c r="UPN17" s="62"/>
      <c r="UPO17" s="62"/>
      <c r="UPP17" s="62"/>
      <c r="UPQ17" s="62"/>
      <c r="UPR17" s="62"/>
      <c r="UPS17" s="62"/>
      <c r="UPT17" s="62"/>
      <c r="UPU17" s="62"/>
      <c r="UPV17" s="62"/>
      <c r="UPW17" s="62"/>
      <c r="UPX17" s="62"/>
      <c r="UPY17" s="62"/>
      <c r="UPZ17" s="62"/>
      <c r="UQA17" s="62"/>
      <c r="UQB17" s="62"/>
      <c r="UQC17" s="62"/>
      <c r="UQD17" s="62"/>
      <c r="UQE17" s="62"/>
      <c r="UQF17" s="62"/>
      <c r="UQG17" s="62"/>
      <c r="UQH17" s="62"/>
      <c r="UQI17" s="62"/>
      <c r="UQJ17" s="62"/>
      <c r="UQK17" s="62"/>
      <c r="UQL17" s="62"/>
      <c r="UQM17" s="62"/>
      <c r="UQN17" s="62"/>
      <c r="UQO17" s="62"/>
      <c r="UQP17" s="62"/>
      <c r="UQQ17" s="62"/>
      <c r="UQR17" s="62"/>
      <c r="UQS17" s="62"/>
      <c r="UQT17" s="62"/>
      <c r="UQU17" s="62"/>
      <c r="UQV17" s="62"/>
      <c r="UQW17" s="62"/>
      <c r="UQX17" s="62"/>
      <c r="UQY17" s="62"/>
      <c r="UQZ17" s="62"/>
      <c r="URA17" s="62"/>
      <c r="URB17" s="62"/>
      <c r="URC17" s="62"/>
      <c r="URD17" s="62"/>
      <c r="URE17" s="62"/>
      <c r="URF17" s="62"/>
      <c r="URG17" s="62"/>
      <c r="URH17" s="62"/>
      <c r="URI17" s="62"/>
      <c r="URJ17" s="62"/>
      <c r="URK17" s="62"/>
      <c r="URL17" s="62"/>
      <c r="URM17" s="62"/>
      <c r="URN17" s="62"/>
      <c r="URO17" s="62"/>
      <c r="URP17" s="62"/>
      <c r="URQ17" s="62"/>
      <c r="URR17" s="62"/>
      <c r="URS17" s="62"/>
      <c r="URT17" s="62"/>
      <c r="URU17" s="62"/>
      <c r="URV17" s="62"/>
      <c r="URW17" s="62"/>
      <c r="URX17" s="62"/>
      <c r="URY17" s="62"/>
      <c r="URZ17" s="62"/>
      <c r="USA17" s="62"/>
      <c r="USB17" s="62"/>
      <c r="USC17" s="62"/>
      <c r="USD17" s="62"/>
      <c r="USE17" s="62"/>
      <c r="USF17" s="62"/>
      <c r="USG17" s="62"/>
      <c r="USH17" s="62"/>
      <c r="USI17" s="62"/>
      <c r="USJ17" s="62"/>
      <c r="USK17" s="62"/>
      <c r="USL17" s="62"/>
      <c r="USM17" s="62"/>
      <c r="USN17" s="62"/>
      <c r="USO17" s="62"/>
      <c r="USP17" s="62"/>
      <c r="USQ17" s="62"/>
      <c r="USR17" s="62"/>
      <c r="USS17" s="62"/>
      <c r="UST17" s="62"/>
      <c r="USU17" s="62"/>
      <c r="USV17" s="62"/>
      <c r="USW17" s="62"/>
      <c r="USX17" s="62"/>
      <c r="USY17" s="62"/>
      <c r="USZ17" s="62"/>
      <c r="UTA17" s="62"/>
      <c r="UTB17" s="62"/>
      <c r="UTC17" s="62"/>
      <c r="UTD17" s="62"/>
      <c r="UTE17" s="62"/>
      <c r="UTF17" s="62"/>
      <c r="UTG17" s="62"/>
      <c r="UTH17" s="62"/>
      <c r="UTI17" s="62"/>
      <c r="UTJ17" s="62"/>
      <c r="UTK17" s="62"/>
      <c r="UTL17" s="62"/>
      <c r="UTM17" s="62"/>
      <c r="UTN17" s="62"/>
      <c r="UTO17" s="62"/>
      <c r="UTP17" s="62"/>
      <c r="UTQ17" s="62"/>
      <c r="UTR17" s="62"/>
      <c r="UTS17" s="62"/>
      <c r="UTT17" s="62"/>
      <c r="UTU17" s="62"/>
      <c r="UTV17" s="62"/>
      <c r="UTW17" s="62"/>
      <c r="UTX17" s="62"/>
      <c r="UTY17" s="62"/>
      <c r="UTZ17" s="62"/>
      <c r="UUA17" s="62"/>
      <c r="UUB17" s="62"/>
      <c r="UUC17" s="62"/>
      <c r="UUD17" s="62"/>
      <c r="UUE17" s="62"/>
      <c r="UUF17" s="62"/>
      <c r="UUG17" s="62"/>
      <c r="UUH17" s="62"/>
      <c r="UUI17" s="62"/>
      <c r="UUJ17" s="62"/>
      <c r="UUK17" s="62"/>
      <c r="UUL17" s="62"/>
      <c r="UUM17" s="62"/>
      <c r="UUN17" s="62"/>
      <c r="UUO17" s="62"/>
      <c r="UUP17" s="62"/>
      <c r="UUQ17" s="62"/>
      <c r="UUR17" s="62"/>
      <c r="UUS17" s="62"/>
      <c r="UUT17" s="62"/>
      <c r="UUU17" s="62"/>
      <c r="UUV17" s="62"/>
      <c r="UUW17" s="62"/>
      <c r="UUX17" s="62"/>
      <c r="UUY17" s="62"/>
      <c r="UUZ17" s="62"/>
      <c r="UVA17" s="62"/>
      <c r="UVB17" s="62"/>
      <c r="UVC17" s="62"/>
      <c r="UVD17" s="62"/>
      <c r="UVE17" s="62"/>
      <c r="UVF17" s="62"/>
      <c r="UVG17" s="62"/>
      <c r="UVH17" s="62"/>
      <c r="UVI17" s="62"/>
      <c r="UVJ17" s="62"/>
      <c r="UVK17" s="62"/>
      <c r="UVL17" s="62"/>
      <c r="UVM17" s="62"/>
      <c r="UVN17" s="62"/>
      <c r="UVO17" s="62"/>
      <c r="UVP17" s="62"/>
      <c r="UVQ17" s="62"/>
      <c r="UVR17" s="62"/>
      <c r="UVS17" s="62"/>
      <c r="UVT17" s="62"/>
      <c r="UVU17" s="62"/>
      <c r="UVV17" s="62"/>
      <c r="UVW17" s="62"/>
      <c r="UVX17" s="62"/>
      <c r="UVY17" s="62"/>
      <c r="UVZ17" s="62"/>
      <c r="UWA17" s="62"/>
      <c r="UWB17" s="62"/>
      <c r="UWC17" s="62"/>
      <c r="UWD17" s="62"/>
      <c r="UWE17" s="62"/>
      <c r="UWF17" s="62"/>
      <c r="UWG17" s="62"/>
      <c r="UWH17" s="62"/>
      <c r="UWI17" s="62"/>
      <c r="UWJ17" s="62"/>
      <c r="UWK17" s="62"/>
      <c r="UWL17" s="62"/>
      <c r="UWM17" s="62"/>
      <c r="UWN17" s="62"/>
      <c r="UWO17" s="62"/>
      <c r="UWP17" s="62"/>
      <c r="UWQ17" s="62"/>
      <c r="UWR17" s="62"/>
      <c r="UWS17" s="62"/>
      <c r="UWT17" s="62"/>
      <c r="UWU17" s="62"/>
      <c r="UWV17" s="62"/>
      <c r="UWW17" s="62"/>
      <c r="UWX17" s="62"/>
      <c r="UWY17" s="62"/>
      <c r="UWZ17" s="62"/>
      <c r="UXA17" s="62"/>
      <c r="UXB17" s="62"/>
      <c r="UXC17" s="62"/>
      <c r="UXD17" s="62"/>
      <c r="UXE17" s="62"/>
      <c r="UXF17" s="62"/>
      <c r="UXG17" s="62"/>
      <c r="UXH17" s="62"/>
      <c r="UXI17" s="62"/>
      <c r="UXJ17" s="62"/>
      <c r="UXK17" s="62"/>
      <c r="UXL17" s="62"/>
      <c r="UXM17" s="62"/>
      <c r="UXN17" s="62"/>
      <c r="UXO17" s="62"/>
      <c r="UXP17" s="62"/>
      <c r="UXQ17" s="62"/>
      <c r="UXR17" s="62"/>
      <c r="UXS17" s="62"/>
      <c r="UXT17" s="62"/>
      <c r="UXU17" s="62"/>
      <c r="UXV17" s="62"/>
      <c r="UXW17" s="62"/>
      <c r="UXX17" s="62"/>
      <c r="UXY17" s="62"/>
      <c r="UXZ17" s="62"/>
      <c r="UYA17" s="62"/>
      <c r="UYB17" s="62"/>
      <c r="UYC17" s="62"/>
      <c r="UYD17" s="62"/>
      <c r="UYE17" s="62"/>
      <c r="UYF17" s="62"/>
      <c r="UYG17" s="62"/>
      <c r="UYH17" s="62"/>
      <c r="UYI17" s="62"/>
      <c r="UYJ17" s="62"/>
      <c r="UYK17" s="62"/>
      <c r="UYL17" s="62"/>
      <c r="UYM17" s="62"/>
      <c r="UYN17" s="62"/>
      <c r="UYO17" s="62"/>
      <c r="UYP17" s="62"/>
      <c r="UYQ17" s="62"/>
      <c r="UYR17" s="62"/>
      <c r="UYS17" s="62"/>
      <c r="UYT17" s="62"/>
      <c r="UYU17" s="62"/>
      <c r="UYV17" s="62"/>
      <c r="UYW17" s="62"/>
      <c r="UYX17" s="62"/>
      <c r="UYY17" s="62"/>
      <c r="UYZ17" s="62"/>
      <c r="UZA17" s="62"/>
      <c r="UZB17" s="62"/>
      <c r="UZC17" s="62"/>
      <c r="UZD17" s="62"/>
      <c r="UZE17" s="62"/>
      <c r="UZF17" s="62"/>
      <c r="UZG17" s="62"/>
      <c r="UZH17" s="62"/>
      <c r="UZI17" s="62"/>
      <c r="UZJ17" s="62"/>
      <c r="UZK17" s="62"/>
      <c r="UZL17" s="62"/>
      <c r="UZM17" s="62"/>
      <c r="UZN17" s="62"/>
      <c r="UZO17" s="62"/>
      <c r="UZP17" s="62"/>
      <c r="UZQ17" s="62"/>
      <c r="UZR17" s="62"/>
      <c r="UZS17" s="62"/>
      <c r="UZT17" s="62"/>
      <c r="UZU17" s="62"/>
      <c r="UZV17" s="62"/>
      <c r="UZW17" s="62"/>
      <c r="UZX17" s="62"/>
      <c r="UZY17" s="62"/>
      <c r="UZZ17" s="62"/>
      <c r="VAA17" s="62"/>
      <c r="VAB17" s="62"/>
      <c r="VAC17" s="62"/>
      <c r="VAD17" s="62"/>
      <c r="VAE17" s="62"/>
      <c r="VAF17" s="62"/>
      <c r="VAG17" s="62"/>
      <c r="VAH17" s="62"/>
      <c r="VAI17" s="62"/>
      <c r="VAJ17" s="62"/>
      <c r="VAK17" s="62"/>
      <c r="VAL17" s="62"/>
      <c r="VAM17" s="62"/>
      <c r="VAN17" s="62"/>
      <c r="VAO17" s="62"/>
      <c r="VAP17" s="62"/>
      <c r="VAQ17" s="62"/>
      <c r="VAR17" s="62"/>
      <c r="VAS17" s="62"/>
      <c r="VAT17" s="62"/>
      <c r="VAU17" s="62"/>
      <c r="VAV17" s="62"/>
      <c r="VAW17" s="62"/>
      <c r="VAX17" s="62"/>
      <c r="VAY17" s="62"/>
      <c r="VAZ17" s="62"/>
      <c r="VBA17" s="62"/>
      <c r="VBB17" s="62"/>
      <c r="VBC17" s="62"/>
      <c r="VBD17" s="62"/>
      <c r="VBE17" s="62"/>
      <c r="VBF17" s="62"/>
      <c r="VBG17" s="62"/>
      <c r="VBH17" s="62"/>
      <c r="VBI17" s="62"/>
      <c r="VBJ17" s="62"/>
      <c r="VBK17" s="62"/>
      <c r="VBL17" s="62"/>
      <c r="VBM17" s="62"/>
      <c r="VBN17" s="62"/>
      <c r="VBO17" s="62"/>
      <c r="VBP17" s="62"/>
      <c r="VBQ17" s="62"/>
      <c r="VBR17" s="62"/>
      <c r="VBS17" s="62"/>
      <c r="VBT17" s="62"/>
      <c r="VBU17" s="62"/>
      <c r="VBV17" s="62"/>
      <c r="VBW17" s="62"/>
      <c r="VBX17" s="62"/>
      <c r="VBY17" s="62"/>
      <c r="VBZ17" s="62"/>
      <c r="VCA17" s="62"/>
      <c r="VCB17" s="62"/>
      <c r="VCC17" s="62"/>
      <c r="VCD17" s="62"/>
      <c r="VCE17" s="62"/>
      <c r="VCF17" s="62"/>
      <c r="VCG17" s="62"/>
      <c r="VCH17" s="62"/>
      <c r="VCI17" s="62"/>
      <c r="VCJ17" s="62"/>
      <c r="VCK17" s="62"/>
      <c r="VCL17" s="62"/>
      <c r="VCM17" s="62"/>
      <c r="VCN17" s="62"/>
      <c r="VCO17" s="62"/>
      <c r="VCP17" s="62"/>
      <c r="VCQ17" s="62"/>
      <c r="VCR17" s="62"/>
      <c r="VCS17" s="62"/>
      <c r="VCT17" s="62"/>
      <c r="VCU17" s="62"/>
      <c r="VCV17" s="62"/>
      <c r="VCW17" s="62"/>
      <c r="VCX17" s="62"/>
      <c r="VCY17" s="62"/>
      <c r="VCZ17" s="62"/>
      <c r="VDA17" s="62"/>
      <c r="VDB17" s="62"/>
      <c r="VDC17" s="62"/>
      <c r="VDD17" s="62"/>
      <c r="VDE17" s="62"/>
      <c r="VDF17" s="62"/>
      <c r="VDG17" s="62"/>
      <c r="VDH17" s="62"/>
      <c r="VDI17" s="62"/>
      <c r="VDJ17" s="62"/>
      <c r="VDK17" s="62"/>
      <c r="VDL17" s="62"/>
      <c r="VDM17" s="62"/>
      <c r="VDN17" s="62"/>
      <c r="VDO17" s="62"/>
      <c r="VDP17" s="62"/>
      <c r="VDQ17" s="62"/>
      <c r="VDR17" s="62"/>
      <c r="VDS17" s="62"/>
      <c r="VDT17" s="62"/>
      <c r="VDU17" s="62"/>
      <c r="VDV17" s="62"/>
      <c r="VDW17" s="62"/>
      <c r="VDX17" s="62"/>
      <c r="VDY17" s="62"/>
      <c r="VDZ17" s="62"/>
      <c r="VEA17" s="62"/>
      <c r="VEB17" s="62"/>
      <c r="VEC17" s="62"/>
      <c r="VED17" s="62"/>
      <c r="VEE17" s="62"/>
      <c r="VEF17" s="62"/>
      <c r="VEG17" s="62"/>
      <c r="VEH17" s="62"/>
      <c r="VEI17" s="62"/>
      <c r="VEJ17" s="62"/>
      <c r="VEK17" s="62"/>
      <c r="VEL17" s="62"/>
      <c r="VEM17" s="62"/>
      <c r="VEN17" s="62"/>
      <c r="VEO17" s="62"/>
      <c r="VEP17" s="62"/>
      <c r="VEQ17" s="62"/>
      <c r="VER17" s="62"/>
      <c r="VES17" s="62"/>
      <c r="VET17" s="62"/>
      <c r="VEU17" s="62"/>
      <c r="VEV17" s="62"/>
      <c r="VEW17" s="62"/>
      <c r="VEX17" s="62"/>
      <c r="VEY17" s="62"/>
      <c r="VEZ17" s="62"/>
      <c r="VFA17" s="62"/>
      <c r="VFB17" s="62"/>
      <c r="VFC17" s="62"/>
      <c r="VFD17" s="62"/>
      <c r="VFE17" s="62"/>
      <c r="VFF17" s="62"/>
      <c r="VFG17" s="62"/>
      <c r="VFH17" s="62"/>
      <c r="VFI17" s="62"/>
      <c r="VFJ17" s="62"/>
      <c r="VFK17" s="62"/>
      <c r="VFL17" s="62"/>
      <c r="VFM17" s="62"/>
      <c r="VFN17" s="62"/>
      <c r="VFO17" s="62"/>
      <c r="VFP17" s="62"/>
      <c r="VFQ17" s="62"/>
      <c r="VFR17" s="62"/>
      <c r="VFS17" s="62"/>
      <c r="VFT17" s="62"/>
      <c r="VFU17" s="62"/>
      <c r="VFV17" s="62"/>
      <c r="VFW17" s="62"/>
      <c r="VFX17" s="62"/>
      <c r="VFY17" s="62"/>
      <c r="VFZ17" s="62"/>
      <c r="VGA17" s="62"/>
      <c r="VGB17" s="62"/>
      <c r="VGC17" s="62"/>
      <c r="VGD17" s="62"/>
      <c r="VGE17" s="62"/>
      <c r="VGF17" s="62"/>
      <c r="VGG17" s="62"/>
      <c r="VGH17" s="62"/>
      <c r="VGI17" s="62"/>
      <c r="VGJ17" s="62"/>
      <c r="VGK17" s="62"/>
      <c r="VGL17" s="62"/>
      <c r="VGM17" s="62"/>
      <c r="VGN17" s="62"/>
      <c r="VGO17" s="62"/>
      <c r="VGP17" s="62"/>
      <c r="VGQ17" s="62"/>
      <c r="VGR17" s="62"/>
      <c r="VGS17" s="62"/>
      <c r="VGT17" s="62"/>
      <c r="VGU17" s="62"/>
      <c r="VGV17" s="62"/>
      <c r="VGW17" s="62"/>
      <c r="VGX17" s="62"/>
      <c r="VGY17" s="62"/>
      <c r="VGZ17" s="62"/>
      <c r="VHA17" s="62"/>
      <c r="VHB17" s="62"/>
      <c r="VHC17" s="62"/>
      <c r="VHD17" s="62"/>
      <c r="VHE17" s="62"/>
      <c r="VHF17" s="62"/>
      <c r="VHG17" s="62"/>
      <c r="VHH17" s="62"/>
      <c r="VHI17" s="62"/>
      <c r="VHJ17" s="62"/>
      <c r="VHK17" s="62"/>
      <c r="VHL17" s="62"/>
      <c r="VHM17" s="62"/>
      <c r="VHN17" s="62"/>
      <c r="VHO17" s="62"/>
      <c r="VHP17" s="62"/>
      <c r="VHQ17" s="62"/>
      <c r="VHR17" s="62"/>
      <c r="VHS17" s="62"/>
      <c r="VHT17" s="62"/>
      <c r="VHU17" s="62"/>
      <c r="VHV17" s="62"/>
      <c r="VHW17" s="62"/>
      <c r="VHX17" s="62"/>
      <c r="VHY17" s="62"/>
      <c r="VHZ17" s="62"/>
      <c r="VIA17" s="62"/>
      <c r="VIB17" s="62"/>
      <c r="VIC17" s="62"/>
      <c r="VID17" s="62"/>
      <c r="VIE17" s="62"/>
      <c r="VIF17" s="62"/>
      <c r="VIG17" s="62"/>
      <c r="VIH17" s="62"/>
      <c r="VII17" s="62"/>
      <c r="VIJ17" s="62"/>
      <c r="VIK17" s="62"/>
      <c r="VIL17" s="62"/>
      <c r="VIM17" s="62"/>
      <c r="VIN17" s="62"/>
      <c r="VIO17" s="62"/>
      <c r="VIP17" s="62"/>
      <c r="VIQ17" s="62"/>
      <c r="VIR17" s="62"/>
      <c r="VIS17" s="62"/>
      <c r="VIT17" s="62"/>
      <c r="VIU17" s="62"/>
      <c r="VIV17" s="62"/>
      <c r="VIW17" s="62"/>
      <c r="VIX17" s="62"/>
      <c r="VIY17" s="62"/>
      <c r="VIZ17" s="62"/>
      <c r="VJA17" s="62"/>
      <c r="VJB17" s="62"/>
      <c r="VJC17" s="62"/>
      <c r="VJD17" s="62"/>
      <c r="VJE17" s="62"/>
      <c r="VJF17" s="62"/>
      <c r="VJG17" s="62"/>
      <c r="VJH17" s="62"/>
      <c r="VJI17" s="62"/>
      <c r="VJJ17" s="62"/>
      <c r="VJK17" s="62"/>
      <c r="VJL17" s="62"/>
      <c r="VJM17" s="62"/>
      <c r="VJN17" s="62"/>
      <c r="VJO17" s="62"/>
      <c r="VJP17" s="62"/>
      <c r="VJQ17" s="62"/>
      <c r="VJR17" s="62"/>
      <c r="VJS17" s="62"/>
      <c r="VJT17" s="62"/>
      <c r="VJU17" s="62"/>
      <c r="VJV17" s="62"/>
      <c r="VJW17" s="62"/>
      <c r="VJX17" s="62"/>
      <c r="VJY17" s="62"/>
      <c r="VJZ17" s="62"/>
      <c r="VKA17" s="62"/>
      <c r="VKB17" s="62"/>
      <c r="VKC17" s="62"/>
      <c r="VKD17" s="62"/>
      <c r="VKE17" s="62"/>
      <c r="VKF17" s="62"/>
      <c r="VKG17" s="62"/>
      <c r="VKH17" s="62"/>
      <c r="VKI17" s="62"/>
      <c r="VKJ17" s="62"/>
      <c r="VKK17" s="62"/>
      <c r="VKL17" s="62"/>
      <c r="VKM17" s="62"/>
      <c r="VKN17" s="62"/>
      <c r="VKO17" s="62"/>
      <c r="VKP17" s="62"/>
      <c r="VKQ17" s="62"/>
      <c r="VKR17" s="62"/>
      <c r="VKS17" s="62"/>
      <c r="VKT17" s="62"/>
      <c r="VKU17" s="62"/>
      <c r="VKV17" s="62"/>
      <c r="VKW17" s="62"/>
      <c r="VKX17" s="62"/>
      <c r="VKY17" s="62"/>
      <c r="VKZ17" s="62"/>
      <c r="VLA17" s="62"/>
      <c r="VLB17" s="62"/>
      <c r="VLC17" s="62"/>
      <c r="VLD17" s="62"/>
      <c r="VLE17" s="62"/>
      <c r="VLF17" s="62"/>
      <c r="VLG17" s="62"/>
      <c r="VLH17" s="62"/>
      <c r="VLI17" s="62"/>
      <c r="VLJ17" s="62"/>
      <c r="VLK17" s="62"/>
      <c r="VLL17" s="62"/>
      <c r="VLM17" s="62"/>
      <c r="VLN17" s="62"/>
      <c r="VLO17" s="62"/>
      <c r="VLP17" s="62"/>
      <c r="VLQ17" s="62"/>
      <c r="VLR17" s="62"/>
      <c r="VLS17" s="62"/>
      <c r="VLT17" s="62"/>
      <c r="VLU17" s="62"/>
      <c r="VLV17" s="62"/>
      <c r="VLW17" s="62"/>
      <c r="VLX17" s="62"/>
      <c r="VLY17" s="62"/>
      <c r="VLZ17" s="62"/>
      <c r="VMA17" s="62"/>
      <c r="VMB17" s="62"/>
      <c r="VMC17" s="62"/>
      <c r="VMD17" s="62"/>
      <c r="VME17" s="62"/>
      <c r="VMF17" s="62"/>
      <c r="VMG17" s="62"/>
      <c r="VMH17" s="62"/>
      <c r="VMI17" s="62"/>
      <c r="VMJ17" s="62"/>
      <c r="VMK17" s="62"/>
      <c r="VML17" s="62"/>
      <c r="VMM17" s="62"/>
      <c r="VMN17" s="62"/>
      <c r="VMO17" s="62"/>
      <c r="VMP17" s="62"/>
      <c r="VMQ17" s="62"/>
      <c r="VMR17" s="62"/>
      <c r="VMS17" s="62"/>
      <c r="VMT17" s="62"/>
      <c r="VMU17" s="62"/>
      <c r="VMV17" s="62"/>
      <c r="VMW17" s="62"/>
      <c r="VMX17" s="62"/>
      <c r="VMY17" s="62"/>
      <c r="VMZ17" s="62"/>
      <c r="VNA17" s="62"/>
      <c r="VNB17" s="62"/>
      <c r="VNC17" s="62"/>
      <c r="VND17" s="62"/>
      <c r="VNE17" s="62"/>
      <c r="VNF17" s="62"/>
      <c r="VNG17" s="62"/>
      <c r="VNH17" s="62"/>
      <c r="VNI17" s="62"/>
      <c r="VNJ17" s="62"/>
      <c r="VNK17" s="62"/>
      <c r="VNL17" s="62"/>
      <c r="VNM17" s="62"/>
      <c r="VNN17" s="62"/>
      <c r="VNO17" s="62"/>
      <c r="VNP17" s="62"/>
      <c r="VNQ17" s="62"/>
      <c r="VNR17" s="62"/>
      <c r="VNS17" s="62"/>
      <c r="VNT17" s="62"/>
      <c r="VNU17" s="62"/>
      <c r="VNV17" s="62"/>
      <c r="VNW17" s="62"/>
      <c r="VNX17" s="62"/>
      <c r="VNY17" s="62"/>
      <c r="VNZ17" s="62"/>
      <c r="VOA17" s="62"/>
      <c r="VOB17" s="62"/>
      <c r="VOC17" s="62"/>
      <c r="VOD17" s="62"/>
      <c r="VOE17" s="62"/>
      <c r="VOF17" s="62"/>
      <c r="VOG17" s="62"/>
      <c r="VOH17" s="62"/>
      <c r="VOI17" s="62"/>
      <c r="VOJ17" s="62"/>
      <c r="VOK17" s="62"/>
      <c r="VOL17" s="62"/>
      <c r="VOM17" s="62"/>
      <c r="VON17" s="62"/>
      <c r="VOO17" s="62"/>
      <c r="VOP17" s="62"/>
      <c r="VOQ17" s="62"/>
      <c r="VOR17" s="62"/>
      <c r="VOS17" s="62"/>
      <c r="VOT17" s="62"/>
      <c r="VOU17" s="62"/>
      <c r="VOV17" s="62"/>
      <c r="VOW17" s="62"/>
      <c r="VOX17" s="62"/>
      <c r="VOY17" s="62"/>
      <c r="VOZ17" s="62"/>
      <c r="VPA17" s="62"/>
      <c r="VPB17" s="62"/>
      <c r="VPC17" s="62"/>
      <c r="VPD17" s="62"/>
      <c r="VPE17" s="62"/>
      <c r="VPF17" s="62"/>
      <c r="VPG17" s="62"/>
      <c r="VPH17" s="62"/>
      <c r="VPI17" s="62"/>
      <c r="VPJ17" s="62"/>
      <c r="VPK17" s="62"/>
      <c r="VPL17" s="62"/>
      <c r="VPM17" s="62"/>
      <c r="VPN17" s="62"/>
      <c r="VPO17" s="62"/>
      <c r="VPP17" s="62"/>
      <c r="VPQ17" s="62"/>
      <c r="VPR17" s="62"/>
      <c r="VPS17" s="62"/>
      <c r="VPT17" s="62"/>
      <c r="VPU17" s="62"/>
      <c r="VPV17" s="62"/>
      <c r="VPW17" s="62"/>
      <c r="VPX17" s="62"/>
      <c r="VPY17" s="62"/>
      <c r="VPZ17" s="62"/>
      <c r="VQA17" s="62"/>
      <c r="VQB17" s="62"/>
      <c r="VQC17" s="62"/>
      <c r="VQD17" s="62"/>
      <c r="VQE17" s="62"/>
      <c r="VQF17" s="62"/>
      <c r="VQG17" s="62"/>
      <c r="VQH17" s="62"/>
      <c r="VQI17" s="62"/>
      <c r="VQJ17" s="62"/>
      <c r="VQK17" s="62"/>
      <c r="VQL17" s="62"/>
      <c r="VQM17" s="62"/>
      <c r="VQN17" s="62"/>
      <c r="VQO17" s="62"/>
      <c r="VQP17" s="62"/>
      <c r="VQQ17" s="62"/>
      <c r="VQR17" s="62"/>
      <c r="VQS17" s="62"/>
      <c r="VQT17" s="62"/>
      <c r="VQU17" s="62"/>
      <c r="VQV17" s="62"/>
      <c r="VQW17" s="62"/>
      <c r="VQX17" s="62"/>
      <c r="VQY17" s="62"/>
      <c r="VQZ17" s="62"/>
      <c r="VRA17" s="62"/>
      <c r="VRB17" s="62"/>
      <c r="VRC17" s="62"/>
      <c r="VRD17" s="62"/>
      <c r="VRE17" s="62"/>
      <c r="VRF17" s="62"/>
      <c r="VRG17" s="62"/>
      <c r="VRH17" s="62"/>
      <c r="VRI17" s="62"/>
      <c r="VRJ17" s="62"/>
      <c r="VRK17" s="62"/>
      <c r="VRL17" s="62"/>
      <c r="VRM17" s="62"/>
      <c r="VRN17" s="62"/>
      <c r="VRO17" s="62"/>
      <c r="VRP17" s="62"/>
      <c r="VRQ17" s="62"/>
      <c r="VRR17" s="62"/>
      <c r="VRS17" s="62"/>
      <c r="VRT17" s="62"/>
      <c r="VRU17" s="62"/>
      <c r="VRV17" s="62"/>
      <c r="VRW17" s="62"/>
      <c r="VRX17" s="62"/>
      <c r="VRY17" s="62"/>
      <c r="VRZ17" s="62"/>
      <c r="VSA17" s="62"/>
      <c r="VSB17" s="62"/>
      <c r="VSC17" s="62"/>
      <c r="VSD17" s="62"/>
      <c r="VSE17" s="62"/>
      <c r="VSF17" s="62"/>
      <c r="VSG17" s="62"/>
      <c r="VSH17" s="62"/>
      <c r="VSI17" s="62"/>
      <c r="VSJ17" s="62"/>
      <c r="VSK17" s="62"/>
      <c r="VSL17" s="62"/>
      <c r="VSM17" s="62"/>
      <c r="VSN17" s="62"/>
      <c r="VSO17" s="62"/>
      <c r="VSP17" s="62"/>
      <c r="VSQ17" s="62"/>
      <c r="VSR17" s="62"/>
      <c r="VSS17" s="62"/>
      <c r="VST17" s="62"/>
      <c r="VSU17" s="62"/>
      <c r="VSV17" s="62"/>
      <c r="VSW17" s="62"/>
      <c r="VSX17" s="62"/>
      <c r="VSY17" s="62"/>
      <c r="VSZ17" s="62"/>
      <c r="VTA17" s="62"/>
      <c r="VTB17" s="62"/>
      <c r="VTC17" s="62"/>
      <c r="VTD17" s="62"/>
      <c r="VTE17" s="62"/>
      <c r="VTF17" s="62"/>
      <c r="VTG17" s="62"/>
      <c r="VTH17" s="62"/>
      <c r="VTI17" s="62"/>
      <c r="VTJ17" s="62"/>
      <c r="VTK17" s="62"/>
      <c r="VTL17" s="62"/>
      <c r="VTM17" s="62"/>
      <c r="VTN17" s="62"/>
      <c r="VTO17" s="62"/>
      <c r="VTP17" s="62"/>
      <c r="VTQ17" s="62"/>
      <c r="VTR17" s="62"/>
      <c r="VTS17" s="62"/>
      <c r="VTT17" s="62"/>
      <c r="VTU17" s="62"/>
      <c r="VTV17" s="62"/>
      <c r="VTW17" s="62"/>
      <c r="VTX17" s="62"/>
      <c r="VTY17" s="62"/>
      <c r="VTZ17" s="62"/>
      <c r="VUA17" s="62"/>
      <c r="VUB17" s="62"/>
      <c r="VUC17" s="62"/>
      <c r="VUD17" s="62"/>
      <c r="VUE17" s="62"/>
      <c r="VUF17" s="62"/>
      <c r="VUG17" s="62"/>
      <c r="VUH17" s="62"/>
      <c r="VUI17" s="62"/>
      <c r="VUJ17" s="62"/>
      <c r="VUK17" s="62"/>
      <c r="VUL17" s="62"/>
      <c r="VUM17" s="62"/>
      <c r="VUN17" s="62"/>
      <c r="VUO17" s="62"/>
      <c r="VUP17" s="62"/>
      <c r="VUQ17" s="62"/>
      <c r="VUR17" s="62"/>
      <c r="VUS17" s="62"/>
      <c r="VUT17" s="62"/>
      <c r="VUU17" s="62"/>
      <c r="VUV17" s="62"/>
      <c r="VUW17" s="62"/>
      <c r="VUX17" s="62"/>
      <c r="VUY17" s="62"/>
      <c r="VUZ17" s="62"/>
      <c r="VVA17" s="62"/>
      <c r="VVB17" s="62"/>
      <c r="VVC17" s="62"/>
      <c r="VVD17" s="62"/>
      <c r="VVE17" s="62"/>
      <c r="VVF17" s="62"/>
      <c r="VVG17" s="62"/>
      <c r="VVH17" s="62"/>
      <c r="VVI17" s="62"/>
      <c r="VVJ17" s="62"/>
      <c r="VVK17" s="62"/>
      <c r="VVL17" s="62"/>
      <c r="VVM17" s="62"/>
      <c r="VVN17" s="62"/>
      <c r="VVO17" s="62"/>
      <c r="VVP17" s="62"/>
      <c r="VVQ17" s="62"/>
      <c r="VVR17" s="62"/>
      <c r="VVS17" s="62"/>
      <c r="VVT17" s="62"/>
      <c r="VVU17" s="62"/>
      <c r="VVV17" s="62"/>
      <c r="VVW17" s="62"/>
      <c r="VVX17" s="62"/>
      <c r="VVY17" s="62"/>
      <c r="VVZ17" s="62"/>
      <c r="VWA17" s="62"/>
      <c r="VWB17" s="62"/>
      <c r="VWC17" s="62"/>
      <c r="VWD17" s="62"/>
      <c r="VWE17" s="62"/>
      <c r="VWF17" s="62"/>
      <c r="VWG17" s="62"/>
      <c r="VWH17" s="62"/>
      <c r="VWI17" s="62"/>
      <c r="VWJ17" s="62"/>
      <c r="VWK17" s="62"/>
      <c r="VWL17" s="62"/>
      <c r="VWM17" s="62"/>
      <c r="VWN17" s="62"/>
      <c r="VWO17" s="62"/>
      <c r="VWP17" s="62"/>
      <c r="VWQ17" s="62"/>
      <c r="VWR17" s="62"/>
      <c r="VWS17" s="62"/>
      <c r="VWT17" s="62"/>
      <c r="VWU17" s="62"/>
      <c r="VWV17" s="62"/>
      <c r="VWW17" s="62"/>
      <c r="VWX17" s="62"/>
      <c r="VWY17" s="62"/>
      <c r="VWZ17" s="62"/>
      <c r="VXA17" s="62"/>
      <c r="VXB17" s="62"/>
      <c r="VXC17" s="62"/>
      <c r="VXD17" s="62"/>
      <c r="VXE17" s="62"/>
      <c r="VXF17" s="62"/>
      <c r="VXG17" s="62"/>
      <c r="VXH17" s="62"/>
      <c r="VXI17" s="62"/>
      <c r="VXJ17" s="62"/>
      <c r="VXK17" s="62"/>
      <c r="VXL17" s="62"/>
      <c r="VXM17" s="62"/>
      <c r="VXN17" s="62"/>
      <c r="VXO17" s="62"/>
      <c r="VXP17" s="62"/>
      <c r="VXQ17" s="62"/>
      <c r="VXR17" s="62"/>
      <c r="VXS17" s="62"/>
      <c r="VXT17" s="62"/>
      <c r="VXU17" s="62"/>
      <c r="VXV17" s="62"/>
      <c r="VXW17" s="62"/>
      <c r="VXX17" s="62"/>
      <c r="VXY17" s="62"/>
      <c r="VXZ17" s="62"/>
      <c r="VYA17" s="62"/>
      <c r="VYB17" s="62"/>
      <c r="VYC17" s="62"/>
      <c r="VYD17" s="62"/>
      <c r="VYE17" s="62"/>
      <c r="VYF17" s="62"/>
      <c r="VYG17" s="62"/>
      <c r="VYH17" s="62"/>
      <c r="VYI17" s="62"/>
      <c r="VYJ17" s="62"/>
      <c r="VYK17" s="62"/>
      <c r="VYL17" s="62"/>
      <c r="VYM17" s="62"/>
      <c r="VYN17" s="62"/>
      <c r="VYO17" s="62"/>
      <c r="VYP17" s="62"/>
      <c r="VYQ17" s="62"/>
      <c r="VYR17" s="62"/>
      <c r="VYS17" s="62"/>
      <c r="VYT17" s="62"/>
      <c r="VYU17" s="62"/>
      <c r="VYV17" s="62"/>
      <c r="VYW17" s="62"/>
      <c r="VYX17" s="62"/>
      <c r="VYY17" s="62"/>
      <c r="VYZ17" s="62"/>
      <c r="VZA17" s="62"/>
      <c r="VZB17" s="62"/>
      <c r="VZC17" s="62"/>
      <c r="VZD17" s="62"/>
      <c r="VZE17" s="62"/>
      <c r="VZF17" s="62"/>
      <c r="VZG17" s="62"/>
      <c r="VZH17" s="62"/>
      <c r="VZI17" s="62"/>
      <c r="VZJ17" s="62"/>
      <c r="VZK17" s="62"/>
      <c r="VZL17" s="62"/>
      <c r="VZM17" s="62"/>
      <c r="VZN17" s="62"/>
      <c r="VZO17" s="62"/>
      <c r="VZP17" s="62"/>
      <c r="VZQ17" s="62"/>
      <c r="VZR17" s="62"/>
      <c r="VZS17" s="62"/>
      <c r="VZT17" s="62"/>
      <c r="VZU17" s="62"/>
      <c r="VZV17" s="62"/>
      <c r="VZW17" s="62"/>
      <c r="VZX17" s="62"/>
      <c r="VZY17" s="62"/>
      <c r="VZZ17" s="62"/>
      <c r="WAA17" s="62"/>
      <c r="WAB17" s="62"/>
      <c r="WAC17" s="62"/>
      <c r="WAD17" s="62"/>
      <c r="WAE17" s="62"/>
      <c r="WAF17" s="62"/>
      <c r="WAG17" s="62"/>
      <c r="WAH17" s="62"/>
      <c r="WAI17" s="62"/>
      <c r="WAJ17" s="62"/>
      <c r="WAK17" s="62"/>
      <c r="WAL17" s="62"/>
      <c r="WAM17" s="62"/>
      <c r="WAN17" s="62"/>
      <c r="WAO17" s="62"/>
      <c r="WAP17" s="62"/>
      <c r="WAQ17" s="62"/>
      <c r="WAR17" s="62"/>
      <c r="WAS17" s="62"/>
      <c r="WAT17" s="62"/>
      <c r="WAU17" s="62"/>
      <c r="WAV17" s="62"/>
      <c r="WAW17" s="62"/>
      <c r="WAX17" s="62"/>
      <c r="WAY17" s="62"/>
      <c r="WAZ17" s="62"/>
      <c r="WBA17" s="62"/>
      <c r="WBB17" s="62"/>
      <c r="WBC17" s="62"/>
      <c r="WBD17" s="62"/>
      <c r="WBE17" s="62"/>
      <c r="WBF17" s="62"/>
      <c r="WBG17" s="62"/>
      <c r="WBH17" s="62"/>
      <c r="WBI17" s="62"/>
      <c r="WBJ17" s="62"/>
      <c r="WBK17" s="62"/>
      <c r="WBL17" s="62"/>
      <c r="WBM17" s="62"/>
      <c r="WBN17" s="62"/>
      <c r="WBO17" s="62"/>
      <c r="WBP17" s="62"/>
      <c r="WBQ17" s="62"/>
      <c r="WBR17" s="62"/>
      <c r="WBS17" s="62"/>
      <c r="WBT17" s="62"/>
      <c r="WBU17" s="62"/>
      <c r="WBV17" s="62"/>
      <c r="WBW17" s="62"/>
      <c r="WBX17" s="62"/>
      <c r="WBY17" s="62"/>
      <c r="WBZ17" s="62"/>
      <c r="WCA17" s="62"/>
      <c r="WCB17" s="62"/>
      <c r="WCC17" s="62"/>
      <c r="WCD17" s="62"/>
      <c r="WCE17" s="62"/>
      <c r="WCF17" s="62"/>
      <c r="WCG17" s="62"/>
      <c r="WCH17" s="62"/>
      <c r="WCI17" s="62"/>
      <c r="WCJ17" s="62"/>
      <c r="WCK17" s="62"/>
      <c r="WCL17" s="62"/>
      <c r="WCM17" s="62"/>
      <c r="WCN17" s="62"/>
      <c r="WCO17" s="62"/>
      <c r="WCP17" s="62"/>
      <c r="WCQ17" s="62"/>
      <c r="WCR17" s="62"/>
      <c r="WCS17" s="62"/>
      <c r="WCT17" s="62"/>
      <c r="WCU17" s="62"/>
      <c r="WCV17" s="62"/>
      <c r="WCW17" s="62"/>
      <c r="WCX17" s="62"/>
      <c r="WCY17" s="62"/>
      <c r="WCZ17" s="62"/>
      <c r="WDA17" s="62"/>
      <c r="WDB17" s="62"/>
      <c r="WDC17" s="62"/>
      <c r="WDD17" s="62"/>
      <c r="WDE17" s="62"/>
      <c r="WDF17" s="62"/>
      <c r="WDG17" s="62"/>
      <c r="WDH17" s="62"/>
      <c r="WDI17" s="62"/>
      <c r="WDJ17" s="62"/>
      <c r="WDK17" s="62"/>
      <c r="WDL17" s="62"/>
      <c r="WDM17" s="62"/>
      <c r="WDN17" s="62"/>
      <c r="WDO17" s="62"/>
      <c r="WDP17" s="62"/>
      <c r="WDQ17" s="62"/>
      <c r="WDR17" s="62"/>
      <c r="WDS17" s="62"/>
      <c r="WDT17" s="62"/>
      <c r="WDU17" s="62"/>
      <c r="WDV17" s="62"/>
      <c r="WDW17" s="62"/>
      <c r="WDX17" s="62"/>
      <c r="WDY17" s="62"/>
      <c r="WDZ17" s="62"/>
      <c r="WEA17" s="62"/>
      <c r="WEB17" s="62"/>
      <c r="WEC17" s="62"/>
      <c r="WED17" s="62"/>
      <c r="WEE17" s="62"/>
      <c r="WEF17" s="62"/>
      <c r="WEG17" s="62"/>
      <c r="WEH17" s="62"/>
      <c r="WEI17" s="62"/>
      <c r="WEJ17" s="62"/>
      <c r="WEK17" s="62"/>
      <c r="WEL17" s="62"/>
      <c r="WEM17" s="62"/>
      <c r="WEN17" s="62"/>
      <c r="WEO17" s="62"/>
      <c r="WEP17" s="62"/>
      <c r="WEQ17" s="62"/>
      <c r="WER17" s="62"/>
      <c r="WES17" s="62"/>
      <c r="WET17" s="62"/>
      <c r="WEU17" s="62"/>
      <c r="WEV17" s="62"/>
      <c r="WEW17" s="62"/>
      <c r="WEX17" s="62"/>
      <c r="WEY17" s="62"/>
      <c r="WEZ17" s="62"/>
      <c r="WFA17" s="62"/>
      <c r="WFB17" s="62"/>
      <c r="WFC17" s="62"/>
      <c r="WFD17" s="62"/>
      <c r="WFE17" s="62"/>
      <c r="WFF17" s="62"/>
      <c r="WFG17" s="62"/>
      <c r="WFH17" s="62"/>
      <c r="WFI17" s="62"/>
      <c r="WFJ17" s="62"/>
      <c r="WFK17" s="62"/>
      <c r="WFL17" s="62"/>
      <c r="WFM17" s="62"/>
      <c r="WFN17" s="62"/>
      <c r="WFO17" s="62"/>
      <c r="WFP17" s="62"/>
      <c r="WFQ17" s="62"/>
      <c r="WFR17" s="62"/>
      <c r="WFS17" s="62"/>
      <c r="WFT17" s="62"/>
      <c r="WFU17" s="62"/>
      <c r="WFV17" s="62"/>
      <c r="WFW17" s="62"/>
      <c r="WFX17" s="62"/>
      <c r="WFY17" s="62"/>
      <c r="WFZ17" s="62"/>
      <c r="WGA17" s="62"/>
      <c r="WGB17" s="62"/>
      <c r="WGC17" s="62"/>
      <c r="WGD17" s="62"/>
      <c r="WGE17" s="62"/>
      <c r="WGF17" s="62"/>
      <c r="WGG17" s="62"/>
      <c r="WGH17" s="62"/>
      <c r="WGI17" s="62"/>
      <c r="WGJ17" s="62"/>
      <c r="WGK17" s="62"/>
      <c r="WGL17" s="62"/>
      <c r="WGM17" s="62"/>
      <c r="WGN17" s="62"/>
      <c r="WGO17" s="62"/>
      <c r="WGP17" s="62"/>
      <c r="WGQ17" s="62"/>
      <c r="WGR17" s="62"/>
      <c r="WGS17" s="62"/>
      <c r="WGT17" s="62"/>
      <c r="WGU17" s="62"/>
      <c r="WGV17" s="62"/>
      <c r="WGW17" s="62"/>
      <c r="WGX17" s="62"/>
      <c r="WGY17" s="62"/>
      <c r="WGZ17" s="62"/>
      <c r="WHA17" s="62"/>
      <c r="WHB17" s="62"/>
      <c r="WHC17" s="62"/>
      <c r="WHD17" s="62"/>
      <c r="WHE17" s="62"/>
      <c r="WHF17" s="62"/>
      <c r="WHG17" s="62"/>
      <c r="WHH17" s="62"/>
      <c r="WHI17" s="62"/>
      <c r="WHJ17" s="62"/>
      <c r="WHK17" s="62"/>
      <c r="WHL17" s="62"/>
      <c r="WHM17" s="62"/>
      <c r="WHN17" s="62"/>
      <c r="WHO17" s="62"/>
      <c r="WHP17" s="62"/>
      <c r="WHQ17" s="62"/>
      <c r="WHR17" s="62"/>
      <c r="WHS17" s="62"/>
      <c r="WHT17" s="62"/>
      <c r="WHU17" s="62"/>
      <c r="WHV17" s="62"/>
      <c r="WHW17" s="62"/>
      <c r="WHX17" s="62"/>
      <c r="WHY17" s="62"/>
      <c r="WHZ17" s="62"/>
      <c r="WIA17" s="62"/>
      <c r="WIB17" s="62"/>
      <c r="WIC17" s="62"/>
      <c r="WID17" s="62"/>
      <c r="WIE17" s="62"/>
      <c r="WIF17" s="62"/>
      <c r="WIG17" s="62"/>
      <c r="WIH17" s="62"/>
      <c r="WII17" s="62"/>
      <c r="WIJ17" s="62"/>
      <c r="WIK17" s="62"/>
      <c r="WIL17" s="62"/>
      <c r="WIM17" s="62"/>
      <c r="WIN17" s="62"/>
      <c r="WIO17" s="62"/>
      <c r="WIP17" s="62"/>
      <c r="WIQ17" s="62"/>
      <c r="WIR17" s="62"/>
      <c r="WIS17" s="62"/>
      <c r="WIT17" s="62"/>
      <c r="WIU17" s="62"/>
      <c r="WIV17" s="62"/>
      <c r="WIW17" s="62"/>
      <c r="WIX17" s="62"/>
      <c r="WIY17" s="62"/>
      <c r="WIZ17" s="62"/>
      <c r="WJA17" s="62"/>
      <c r="WJB17" s="62"/>
      <c r="WJC17" s="62"/>
      <c r="WJD17" s="62"/>
      <c r="WJE17" s="62"/>
      <c r="WJF17" s="62"/>
      <c r="WJG17" s="62"/>
      <c r="WJH17" s="62"/>
      <c r="WJI17" s="62"/>
      <c r="WJJ17" s="62"/>
      <c r="WJK17" s="62"/>
      <c r="WJL17" s="62"/>
      <c r="WJM17" s="62"/>
      <c r="WJN17" s="62"/>
      <c r="WJO17" s="62"/>
      <c r="WJP17" s="62"/>
      <c r="WJQ17" s="62"/>
      <c r="WJR17" s="62"/>
      <c r="WJS17" s="62"/>
      <c r="WJT17" s="62"/>
      <c r="WJU17" s="62"/>
      <c r="WJV17" s="62"/>
      <c r="WJW17" s="62"/>
      <c r="WJX17" s="62"/>
      <c r="WJY17" s="62"/>
      <c r="WJZ17" s="62"/>
      <c r="WKA17" s="62"/>
      <c r="WKB17" s="62"/>
      <c r="WKC17" s="62"/>
      <c r="WKD17" s="62"/>
      <c r="WKE17" s="62"/>
      <c r="WKF17" s="62"/>
      <c r="WKG17" s="62"/>
      <c r="WKH17" s="62"/>
      <c r="WKI17" s="62"/>
      <c r="WKJ17" s="62"/>
      <c r="WKK17" s="62"/>
      <c r="WKL17" s="62"/>
      <c r="WKM17" s="62"/>
      <c r="WKN17" s="62"/>
      <c r="WKO17" s="62"/>
      <c r="WKP17" s="62"/>
      <c r="WKQ17" s="62"/>
      <c r="WKR17" s="62"/>
      <c r="WKS17" s="62"/>
      <c r="WKT17" s="62"/>
      <c r="WKU17" s="62"/>
      <c r="WKV17" s="62"/>
      <c r="WKW17" s="62"/>
      <c r="WKX17" s="62"/>
      <c r="WKY17" s="62"/>
      <c r="WKZ17" s="62"/>
      <c r="WLA17" s="62"/>
      <c r="WLB17" s="62"/>
      <c r="WLC17" s="62"/>
      <c r="WLD17" s="62"/>
      <c r="WLE17" s="62"/>
      <c r="WLF17" s="62"/>
      <c r="WLG17" s="62"/>
      <c r="WLH17" s="62"/>
      <c r="WLI17" s="62"/>
      <c r="WLJ17" s="62"/>
      <c r="WLK17" s="62"/>
      <c r="WLL17" s="62"/>
      <c r="WLM17" s="62"/>
      <c r="WLN17" s="62"/>
      <c r="WLO17" s="62"/>
      <c r="WLP17" s="62"/>
      <c r="WLQ17" s="62"/>
      <c r="WLR17" s="62"/>
      <c r="WLS17" s="62"/>
      <c r="WLT17" s="62"/>
      <c r="WLU17" s="62"/>
      <c r="WLV17" s="62"/>
      <c r="WLW17" s="62"/>
      <c r="WLX17" s="62"/>
      <c r="WLY17" s="62"/>
      <c r="WLZ17" s="62"/>
      <c r="WMA17" s="62"/>
      <c r="WMB17" s="62"/>
      <c r="WMC17" s="62"/>
      <c r="WMD17" s="62"/>
      <c r="WME17" s="62"/>
      <c r="WMF17" s="62"/>
      <c r="WMG17" s="62"/>
      <c r="WMH17" s="62"/>
      <c r="WMI17" s="62"/>
      <c r="WMJ17" s="62"/>
      <c r="WMK17" s="62"/>
      <c r="WML17" s="62"/>
      <c r="WMM17" s="62"/>
      <c r="WMN17" s="62"/>
      <c r="WMO17" s="62"/>
      <c r="WMP17" s="62"/>
      <c r="WMQ17" s="62"/>
      <c r="WMR17" s="62"/>
      <c r="WMS17" s="62"/>
      <c r="WMT17" s="62"/>
      <c r="WMU17" s="62"/>
      <c r="WMV17" s="62"/>
      <c r="WMW17" s="62"/>
      <c r="WMX17" s="62"/>
      <c r="WMY17" s="62"/>
      <c r="WMZ17" s="62"/>
      <c r="WNA17" s="62"/>
      <c r="WNB17" s="62"/>
      <c r="WNC17" s="62"/>
      <c r="WND17" s="62"/>
      <c r="WNE17" s="62"/>
      <c r="WNF17" s="62"/>
      <c r="WNG17" s="62"/>
      <c r="WNH17" s="62"/>
      <c r="WNI17" s="62"/>
      <c r="WNJ17" s="62"/>
      <c r="WNK17" s="62"/>
      <c r="WNL17" s="62"/>
      <c r="WNM17" s="62"/>
      <c r="WNN17" s="62"/>
      <c r="WNO17" s="62"/>
      <c r="WNP17" s="62"/>
      <c r="WNQ17" s="62"/>
      <c r="WNR17" s="62"/>
      <c r="WNS17" s="62"/>
      <c r="WNT17" s="62"/>
      <c r="WNU17" s="62"/>
      <c r="WNV17" s="62"/>
      <c r="WNW17" s="62"/>
      <c r="WNX17" s="62"/>
      <c r="WNY17" s="62"/>
      <c r="WNZ17" s="62"/>
      <c r="WOA17" s="62"/>
      <c r="WOB17" s="62"/>
      <c r="WOC17" s="62"/>
      <c r="WOD17" s="62"/>
      <c r="WOE17" s="62"/>
      <c r="WOF17" s="62"/>
      <c r="WOG17" s="62"/>
      <c r="WOH17" s="62"/>
      <c r="WOI17" s="62"/>
      <c r="WOJ17" s="62"/>
      <c r="WOK17" s="62"/>
      <c r="WOL17" s="62"/>
      <c r="WOM17" s="62"/>
      <c r="WON17" s="62"/>
      <c r="WOO17" s="62"/>
      <c r="WOP17" s="62"/>
      <c r="WOQ17" s="62"/>
      <c r="WOR17" s="62"/>
      <c r="WOS17" s="62"/>
      <c r="WOT17" s="62"/>
      <c r="WOU17" s="62"/>
      <c r="WOV17" s="62"/>
      <c r="WOW17" s="62"/>
      <c r="WOX17" s="62"/>
      <c r="WOY17" s="62"/>
      <c r="WOZ17" s="62"/>
      <c r="WPA17" s="62"/>
      <c r="WPB17" s="62"/>
      <c r="WPC17" s="62"/>
      <c r="WPD17" s="62"/>
      <c r="WPE17" s="62"/>
      <c r="WPF17" s="62"/>
      <c r="WPG17" s="62"/>
      <c r="WPH17" s="62"/>
      <c r="WPI17" s="62"/>
      <c r="WPJ17" s="62"/>
      <c r="WPK17" s="62"/>
      <c r="WPL17" s="62"/>
      <c r="WPM17" s="62"/>
      <c r="WPN17" s="62"/>
      <c r="WPO17" s="62"/>
      <c r="WPP17" s="62"/>
      <c r="WPQ17" s="62"/>
      <c r="WPR17" s="62"/>
      <c r="WPS17" s="62"/>
      <c r="WPT17" s="62"/>
      <c r="WPU17" s="62"/>
      <c r="WPV17" s="62"/>
      <c r="WPW17" s="62"/>
      <c r="WPX17" s="62"/>
      <c r="WPY17" s="62"/>
      <c r="WPZ17" s="62"/>
      <c r="WQA17" s="62"/>
      <c r="WQB17" s="62"/>
      <c r="WQC17" s="62"/>
      <c r="WQD17" s="62"/>
      <c r="WQE17" s="62"/>
      <c r="WQF17" s="62"/>
      <c r="WQG17" s="62"/>
      <c r="WQH17" s="62"/>
      <c r="WQI17" s="62"/>
      <c r="WQJ17" s="62"/>
      <c r="WQK17" s="62"/>
      <c r="WQL17" s="62"/>
      <c r="WQM17" s="62"/>
      <c r="WQN17" s="62"/>
      <c r="WQO17" s="62"/>
      <c r="WQP17" s="62"/>
      <c r="WQQ17" s="62"/>
      <c r="WQR17" s="62"/>
      <c r="WQS17" s="62"/>
      <c r="WQT17" s="62"/>
      <c r="WQU17" s="62"/>
      <c r="WQV17" s="62"/>
      <c r="WQW17" s="62"/>
      <c r="WQX17" s="62"/>
      <c r="WQY17" s="62"/>
      <c r="WQZ17" s="62"/>
      <c r="WRA17" s="62"/>
      <c r="WRB17" s="62"/>
      <c r="WRC17" s="62"/>
      <c r="WRD17" s="62"/>
      <c r="WRE17" s="62"/>
      <c r="WRF17" s="62"/>
      <c r="WRG17" s="62"/>
      <c r="WRH17" s="62"/>
      <c r="WRI17" s="62"/>
      <c r="WRJ17" s="62"/>
      <c r="WRK17" s="62"/>
      <c r="WRL17" s="62"/>
      <c r="WRM17" s="62"/>
      <c r="WRN17" s="62"/>
      <c r="WRO17" s="62"/>
      <c r="WRP17" s="62"/>
      <c r="WRQ17" s="62"/>
      <c r="WRR17" s="62"/>
      <c r="WRS17" s="62"/>
      <c r="WRT17" s="62"/>
      <c r="WRU17" s="62"/>
      <c r="WRV17" s="62"/>
      <c r="WRW17" s="62"/>
      <c r="WRX17" s="62"/>
      <c r="WRY17" s="62"/>
      <c r="WRZ17" s="62"/>
      <c r="WSA17" s="62"/>
      <c r="WSB17" s="62"/>
      <c r="WSC17" s="62"/>
      <c r="WSD17" s="62"/>
      <c r="WSE17" s="62"/>
      <c r="WSF17" s="62"/>
      <c r="WSG17" s="62"/>
      <c r="WSH17" s="62"/>
      <c r="WSI17" s="62"/>
      <c r="WSJ17" s="62"/>
      <c r="WSK17" s="62"/>
      <c r="WSL17" s="62"/>
      <c r="WSM17" s="62"/>
      <c r="WSN17" s="62"/>
      <c r="WSO17" s="62"/>
      <c r="WSP17" s="62"/>
      <c r="WSQ17" s="62"/>
      <c r="WSR17" s="62"/>
      <c r="WSS17" s="62"/>
      <c r="WST17" s="62"/>
      <c r="WSU17" s="62"/>
      <c r="WSV17" s="62"/>
      <c r="WSW17" s="62"/>
      <c r="WSX17" s="62"/>
      <c r="WSY17" s="62"/>
      <c r="WSZ17" s="62"/>
      <c r="WTA17" s="62"/>
      <c r="WTB17" s="62"/>
      <c r="WTC17" s="62"/>
      <c r="WTD17" s="62"/>
      <c r="WTE17" s="62"/>
      <c r="WTF17" s="62"/>
      <c r="WTG17" s="62"/>
      <c r="WTH17" s="62"/>
      <c r="WTI17" s="62"/>
      <c r="WTJ17" s="62"/>
      <c r="WTK17" s="62"/>
      <c r="WTL17" s="62"/>
      <c r="WTM17" s="62"/>
      <c r="WTN17" s="62"/>
      <c r="WTO17" s="62"/>
      <c r="WTP17" s="62"/>
      <c r="WTQ17" s="62"/>
      <c r="WTR17" s="62"/>
      <c r="WTS17" s="62"/>
      <c r="WTT17" s="62"/>
      <c r="WTU17" s="62"/>
      <c r="WTV17" s="62"/>
      <c r="WTW17" s="62"/>
      <c r="WTX17" s="62"/>
      <c r="WTY17" s="62"/>
      <c r="WTZ17" s="62"/>
      <c r="WUA17" s="62"/>
      <c r="WUB17" s="62"/>
      <c r="WUC17" s="62"/>
      <c r="WUD17" s="62"/>
      <c r="WUE17" s="62"/>
      <c r="WUF17" s="62"/>
      <c r="WUG17" s="62"/>
      <c r="WUH17" s="62"/>
      <c r="WUI17" s="62"/>
      <c r="WUJ17" s="62"/>
      <c r="WUK17" s="62"/>
      <c r="WUL17" s="62"/>
      <c r="WUM17" s="62"/>
      <c r="WUN17" s="62"/>
      <c r="WUO17" s="62"/>
      <c r="WUP17" s="62"/>
      <c r="WUQ17" s="62"/>
      <c r="WUR17" s="62"/>
      <c r="WUS17" s="62"/>
      <c r="WUT17" s="62"/>
      <c r="WUU17" s="62"/>
      <c r="WUV17" s="62"/>
      <c r="WUW17" s="62"/>
      <c r="WUX17" s="62"/>
      <c r="WUY17" s="62"/>
      <c r="WUZ17" s="62"/>
      <c r="WVA17" s="62"/>
      <c r="WVB17" s="62"/>
      <c r="WVC17" s="62"/>
      <c r="WVD17" s="62"/>
      <c r="WVE17" s="62"/>
      <c r="WVF17" s="62"/>
      <c r="WVG17" s="62"/>
      <c r="WVH17" s="62"/>
      <c r="WVI17" s="62"/>
      <c r="WVJ17" s="62"/>
      <c r="WVK17" s="62"/>
      <c r="WVL17" s="62"/>
      <c r="WVM17" s="62"/>
      <c r="WVN17" s="62"/>
      <c r="WVO17" s="62"/>
      <c r="WVP17" s="62"/>
      <c r="WVQ17" s="62"/>
      <c r="WVR17" s="62"/>
      <c r="WVS17" s="62"/>
      <c r="WVT17" s="62"/>
      <c r="WVU17" s="62"/>
      <c r="WVV17" s="62"/>
      <c r="WVW17" s="62"/>
      <c r="WVX17" s="62"/>
      <c r="WVY17" s="62"/>
      <c r="WVZ17" s="62"/>
      <c r="WWA17" s="62"/>
      <c r="WWB17" s="62"/>
      <c r="WWC17" s="62"/>
      <c r="WWD17" s="62"/>
      <c r="WWE17" s="62"/>
      <c r="WWF17" s="62"/>
      <c r="WWG17" s="62"/>
      <c r="WWH17" s="62"/>
      <c r="WWI17" s="62"/>
      <c r="WWJ17" s="62"/>
      <c r="WWK17" s="62"/>
      <c r="WWL17" s="62"/>
      <c r="WWM17" s="62"/>
      <c r="WWN17" s="62"/>
      <c r="WWO17" s="62"/>
      <c r="WWP17" s="62"/>
      <c r="WWQ17" s="62"/>
      <c r="WWR17" s="62"/>
      <c r="WWS17" s="62"/>
      <c r="WWT17" s="62"/>
      <c r="WWU17" s="62"/>
      <c r="WWV17" s="62"/>
      <c r="WWW17" s="62"/>
      <c r="WWX17" s="62"/>
      <c r="WWY17" s="62"/>
      <c r="WWZ17" s="62"/>
      <c r="WXA17" s="62"/>
      <c r="WXB17" s="62"/>
      <c r="WXC17" s="62"/>
      <c r="WXD17" s="62"/>
      <c r="WXE17" s="62"/>
      <c r="WXF17" s="62"/>
      <c r="WXG17" s="62"/>
      <c r="WXH17" s="62"/>
      <c r="WXI17" s="62"/>
      <c r="WXJ17" s="62"/>
      <c r="WXK17" s="62"/>
      <c r="WXL17" s="62"/>
      <c r="WXM17" s="62"/>
      <c r="WXN17" s="62"/>
      <c r="WXO17" s="62"/>
      <c r="WXP17" s="62"/>
      <c r="WXQ17" s="62"/>
      <c r="WXR17" s="62"/>
      <c r="WXS17" s="62"/>
      <c r="WXT17" s="62"/>
      <c r="WXU17" s="62"/>
      <c r="WXV17" s="62"/>
      <c r="WXW17" s="62"/>
      <c r="WXX17" s="62"/>
      <c r="WXY17" s="62"/>
      <c r="WXZ17" s="62"/>
      <c r="WYA17" s="62"/>
      <c r="WYB17" s="62"/>
      <c r="WYC17" s="62"/>
      <c r="WYD17" s="62"/>
      <c r="WYE17" s="62"/>
      <c r="WYF17" s="62"/>
      <c r="WYG17" s="62"/>
      <c r="WYH17" s="62"/>
      <c r="WYI17" s="62"/>
      <c r="WYJ17" s="62"/>
      <c r="WYK17" s="62"/>
      <c r="WYL17" s="62"/>
      <c r="WYM17" s="62"/>
      <c r="WYN17" s="62"/>
      <c r="WYO17" s="62"/>
      <c r="WYP17" s="62"/>
      <c r="WYQ17" s="62"/>
      <c r="WYR17" s="62"/>
      <c r="WYS17" s="62"/>
      <c r="WYT17" s="62"/>
      <c r="WYU17" s="62"/>
      <c r="WYV17" s="62"/>
      <c r="WYW17" s="62"/>
      <c r="WYX17" s="62"/>
      <c r="WYY17" s="62"/>
      <c r="WYZ17" s="62"/>
      <c r="WZA17" s="62"/>
      <c r="WZB17" s="62"/>
      <c r="WZC17" s="62"/>
      <c r="WZD17" s="62"/>
      <c r="WZE17" s="62"/>
      <c r="WZF17" s="62"/>
      <c r="WZG17" s="62"/>
      <c r="WZH17" s="62"/>
      <c r="WZI17" s="62"/>
      <c r="WZJ17" s="62"/>
      <c r="WZK17" s="62"/>
      <c r="WZL17" s="62"/>
      <c r="WZM17" s="62"/>
      <c r="WZN17" s="62"/>
      <c r="WZO17" s="62"/>
      <c r="WZP17" s="62"/>
      <c r="WZQ17" s="62"/>
      <c r="WZR17" s="62"/>
      <c r="WZS17" s="62"/>
      <c r="WZT17" s="62"/>
      <c r="WZU17" s="62"/>
      <c r="WZV17" s="62"/>
      <c r="WZW17" s="62"/>
      <c r="WZX17" s="62"/>
      <c r="WZY17" s="62"/>
      <c r="WZZ17" s="62"/>
      <c r="XAA17" s="62"/>
      <c r="XAB17" s="62"/>
      <c r="XAC17" s="62"/>
      <c r="XAD17" s="62"/>
      <c r="XAE17" s="62"/>
      <c r="XAF17" s="62"/>
      <c r="XAG17" s="62"/>
      <c r="XAH17" s="62"/>
      <c r="XAI17" s="62"/>
      <c r="XAJ17" s="62"/>
      <c r="XAK17" s="62"/>
      <c r="XAL17" s="62"/>
      <c r="XAM17" s="62"/>
      <c r="XAN17" s="62"/>
      <c r="XAO17" s="62"/>
      <c r="XAP17" s="62"/>
      <c r="XAQ17" s="62"/>
      <c r="XAR17" s="62"/>
      <c r="XAS17" s="62"/>
      <c r="XAT17" s="62"/>
      <c r="XAU17" s="62"/>
      <c r="XAV17" s="62"/>
      <c r="XAW17" s="62"/>
    </row>
    <row r="18" spans="1:16273" ht="15.95" customHeight="1">
      <c r="A18" s="68" t="s">
        <v>6479</v>
      </c>
      <c r="B18" s="119"/>
      <c r="C18" s="267" t="s">
        <v>6921</v>
      </c>
      <c r="D18" s="268"/>
      <c r="E18" s="6"/>
      <c r="F18" s="40" t="s">
        <v>7062</v>
      </c>
      <c r="H18" s="40" t="s">
        <v>553</v>
      </c>
      <c r="I18" s="40" t="s">
        <v>6853</v>
      </c>
      <c r="O18" s="42"/>
      <c r="P18" s="42"/>
      <c r="T18" s="42"/>
      <c r="V18" s="43" t="s">
        <v>553</v>
      </c>
      <c r="AF18" s="42">
        <v>1765953</v>
      </c>
      <c r="AG18" s="42" t="s">
        <v>6674</v>
      </c>
    </row>
    <row r="19" spans="1:16273" ht="15.95" customHeight="1">
      <c r="A19" s="68" t="s">
        <v>6480</v>
      </c>
      <c r="B19" s="120" t="e">
        <f>IF("ComboBox1"="","",VLOOKUP(($B$2),$F$2:$U$870,4,FALSE))</f>
        <v>#N/A</v>
      </c>
      <c r="D19" s="65"/>
      <c r="E19" s="6"/>
      <c r="F19" s="40" t="s">
        <v>7063</v>
      </c>
      <c r="H19" s="40" t="s">
        <v>595</v>
      </c>
      <c r="I19" s="40" t="s">
        <v>6847</v>
      </c>
      <c r="O19" s="42"/>
      <c r="P19" s="42"/>
      <c r="T19" s="42"/>
      <c r="V19" s="43" t="s">
        <v>595</v>
      </c>
      <c r="AF19" s="42">
        <v>1765962</v>
      </c>
      <c r="AG19" s="42" t="s">
        <v>6674</v>
      </c>
    </row>
    <row r="20" spans="1:16273" ht="15.95" customHeight="1">
      <c r="A20" s="68" t="s">
        <v>6482</v>
      </c>
      <c r="B20" s="121">
        <f ca="1">NOW()</f>
        <v>42739.472550347222</v>
      </c>
      <c r="C20" s="265" t="s">
        <v>6520</v>
      </c>
      <c r="D20" s="266"/>
      <c r="E20" s="4"/>
      <c r="F20" s="40" t="s">
        <v>7244</v>
      </c>
      <c r="G20" s="40" t="s">
        <v>7262</v>
      </c>
      <c r="H20" s="40" t="s">
        <v>564</v>
      </c>
      <c r="I20" s="40" t="s">
        <v>6851</v>
      </c>
      <c r="J20" s="41">
        <v>2054585</v>
      </c>
      <c r="K20" s="42">
        <v>5100168</v>
      </c>
      <c r="L20" s="42" t="s">
        <v>7002</v>
      </c>
      <c r="M20" s="42">
        <v>2171923</v>
      </c>
      <c r="N20" s="42">
        <v>5008442</v>
      </c>
      <c r="T20" s="43" t="s">
        <v>8144</v>
      </c>
      <c r="V20" s="43" t="s">
        <v>586</v>
      </c>
      <c r="AF20" s="42">
        <v>1766133</v>
      </c>
      <c r="AG20" s="42" t="s">
        <v>6674</v>
      </c>
    </row>
    <row r="21" spans="1:16273" ht="15.95" customHeight="1">
      <c r="C21" s="267" t="s">
        <v>6921</v>
      </c>
      <c r="D21" s="268"/>
      <c r="E21" s="4"/>
      <c r="F21" s="40" t="s">
        <v>1279</v>
      </c>
      <c r="G21" s="40" t="s">
        <v>1280</v>
      </c>
      <c r="H21" s="43" t="s">
        <v>564</v>
      </c>
      <c r="I21" s="40" t="s">
        <v>6851</v>
      </c>
      <c r="K21" s="41" t="s">
        <v>5938</v>
      </c>
      <c r="L21" s="42">
        <v>2084653</v>
      </c>
      <c r="M21" s="42">
        <v>3300004118</v>
      </c>
      <c r="N21" s="42" t="s">
        <v>7035</v>
      </c>
      <c r="T21" s="42" t="s">
        <v>6781</v>
      </c>
      <c r="V21" s="43" t="s">
        <v>607</v>
      </c>
      <c r="AF21" s="42">
        <v>1769583</v>
      </c>
      <c r="AG21" s="42" t="s">
        <v>6674</v>
      </c>
    </row>
    <row r="22" spans="1:16273" s="62" customFormat="1" ht="15.95" customHeight="1">
      <c r="A22" s="58"/>
      <c r="B22" s="58"/>
      <c r="C22" s="117"/>
      <c r="D22" s="58"/>
      <c r="E22" s="3"/>
      <c r="F22" s="40" t="s">
        <v>4078</v>
      </c>
      <c r="G22" s="40" t="s">
        <v>4079</v>
      </c>
      <c r="H22" s="43" t="s">
        <v>553</v>
      </c>
      <c r="I22" s="40" t="s">
        <v>6853</v>
      </c>
      <c r="J22" s="41" t="s">
        <v>4518</v>
      </c>
      <c r="K22" s="41">
        <v>2096481</v>
      </c>
      <c r="L22" s="42">
        <v>5040888</v>
      </c>
      <c r="M22" s="42">
        <v>3300009542</v>
      </c>
      <c r="N22" s="42"/>
      <c r="O22" s="43"/>
      <c r="P22" s="43"/>
      <c r="Q22" s="43"/>
      <c r="R22" s="43"/>
      <c r="S22" s="43"/>
      <c r="T22" s="42" t="s">
        <v>4082</v>
      </c>
      <c r="U22" s="43"/>
      <c r="V22" s="43" t="s">
        <v>529</v>
      </c>
      <c r="W22" s="43"/>
      <c r="X22" s="43"/>
      <c r="Y22" s="43"/>
      <c r="Z22" s="43"/>
      <c r="AA22" s="43"/>
      <c r="AB22" s="43"/>
      <c r="AC22" s="43"/>
      <c r="AD22" s="43"/>
      <c r="AE22" s="43"/>
      <c r="AF22" s="42">
        <v>1776717</v>
      </c>
      <c r="AG22" s="42" t="s">
        <v>6674</v>
      </c>
      <c r="AI22" s="66"/>
      <c r="AJ22" s="66"/>
      <c r="AK22" s="66"/>
      <c r="AL22" s="66"/>
      <c r="AM22" s="66"/>
      <c r="AN22" s="66"/>
      <c r="AO22" s="66"/>
      <c r="AP22" s="66"/>
      <c r="AQ22" s="66"/>
      <c r="AR22" s="66"/>
      <c r="AS22" s="66"/>
      <c r="AT22" s="66"/>
      <c r="AU22" s="66"/>
      <c r="AV22" s="66"/>
      <c r="AW22" s="66"/>
      <c r="AX22" s="66"/>
      <c r="AY22" s="66"/>
      <c r="AZ22" s="66"/>
      <c r="BA22" s="66"/>
      <c r="BB22" s="66"/>
      <c r="BC22" s="66"/>
      <c r="BD22" s="66"/>
      <c r="BE22" s="66"/>
      <c r="BF22" s="66"/>
      <c r="BG22" s="66"/>
      <c r="BH22" s="66"/>
      <c r="BI22" s="66"/>
      <c r="BJ22" s="66"/>
      <c r="BK22" s="66"/>
      <c r="BL22" s="66"/>
      <c r="BM22" s="66"/>
      <c r="BN22" s="66"/>
      <c r="BO22" s="66"/>
      <c r="BP22" s="66"/>
      <c r="BQ22" s="66"/>
      <c r="BR22" s="66"/>
      <c r="BS22" s="66"/>
      <c r="BT22" s="66"/>
      <c r="BU22" s="66"/>
      <c r="BV22" s="66"/>
      <c r="BW22" s="66"/>
      <c r="BX22" s="66"/>
      <c r="BY22" s="66"/>
      <c r="BZ22" s="66"/>
      <c r="CA22" s="66"/>
      <c r="CB22" s="66"/>
      <c r="CC22" s="66"/>
      <c r="CD22" s="66"/>
      <c r="CE22" s="66"/>
      <c r="CF22" s="66"/>
      <c r="CG22" s="66"/>
      <c r="CH22" s="66"/>
      <c r="CI22" s="66"/>
      <c r="CJ22" s="66"/>
      <c r="CK22" s="66"/>
      <c r="CL22" s="66"/>
      <c r="CM22" s="66"/>
      <c r="CN22" s="66"/>
      <c r="CO22" s="66"/>
      <c r="CP22" s="66"/>
      <c r="CQ22" s="66"/>
      <c r="CR22" s="66"/>
      <c r="CS22" s="66"/>
      <c r="CT22" s="66"/>
      <c r="CU22" s="66"/>
      <c r="CV22" s="66"/>
      <c r="CW22" s="66"/>
      <c r="CX22" s="66"/>
      <c r="CY22" s="66"/>
      <c r="CZ22" s="66"/>
      <c r="DA22" s="66"/>
      <c r="DB22" s="66"/>
      <c r="DC22" s="66"/>
      <c r="DD22" s="66"/>
      <c r="DE22" s="66"/>
      <c r="DF22" s="66"/>
      <c r="DG22" s="66"/>
      <c r="DH22" s="66"/>
      <c r="DI22" s="66"/>
      <c r="DJ22" s="66"/>
      <c r="DK22" s="66"/>
      <c r="DL22" s="66"/>
      <c r="DM22" s="66"/>
      <c r="DN22" s="66"/>
      <c r="DO22" s="66"/>
      <c r="DP22" s="66"/>
      <c r="DQ22" s="66"/>
      <c r="DR22" s="66"/>
      <c r="DS22" s="66"/>
      <c r="DT22" s="66"/>
      <c r="DU22" s="66"/>
      <c r="DV22" s="66"/>
      <c r="DW22" s="66"/>
      <c r="DX22" s="66"/>
      <c r="DY22" s="66"/>
      <c r="DZ22" s="66"/>
      <c r="EA22" s="66"/>
      <c r="EB22" s="66"/>
      <c r="EC22" s="66"/>
      <c r="ED22" s="66"/>
      <c r="EE22" s="66"/>
      <c r="EF22" s="66"/>
      <c r="EG22" s="66"/>
      <c r="EH22" s="66"/>
      <c r="EI22" s="66"/>
      <c r="EJ22" s="66"/>
      <c r="EK22" s="66"/>
      <c r="EL22" s="66"/>
      <c r="EM22" s="66"/>
      <c r="EN22" s="66"/>
      <c r="EO22" s="66"/>
      <c r="EP22" s="66"/>
      <c r="EQ22" s="66"/>
      <c r="ER22" s="66"/>
      <c r="ES22" s="66"/>
      <c r="ET22" s="66"/>
      <c r="EU22" s="66"/>
      <c r="EV22" s="66"/>
      <c r="EW22" s="66"/>
      <c r="EX22" s="66"/>
      <c r="EY22" s="66"/>
      <c r="EZ22" s="66"/>
      <c r="FA22" s="66"/>
      <c r="FB22" s="66"/>
      <c r="FC22" s="66"/>
      <c r="FD22" s="66"/>
      <c r="FE22" s="66"/>
      <c r="FF22" s="66"/>
      <c r="FG22" s="66"/>
      <c r="FH22" s="66"/>
      <c r="FI22" s="66"/>
      <c r="FJ22" s="66"/>
      <c r="FK22" s="66"/>
      <c r="FL22" s="66"/>
      <c r="FM22" s="66"/>
      <c r="FN22" s="66"/>
      <c r="FO22" s="66"/>
      <c r="FP22" s="66"/>
      <c r="FQ22" s="66"/>
      <c r="FR22" s="66"/>
      <c r="FS22" s="66"/>
      <c r="FT22" s="66"/>
      <c r="FU22" s="66"/>
      <c r="FV22" s="66"/>
      <c r="FW22" s="66"/>
      <c r="FX22" s="66"/>
      <c r="FY22" s="66"/>
      <c r="FZ22" s="66"/>
      <c r="GA22" s="66"/>
      <c r="GB22" s="66"/>
      <c r="GC22" s="66"/>
      <c r="GD22" s="66"/>
      <c r="GE22" s="66"/>
      <c r="GF22" s="66"/>
      <c r="GG22" s="66"/>
      <c r="GH22" s="66"/>
      <c r="GI22" s="66"/>
      <c r="GJ22" s="66"/>
      <c r="GK22" s="66"/>
      <c r="GL22" s="66"/>
      <c r="GM22" s="66"/>
      <c r="GN22" s="66"/>
      <c r="GO22" s="66"/>
      <c r="GP22" s="66"/>
      <c r="GQ22" s="66"/>
      <c r="GR22" s="66"/>
      <c r="GS22" s="66"/>
      <c r="GT22" s="66"/>
      <c r="GU22" s="66"/>
      <c r="GV22" s="66"/>
      <c r="GW22" s="66"/>
      <c r="GX22" s="66"/>
      <c r="GY22" s="66"/>
      <c r="GZ22" s="66"/>
      <c r="HA22" s="66"/>
      <c r="HB22" s="66"/>
      <c r="HC22" s="66"/>
      <c r="HD22" s="66"/>
      <c r="HE22" s="66"/>
      <c r="HF22" s="66"/>
      <c r="HG22" s="66"/>
      <c r="HH22" s="66"/>
      <c r="HI22" s="66"/>
      <c r="HJ22" s="66"/>
      <c r="HK22" s="66"/>
      <c r="HL22" s="66"/>
      <c r="HM22" s="66"/>
      <c r="HN22" s="66"/>
      <c r="HO22" s="66"/>
      <c r="HP22" s="66"/>
      <c r="HQ22" s="66"/>
      <c r="HR22" s="66"/>
      <c r="HS22" s="66"/>
      <c r="HT22" s="66"/>
      <c r="HU22" s="66"/>
      <c r="HV22" s="66"/>
      <c r="HW22" s="66"/>
      <c r="HX22" s="66"/>
      <c r="HY22" s="66"/>
      <c r="HZ22" s="66"/>
      <c r="IA22" s="66"/>
      <c r="IB22" s="66"/>
      <c r="IC22" s="66"/>
      <c r="ID22" s="66"/>
      <c r="IE22" s="66"/>
      <c r="IF22" s="66"/>
      <c r="IG22" s="66"/>
      <c r="IH22" s="66"/>
      <c r="II22" s="66"/>
      <c r="IJ22" s="66"/>
      <c r="IK22" s="66"/>
      <c r="IL22" s="66"/>
      <c r="IM22" s="66"/>
      <c r="IN22" s="66"/>
      <c r="IO22" s="66"/>
      <c r="IP22" s="66"/>
      <c r="IQ22" s="66"/>
      <c r="IR22" s="66"/>
      <c r="IS22" s="66"/>
      <c r="IT22" s="66"/>
      <c r="IU22" s="66"/>
      <c r="IV22" s="66"/>
      <c r="IW22" s="66"/>
      <c r="IX22" s="66"/>
      <c r="IY22" s="66"/>
      <c r="IZ22" s="66"/>
      <c r="JA22" s="66"/>
      <c r="JB22" s="66"/>
      <c r="JC22" s="66"/>
      <c r="JD22" s="66"/>
      <c r="JE22" s="66"/>
      <c r="JF22" s="66"/>
      <c r="JG22" s="66"/>
      <c r="JH22" s="66"/>
      <c r="JI22" s="66"/>
      <c r="JJ22" s="66"/>
      <c r="JK22" s="66"/>
      <c r="JL22" s="66"/>
      <c r="JM22" s="66"/>
      <c r="JN22" s="66"/>
      <c r="JO22" s="66"/>
      <c r="JP22" s="66"/>
      <c r="JQ22" s="66"/>
      <c r="JR22" s="66"/>
      <c r="JS22" s="66"/>
      <c r="JT22" s="66"/>
      <c r="JU22" s="66"/>
      <c r="JV22" s="66"/>
      <c r="JW22" s="66"/>
      <c r="JX22" s="66"/>
      <c r="JY22" s="66"/>
      <c r="JZ22" s="66"/>
      <c r="KA22" s="66"/>
      <c r="KB22" s="66"/>
      <c r="KC22" s="66"/>
      <c r="KD22" s="66"/>
      <c r="KE22" s="66"/>
      <c r="KF22" s="66"/>
      <c r="KG22" s="66"/>
      <c r="KH22" s="66"/>
      <c r="KI22" s="66"/>
      <c r="KJ22" s="66"/>
      <c r="KK22" s="66"/>
      <c r="KL22" s="66"/>
      <c r="KM22" s="66"/>
      <c r="KN22" s="66"/>
      <c r="KO22" s="66"/>
      <c r="KP22" s="66"/>
      <c r="KQ22" s="66"/>
      <c r="KR22" s="66"/>
      <c r="KS22" s="66"/>
      <c r="KT22" s="66"/>
      <c r="KU22" s="66"/>
      <c r="KV22" s="66"/>
      <c r="KW22" s="66"/>
      <c r="KX22" s="66"/>
      <c r="KY22" s="66"/>
      <c r="KZ22" s="66"/>
      <c r="LA22" s="66"/>
      <c r="LB22" s="66"/>
      <c r="LC22" s="66"/>
      <c r="LD22" s="66"/>
      <c r="LE22" s="66"/>
      <c r="LF22" s="66"/>
      <c r="LG22" s="66"/>
      <c r="LH22" s="66"/>
      <c r="LI22" s="66"/>
      <c r="LJ22" s="66"/>
      <c r="LK22" s="66"/>
      <c r="LL22" s="66"/>
      <c r="LM22" s="66"/>
      <c r="LN22" s="66"/>
      <c r="LO22" s="66"/>
      <c r="LP22" s="66"/>
      <c r="LQ22" s="66"/>
      <c r="LR22" s="66"/>
      <c r="LS22" s="66"/>
      <c r="LT22" s="66"/>
      <c r="LU22" s="66"/>
      <c r="LV22" s="66"/>
      <c r="LW22" s="66"/>
      <c r="LX22" s="66"/>
      <c r="LY22" s="66"/>
      <c r="LZ22" s="66"/>
      <c r="MA22" s="66"/>
      <c r="MB22" s="66"/>
      <c r="MC22" s="66"/>
      <c r="MD22" s="66"/>
      <c r="ME22" s="66"/>
      <c r="MF22" s="66"/>
      <c r="MG22" s="66"/>
      <c r="MH22" s="66"/>
      <c r="MI22" s="66"/>
      <c r="MJ22" s="66"/>
      <c r="MK22" s="66"/>
      <c r="ML22" s="66"/>
      <c r="MM22" s="66"/>
      <c r="MN22" s="66"/>
      <c r="MO22" s="66"/>
      <c r="MP22" s="66"/>
      <c r="MQ22" s="66"/>
      <c r="MR22" s="66"/>
      <c r="MS22" s="66"/>
      <c r="MT22" s="66"/>
      <c r="MU22" s="66"/>
      <c r="MV22" s="66"/>
      <c r="MW22" s="66"/>
      <c r="MX22" s="66"/>
      <c r="MY22" s="66"/>
      <c r="MZ22" s="66"/>
      <c r="NA22" s="66"/>
      <c r="NB22" s="66"/>
      <c r="NC22" s="66"/>
      <c r="ND22" s="66"/>
      <c r="NE22" s="66"/>
      <c r="NF22" s="66"/>
      <c r="NG22" s="66"/>
      <c r="NH22" s="66"/>
      <c r="NI22" s="66"/>
      <c r="NJ22" s="66"/>
      <c r="NK22" s="66"/>
      <c r="NL22" s="66"/>
      <c r="NM22" s="66"/>
      <c r="NN22" s="66"/>
      <c r="NO22" s="66"/>
      <c r="NP22" s="66"/>
      <c r="NQ22" s="66"/>
      <c r="NR22" s="66"/>
      <c r="NS22" s="66"/>
      <c r="NT22" s="66"/>
      <c r="NU22" s="66"/>
      <c r="NV22" s="66"/>
      <c r="NW22" s="66"/>
      <c r="NX22" s="66"/>
      <c r="NY22" s="66"/>
      <c r="NZ22" s="66"/>
      <c r="OA22" s="66"/>
      <c r="OB22" s="66"/>
      <c r="OC22" s="66"/>
      <c r="OD22" s="66"/>
      <c r="OE22" s="66"/>
      <c r="OF22" s="66"/>
      <c r="OG22" s="66"/>
      <c r="OH22" s="66"/>
      <c r="OI22" s="66"/>
      <c r="OJ22" s="66"/>
      <c r="OK22" s="66"/>
      <c r="OL22" s="66"/>
      <c r="OM22" s="66"/>
      <c r="ON22" s="66"/>
      <c r="OO22" s="66"/>
      <c r="OP22" s="66"/>
      <c r="OQ22" s="66"/>
      <c r="OR22" s="66"/>
      <c r="OS22" s="66"/>
      <c r="OT22" s="66"/>
      <c r="OU22" s="66"/>
      <c r="OV22" s="66"/>
      <c r="OW22" s="66"/>
      <c r="OX22" s="66"/>
      <c r="OY22" s="66"/>
      <c r="OZ22" s="66"/>
      <c r="PA22" s="66"/>
      <c r="PB22" s="66"/>
      <c r="PC22" s="66"/>
      <c r="PD22" s="66"/>
      <c r="PE22" s="66"/>
      <c r="PF22" s="66"/>
      <c r="PG22" s="66"/>
      <c r="PH22" s="66"/>
      <c r="PI22" s="66"/>
      <c r="PJ22" s="66"/>
      <c r="PK22" s="66"/>
      <c r="PL22" s="66"/>
      <c r="PM22" s="66"/>
      <c r="PN22" s="66"/>
      <c r="PO22" s="66"/>
      <c r="PP22" s="66"/>
      <c r="PQ22" s="66"/>
      <c r="PR22" s="66"/>
      <c r="PS22" s="66"/>
      <c r="PT22" s="66"/>
      <c r="PU22" s="66"/>
      <c r="PV22" s="66"/>
      <c r="PW22" s="66"/>
      <c r="PX22" s="66"/>
      <c r="PY22" s="66"/>
      <c r="PZ22" s="66"/>
      <c r="QA22" s="66"/>
      <c r="QB22" s="66"/>
      <c r="QC22" s="66"/>
      <c r="QD22" s="66"/>
      <c r="QE22" s="66"/>
      <c r="QF22" s="66"/>
      <c r="QG22" s="66"/>
      <c r="QH22" s="66"/>
      <c r="QI22" s="66"/>
      <c r="QJ22" s="66"/>
      <c r="QK22" s="66"/>
      <c r="QL22" s="66"/>
      <c r="QM22" s="66"/>
      <c r="QN22" s="66"/>
      <c r="QO22" s="66"/>
      <c r="QP22" s="66"/>
      <c r="QQ22" s="66"/>
      <c r="QR22" s="66"/>
      <c r="QS22" s="66"/>
      <c r="QT22" s="66"/>
      <c r="QU22" s="66"/>
      <c r="QV22" s="66"/>
      <c r="QW22" s="66"/>
      <c r="QX22" s="66"/>
      <c r="QY22" s="66"/>
      <c r="QZ22" s="66"/>
      <c r="RA22" s="66"/>
      <c r="RB22" s="66"/>
      <c r="RC22" s="66"/>
      <c r="RD22" s="66"/>
      <c r="RE22" s="66"/>
      <c r="RF22" s="66"/>
      <c r="RG22" s="66"/>
      <c r="RH22" s="66"/>
      <c r="RI22" s="66"/>
      <c r="RJ22" s="66"/>
      <c r="RK22" s="66"/>
      <c r="RL22" s="66"/>
      <c r="RM22" s="66"/>
      <c r="RN22" s="66"/>
      <c r="RO22" s="66"/>
      <c r="RP22" s="66"/>
      <c r="RQ22" s="66"/>
      <c r="RR22" s="66"/>
      <c r="RS22" s="66"/>
      <c r="RT22" s="66"/>
      <c r="RU22" s="66"/>
      <c r="RV22" s="66"/>
      <c r="RW22" s="66"/>
      <c r="RX22" s="66"/>
      <c r="RY22" s="66"/>
      <c r="RZ22" s="66"/>
      <c r="SA22" s="66"/>
      <c r="SB22" s="66"/>
      <c r="SC22" s="66"/>
      <c r="SD22" s="66"/>
      <c r="SE22" s="66"/>
      <c r="SF22" s="66"/>
      <c r="SG22" s="66"/>
      <c r="SH22" s="66"/>
      <c r="SI22" s="66"/>
      <c r="SJ22" s="66"/>
      <c r="SK22" s="66"/>
      <c r="SL22" s="66"/>
      <c r="SM22" s="66"/>
      <c r="SN22" s="66"/>
      <c r="SO22" s="66"/>
      <c r="SP22" s="66"/>
      <c r="SQ22" s="66"/>
      <c r="SR22" s="66"/>
      <c r="SS22" s="66"/>
      <c r="ST22" s="66"/>
      <c r="SU22" s="66"/>
      <c r="SV22" s="66"/>
      <c r="SW22" s="66"/>
      <c r="SX22" s="66"/>
      <c r="SY22" s="66"/>
      <c r="SZ22" s="66"/>
      <c r="TA22" s="66"/>
      <c r="TB22" s="66"/>
      <c r="TC22" s="66"/>
      <c r="TD22" s="66"/>
      <c r="TE22" s="66"/>
      <c r="TF22" s="66"/>
      <c r="TG22" s="66"/>
      <c r="TH22" s="66"/>
      <c r="TI22" s="66"/>
      <c r="TJ22" s="66"/>
      <c r="TK22" s="66"/>
      <c r="TL22" s="66"/>
      <c r="TM22" s="66"/>
      <c r="TN22" s="66"/>
      <c r="TO22" s="66"/>
      <c r="TP22" s="66"/>
      <c r="TQ22" s="66"/>
      <c r="TR22" s="66"/>
      <c r="TS22" s="66"/>
      <c r="TT22" s="66"/>
      <c r="TU22" s="66"/>
      <c r="TV22" s="66"/>
      <c r="TW22" s="66"/>
      <c r="TX22" s="66"/>
      <c r="TY22" s="66"/>
      <c r="TZ22" s="66"/>
      <c r="UA22" s="66"/>
      <c r="UB22" s="66"/>
      <c r="UC22" s="66"/>
      <c r="UD22" s="66"/>
      <c r="UE22" s="66"/>
      <c r="UF22" s="66"/>
      <c r="UG22" s="66"/>
      <c r="UH22" s="66"/>
      <c r="UI22" s="66"/>
      <c r="UJ22" s="66"/>
      <c r="UK22" s="66"/>
      <c r="UL22" s="66"/>
      <c r="UM22" s="66"/>
      <c r="UN22" s="66"/>
      <c r="UO22" s="66"/>
      <c r="UP22" s="66"/>
      <c r="UQ22" s="66"/>
      <c r="UR22" s="66"/>
      <c r="US22" s="66"/>
      <c r="UT22" s="66"/>
      <c r="UU22" s="66"/>
      <c r="UV22" s="66"/>
      <c r="UW22" s="66"/>
      <c r="UX22" s="66"/>
      <c r="UY22" s="66"/>
      <c r="UZ22" s="66"/>
      <c r="VA22" s="66"/>
      <c r="VB22" s="66"/>
      <c r="VC22" s="66"/>
      <c r="VD22" s="66"/>
      <c r="VE22" s="66"/>
      <c r="VF22" s="66"/>
      <c r="VG22" s="66"/>
      <c r="VH22" s="66"/>
      <c r="VI22" s="66"/>
      <c r="VJ22" s="66"/>
      <c r="VK22" s="66"/>
      <c r="VL22" s="66"/>
      <c r="VM22" s="66"/>
      <c r="VN22" s="66"/>
      <c r="VO22" s="66"/>
      <c r="VP22" s="66"/>
      <c r="VQ22" s="66"/>
      <c r="VR22" s="66"/>
      <c r="VS22" s="66"/>
      <c r="VT22" s="66"/>
      <c r="VU22" s="66"/>
      <c r="VV22" s="66"/>
      <c r="VW22" s="66"/>
      <c r="VX22" s="66"/>
      <c r="VY22" s="66"/>
      <c r="VZ22" s="66"/>
      <c r="WA22" s="66"/>
      <c r="WB22" s="66"/>
      <c r="WC22" s="66"/>
      <c r="WD22" s="66"/>
      <c r="WE22" s="66"/>
      <c r="WF22" s="66"/>
      <c r="WG22" s="66"/>
      <c r="WH22" s="66"/>
      <c r="WI22" s="66"/>
      <c r="WJ22" s="66"/>
      <c r="WK22" s="66"/>
      <c r="WL22" s="66"/>
      <c r="WM22" s="66"/>
      <c r="WN22" s="66"/>
      <c r="WO22" s="66"/>
      <c r="WP22" s="66"/>
      <c r="WQ22" s="66"/>
      <c r="WR22" s="66"/>
      <c r="WS22" s="66"/>
      <c r="WT22" s="66"/>
      <c r="WU22" s="66"/>
      <c r="WV22" s="66"/>
      <c r="WW22" s="66"/>
      <c r="WX22" s="66"/>
      <c r="WY22" s="66"/>
      <c r="WZ22" s="66"/>
      <c r="XA22" s="66"/>
      <c r="XB22" s="66"/>
      <c r="XC22" s="66"/>
      <c r="XD22" s="66"/>
      <c r="XE22" s="66"/>
      <c r="XF22" s="66"/>
      <c r="XG22" s="66"/>
      <c r="XH22" s="66"/>
      <c r="XI22" s="66"/>
      <c r="XJ22" s="66"/>
      <c r="XK22" s="66"/>
      <c r="XL22" s="66"/>
      <c r="XM22" s="66"/>
      <c r="XN22" s="66"/>
      <c r="XO22" s="66"/>
      <c r="XP22" s="66"/>
      <c r="XQ22" s="66"/>
      <c r="XR22" s="66"/>
      <c r="XS22" s="66"/>
      <c r="XT22" s="66"/>
      <c r="XU22" s="66"/>
      <c r="XV22" s="66"/>
      <c r="XW22" s="66"/>
      <c r="XX22" s="66"/>
      <c r="XY22" s="66"/>
      <c r="XZ22" s="66"/>
      <c r="YA22" s="66"/>
      <c r="YB22" s="66"/>
      <c r="YC22" s="66"/>
      <c r="YD22" s="66"/>
      <c r="YE22" s="66"/>
      <c r="YF22" s="66"/>
      <c r="YG22" s="66"/>
      <c r="YH22" s="66"/>
      <c r="YI22" s="66"/>
      <c r="YJ22" s="66"/>
      <c r="YK22" s="66"/>
      <c r="YL22" s="66"/>
      <c r="YM22" s="66"/>
      <c r="YN22" s="66"/>
      <c r="YO22" s="66"/>
      <c r="YP22" s="66"/>
      <c r="YQ22" s="66"/>
      <c r="YR22" s="66"/>
      <c r="YS22" s="66"/>
      <c r="YT22" s="66"/>
      <c r="YU22" s="66"/>
      <c r="YV22" s="66"/>
      <c r="YW22" s="66"/>
      <c r="YX22" s="66"/>
      <c r="YY22" s="66"/>
      <c r="YZ22" s="66"/>
      <c r="ZA22" s="66"/>
      <c r="ZB22" s="66"/>
      <c r="ZC22" s="66"/>
      <c r="ZD22" s="66"/>
      <c r="ZE22" s="66"/>
      <c r="ZF22" s="66"/>
      <c r="ZG22" s="66"/>
      <c r="ZH22" s="66"/>
      <c r="ZI22" s="66"/>
      <c r="ZJ22" s="66"/>
      <c r="ZK22" s="66"/>
      <c r="ZL22" s="66"/>
      <c r="ZM22" s="66"/>
      <c r="ZN22" s="66"/>
      <c r="ZO22" s="66"/>
      <c r="ZP22" s="66"/>
      <c r="ZQ22" s="66"/>
      <c r="ZR22" s="66"/>
      <c r="ZS22" s="66"/>
      <c r="ZT22" s="66"/>
      <c r="ZU22" s="66"/>
      <c r="ZV22" s="66"/>
      <c r="ZW22" s="66"/>
      <c r="ZX22" s="66"/>
      <c r="ZY22" s="66"/>
      <c r="ZZ22" s="66"/>
      <c r="AAA22" s="66"/>
      <c r="AAB22" s="66"/>
      <c r="AAC22" s="66"/>
      <c r="AAD22" s="66"/>
      <c r="AAE22" s="66"/>
      <c r="AAF22" s="66"/>
      <c r="AAG22" s="66"/>
      <c r="AAH22" s="66"/>
      <c r="AAI22" s="66"/>
      <c r="AAJ22" s="66"/>
      <c r="AAK22" s="66"/>
      <c r="AAL22" s="66"/>
      <c r="AAM22" s="66"/>
      <c r="AAN22" s="66"/>
      <c r="AAO22" s="66"/>
      <c r="AAP22" s="66"/>
      <c r="AAQ22" s="66"/>
      <c r="AAR22" s="66"/>
      <c r="AAS22" s="66"/>
      <c r="AAT22" s="66"/>
      <c r="AAU22" s="66"/>
      <c r="AAV22" s="66"/>
      <c r="AAW22" s="66"/>
      <c r="AAX22" s="66"/>
      <c r="AAY22" s="66"/>
      <c r="AAZ22" s="66"/>
      <c r="ABA22" s="66"/>
      <c r="ABB22" s="66"/>
      <c r="ABC22" s="66"/>
      <c r="ABD22" s="66"/>
      <c r="ABE22" s="66"/>
      <c r="ABF22" s="66"/>
      <c r="ABG22" s="66"/>
      <c r="ABH22" s="66"/>
      <c r="ABI22" s="66"/>
      <c r="ABJ22" s="66"/>
      <c r="ABK22" s="66"/>
      <c r="ABL22" s="66"/>
      <c r="ABM22" s="66"/>
      <c r="ABN22" s="66"/>
      <c r="ABO22" s="66"/>
      <c r="ABP22" s="66"/>
      <c r="ABQ22" s="66"/>
      <c r="ABR22" s="66"/>
      <c r="ABS22" s="66"/>
      <c r="ABT22" s="66"/>
      <c r="ABU22" s="66"/>
      <c r="ABV22" s="66"/>
      <c r="ABW22" s="66"/>
      <c r="ABX22" s="66"/>
      <c r="ABY22" s="66"/>
      <c r="ABZ22" s="66"/>
      <c r="ACA22" s="66"/>
      <c r="ACB22" s="66"/>
      <c r="ACC22" s="66"/>
      <c r="ACD22" s="66"/>
      <c r="ACE22" s="66"/>
      <c r="ACF22" s="66"/>
      <c r="ACG22" s="66"/>
      <c r="ACH22" s="66"/>
      <c r="ACI22" s="66"/>
      <c r="ACJ22" s="66"/>
      <c r="ACK22" s="66"/>
      <c r="ACL22" s="66"/>
      <c r="ACM22" s="66"/>
      <c r="ACN22" s="66"/>
      <c r="ACO22" s="66"/>
      <c r="ACP22" s="66"/>
      <c r="ACQ22" s="66"/>
      <c r="ACR22" s="66"/>
      <c r="ACS22" s="66"/>
      <c r="ACT22" s="66"/>
      <c r="ACU22" s="66"/>
      <c r="ACV22" s="66"/>
      <c r="ACW22" s="66"/>
      <c r="ACX22" s="66"/>
      <c r="ACY22" s="66"/>
      <c r="ACZ22" s="66"/>
      <c r="ADA22" s="66"/>
      <c r="ADB22" s="66"/>
      <c r="ADC22" s="66"/>
      <c r="ADD22" s="66"/>
      <c r="ADE22" s="66"/>
      <c r="ADF22" s="66"/>
      <c r="ADG22" s="66"/>
      <c r="ADH22" s="66"/>
      <c r="ADI22" s="66"/>
      <c r="ADJ22" s="66"/>
      <c r="ADK22" s="66"/>
      <c r="ADL22" s="66"/>
      <c r="ADM22" s="66"/>
      <c r="ADN22" s="66"/>
      <c r="ADO22" s="66"/>
      <c r="ADP22" s="66"/>
      <c r="ADQ22" s="66"/>
      <c r="ADR22" s="66"/>
      <c r="ADS22" s="66"/>
      <c r="ADT22" s="66"/>
      <c r="ADU22" s="66"/>
      <c r="ADV22" s="66"/>
      <c r="ADW22" s="66"/>
      <c r="ADX22" s="66"/>
      <c r="ADY22" s="66"/>
      <c r="ADZ22" s="66"/>
      <c r="AEA22" s="66"/>
      <c r="AEB22" s="66"/>
      <c r="AEC22" s="66"/>
      <c r="AED22" s="66"/>
      <c r="AEE22" s="66"/>
      <c r="AEF22" s="66"/>
      <c r="AEG22" s="66"/>
      <c r="AEH22" s="66"/>
      <c r="AEI22" s="66"/>
      <c r="AEJ22" s="66"/>
      <c r="AEK22" s="66"/>
      <c r="AEL22" s="66"/>
      <c r="AEM22" s="66"/>
      <c r="AEN22" s="66"/>
      <c r="AEO22" s="66"/>
      <c r="AEP22" s="66"/>
      <c r="AEQ22" s="66"/>
      <c r="AER22" s="66"/>
      <c r="AES22" s="66"/>
      <c r="AET22" s="66"/>
      <c r="AEU22" s="66"/>
      <c r="AEV22" s="66"/>
      <c r="AEW22" s="66"/>
      <c r="AEX22" s="66"/>
      <c r="AEY22" s="66"/>
      <c r="AEZ22" s="66"/>
      <c r="AFA22" s="66"/>
      <c r="AFB22" s="66"/>
      <c r="AFC22" s="66"/>
      <c r="AFD22" s="66"/>
      <c r="AFE22" s="66"/>
      <c r="AFF22" s="66"/>
      <c r="AFG22" s="66"/>
      <c r="AFH22" s="66"/>
      <c r="AFI22" s="66"/>
      <c r="AFJ22" s="66"/>
      <c r="AFK22" s="66"/>
      <c r="AFL22" s="66"/>
      <c r="AFM22" s="66"/>
      <c r="AFN22" s="66"/>
      <c r="AFO22" s="66"/>
      <c r="AFP22" s="66"/>
      <c r="AFQ22" s="66"/>
      <c r="AFR22" s="66"/>
      <c r="AFS22" s="66"/>
      <c r="AFT22" s="66"/>
      <c r="AFU22" s="66"/>
      <c r="AFV22" s="66"/>
      <c r="AFW22" s="66"/>
      <c r="AFX22" s="66"/>
      <c r="AFY22" s="66"/>
      <c r="AFZ22" s="66"/>
      <c r="AGA22" s="66"/>
      <c r="AGB22" s="66"/>
      <c r="AGC22" s="66"/>
      <c r="AGD22" s="66"/>
      <c r="AGE22" s="66"/>
      <c r="AGF22" s="66"/>
      <c r="AGG22" s="66"/>
      <c r="AGH22" s="66"/>
      <c r="AGI22" s="66"/>
      <c r="AGJ22" s="66"/>
      <c r="AGK22" s="66"/>
      <c r="AGL22" s="66"/>
      <c r="AGM22" s="66"/>
      <c r="AGN22" s="66"/>
      <c r="AGO22" s="66"/>
      <c r="AGP22" s="66"/>
      <c r="AGQ22" s="66"/>
      <c r="AGR22" s="66"/>
      <c r="AGS22" s="66"/>
      <c r="AGT22" s="66"/>
      <c r="AGU22" s="66"/>
      <c r="AGV22" s="66"/>
      <c r="AGW22" s="66"/>
      <c r="AGX22" s="66"/>
      <c r="AGY22" s="66"/>
      <c r="AGZ22" s="66"/>
      <c r="AHA22" s="66"/>
      <c r="AHB22" s="66"/>
      <c r="AHC22" s="66"/>
      <c r="AHD22" s="66"/>
      <c r="AHE22" s="66"/>
      <c r="AHF22" s="66"/>
      <c r="AHG22" s="66"/>
      <c r="AHH22" s="66"/>
      <c r="AHI22" s="66"/>
      <c r="AHJ22" s="66"/>
      <c r="AHK22" s="66"/>
      <c r="AHL22" s="66"/>
      <c r="AHM22" s="66"/>
      <c r="AHN22" s="66"/>
      <c r="AHO22" s="66"/>
      <c r="AHP22" s="66"/>
      <c r="AHQ22" s="66"/>
      <c r="AHR22" s="66"/>
      <c r="AHS22" s="66"/>
      <c r="AHT22" s="66"/>
      <c r="AHU22" s="66"/>
      <c r="AHV22" s="66"/>
      <c r="AHW22" s="66"/>
      <c r="AHX22" s="66"/>
      <c r="AHY22" s="66"/>
      <c r="AHZ22" s="66"/>
      <c r="AIA22" s="66"/>
      <c r="AIB22" s="66"/>
      <c r="AIC22" s="66"/>
      <c r="AID22" s="66"/>
      <c r="AIE22" s="66"/>
      <c r="AIF22" s="66"/>
      <c r="AIG22" s="66"/>
      <c r="AIH22" s="66"/>
      <c r="AII22" s="66"/>
      <c r="AIJ22" s="66"/>
      <c r="AIK22" s="66"/>
      <c r="AIL22" s="66"/>
      <c r="AIM22" s="66"/>
      <c r="AIN22" s="66"/>
      <c r="AIO22" s="66"/>
      <c r="AIP22" s="66"/>
      <c r="AIQ22" s="66"/>
      <c r="AIR22" s="66"/>
      <c r="AIS22" s="66"/>
      <c r="AIT22" s="66"/>
      <c r="AIU22" s="66"/>
      <c r="AIV22" s="66"/>
      <c r="AIW22" s="66"/>
      <c r="AIX22" s="66"/>
      <c r="AIY22" s="66"/>
      <c r="AIZ22" s="66"/>
      <c r="AJA22" s="66"/>
      <c r="AJB22" s="66"/>
      <c r="AJC22" s="66"/>
      <c r="AJD22" s="66"/>
      <c r="AJE22" s="66"/>
      <c r="AJF22" s="66"/>
      <c r="AJG22" s="66"/>
      <c r="AJH22" s="66"/>
      <c r="AJI22" s="66"/>
      <c r="AJJ22" s="66"/>
      <c r="AJK22" s="66"/>
      <c r="AJL22" s="66"/>
      <c r="AJM22" s="66"/>
      <c r="AJN22" s="66"/>
      <c r="AJO22" s="66"/>
      <c r="AJP22" s="66"/>
      <c r="AJQ22" s="66"/>
      <c r="AJR22" s="66"/>
      <c r="AJS22" s="66"/>
      <c r="AJT22" s="66"/>
      <c r="AJU22" s="66"/>
      <c r="AJV22" s="66"/>
      <c r="AJW22" s="66"/>
      <c r="AJX22" s="66"/>
      <c r="AJY22" s="66"/>
      <c r="AJZ22" s="66"/>
      <c r="AKA22" s="66"/>
      <c r="AKB22" s="66"/>
      <c r="AKC22" s="66"/>
      <c r="AKD22" s="66"/>
      <c r="AKE22" s="66"/>
      <c r="AKF22" s="66"/>
      <c r="AKG22" s="66"/>
      <c r="AKH22" s="66"/>
      <c r="AKI22" s="66"/>
      <c r="AKJ22" s="66"/>
      <c r="AKK22" s="66"/>
      <c r="AKL22" s="66"/>
      <c r="AKM22" s="66"/>
      <c r="AKN22" s="66"/>
      <c r="AKO22" s="66"/>
      <c r="AKP22" s="66"/>
      <c r="AKQ22" s="66"/>
      <c r="AKR22" s="66"/>
      <c r="AKS22" s="66"/>
      <c r="AKT22" s="66"/>
      <c r="AKU22" s="66"/>
      <c r="AKV22" s="66"/>
      <c r="AKW22" s="66"/>
      <c r="AKX22" s="66"/>
      <c r="AKY22" s="66"/>
      <c r="AKZ22" s="66"/>
      <c r="ALA22" s="66"/>
      <c r="ALB22" s="66"/>
      <c r="ALC22" s="66"/>
      <c r="ALD22" s="66"/>
      <c r="ALE22" s="66"/>
      <c r="ALF22" s="66"/>
      <c r="ALG22" s="66"/>
      <c r="ALH22" s="66"/>
      <c r="ALI22" s="66"/>
      <c r="ALJ22" s="66"/>
      <c r="ALK22" s="66"/>
      <c r="ALL22" s="66"/>
      <c r="ALM22" s="66"/>
      <c r="ALN22" s="66"/>
      <c r="ALO22" s="66"/>
      <c r="ALP22" s="66"/>
      <c r="ALQ22" s="66"/>
      <c r="ALR22" s="66"/>
      <c r="ALS22" s="66"/>
      <c r="ALT22" s="66"/>
      <c r="ALU22" s="66"/>
      <c r="ALV22" s="66"/>
      <c r="ALW22" s="66"/>
      <c r="ALX22" s="66"/>
      <c r="ALY22" s="66"/>
      <c r="ALZ22" s="66"/>
      <c r="AMA22" s="66"/>
      <c r="AMB22" s="66"/>
      <c r="AMC22" s="66"/>
      <c r="AMD22" s="66"/>
      <c r="AME22" s="66"/>
      <c r="AMF22" s="66"/>
      <c r="AMG22" s="66"/>
      <c r="AMH22" s="66"/>
      <c r="AMI22" s="66"/>
      <c r="AMJ22" s="66"/>
      <c r="AMK22" s="66"/>
      <c r="AML22" s="66"/>
      <c r="AMM22" s="66"/>
      <c r="AMN22" s="66"/>
      <c r="AMO22" s="66"/>
      <c r="AMP22" s="66"/>
      <c r="AMQ22" s="66"/>
      <c r="AMR22" s="66"/>
      <c r="AMS22" s="66"/>
      <c r="AMT22" s="66"/>
      <c r="AMU22" s="66"/>
      <c r="AMV22" s="66"/>
      <c r="AMW22" s="66"/>
      <c r="AMX22" s="66"/>
      <c r="AMY22" s="66"/>
      <c r="AMZ22" s="66"/>
      <c r="ANA22" s="66"/>
      <c r="ANB22" s="66"/>
      <c r="ANC22" s="66"/>
      <c r="AND22" s="66"/>
      <c r="ANE22" s="66"/>
      <c r="ANF22" s="66"/>
      <c r="ANG22" s="66"/>
      <c r="ANH22" s="66"/>
      <c r="ANI22" s="66"/>
      <c r="ANJ22" s="66"/>
      <c r="ANK22" s="66"/>
      <c r="ANL22" s="66"/>
      <c r="ANM22" s="66"/>
      <c r="ANN22" s="66"/>
      <c r="ANO22" s="66"/>
      <c r="ANP22" s="66"/>
      <c r="ANQ22" s="66"/>
      <c r="ANR22" s="66"/>
      <c r="ANS22" s="66"/>
      <c r="ANT22" s="66"/>
      <c r="ANU22" s="66"/>
      <c r="ANV22" s="66"/>
      <c r="ANW22" s="66"/>
      <c r="ANX22" s="66"/>
      <c r="ANY22" s="66"/>
      <c r="ANZ22" s="66"/>
      <c r="AOA22" s="66"/>
      <c r="AOB22" s="66"/>
      <c r="AOC22" s="66"/>
      <c r="AOD22" s="66"/>
      <c r="AOE22" s="66"/>
      <c r="AOF22" s="66"/>
      <c r="AOG22" s="66"/>
      <c r="AOH22" s="66"/>
      <c r="AOI22" s="66"/>
      <c r="AOJ22" s="66"/>
      <c r="AOK22" s="66"/>
      <c r="AOL22" s="66"/>
      <c r="AOM22" s="66"/>
      <c r="AON22" s="66"/>
      <c r="AOO22" s="66"/>
      <c r="AOP22" s="66"/>
      <c r="AOQ22" s="66"/>
      <c r="AOR22" s="66"/>
      <c r="AOS22" s="66"/>
      <c r="AOT22" s="66"/>
      <c r="AOU22" s="66"/>
      <c r="AOV22" s="66"/>
      <c r="AOW22" s="66"/>
      <c r="AOX22" s="66"/>
      <c r="AOY22" s="66"/>
      <c r="AOZ22" s="66"/>
      <c r="APA22" s="66"/>
      <c r="APB22" s="66"/>
      <c r="APC22" s="66"/>
      <c r="APD22" s="66"/>
      <c r="APE22" s="66"/>
      <c r="APF22" s="66"/>
      <c r="APG22" s="66"/>
      <c r="APH22" s="66"/>
      <c r="API22" s="66"/>
      <c r="APJ22" s="66"/>
      <c r="APK22" s="66"/>
      <c r="APL22" s="66"/>
      <c r="APM22" s="66"/>
      <c r="APN22" s="66"/>
      <c r="APO22" s="66"/>
      <c r="APP22" s="66"/>
      <c r="APQ22" s="66"/>
      <c r="APR22" s="66"/>
      <c r="APS22" s="66"/>
      <c r="APT22" s="66"/>
      <c r="APU22" s="66"/>
      <c r="APV22" s="66"/>
      <c r="APW22" s="66"/>
      <c r="APX22" s="66"/>
      <c r="APY22" s="66"/>
      <c r="APZ22" s="66"/>
      <c r="AQA22" s="66"/>
      <c r="AQB22" s="66"/>
      <c r="AQC22" s="66"/>
      <c r="AQD22" s="66"/>
      <c r="AQE22" s="66"/>
      <c r="AQF22" s="66"/>
      <c r="AQG22" s="66"/>
      <c r="AQH22" s="66"/>
      <c r="AQI22" s="66"/>
      <c r="AQJ22" s="66"/>
      <c r="AQK22" s="66"/>
      <c r="AQL22" s="66"/>
      <c r="AQM22" s="66"/>
      <c r="AQN22" s="66"/>
      <c r="AQO22" s="66"/>
      <c r="AQP22" s="66"/>
      <c r="AQQ22" s="66"/>
      <c r="AQR22" s="66"/>
      <c r="AQS22" s="66"/>
      <c r="AQT22" s="66"/>
      <c r="AQU22" s="66"/>
      <c r="AQV22" s="66"/>
      <c r="AQW22" s="66"/>
      <c r="AQX22" s="66"/>
      <c r="AQY22" s="66"/>
      <c r="AQZ22" s="66"/>
      <c r="ARA22" s="66"/>
      <c r="ARB22" s="66"/>
      <c r="ARC22" s="66"/>
      <c r="ARD22" s="66"/>
      <c r="ARE22" s="66"/>
      <c r="ARF22" s="66"/>
      <c r="ARG22" s="66"/>
      <c r="ARH22" s="66"/>
      <c r="ARI22" s="66"/>
      <c r="ARJ22" s="66"/>
      <c r="ARK22" s="66"/>
      <c r="ARL22" s="66"/>
      <c r="ARM22" s="66"/>
      <c r="ARN22" s="66"/>
      <c r="ARO22" s="66"/>
      <c r="ARP22" s="66"/>
      <c r="ARQ22" s="66"/>
      <c r="ARR22" s="66"/>
      <c r="ARS22" s="66"/>
      <c r="ART22" s="66"/>
      <c r="ARU22" s="66"/>
      <c r="ARV22" s="66"/>
      <c r="ARW22" s="66"/>
      <c r="ARX22" s="66"/>
      <c r="ARY22" s="66"/>
      <c r="ARZ22" s="66"/>
      <c r="ASA22" s="66"/>
      <c r="ASB22" s="66"/>
      <c r="ASC22" s="66"/>
      <c r="ASD22" s="66"/>
      <c r="ASE22" s="66"/>
      <c r="ASF22" s="66"/>
      <c r="ASG22" s="66"/>
      <c r="ASH22" s="66"/>
      <c r="ASI22" s="66"/>
      <c r="ASJ22" s="66"/>
      <c r="ASK22" s="66"/>
      <c r="ASL22" s="66"/>
      <c r="ASM22" s="66"/>
      <c r="ASN22" s="66"/>
      <c r="ASO22" s="66"/>
      <c r="ASP22" s="66"/>
      <c r="ASQ22" s="66"/>
      <c r="ASR22" s="66"/>
      <c r="ASS22" s="66"/>
      <c r="AST22" s="66"/>
      <c r="ASU22" s="66"/>
      <c r="ASV22" s="66"/>
      <c r="ASW22" s="66"/>
      <c r="ASX22" s="66"/>
      <c r="ASY22" s="66"/>
      <c r="ASZ22" s="66"/>
      <c r="ATA22" s="66"/>
      <c r="ATB22" s="66"/>
      <c r="ATC22" s="66"/>
      <c r="ATD22" s="66"/>
      <c r="ATE22" s="66"/>
      <c r="ATF22" s="66"/>
      <c r="ATG22" s="66"/>
      <c r="ATH22" s="66"/>
      <c r="ATI22" s="66"/>
      <c r="ATJ22" s="66"/>
      <c r="ATK22" s="66"/>
      <c r="ATL22" s="66"/>
      <c r="ATM22" s="66"/>
      <c r="ATN22" s="66"/>
      <c r="ATO22" s="66"/>
      <c r="ATP22" s="66"/>
      <c r="ATQ22" s="66"/>
      <c r="ATR22" s="66"/>
      <c r="ATS22" s="66"/>
      <c r="ATT22" s="66"/>
      <c r="ATU22" s="66"/>
      <c r="ATV22" s="66"/>
      <c r="ATW22" s="66"/>
      <c r="ATX22" s="66"/>
      <c r="ATY22" s="66"/>
      <c r="ATZ22" s="66"/>
      <c r="AUA22" s="66"/>
      <c r="AUB22" s="66"/>
      <c r="AUC22" s="66"/>
      <c r="AUD22" s="66"/>
      <c r="AUE22" s="66"/>
      <c r="AUF22" s="66"/>
      <c r="AUG22" s="66"/>
      <c r="AUH22" s="66"/>
      <c r="AUI22" s="66"/>
      <c r="AUJ22" s="66"/>
      <c r="AUK22" s="66"/>
      <c r="AUL22" s="66"/>
      <c r="AUM22" s="66"/>
      <c r="AUN22" s="66"/>
      <c r="AUO22" s="66"/>
      <c r="AUP22" s="66"/>
      <c r="AUQ22" s="66"/>
      <c r="AUR22" s="66"/>
      <c r="AUS22" s="66"/>
      <c r="AUT22" s="66"/>
      <c r="AUU22" s="66"/>
      <c r="AUV22" s="66"/>
      <c r="AUW22" s="66"/>
      <c r="AUX22" s="66"/>
      <c r="AUY22" s="66"/>
      <c r="AUZ22" s="66"/>
      <c r="AVA22" s="66"/>
      <c r="AVB22" s="66"/>
      <c r="AVC22" s="66"/>
      <c r="AVD22" s="66"/>
      <c r="AVE22" s="66"/>
      <c r="AVF22" s="66"/>
      <c r="AVG22" s="66"/>
      <c r="AVH22" s="66"/>
      <c r="AVI22" s="66"/>
      <c r="AVJ22" s="66"/>
      <c r="AVK22" s="66"/>
      <c r="AVL22" s="66"/>
      <c r="AVM22" s="66"/>
      <c r="AVN22" s="66"/>
      <c r="AVO22" s="66"/>
      <c r="AVP22" s="66"/>
      <c r="AVQ22" s="66"/>
      <c r="AVR22" s="66"/>
      <c r="AVS22" s="66"/>
      <c r="AVT22" s="66"/>
      <c r="AVU22" s="66"/>
      <c r="AVV22" s="66"/>
      <c r="AVW22" s="66"/>
      <c r="AVX22" s="66"/>
      <c r="AVY22" s="66"/>
      <c r="AVZ22" s="66"/>
      <c r="AWA22" s="66"/>
      <c r="AWB22" s="66"/>
      <c r="AWC22" s="66"/>
      <c r="AWD22" s="66"/>
      <c r="AWE22" s="66"/>
      <c r="AWF22" s="66"/>
      <c r="AWG22" s="66"/>
      <c r="AWH22" s="66"/>
      <c r="AWI22" s="66"/>
      <c r="AWJ22" s="66"/>
      <c r="AWK22" s="66"/>
      <c r="AWL22" s="66"/>
      <c r="AWM22" s="66"/>
      <c r="AWN22" s="66"/>
      <c r="AWO22" s="66"/>
      <c r="AWP22" s="66"/>
      <c r="AWQ22" s="66"/>
      <c r="AWR22" s="66"/>
      <c r="AWS22" s="66"/>
      <c r="AWT22" s="66"/>
      <c r="AWU22" s="66"/>
      <c r="AWV22" s="66"/>
      <c r="AWW22" s="66"/>
      <c r="AWX22" s="66"/>
      <c r="AWY22" s="66"/>
      <c r="AWZ22" s="66"/>
      <c r="AXA22" s="66"/>
      <c r="AXB22" s="66"/>
      <c r="AXC22" s="66"/>
      <c r="AXD22" s="66"/>
      <c r="AXE22" s="66"/>
      <c r="AXF22" s="66"/>
      <c r="AXG22" s="66"/>
      <c r="AXH22" s="66"/>
      <c r="AXI22" s="66"/>
      <c r="AXJ22" s="66"/>
      <c r="AXK22" s="66"/>
      <c r="AXL22" s="66"/>
      <c r="AXM22" s="66"/>
      <c r="AXN22" s="66"/>
      <c r="AXO22" s="66"/>
      <c r="AXP22" s="66"/>
      <c r="AXQ22" s="66"/>
      <c r="AXR22" s="66"/>
      <c r="AXS22" s="66"/>
      <c r="AXT22" s="66"/>
      <c r="AXU22" s="66"/>
      <c r="AXV22" s="66"/>
      <c r="AXW22" s="66"/>
      <c r="AXX22" s="66"/>
      <c r="AXY22" s="66"/>
      <c r="AXZ22" s="66"/>
      <c r="AYA22" s="66"/>
      <c r="AYB22" s="66"/>
      <c r="AYC22" s="66"/>
      <c r="AYD22" s="66"/>
      <c r="AYE22" s="66"/>
      <c r="AYF22" s="66"/>
      <c r="AYG22" s="66"/>
      <c r="AYH22" s="66"/>
      <c r="AYI22" s="66"/>
      <c r="AYJ22" s="66"/>
      <c r="AYK22" s="66"/>
      <c r="AYL22" s="66"/>
      <c r="AYM22" s="66"/>
      <c r="AYN22" s="66"/>
      <c r="AYO22" s="66"/>
      <c r="AYP22" s="66"/>
      <c r="AYQ22" s="66"/>
      <c r="AYR22" s="66"/>
      <c r="AYS22" s="66"/>
      <c r="AYT22" s="66"/>
      <c r="AYU22" s="66"/>
      <c r="AYV22" s="66"/>
      <c r="AYW22" s="66"/>
      <c r="AYX22" s="66"/>
      <c r="AYY22" s="66"/>
      <c r="AYZ22" s="66"/>
      <c r="AZA22" s="66"/>
      <c r="AZB22" s="66"/>
      <c r="AZC22" s="66"/>
      <c r="AZD22" s="66"/>
      <c r="AZE22" s="66"/>
      <c r="AZF22" s="66"/>
      <c r="AZG22" s="66"/>
      <c r="AZH22" s="66"/>
      <c r="AZI22" s="66"/>
      <c r="AZJ22" s="66"/>
      <c r="AZK22" s="66"/>
      <c r="AZL22" s="66"/>
      <c r="AZM22" s="66"/>
      <c r="AZN22" s="66"/>
      <c r="AZO22" s="66"/>
      <c r="AZP22" s="66"/>
      <c r="AZQ22" s="66"/>
      <c r="AZR22" s="66"/>
      <c r="AZS22" s="66"/>
      <c r="AZT22" s="66"/>
      <c r="AZU22" s="66"/>
      <c r="AZV22" s="66"/>
      <c r="AZW22" s="66"/>
      <c r="AZX22" s="66"/>
      <c r="AZY22" s="66"/>
      <c r="AZZ22" s="66"/>
      <c r="BAA22" s="66"/>
      <c r="BAB22" s="66"/>
      <c r="BAC22" s="66"/>
      <c r="BAD22" s="66"/>
      <c r="BAE22" s="66"/>
      <c r="BAF22" s="66"/>
      <c r="BAG22" s="66"/>
      <c r="BAH22" s="66"/>
      <c r="BAI22" s="66"/>
      <c r="BAJ22" s="66"/>
      <c r="BAK22" s="66"/>
      <c r="BAL22" s="66"/>
      <c r="BAM22" s="66"/>
      <c r="BAN22" s="66"/>
      <c r="BAO22" s="66"/>
      <c r="BAP22" s="66"/>
      <c r="BAQ22" s="66"/>
      <c r="BAR22" s="66"/>
      <c r="BAS22" s="66"/>
      <c r="BAT22" s="66"/>
      <c r="BAU22" s="66"/>
      <c r="BAV22" s="66"/>
      <c r="BAW22" s="66"/>
      <c r="BAX22" s="66"/>
      <c r="BAY22" s="66"/>
      <c r="BAZ22" s="66"/>
      <c r="BBA22" s="66"/>
      <c r="BBB22" s="66"/>
      <c r="BBC22" s="66"/>
      <c r="BBD22" s="66"/>
      <c r="BBE22" s="66"/>
      <c r="BBF22" s="66"/>
      <c r="BBG22" s="66"/>
      <c r="BBH22" s="66"/>
      <c r="BBI22" s="66"/>
      <c r="BBJ22" s="66"/>
      <c r="BBK22" s="66"/>
      <c r="BBL22" s="66"/>
      <c r="BBM22" s="66"/>
      <c r="BBN22" s="66"/>
      <c r="BBO22" s="66"/>
      <c r="BBP22" s="66"/>
      <c r="BBQ22" s="66"/>
      <c r="BBR22" s="66"/>
      <c r="BBS22" s="66"/>
      <c r="BBT22" s="66"/>
      <c r="BBU22" s="66"/>
      <c r="BBV22" s="66"/>
      <c r="BBW22" s="66"/>
      <c r="BBX22" s="66"/>
      <c r="BBY22" s="66"/>
      <c r="BBZ22" s="66"/>
      <c r="BCA22" s="66"/>
      <c r="BCB22" s="66"/>
      <c r="BCC22" s="66"/>
      <c r="BCD22" s="66"/>
      <c r="BCE22" s="66"/>
      <c r="BCF22" s="66"/>
      <c r="BCG22" s="66"/>
      <c r="BCH22" s="66"/>
      <c r="BCI22" s="66"/>
      <c r="BCJ22" s="66"/>
      <c r="BCK22" s="66"/>
      <c r="BCL22" s="66"/>
      <c r="BCM22" s="66"/>
      <c r="BCN22" s="66"/>
      <c r="BCO22" s="66"/>
      <c r="BCP22" s="66"/>
      <c r="BCQ22" s="66"/>
      <c r="BCR22" s="66"/>
      <c r="BCS22" s="66"/>
      <c r="BCT22" s="66"/>
      <c r="BCU22" s="66"/>
      <c r="BCV22" s="66"/>
      <c r="BCW22" s="66"/>
      <c r="BCX22" s="66"/>
      <c r="BCY22" s="66"/>
      <c r="BCZ22" s="66"/>
      <c r="BDA22" s="66"/>
      <c r="BDB22" s="66"/>
      <c r="BDC22" s="66"/>
      <c r="BDD22" s="66"/>
      <c r="BDE22" s="66"/>
      <c r="BDF22" s="66"/>
      <c r="BDG22" s="66"/>
      <c r="BDH22" s="66"/>
      <c r="BDI22" s="66"/>
      <c r="BDJ22" s="66"/>
      <c r="BDK22" s="66"/>
      <c r="BDL22" s="66"/>
      <c r="BDM22" s="66"/>
      <c r="BDN22" s="66"/>
      <c r="BDO22" s="66"/>
      <c r="BDP22" s="66"/>
      <c r="BDQ22" s="66"/>
      <c r="BDR22" s="66"/>
      <c r="BDS22" s="66"/>
      <c r="BDT22" s="66"/>
      <c r="BDU22" s="66"/>
      <c r="BDV22" s="66"/>
      <c r="BDW22" s="66"/>
      <c r="BDX22" s="66"/>
      <c r="BDY22" s="66"/>
      <c r="BDZ22" s="66"/>
      <c r="BEA22" s="66"/>
      <c r="BEB22" s="66"/>
      <c r="BEC22" s="66"/>
      <c r="BED22" s="66"/>
      <c r="BEE22" s="66"/>
      <c r="BEF22" s="66"/>
      <c r="BEG22" s="66"/>
      <c r="BEH22" s="66"/>
      <c r="BEI22" s="66"/>
      <c r="BEJ22" s="66"/>
      <c r="BEK22" s="66"/>
      <c r="BEL22" s="66"/>
      <c r="BEM22" s="66"/>
      <c r="BEN22" s="66"/>
      <c r="BEO22" s="66"/>
      <c r="BEP22" s="66"/>
      <c r="BEQ22" s="66"/>
      <c r="BER22" s="66"/>
      <c r="BES22" s="66"/>
      <c r="BET22" s="66"/>
      <c r="BEU22" s="66"/>
      <c r="BEV22" s="66"/>
      <c r="BEW22" s="66"/>
      <c r="BEX22" s="66"/>
      <c r="BEY22" s="66"/>
      <c r="BEZ22" s="66"/>
      <c r="BFA22" s="66"/>
      <c r="BFB22" s="66"/>
      <c r="BFC22" s="66"/>
      <c r="BFD22" s="66"/>
      <c r="BFE22" s="66"/>
      <c r="BFF22" s="66"/>
      <c r="BFG22" s="66"/>
      <c r="BFH22" s="66"/>
      <c r="BFI22" s="66"/>
      <c r="BFJ22" s="66"/>
      <c r="BFK22" s="66"/>
      <c r="BFL22" s="66"/>
      <c r="BFM22" s="66"/>
      <c r="BFN22" s="66"/>
      <c r="BFO22" s="66"/>
      <c r="BFP22" s="66"/>
      <c r="BFQ22" s="66"/>
      <c r="BFR22" s="66"/>
      <c r="BFS22" s="66"/>
      <c r="BFT22" s="66"/>
      <c r="BFU22" s="66"/>
      <c r="BFV22" s="66"/>
      <c r="BFW22" s="66"/>
      <c r="BFX22" s="66"/>
      <c r="BFY22" s="66"/>
      <c r="BFZ22" s="66"/>
      <c r="BGA22" s="66"/>
      <c r="BGB22" s="66"/>
      <c r="BGC22" s="66"/>
      <c r="BGD22" s="66"/>
      <c r="BGE22" s="66"/>
      <c r="BGF22" s="66"/>
      <c r="BGG22" s="66"/>
      <c r="BGH22" s="66"/>
      <c r="BGI22" s="66"/>
      <c r="BGJ22" s="66"/>
      <c r="BGK22" s="66"/>
      <c r="BGL22" s="66"/>
      <c r="BGM22" s="66"/>
      <c r="BGN22" s="66"/>
      <c r="BGO22" s="66"/>
      <c r="BGP22" s="66"/>
      <c r="BGQ22" s="66"/>
      <c r="BGR22" s="66"/>
      <c r="BGS22" s="66"/>
      <c r="BGT22" s="66"/>
      <c r="BGU22" s="66"/>
      <c r="BGV22" s="66"/>
      <c r="BGW22" s="66"/>
      <c r="BGX22" s="66"/>
      <c r="BGY22" s="66"/>
      <c r="BGZ22" s="66"/>
      <c r="BHA22" s="66"/>
      <c r="BHB22" s="66"/>
      <c r="BHC22" s="66"/>
      <c r="BHD22" s="66"/>
      <c r="BHE22" s="66"/>
      <c r="BHF22" s="66"/>
      <c r="BHG22" s="66"/>
      <c r="BHH22" s="66"/>
      <c r="BHI22" s="66"/>
      <c r="BHJ22" s="66"/>
      <c r="BHK22" s="66"/>
      <c r="BHL22" s="66"/>
      <c r="BHM22" s="66"/>
      <c r="BHN22" s="66"/>
      <c r="BHO22" s="66"/>
      <c r="BHP22" s="66"/>
      <c r="BHQ22" s="66"/>
      <c r="BHR22" s="66"/>
      <c r="BHS22" s="66"/>
      <c r="BHT22" s="66"/>
      <c r="BHU22" s="66"/>
      <c r="BHV22" s="66"/>
      <c r="BHW22" s="66"/>
      <c r="BHX22" s="66"/>
      <c r="BHY22" s="66"/>
      <c r="BHZ22" s="66"/>
      <c r="BIA22" s="66"/>
      <c r="BIB22" s="66"/>
      <c r="BIC22" s="66"/>
      <c r="BID22" s="66"/>
      <c r="BIE22" s="66"/>
      <c r="BIF22" s="66"/>
      <c r="BIG22" s="66"/>
      <c r="BIH22" s="66"/>
      <c r="BII22" s="66"/>
      <c r="BIJ22" s="66"/>
      <c r="BIK22" s="66"/>
      <c r="BIL22" s="66"/>
      <c r="BIM22" s="66"/>
      <c r="BIN22" s="66"/>
      <c r="BIO22" s="66"/>
      <c r="BIP22" s="66"/>
      <c r="BIQ22" s="66"/>
      <c r="BIR22" s="66"/>
      <c r="BIS22" s="66"/>
      <c r="BIT22" s="66"/>
      <c r="BIU22" s="66"/>
      <c r="BIV22" s="66"/>
      <c r="BIW22" s="66"/>
      <c r="BIX22" s="66"/>
      <c r="BIY22" s="66"/>
      <c r="BIZ22" s="66"/>
      <c r="BJA22" s="66"/>
      <c r="BJB22" s="66"/>
      <c r="BJC22" s="66"/>
      <c r="BJD22" s="66"/>
      <c r="BJE22" s="66"/>
      <c r="BJF22" s="66"/>
      <c r="BJG22" s="66"/>
      <c r="BJH22" s="66"/>
      <c r="BJI22" s="66"/>
      <c r="BJJ22" s="66"/>
      <c r="BJK22" s="66"/>
      <c r="BJL22" s="66"/>
      <c r="BJM22" s="66"/>
      <c r="BJN22" s="66"/>
      <c r="BJO22" s="66"/>
      <c r="BJP22" s="66"/>
      <c r="BJQ22" s="66"/>
      <c r="BJR22" s="66"/>
      <c r="BJS22" s="66"/>
      <c r="BJT22" s="66"/>
      <c r="BJU22" s="66"/>
      <c r="BJV22" s="66"/>
      <c r="BJW22" s="66"/>
      <c r="BJX22" s="66"/>
      <c r="BJY22" s="66"/>
      <c r="BJZ22" s="66"/>
      <c r="BKA22" s="66"/>
      <c r="BKB22" s="66"/>
      <c r="BKC22" s="66"/>
      <c r="BKD22" s="66"/>
      <c r="BKE22" s="66"/>
      <c r="BKF22" s="66"/>
      <c r="BKG22" s="66"/>
      <c r="BKH22" s="66"/>
      <c r="BKI22" s="66"/>
      <c r="BKJ22" s="66"/>
      <c r="BKK22" s="66"/>
      <c r="BKL22" s="66"/>
      <c r="BKM22" s="66"/>
      <c r="BKN22" s="66"/>
      <c r="BKO22" s="66"/>
      <c r="BKP22" s="66"/>
      <c r="BKQ22" s="66"/>
      <c r="BKR22" s="66"/>
      <c r="BKS22" s="66"/>
      <c r="BKT22" s="66"/>
      <c r="BKU22" s="66"/>
      <c r="BKV22" s="66"/>
      <c r="BKW22" s="66"/>
      <c r="BKX22" s="66"/>
      <c r="BKY22" s="66"/>
      <c r="BKZ22" s="66"/>
      <c r="BLA22" s="66"/>
      <c r="BLB22" s="66"/>
      <c r="BLC22" s="66"/>
      <c r="BLD22" s="66"/>
      <c r="BLE22" s="66"/>
      <c r="BLF22" s="66"/>
      <c r="BLG22" s="66"/>
      <c r="BLH22" s="66"/>
      <c r="BLI22" s="66"/>
      <c r="BLJ22" s="66"/>
      <c r="BLK22" s="66"/>
      <c r="BLL22" s="66"/>
      <c r="BLM22" s="66"/>
      <c r="BLN22" s="66"/>
      <c r="BLO22" s="66"/>
      <c r="BLP22" s="66"/>
      <c r="BLQ22" s="66"/>
      <c r="BLR22" s="66"/>
      <c r="BLS22" s="66"/>
      <c r="BLT22" s="66"/>
      <c r="BLU22" s="66"/>
      <c r="BLV22" s="66"/>
      <c r="BLW22" s="66"/>
      <c r="BLX22" s="66"/>
      <c r="BLY22" s="66"/>
      <c r="BLZ22" s="66"/>
      <c r="BMA22" s="66"/>
      <c r="BMB22" s="66"/>
      <c r="BMC22" s="66"/>
      <c r="BMD22" s="66"/>
      <c r="BME22" s="66"/>
      <c r="BMF22" s="66"/>
      <c r="BMG22" s="66"/>
      <c r="BMH22" s="66"/>
      <c r="BMI22" s="66"/>
      <c r="BMJ22" s="66"/>
      <c r="BMK22" s="66"/>
      <c r="BML22" s="66"/>
      <c r="BMM22" s="66"/>
      <c r="BMN22" s="66"/>
      <c r="BMO22" s="66"/>
      <c r="BMP22" s="66"/>
      <c r="BMQ22" s="66"/>
      <c r="BMR22" s="66"/>
      <c r="BMS22" s="66"/>
      <c r="BMT22" s="66"/>
      <c r="BMU22" s="66"/>
      <c r="BMV22" s="66"/>
      <c r="BMW22" s="66"/>
      <c r="BMX22" s="66"/>
      <c r="BMY22" s="66"/>
      <c r="BMZ22" s="66"/>
      <c r="BNA22" s="66"/>
      <c r="BNB22" s="66"/>
      <c r="BNC22" s="66"/>
      <c r="BND22" s="66"/>
      <c r="BNE22" s="66"/>
      <c r="BNF22" s="66"/>
      <c r="BNG22" s="66"/>
      <c r="BNH22" s="66"/>
      <c r="BNI22" s="66"/>
      <c r="BNJ22" s="66"/>
      <c r="BNK22" s="66"/>
      <c r="BNL22" s="66"/>
      <c r="BNM22" s="66"/>
      <c r="BNN22" s="66"/>
      <c r="BNO22" s="66"/>
      <c r="BNP22" s="66"/>
      <c r="BNQ22" s="66"/>
      <c r="BNR22" s="66"/>
      <c r="BNS22" s="66"/>
      <c r="BNT22" s="66"/>
      <c r="BNU22" s="66"/>
      <c r="BNV22" s="66"/>
      <c r="BNW22" s="66"/>
      <c r="BNX22" s="66"/>
      <c r="BNY22" s="66"/>
      <c r="BNZ22" s="66"/>
      <c r="BOA22" s="66"/>
      <c r="BOB22" s="66"/>
      <c r="BOC22" s="66"/>
      <c r="BOD22" s="66"/>
      <c r="BOE22" s="66"/>
      <c r="BOF22" s="66"/>
      <c r="BOG22" s="66"/>
      <c r="BOH22" s="66"/>
      <c r="BOI22" s="66"/>
      <c r="BOJ22" s="66"/>
      <c r="BOK22" s="66"/>
      <c r="BOL22" s="66"/>
      <c r="BOM22" s="66"/>
      <c r="BON22" s="66"/>
      <c r="BOO22" s="66"/>
      <c r="BOP22" s="66"/>
      <c r="BOQ22" s="66"/>
      <c r="BOR22" s="66"/>
      <c r="BOS22" s="66"/>
      <c r="BOT22" s="66"/>
      <c r="BOU22" s="66"/>
      <c r="BOV22" s="66"/>
      <c r="BOW22" s="66"/>
      <c r="BOX22" s="66"/>
      <c r="BOY22" s="66"/>
      <c r="BOZ22" s="66"/>
      <c r="BPA22" s="66"/>
      <c r="BPB22" s="66"/>
      <c r="BPC22" s="66"/>
      <c r="BPD22" s="66"/>
      <c r="BPE22" s="66"/>
      <c r="BPF22" s="66"/>
      <c r="BPG22" s="66"/>
      <c r="BPH22" s="66"/>
      <c r="BPI22" s="66"/>
      <c r="BPJ22" s="66"/>
      <c r="BPK22" s="66"/>
      <c r="BPL22" s="66"/>
      <c r="BPM22" s="66"/>
      <c r="BPN22" s="66"/>
      <c r="BPO22" s="66"/>
      <c r="BPP22" s="66"/>
      <c r="BPQ22" s="66"/>
      <c r="BPR22" s="66"/>
      <c r="BPS22" s="66"/>
      <c r="BPT22" s="66"/>
      <c r="BPU22" s="66"/>
      <c r="BPV22" s="66"/>
      <c r="BPW22" s="66"/>
      <c r="BPX22" s="66"/>
      <c r="BPY22" s="66"/>
      <c r="BPZ22" s="66"/>
      <c r="BQA22" s="66"/>
      <c r="BQB22" s="66"/>
      <c r="BQC22" s="66"/>
      <c r="BQD22" s="66"/>
      <c r="BQE22" s="66"/>
      <c r="BQF22" s="66"/>
      <c r="BQG22" s="66"/>
      <c r="BQH22" s="66"/>
      <c r="BQI22" s="66"/>
      <c r="BQJ22" s="66"/>
      <c r="BQK22" s="66"/>
      <c r="BQL22" s="66"/>
      <c r="BQM22" s="66"/>
      <c r="BQN22" s="66"/>
      <c r="BQO22" s="66"/>
      <c r="BQP22" s="66"/>
      <c r="BQQ22" s="66"/>
      <c r="BQR22" s="66"/>
      <c r="BQS22" s="66"/>
      <c r="BQT22" s="66"/>
      <c r="BQU22" s="66"/>
      <c r="BQV22" s="66"/>
      <c r="BQW22" s="66"/>
      <c r="BQX22" s="66"/>
      <c r="BQY22" s="66"/>
      <c r="BQZ22" s="66"/>
      <c r="BRA22" s="66"/>
      <c r="BRB22" s="66"/>
      <c r="BRC22" s="66"/>
      <c r="BRD22" s="66"/>
      <c r="BRE22" s="66"/>
      <c r="BRF22" s="66"/>
      <c r="BRG22" s="66"/>
      <c r="BRH22" s="66"/>
      <c r="BRI22" s="66"/>
      <c r="BRJ22" s="66"/>
      <c r="BRK22" s="66"/>
      <c r="BRL22" s="66"/>
      <c r="BRM22" s="66"/>
      <c r="BRN22" s="66"/>
      <c r="BRO22" s="66"/>
      <c r="BRP22" s="66"/>
      <c r="BRQ22" s="66"/>
      <c r="BRR22" s="66"/>
      <c r="BRS22" s="66"/>
      <c r="BRT22" s="66"/>
      <c r="BRU22" s="66"/>
      <c r="BRV22" s="66"/>
      <c r="BRW22" s="66"/>
      <c r="BRX22" s="66"/>
      <c r="BRY22" s="66"/>
      <c r="BRZ22" s="66"/>
      <c r="BSA22" s="66"/>
      <c r="BSB22" s="66"/>
      <c r="BSC22" s="66"/>
      <c r="BSD22" s="66"/>
      <c r="BSE22" s="66"/>
      <c r="BSF22" s="66"/>
      <c r="BSG22" s="66"/>
      <c r="BSH22" s="66"/>
      <c r="BSI22" s="66"/>
      <c r="BSJ22" s="66"/>
      <c r="BSK22" s="66"/>
      <c r="BSL22" s="66"/>
      <c r="BSM22" s="66"/>
      <c r="BSN22" s="66"/>
      <c r="BSO22" s="66"/>
      <c r="BSP22" s="66"/>
      <c r="BSQ22" s="66"/>
      <c r="BSR22" s="66"/>
      <c r="BSS22" s="66"/>
      <c r="BST22" s="66"/>
      <c r="BSU22" s="66"/>
      <c r="BSV22" s="66"/>
      <c r="BSW22" s="66"/>
      <c r="BSX22" s="66"/>
      <c r="BSY22" s="66"/>
      <c r="BSZ22" s="66"/>
      <c r="BTA22" s="66"/>
      <c r="BTB22" s="66"/>
      <c r="BTC22" s="66"/>
      <c r="BTD22" s="66"/>
      <c r="BTE22" s="66"/>
      <c r="BTF22" s="66"/>
      <c r="BTG22" s="66"/>
      <c r="BTH22" s="66"/>
      <c r="BTI22" s="66"/>
      <c r="BTJ22" s="66"/>
      <c r="BTK22" s="66"/>
      <c r="BTL22" s="66"/>
      <c r="BTM22" s="66"/>
      <c r="BTN22" s="66"/>
      <c r="BTO22" s="66"/>
      <c r="BTP22" s="66"/>
      <c r="BTQ22" s="66"/>
      <c r="BTR22" s="66"/>
      <c r="BTS22" s="66"/>
      <c r="BTT22" s="66"/>
      <c r="BTU22" s="66"/>
      <c r="BTV22" s="66"/>
      <c r="BTW22" s="66"/>
      <c r="BTX22" s="66"/>
      <c r="BTY22" s="66"/>
      <c r="BTZ22" s="66"/>
      <c r="BUA22" s="66"/>
      <c r="BUB22" s="66"/>
      <c r="BUC22" s="66"/>
      <c r="BUD22" s="66"/>
      <c r="BUE22" s="66"/>
      <c r="BUF22" s="66"/>
      <c r="BUG22" s="66"/>
      <c r="BUH22" s="66"/>
      <c r="BUI22" s="66"/>
      <c r="BUJ22" s="66"/>
      <c r="BUK22" s="66"/>
      <c r="BUL22" s="66"/>
      <c r="BUM22" s="66"/>
      <c r="BUN22" s="66"/>
      <c r="BUO22" s="66"/>
      <c r="BUP22" s="66"/>
      <c r="BUQ22" s="66"/>
      <c r="BUR22" s="66"/>
      <c r="BUS22" s="66"/>
      <c r="BUT22" s="66"/>
      <c r="BUU22" s="66"/>
      <c r="BUV22" s="66"/>
      <c r="BUW22" s="66"/>
      <c r="BUX22" s="66"/>
      <c r="BUY22" s="66"/>
      <c r="BUZ22" s="66"/>
      <c r="BVA22" s="66"/>
      <c r="BVB22" s="66"/>
      <c r="BVC22" s="66"/>
      <c r="BVD22" s="66"/>
      <c r="BVE22" s="66"/>
      <c r="BVF22" s="66"/>
      <c r="BVG22" s="66"/>
      <c r="BVH22" s="66"/>
      <c r="BVI22" s="66"/>
      <c r="BVJ22" s="66"/>
      <c r="BVK22" s="66"/>
      <c r="BVL22" s="66"/>
      <c r="BVM22" s="66"/>
      <c r="BVN22" s="66"/>
      <c r="BVO22" s="66"/>
      <c r="BVP22" s="66"/>
      <c r="BVQ22" s="66"/>
      <c r="BVR22" s="66"/>
      <c r="BVS22" s="66"/>
      <c r="BVT22" s="66"/>
      <c r="BVU22" s="66"/>
      <c r="BVV22" s="66"/>
      <c r="BVW22" s="66"/>
      <c r="BVX22" s="66"/>
      <c r="BVY22" s="66"/>
      <c r="BVZ22" s="66"/>
      <c r="BWA22" s="66"/>
      <c r="BWB22" s="66"/>
      <c r="BWC22" s="66"/>
      <c r="BWD22" s="66"/>
      <c r="BWE22" s="66"/>
      <c r="BWF22" s="66"/>
      <c r="BWG22" s="66"/>
      <c r="BWH22" s="66"/>
      <c r="BWI22" s="66"/>
      <c r="BWJ22" s="66"/>
      <c r="BWK22" s="66"/>
      <c r="BWL22" s="66"/>
      <c r="BWM22" s="66"/>
      <c r="BWN22" s="66"/>
      <c r="BWO22" s="66"/>
      <c r="BWP22" s="66"/>
      <c r="BWQ22" s="66"/>
      <c r="BWR22" s="66"/>
      <c r="BWS22" s="66"/>
      <c r="BWT22" s="66"/>
      <c r="BWU22" s="66"/>
      <c r="BWV22" s="66"/>
      <c r="BWW22" s="66"/>
      <c r="BWX22" s="66"/>
      <c r="BWY22" s="66"/>
      <c r="BWZ22" s="66"/>
      <c r="BXA22" s="66"/>
      <c r="BXB22" s="66"/>
      <c r="BXC22" s="66"/>
      <c r="BXD22" s="66"/>
      <c r="BXE22" s="66"/>
      <c r="BXF22" s="66"/>
      <c r="BXG22" s="66"/>
      <c r="BXH22" s="66"/>
      <c r="BXI22" s="66"/>
      <c r="BXJ22" s="66"/>
      <c r="BXK22" s="66"/>
      <c r="BXL22" s="66"/>
      <c r="BXM22" s="66"/>
      <c r="BXN22" s="66"/>
      <c r="BXO22" s="66"/>
      <c r="BXP22" s="66"/>
      <c r="BXQ22" s="66"/>
      <c r="BXR22" s="66"/>
      <c r="BXS22" s="66"/>
      <c r="BXT22" s="66"/>
      <c r="BXU22" s="66"/>
      <c r="BXV22" s="66"/>
      <c r="BXW22" s="66"/>
      <c r="BXX22" s="66"/>
      <c r="BXY22" s="66"/>
      <c r="BXZ22" s="66"/>
      <c r="BYA22" s="66"/>
      <c r="BYB22" s="66"/>
      <c r="BYC22" s="66"/>
      <c r="BYD22" s="66"/>
      <c r="BYE22" s="66"/>
      <c r="BYF22" s="66"/>
      <c r="BYG22" s="66"/>
      <c r="BYH22" s="66"/>
      <c r="BYI22" s="66"/>
      <c r="BYJ22" s="66"/>
      <c r="BYK22" s="66"/>
      <c r="BYL22" s="66"/>
      <c r="BYM22" s="66"/>
      <c r="BYN22" s="66"/>
      <c r="BYO22" s="66"/>
      <c r="BYP22" s="66"/>
      <c r="BYQ22" s="66"/>
      <c r="BYR22" s="66"/>
      <c r="BYS22" s="66"/>
      <c r="BYT22" s="66"/>
      <c r="BYU22" s="66"/>
      <c r="BYV22" s="66"/>
      <c r="BYW22" s="66"/>
      <c r="BYX22" s="66"/>
      <c r="BYY22" s="66"/>
      <c r="BYZ22" s="66"/>
      <c r="BZA22" s="66"/>
      <c r="BZB22" s="66"/>
      <c r="BZC22" s="66"/>
      <c r="BZD22" s="66"/>
      <c r="BZE22" s="66"/>
      <c r="BZF22" s="66"/>
      <c r="BZG22" s="66"/>
      <c r="BZH22" s="66"/>
      <c r="BZI22" s="66"/>
      <c r="BZJ22" s="66"/>
      <c r="BZK22" s="66"/>
      <c r="BZL22" s="66"/>
      <c r="BZM22" s="66"/>
      <c r="BZN22" s="66"/>
      <c r="BZO22" s="66"/>
      <c r="BZP22" s="66"/>
      <c r="BZQ22" s="66"/>
      <c r="BZR22" s="66"/>
      <c r="BZS22" s="66"/>
      <c r="BZT22" s="66"/>
      <c r="BZU22" s="66"/>
      <c r="BZV22" s="66"/>
      <c r="BZW22" s="66"/>
      <c r="BZX22" s="66"/>
      <c r="BZY22" s="66"/>
      <c r="BZZ22" s="66"/>
      <c r="CAA22" s="66"/>
      <c r="CAB22" s="66"/>
      <c r="CAC22" s="66"/>
      <c r="CAD22" s="66"/>
      <c r="CAE22" s="66"/>
      <c r="CAF22" s="66"/>
      <c r="CAG22" s="66"/>
      <c r="CAH22" s="66"/>
      <c r="CAI22" s="66"/>
      <c r="CAJ22" s="66"/>
      <c r="CAK22" s="66"/>
      <c r="CAL22" s="66"/>
      <c r="CAM22" s="66"/>
      <c r="CAN22" s="66"/>
      <c r="CAO22" s="66"/>
      <c r="CAP22" s="66"/>
      <c r="CAQ22" s="66"/>
      <c r="CAR22" s="66"/>
      <c r="CAS22" s="66"/>
      <c r="CAT22" s="66"/>
      <c r="CAU22" s="66"/>
      <c r="CAV22" s="66"/>
      <c r="CAW22" s="66"/>
      <c r="CAX22" s="66"/>
      <c r="CAY22" s="66"/>
      <c r="CAZ22" s="66"/>
      <c r="CBA22" s="66"/>
      <c r="CBB22" s="66"/>
      <c r="CBC22" s="66"/>
      <c r="CBD22" s="66"/>
      <c r="CBE22" s="66"/>
      <c r="CBF22" s="66"/>
      <c r="CBG22" s="66"/>
      <c r="CBH22" s="66"/>
      <c r="CBI22" s="66"/>
      <c r="CBJ22" s="66"/>
      <c r="CBK22" s="66"/>
      <c r="CBL22" s="66"/>
      <c r="CBM22" s="66"/>
      <c r="CBN22" s="66"/>
      <c r="CBO22" s="66"/>
      <c r="CBP22" s="66"/>
      <c r="CBQ22" s="66"/>
      <c r="CBR22" s="66"/>
      <c r="CBS22" s="66"/>
      <c r="CBT22" s="66"/>
      <c r="CBU22" s="66"/>
      <c r="CBV22" s="66"/>
      <c r="CBW22" s="66"/>
      <c r="CBX22" s="66"/>
      <c r="CBY22" s="66"/>
      <c r="CBZ22" s="66"/>
      <c r="CCA22" s="66"/>
      <c r="CCB22" s="66"/>
      <c r="CCC22" s="66"/>
      <c r="CCD22" s="66"/>
      <c r="CCE22" s="66"/>
      <c r="CCF22" s="66"/>
      <c r="CCG22" s="66"/>
      <c r="CCH22" s="66"/>
      <c r="CCI22" s="66"/>
      <c r="CCJ22" s="66"/>
      <c r="CCK22" s="66"/>
      <c r="CCL22" s="66"/>
      <c r="CCM22" s="66"/>
      <c r="CCN22" s="66"/>
      <c r="CCO22" s="66"/>
      <c r="CCP22" s="66"/>
      <c r="CCQ22" s="66"/>
      <c r="CCR22" s="66"/>
      <c r="CCS22" s="66"/>
      <c r="CCT22" s="66"/>
      <c r="CCU22" s="66"/>
      <c r="CCV22" s="66"/>
      <c r="CCW22" s="66"/>
      <c r="CCX22" s="66"/>
      <c r="CCY22" s="66"/>
      <c r="CCZ22" s="66"/>
      <c r="CDA22" s="66"/>
      <c r="CDB22" s="66"/>
      <c r="CDC22" s="66"/>
      <c r="CDD22" s="66"/>
      <c r="CDE22" s="66"/>
      <c r="CDF22" s="66"/>
      <c r="CDG22" s="66"/>
      <c r="CDH22" s="66"/>
      <c r="CDI22" s="66"/>
      <c r="CDJ22" s="66"/>
      <c r="CDK22" s="66"/>
      <c r="CDL22" s="66"/>
      <c r="CDM22" s="66"/>
      <c r="CDN22" s="66"/>
      <c r="CDO22" s="66"/>
      <c r="CDP22" s="66"/>
      <c r="CDQ22" s="66"/>
      <c r="CDR22" s="66"/>
      <c r="CDS22" s="66"/>
      <c r="CDT22" s="66"/>
      <c r="CDU22" s="66"/>
      <c r="CDV22" s="66"/>
      <c r="CDW22" s="66"/>
      <c r="CDX22" s="66"/>
      <c r="CDY22" s="66"/>
      <c r="CDZ22" s="66"/>
      <c r="CEA22" s="66"/>
      <c r="CEB22" s="66"/>
      <c r="CEC22" s="66"/>
      <c r="CED22" s="66"/>
      <c r="CEE22" s="66"/>
      <c r="CEF22" s="66"/>
      <c r="CEG22" s="66"/>
      <c r="CEH22" s="66"/>
      <c r="CEI22" s="66"/>
      <c r="CEJ22" s="66"/>
      <c r="CEK22" s="66"/>
      <c r="CEL22" s="66"/>
      <c r="CEM22" s="66"/>
      <c r="CEN22" s="66"/>
      <c r="CEO22" s="66"/>
      <c r="CEP22" s="66"/>
      <c r="CEQ22" s="66"/>
      <c r="CER22" s="66"/>
      <c r="CES22" s="66"/>
      <c r="CET22" s="66"/>
      <c r="CEU22" s="66"/>
      <c r="CEV22" s="66"/>
      <c r="CEW22" s="66"/>
      <c r="CEX22" s="66"/>
      <c r="CEY22" s="66"/>
      <c r="CEZ22" s="66"/>
      <c r="CFA22" s="66"/>
      <c r="CFB22" s="66"/>
      <c r="CFC22" s="66"/>
      <c r="CFD22" s="66"/>
      <c r="CFE22" s="66"/>
      <c r="CFF22" s="66"/>
      <c r="CFG22" s="66"/>
      <c r="CFH22" s="66"/>
      <c r="CFI22" s="66"/>
      <c r="CFJ22" s="66"/>
      <c r="CFK22" s="66"/>
      <c r="CFL22" s="66"/>
      <c r="CFM22" s="66"/>
      <c r="CFN22" s="66"/>
      <c r="CFO22" s="66"/>
      <c r="CFP22" s="66"/>
      <c r="CFQ22" s="66"/>
      <c r="CFR22" s="66"/>
      <c r="CFS22" s="66"/>
      <c r="CFT22" s="66"/>
      <c r="CFU22" s="66"/>
      <c r="CFV22" s="66"/>
      <c r="CFW22" s="66"/>
      <c r="CFX22" s="66"/>
      <c r="CFY22" s="66"/>
      <c r="CFZ22" s="66"/>
      <c r="CGA22" s="66"/>
      <c r="CGB22" s="66"/>
      <c r="CGC22" s="66"/>
      <c r="CGD22" s="66"/>
      <c r="CGE22" s="66"/>
      <c r="CGF22" s="66"/>
      <c r="CGG22" s="66"/>
      <c r="CGH22" s="66"/>
      <c r="CGI22" s="66"/>
      <c r="CGJ22" s="66"/>
      <c r="CGK22" s="66"/>
      <c r="CGL22" s="66"/>
      <c r="CGM22" s="66"/>
      <c r="CGN22" s="66"/>
      <c r="CGO22" s="66"/>
      <c r="CGP22" s="66"/>
      <c r="CGQ22" s="66"/>
      <c r="CGR22" s="66"/>
      <c r="CGS22" s="66"/>
      <c r="CGT22" s="66"/>
      <c r="CGU22" s="66"/>
      <c r="CGV22" s="66"/>
      <c r="CGW22" s="66"/>
      <c r="CGX22" s="66"/>
      <c r="CGY22" s="66"/>
      <c r="CGZ22" s="66"/>
      <c r="CHA22" s="66"/>
      <c r="CHB22" s="66"/>
      <c r="CHC22" s="66"/>
      <c r="CHD22" s="66"/>
      <c r="CHE22" s="66"/>
      <c r="CHF22" s="66"/>
      <c r="CHG22" s="66"/>
      <c r="CHH22" s="66"/>
      <c r="CHI22" s="66"/>
      <c r="CHJ22" s="66"/>
      <c r="CHK22" s="66"/>
      <c r="CHL22" s="66"/>
      <c r="CHM22" s="66"/>
      <c r="CHN22" s="66"/>
      <c r="CHO22" s="66"/>
      <c r="CHP22" s="66"/>
      <c r="CHQ22" s="66"/>
      <c r="CHR22" s="66"/>
      <c r="CHS22" s="66"/>
      <c r="CHT22" s="66"/>
      <c r="CHU22" s="66"/>
      <c r="CHV22" s="66"/>
      <c r="CHW22" s="66"/>
      <c r="CHX22" s="66"/>
      <c r="CHY22" s="66"/>
      <c r="CHZ22" s="66"/>
      <c r="CIA22" s="66"/>
      <c r="CIB22" s="66"/>
      <c r="CIC22" s="66"/>
      <c r="CID22" s="66"/>
      <c r="CIE22" s="66"/>
      <c r="CIF22" s="66"/>
      <c r="CIG22" s="66"/>
      <c r="CIH22" s="66"/>
      <c r="CII22" s="66"/>
      <c r="CIJ22" s="66"/>
      <c r="CIK22" s="66"/>
      <c r="CIL22" s="66"/>
      <c r="CIM22" s="66"/>
      <c r="CIN22" s="66"/>
      <c r="CIO22" s="66"/>
      <c r="CIP22" s="66"/>
      <c r="CIQ22" s="66"/>
      <c r="CIR22" s="66"/>
      <c r="CIS22" s="66"/>
      <c r="CIT22" s="66"/>
      <c r="CIU22" s="66"/>
      <c r="CIV22" s="66"/>
      <c r="CIW22" s="66"/>
      <c r="CIX22" s="66"/>
      <c r="CIY22" s="66"/>
      <c r="CIZ22" s="66"/>
      <c r="CJA22" s="66"/>
      <c r="CJB22" s="66"/>
      <c r="CJC22" s="66"/>
      <c r="CJD22" s="66"/>
      <c r="CJE22" s="66"/>
      <c r="CJF22" s="66"/>
      <c r="CJG22" s="66"/>
      <c r="CJH22" s="66"/>
      <c r="CJI22" s="66"/>
      <c r="CJJ22" s="66"/>
      <c r="CJK22" s="66"/>
      <c r="CJL22" s="66"/>
      <c r="CJM22" s="66"/>
      <c r="CJN22" s="66"/>
      <c r="CJO22" s="66"/>
      <c r="CJP22" s="66"/>
      <c r="CJQ22" s="66"/>
      <c r="CJR22" s="66"/>
      <c r="CJS22" s="66"/>
      <c r="CJT22" s="66"/>
      <c r="CJU22" s="66"/>
      <c r="CJV22" s="66"/>
      <c r="CJW22" s="66"/>
      <c r="CJX22" s="66"/>
      <c r="CJY22" s="66"/>
      <c r="CJZ22" s="66"/>
      <c r="CKA22" s="66"/>
      <c r="CKB22" s="66"/>
      <c r="CKC22" s="66"/>
      <c r="CKD22" s="66"/>
      <c r="CKE22" s="66"/>
      <c r="CKF22" s="66"/>
      <c r="CKG22" s="66"/>
      <c r="CKH22" s="66"/>
      <c r="CKI22" s="66"/>
      <c r="CKJ22" s="66"/>
      <c r="CKK22" s="66"/>
      <c r="CKL22" s="66"/>
      <c r="CKM22" s="66"/>
      <c r="CKN22" s="66"/>
      <c r="CKO22" s="66"/>
      <c r="CKP22" s="66"/>
      <c r="CKQ22" s="66"/>
      <c r="CKR22" s="66"/>
      <c r="CKS22" s="66"/>
      <c r="CKT22" s="66"/>
      <c r="CKU22" s="66"/>
      <c r="CKV22" s="66"/>
      <c r="CKW22" s="66"/>
      <c r="CKX22" s="66"/>
      <c r="CKY22" s="66"/>
      <c r="CKZ22" s="66"/>
      <c r="CLA22" s="66"/>
      <c r="CLB22" s="66"/>
      <c r="CLC22" s="66"/>
      <c r="CLD22" s="66"/>
      <c r="CLE22" s="66"/>
      <c r="CLF22" s="66"/>
      <c r="CLG22" s="66"/>
      <c r="CLH22" s="66"/>
      <c r="CLI22" s="66"/>
      <c r="CLJ22" s="66"/>
      <c r="CLK22" s="66"/>
      <c r="CLL22" s="66"/>
      <c r="CLM22" s="66"/>
      <c r="CLN22" s="66"/>
      <c r="CLO22" s="66"/>
      <c r="CLP22" s="66"/>
      <c r="CLQ22" s="66"/>
      <c r="CLR22" s="66"/>
      <c r="CLS22" s="66"/>
      <c r="CLT22" s="66"/>
      <c r="CLU22" s="66"/>
      <c r="CLV22" s="66"/>
      <c r="CLW22" s="66"/>
      <c r="CLX22" s="66"/>
      <c r="CLY22" s="66"/>
      <c r="CLZ22" s="66"/>
      <c r="CMA22" s="66"/>
      <c r="CMB22" s="66"/>
      <c r="CMC22" s="66"/>
      <c r="CMD22" s="66"/>
      <c r="CME22" s="66"/>
      <c r="CMF22" s="66"/>
      <c r="CMG22" s="66"/>
      <c r="CMH22" s="66"/>
      <c r="CMI22" s="66"/>
      <c r="CMJ22" s="66"/>
      <c r="CMK22" s="66"/>
      <c r="CML22" s="66"/>
      <c r="CMM22" s="66"/>
      <c r="CMN22" s="66"/>
      <c r="CMO22" s="66"/>
      <c r="CMP22" s="66"/>
      <c r="CMQ22" s="66"/>
      <c r="CMR22" s="66"/>
      <c r="CMS22" s="66"/>
      <c r="CMT22" s="66"/>
      <c r="CMU22" s="66"/>
      <c r="CMV22" s="66"/>
      <c r="CMW22" s="66"/>
      <c r="CMX22" s="66"/>
      <c r="CMY22" s="66"/>
      <c r="CMZ22" s="66"/>
      <c r="CNA22" s="66"/>
      <c r="CNB22" s="66"/>
      <c r="CNC22" s="66"/>
      <c r="CND22" s="66"/>
      <c r="CNE22" s="66"/>
      <c r="CNF22" s="66"/>
      <c r="CNG22" s="66"/>
      <c r="CNH22" s="66"/>
      <c r="CNI22" s="66"/>
      <c r="CNJ22" s="66"/>
      <c r="CNK22" s="66"/>
      <c r="CNL22" s="66"/>
      <c r="CNM22" s="66"/>
      <c r="CNN22" s="66"/>
      <c r="CNO22" s="66"/>
      <c r="CNP22" s="66"/>
      <c r="CNQ22" s="66"/>
      <c r="CNR22" s="66"/>
      <c r="CNS22" s="66"/>
      <c r="CNT22" s="66"/>
      <c r="CNU22" s="66"/>
      <c r="CNV22" s="66"/>
      <c r="CNW22" s="66"/>
      <c r="CNX22" s="66"/>
      <c r="CNY22" s="66"/>
      <c r="CNZ22" s="66"/>
      <c r="COA22" s="66"/>
      <c r="COB22" s="66"/>
      <c r="COC22" s="66"/>
      <c r="COD22" s="66"/>
      <c r="COE22" s="66"/>
      <c r="COF22" s="66"/>
      <c r="COG22" s="66"/>
      <c r="COH22" s="66"/>
      <c r="COI22" s="66"/>
      <c r="COJ22" s="66"/>
      <c r="COK22" s="66"/>
      <c r="COL22" s="66"/>
      <c r="COM22" s="66"/>
      <c r="CON22" s="66"/>
      <c r="COO22" s="66"/>
      <c r="COP22" s="66"/>
      <c r="COQ22" s="66"/>
      <c r="COR22" s="66"/>
      <c r="COS22" s="66"/>
      <c r="COT22" s="66"/>
      <c r="COU22" s="66"/>
      <c r="COV22" s="66"/>
      <c r="COW22" s="66"/>
      <c r="COX22" s="66"/>
      <c r="COY22" s="66"/>
      <c r="COZ22" s="66"/>
      <c r="CPA22" s="66"/>
      <c r="CPB22" s="66"/>
      <c r="CPC22" s="66"/>
      <c r="CPD22" s="66"/>
      <c r="CPE22" s="66"/>
      <c r="CPF22" s="66"/>
      <c r="CPG22" s="66"/>
      <c r="CPH22" s="66"/>
      <c r="CPI22" s="66"/>
      <c r="CPJ22" s="66"/>
      <c r="CPK22" s="66"/>
      <c r="CPL22" s="66"/>
      <c r="CPM22" s="66"/>
      <c r="CPN22" s="66"/>
      <c r="CPO22" s="66"/>
      <c r="CPP22" s="66"/>
      <c r="CPQ22" s="66"/>
      <c r="CPR22" s="66"/>
      <c r="CPS22" s="66"/>
      <c r="CPT22" s="66"/>
      <c r="CPU22" s="66"/>
      <c r="CPV22" s="66"/>
      <c r="CPW22" s="66"/>
      <c r="CPX22" s="66"/>
      <c r="CPY22" s="66"/>
      <c r="CPZ22" s="66"/>
      <c r="CQA22" s="66"/>
      <c r="CQB22" s="66"/>
      <c r="CQC22" s="66"/>
      <c r="CQD22" s="66"/>
      <c r="CQE22" s="66"/>
      <c r="CQF22" s="66"/>
      <c r="CQG22" s="66"/>
      <c r="CQH22" s="66"/>
      <c r="CQI22" s="66"/>
      <c r="CQJ22" s="66"/>
      <c r="CQK22" s="66"/>
      <c r="CQL22" s="66"/>
      <c r="CQM22" s="66"/>
      <c r="CQN22" s="66"/>
      <c r="CQO22" s="66"/>
      <c r="CQP22" s="66"/>
      <c r="CQQ22" s="66"/>
      <c r="CQR22" s="66"/>
      <c r="CQS22" s="66"/>
      <c r="CQT22" s="66"/>
      <c r="CQU22" s="66"/>
      <c r="CQV22" s="66"/>
      <c r="CQW22" s="66"/>
      <c r="CQX22" s="66"/>
      <c r="CQY22" s="66"/>
      <c r="CQZ22" s="66"/>
      <c r="CRA22" s="66"/>
      <c r="CRB22" s="66"/>
      <c r="CRC22" s="66"/>
      <c r="CRD22" s="66"/>
      <c r="CRE22" s="66"/>
      <c r="CRF22" s="66"/>
      <c r="CRG22" s="66"/>
      <c r="CRH22" s="66"/>
      <c r="CRI22" s="66"/>
      <c r="CRJ22" s="66"/>
      <c r="CRK22" s="66"/>
      <c r="CRL22" s="66"/>
      <c r="CRM22" s="66"/>
      <c r="CRN22" s="66"/>
      <c r="CRO22" s="66"/>
      <c r="CRP22" s="66"/>
      <c r="CRQ22" s="66"/>
      <c r="CRR22" s="66"/>
      <c r="CRS22" s="66"/>
      <c r="CRT22" s="66"/>
      <c r="CRU22" s="66"/>
      <c r="CRV22" s="66"/>
      <c r="CRW22" s="66"/>
      <c r="CRX22" s="66"/>
      <c r="CRY22" s="66"/>
      <c r="CRZ22" s="66"/>
      <c r="CSA22" s="66"/>
      <c r="CSB22" s="66"/>
      <c r="CSC22" s="66"/>
      <c r="CSD22" s="66"/>
      <c r="CSE22" s="66"/>
      <c r="CSF22" s="66"/>
      <c r="CSG22" s="66"/>
      <c r="CSH22" s="66"/>
      <c r="CSI22" s="66"/>
      <c r="CSJ22" s="66"/>
      <c r="CSK22" s="66"/>
      <c r="CSL22" s="66"/>
      <c r="CSM22" s="66"/>
      <c r="CSN22" s="66"/>
      <c r="CSO22" s="66"/>
      <c r="CSP22" s="66"/>
      <c r="CSQ22" s="66"/>
      <c r="CSR22" s="66"/>
      <c r="CSS22" s="66"/>
      <c r="CST22" s="66"/>
      <c r="CSU22" s="66"/>
      <c r="CSV22" s="66"/>
      <c r="CSW22" s="66"/>
      <c r="CSX22" s="66"/>
      <c r="CSY22" s="66"/>
      <c r="CSZ22" s="66"/>
      <c r="CTA22" s="66"/>
      <c r="CTB22" s="66"/>
      <c r="CTC22" s="66"/>
      <c r="CTD22" s="66"/>
      <c r="CTE22" s="66"/>
      <c r="CTF22" s="66"/>
      <c r="CTG22" s="66"/>
      <c r="CTH22" s="66"/>
      <c r="CTI22" s="66"/>
      <c r="CTJ22" s="66"/>
      <c r="CTK22" s="66"/>
      <c r="CTL22" s="66"/>
      <c r="CTM22" s="66"/>
      <c r="CTN22" s="66"/>
      <c r="CTO22" s="66"/>
      <c r="CTP22" s="66"/>
      <c r="CTQ22" s="66"/>
      <c r="CTR22" s="66"/>
      <c r="CTS22" s="66"/>
      <c r="CTT22" s="66"/>
      <c r="CTU22" s="66"/>
      <c r="CTV22" s="66"/>
      <c r="CTW22" s="66"/>
      <c r="CTX22" s="66"/>
      <c r="CTY22" s="66"/>
      <c r="CTZ22" s="66"/>
      <c r="CUA22" s="66"/>
      <c r="CUB22" s="66"/>
      <c r="CUC22" s="66"/>
      <c r="CUD22" s="66"/>
      <c r="CUE22" s="66"/>
      <c r="CUF22" s="66"/>
      <c r="CUG22" s="66"/>
      <c r="CUH22" s="66"/>
      <c r="CUI22" s="66"/>
      <c r="CUJ22" s="66"/>
      <c r="CUK22" s="66"/>
      <c r="CUL22" s="66"/>
      <c r="CUM22" s="66"/>
      <c r="CUN22" s="66"/>
      <c r="CUO22" s="66"/>
      <c r="CUP22" s="66"/>
      <c r="CUQ22" s="66"/>
      <c r="CUR22" s="66"/>
      <c r="CUS22" s="66"/>
      <c r="CUT22" s="66"/>
      <c r="CUU22" s="66"/>
      <c r="CUV22" s="66"/>
      <c r="CUW22" s="66"/>
      <c r="CUX22" s="66"/>
      <c r="CUY22" s="66"/>
      <c r="CUZ22" s="66"/>
      <c r="CVA22" s="66"/>
      <c r="CVB22" s="66"/>
      <c r="CVC22" s="66"/>
      <c r="CVD22" s="66"/>
      <c r="CVE22" s="66"/>
      <c r="CVF22" s="66"/>
      <c r="CVG22" s="66"/>
      <c r="CVH22" s="66"/>
      <c r="CVI22" s="66"/>
      <c r="CVJ22" s="66"/>
      <c r="CVK22" s="66"/>
      <c r="CVL22" s="66"/>
      <c r="CVM22" s="66"/>
      <c r="CVN22" s="66"/>
      <c r="CVO22" s="66"/>
      <c r="CVP22" s="66"/>
      <c r="CVQ22" s="66"/>
      <c r="CVR22" s="66"/>
      <c r="CVS22" s="66"/>
      <c r="CVT22" s="66"/>
      <c r="CVU22" s="66"/>
      <c r="CVV22" s="66"/>
      <c r="CVW22" s="66"/>
      <c r="CVX22" s="66"/>
      <c r="CVY22" s="66"/>
      <c r="CVZ22" s="66"/>
      <c r="CWA22" s="66"/>
      <c r="CWB22" s="66"/>
      <c r="CWC22" s="66"/>
      <c r="CWD22" s="66"/>
      <c r="CWE22" s="66"/>
      <c r="CWF22" s="66"/>
      <c r="CWG22" s="66"/>
      <c r="CWH22" s="66"/>
      <c r="CWI22" s="66"/>
      <c r="CWJ22" s="66"/>
      <c r="CWK22" s="66"/>
      <c r="CWL22" s="66"/>
      <c r="CWM22" s="66"/>
      <c r="CWN22" s="66"/>
      <c r="CWO22" s="66"/>
      <c r="CWP22" s="66"/>
      <c r="CWQ22" s="66"/>
      <c r="CWR22" s="66"/>
      <c r="CWS22" s="66"/>
      <c r="CWT22" s="66"/>
      <c r="CWU22" s="66"/>
      <c r="CWV22" s="66"/>
      <c r="CWW22" s="66"/>
      <c r="CWX22" s="66"/>
      <c r="CWY22" s="66"/>
      <c r="CWZ22" s="66"/>
      <c r="CXA22" s="66"/>
      <c r="CXB22" s="66"/>
      <c r="CXC22" s="66"/>
      <c r="CXD22" s="66"/>
      <c r="CXE22" s="66"/>
      <c r="CXF22" s="66"/>
      <c r="CXG22" s="66"/>
      <c r="CXH22" s="66"/>
      <c r="CXI22" s="66"/>
      <c r="CXJ22" s="66"/>
      <c r="CXK22" s="66"/>
      <c r="CXL22" s="66"/>
      <c r="CXM22" s="66"/>
      <c r="CXN22" s="66"/>
      <c r="CXO22" s="66"/>
      <c r="CXP22" s="66"/>
      <c r="CXQ22" s="66"/>
      <c r="CXR22" s="66"/>
      <c r="CXS22" s="66"/>
      <c r="CXT22" s="66"/>
      <c r="CXU22" s="66"/>
      <c r="CXV22" s="66"/>
      <c r="CXW22" s="66"/>
      <c r="CXX22" s="66"/>
      <c r="CXY22" s="66"/>
      <c r="CXZ22" s="66"/>
      <c r="CYA22" s="66"/>
      <c r="CYB22" s="66"/>
      <c r="CYC22" s="66"/>
      <c r="CYD22" s="66"/>
      <c r="CYE22" s="66"/>
      <c r="CYF22" s="66"/>
      <c r="CYG22" s="66"/>
      <c r="CYH22" s="66"/>
      <c r="CYI22" s="66"/>
      <c r="CYJ22" s="66"/>
      <c r="CYK22" s="66"/>
      <c r="CYL22" s="66"/>
      <c r="CYM22" s="66"/>
      <c r="CYN22" s="66"/>
      <c r="CYO22" s="66"/>
      <c r="CYP22" s="66"/>
      <c r="CYQ22" s="66"/>
      <c r="CYR22" s="66"/>
      <c r="CYS22" s="66"/>
      <c r="CYT22" s="66"/>
      <c r="CYU22" s="66"/>
      <c r="CYV22" s="66"/>
      <c r="CYW22" s="66"/>
      <c r="CYX22" s="66"/>
      <c r="CYY22" s="66"/>
      <c r="CYZ22" s="66"/>
      <c r="CZA22" s="66"/>
      <c r="CZB22" s="66"/>
      <c r="CZC22" s="66"/>
      <c r="CZD22" s="66"/>
      <c r="CZE22" s="66"/>
      <c r="CZF22" s="66"/>
      <c r="CZG22" s="66"/>
      <c r="CZH22" s="66"/>
      <c r="CZI22" s="66"/>
      <c r="CZJ22" s="66"/>
      <c r="CZK22" s="66"/>
      <c r="CZL22" s="66"/>
      <c r="CZM22" s="66"/>
      <c r="CZN22" s="66"/>
      <c r="CZO22" s="66"/>
      <c r="CZP22" s="66"/>
      <c r="CZQ22" s="66"/>
      <c r="CZR22" s="66"/>
      <c r="CZS22" s="66"/>
      <c r="CZT22" s="66"/>
      <c r="CZU22" s="66"/>
      <c r="CZV22" s="66"/>
      <c r="CZW22" s="66"/>
      <c r="CZX22" s="66"/>
      <c r="CZY22" s="66"/>
      <c r="CZZ22" s="66"/>
      <c r="DAA22" s="66"/>
      <c r="DAB22" s="66"/>
      <c r="DAC22" s="66"/>
      <c r="DAD22" s="66"/>
      <c r="DAE22" s="66"/>
      <c r="DAF22" s="66"/>
      <c r="DAG22" s="66"/>
      <c r="DAH22" s="66"/>
      <c r="DAI22" s="66"/>
      <c r="DAJ22" s="66"/>
      <c r="DAK22" s="66"/>
      <c r="DAL22" s="66"/>
      <c r="DAM22" s="66"/>
      <c r="DAN22" s="66"/>
      <c r="DAO22" s="66"/>
      <c r="DAP22" s="66"/>
      <c r="DAQ22" s="66"/>
      <c r="DAR22" s="66"/>
      <c r="DAS22" s="66"/>
      <c r="DAT22" s="66"/>
      <c r="DAU22" s="66"/>
      <c r="DAV22" s="66"/>
      <c r="DAW22" s="66"/>
      <c r="DAX22" s="66"/>
      <c r="DAY22" s="66"/>
      <c r="DAZ22" s="66"/>
      <c r="DBA22" s="66"/>
      <c r="DBB22" s="66"/>
      <c r="DBC22" s="66"/>
      <c r="DBD22" s="66"/>
      <c r="DBE22" s="66"/>
      <c r="DBF22" s="66"/>
      <c r="DBG22" s="66"/>
      <c r="DBH22" s="66"/>
      <c r="DBI22" s="66"/>
      <c r="DBJ22" s="66"/>
      <c r="DBK22" s="66"/>
      <c r="DBL22" s="66"/>
      <c r="DBM22" s="66"/>
      <c r="DBN22" s="66"/>
      <c r="DBO22" s="66"/>
      <c r="DBP22" s="66"/>
      <c r="DBQ22" s="66"/>
      <c r="DBR22" s="66"/>
      <c r="DBS22" s="66"/>
      <c r="DBT22" s="66"/>
      <c r="DBU22" s="66"/>
      <c r="DBV22" s="66"/>
      <c r="DBW22" s="66"/>
      <c r="DBX22" s="66"/>
      <c r="DBY22" s="66"/>
      <c r="DBZ22" s="66"/>
      <c r="DCA22" s="66"/>
      <c r="DCB22" s="66"/>
      <c r="DCC22" s="66"/>
      <c r="DCD22" s="66"/>
      <c r="DCE22" s="66"/>
      <c r="DCF22" s="66"/>
      <c r="DCG22" s="66"/>
      <c r="DCH22" s="66"/>
      <c r="DCI22" s="66"/>
      <c r="DCJ22" s="66"/>
      <c r="DCK22" s="66"/>
      <c r="DCL22" s="66"/>
      <c r="DCM22" s="66"/>
      <c r="DCN22" s="66"/>
      <c r="DCO22" s="66"/>
      <c r="DCP22" s="66"/>
      <c r="DCQ22" s="66"/>
      <c r="DCR22" s="66"/>
      <c r="DCS22" s="66"/>
      <c r="DCT22" s="66"/>
      <c r="DCU22" s="66"/>
      <c r="DCV22" s="66"/>
      <c r="DCW22" s="66"/>
      <c r="DCX22" s="66"/>
      <c r="DCY22" s="66"/>
      <c r="DCZ22" s="66"/>
      <c r="DDA22" s="66"/>
      <c r="DDB22" s="66"/>
      <c r="DDC22" s="66"/>
      <c r="DDD22" s="66"/>
      <c r="DDE22" s="66"/>
      <c r="DDF22" s="66"/>
      <c r="DDG22" s="66"/>
      <c r="DDH22" s="66"/>
      <c r="DDI22" s="66"/>
      <c r="DDJ22" s="66"/>
      <c r="DDK22" s="66"/>
      <c r="DDL22" s="66"/>
      <c r="DDM22" s="66"/>
      <c r="DDN22" s="66"/>
      <c r="DDO22" s="66"/>
      <c r="DDP22" s="66"/>
      <c r="DDQ22" s="66"/>
      <c r="DDR22" s="66"/>
      <c r="DDS22" s="66"/>
      <c r="DDT22" s="66"/>
      <c r="DDU22" s="66"/>
      <c r="DDV22" s="66"/>
      <c r="DDW22" s="66"/>
      <c r="DDX22" s="66"/>
      <c r="DDY22" s="66"/>
      <c r="DDZ22" s="66"/>
      <c r="DEA22" s="66"/>
      <c r="DEB22" s="66"/>
      <c r="DEC22" s="66"/>
      <c r="DED22" s="66"/>
      <c r="DEE22" s="66"/>
      <c r="DEF22" s="66"/>
      <c r="DEG22" s="66"/>
      <c r="DEH22" s="66"/>
      <c r="DEI22" s="66"/>
      <c r="DEJ22" s="66"/>
      <c r="DEK22" s="66"/>
      <c r="DEL22" s="66"/>
      <c r="DEM22" s="66"/>
      <c r="DEN22" s="66"/>
      <c r="DEO22" s="66"/>
      <c r="DEP22" s="66"/>
      <c r="DEQ22" s="66"/>
      <c r="DER22" s="66"/>
      <c r="DES22" s="66"/>
      <c r="DET22" s="66"/>
      <c r="DEU22" s="66"/>
      <c r="DEV22" s="66"/>
      <c r="DEW22" s="66"/>
      <c r="DEX22" s="66"/>
      <c r="DEY22" s="66"/>
      <c r="DEZ22" s="66"/>
      <c r="DFA22" s="66"/>
      <c r="DFB22" s="66"/>
      <c r="DFC22" s="66"/>
      <c r="DFD22" s="66"/>
      <c r="DFE22" s="66"/>
      <c r="DFF22" s="66"/>
      <c r="DFG22" s="66"/>
      <c r="DFH22" s="66"/>
      <c r="DFI22" s="66"/>
      <c r="DFJ22" s="66"/>
      <c r="DFK22" s="66"/>
      <c r="DFL22" s="66"/>
      <c r="DFM22" s="66"/>
      <c r="DFN22" s="66"/>
      <c r="DFO22" s="66"/>
      <c r="DFP22" s="66"/>
      <c r="DFQ22" s="66"/>
      <c r="DFR22" s="66"/>
      <c r="DFS22" s="66"/>
      <c r="DFT22" s="66"/>
      <c r="DFU22" s="66"/>
      <c r="DFV22" s="66"/>
      <c r="DFW22" s="66"/>
      <c r="DFX22" s="66"/>
      <c r="DFY22" s="66"/>
      <c r="DFZ22" s="66"/>
      <c r="DGA22" s="66"/>
      <c r="DGB22" s="66"/>
      <c r="DGC22" s="66"/>
      <c r="DGD22" s="66"/>
      <c r="DGE22" s="66"/>
      <c r="DGF22" s="66"/>
      <c r="DGG22" s="66"/>
      <c r="DGH22" s="66"/>
      <c r="DGI22" s="66"/>
      <c r="DGJ22" s="66"/>
      <c r="DGK22" s="66"/>
      <c r="DGL22" s="66"/>
      <c r="DGM22" s="66"/>
      <c r="DGN22" s="66"/>
      <c r="DGO22" s="66"/>
      <c r="DGP22" s="66"/>
      <c r="DGQ22" s="66"/>
      <c r="DGR22" s="66"/>
      <c r="DGS22" s="66"/>
      <c r="DGT22" s="66"/>
      <c r="DGU22" s="66"/>
      <c r="DGV22" s="66"/>
      <c r="DGW22" s="66"/>
      <c r="DGX22" s="66"/>
      <c r="DGY22" s="66"/>
      <c r="DGZ22" s="66"/>
      <c r="DHA22" s="66"/>
      <c r="DHB22" s="66"/>
      <c r="DHC22" s="66"/>
      <c r="DHD22" s="66"/>
      <c r="DHE22" s="66"/>
      <c r="DHF22" s="66"/>
      <c r="DHG22" s="66"/>
      <c r="DHH22" s="66"/>
      <c r="DHI22" s="66"/>
      <c r="DHJ22" s="66"/>
      <c r="DHK22" s="66"/>
      <c r="DHL22" s="66"/>
      <c r="DHM22" s="66"/>
      <c r="DHN22" s="66"/>
      <c r="DHO22" s="66"/>
      <c r="DHP22" s="66"/>
      <c r="DHQ22" s="66"/>
      <c r="DHR22" s="66"/>
      <c r="DHS22" s="66"/>
      <c r="DHT22" s="66"/>
      <c r="DHU22" s="66"/>
      <c r="DHV22" s="66"/>
      <c r="DHW22" s="66"/>
      <c r="DHX22" s="66"/>
      <c r="DHY22" s="66"/>
      <c r="DHZ22" s="66"/>
      <c r="DIA22" s="66"/>
      <c r="DIB22" s="66"/>
      <c r="DIC22" s="66"/>
      <c r="DID22" s="66"/>
      <c r="DIE22" s="66"/>
      <c r="DIF22" s="66"/>
      <c r="DIG22" s="66"/>
      <c r="DIH22" s="66"/>
      <c r="DII22" s="66"/>
      <c r="DIJ22" s="66"/>
      <c r="DIK22" s="66"/>
      <c r="DIL22" s="66"/>
      <c r="DIM22" s="66"/>
      <c r="DIN22" s="66"/>
      <c r="DIO22" s="66"/>
      <c r="DIP22" s="66"/>
      <c r="DIQ22" s="66"/>
      <c r="DIR22" s="66"/>
      <c r="DIS22" s="66"/>
      <c r="DIT22" s="66"/>
      <c r="DIU22" s="66"/>
      <c r="DIV22" s="66"/>
      <c r="DIW22" s="66"/>
      <c r="DIX22" s="66"/>
      <c r="DIY22" s="66"/>
      <c r="DIZ22" s="66"/>
      <c r="DJA22" s="66"/>
      <c r="DJB22" s="66"/>
      <c r="DJC22" s="66"/>
      <c r="DJD22" s="66"/>
      <c r="DJE22" s="66"/>
      <c r="DJF22" s="66"/>
      <c r="DJG22" s="66"/>
      <c r="DJH22" s="66"/>
      <c r="DJI22" s="66"/>
      <c r="DJJ22" s="66"/>
      <c r="DJK22" s="66"/>
      <c r="DJL22" s="66"/>
      <c r="DJM22" s="66"/>
      <c r="DJN22" s="66"/>
      <c r="DJO22" s="66"/>
      <c r="DJP22" s="66"/>
      <c r="DJQ22" s="66"/>
      <c r="DJR22" s="66"/>
      <c r="DJS22" s="66"/>
      <c r="DJT22" s="66"/>
      <c r="DJU22" s="66"/>
      <c r="DJV22" s="66"/>
      <c r="DJW22" s="66"/>
      <c r="DJX22" s="66"/>
      <c r="DJY22" s="66"/>
      <c r="DJZ22" s="66"/>
      <c r="DKA22" s="66"/>
      <c r="DKB22" s="66"/>
      <c r="DKC22" s="66"/>
      <c r="DKD22" s="66"/>
      <c r="DKE22" s="66"/>
      <c r="DKF22" s="66"/>
      <c r="DKG22" s="66"/>
      <c r="DKH22" s="66"/>
      <c r="DKI22" s="66"/>
      <c r="DKJ22" s="66"/>
      <c r="DKK22" s="66"/>
      <c r="DKL22" s="66"/>
      <c r="DKM22" s="66"/>
      <c r="DKN22" s="66"/>
      <c r="DKO22" s="66"/>
      <c r="DKP22" s="66"/>
      <c r="DKQ22" s="66"/>
      <c r="DKR22" s="66"/>
      <c r="DKS22" s="66"/>
      <c r="DKT22" s="66"/>
      <c r="DKU22" s="66"/>
      <c r="DKV22" s="66"/>
      <c r="DKW22" s="66"/>
      <c r="DKX22" s="66"/>
      <c r="DKY22" s="66"/>
      <c r="DKZ22" s="66"/>
      <c r="DLA22" s="66"/>
      <c r="DLB22" s="66"/>
      <c r="DLC22" s="66"/>
      <c r="DLD22" s="66"/>
      <c r="DLE22" s="66"/>
      <c r="DLF22" s="66"/>
      <c r="DLG22" s="66"/>
      <c r="DLH22" s="66"/>
      <c r="DLI22" s="66"/>
      <c r="DLJ22" s="66"/>
      <c r="DLK22" s="66"/>
      <c r="DLL22" s="66"/>
      <c r="DLM22" s="66"/>
      <c r="DLN22" s="66"/>
      <c r="DLO22" s="66"/>
      <c r="DLP22" s="66"/>
      <c r="DLQ22" s="66"/>
      <c r="DLR22" s="66"/>
      <c r="DLS22" s="66"/>
      <c r="DLT22" s="66"/>
      <c r="DLU22" s="66"/>
      <c r="DLV22" s="66"/>
      <c r="DLW22" s="66"/>
      <c r="DLX22" s="66"/>
      <c r="DLY22" s="66"/>
      <c r="DLZ22" s="66"/>
      <c r="DMA22" s="66"/>
      <c r="DMB22" s="66"/>
      <c r="DMC22" s="66"/>
      <c r="DMD22" s="66"/>
      <c r="DME22" s="66"/>
      <c r="DMF22" s="66"/>
      <c r="DMG22" s="66"/>
      <c r="DMH22" s="66"/>
      <c r="DMI22" s="66"/>
      <c r="DMJ22" s="66"/>
      <c r="DMK22" s="66"/>
      <c r="DML22" s="66"/>
      <c r="DMM22" s="66"/>
      <c r="DMN22" s="66"/>
      <c r="DMO22" s="66"/>
      <c r="DMP22" s="66"/>
      <c r="DMQ22" s="66"/>
      <c r="DMR22" s="66"/>
      <c r="DMS22" s="66"/>
      <c r="DMT22" s="66"/>
      <c r="DMU22" s="66"/>
      <c r="DMV22" s="66"/>
      <c r="DMW22" s="66"/>
      <c r="DMX22" s="66"/>
      <c r="DMY22" s="66"/>
      <c r="DMZ22" s="66"/>
      <c r="DNA22" s="66"/>
      <c r="DNB22" s="66"/>
      <c r="DNC22" s="66"/>
      <c r="DND22" s="66"/>
      <c r="DNE22" s="66"/>
      <c r="DNF22" s="66"/>
      <c r="DNG22" s="66"/>
      <c r="DNH22" s="66"/>
      <c r="DNI22" s="66"/>
      <c r="DNJ22" s="66"/>
      <c r="DNK22" s="66"/>
      <c r="DNL22" s="66"/>
      <c r="DNM22" s="66"/>
      <c r="DNN22" s="66"/>
      <c r="DNO22" s="66"/>
      <c r="DNP22" s="66"/>
      <c r="DNQ22" s="66"/>
      <c r="DNR22" s="66"/>
      <c r="DNS22" s="66"/>
      <c r="DNT22" s="66"/>
      <c r="DNU22" s="66"/>
      <c r="DNV22" s="66"/>
      <c r="DNW22" s="66"/>
      <c r="DNX22" s="66"/>
      <c r="DNY22" s="66"/>
      <c r="DNZ22" s="66"/>
      <c r="DOA22" s="66"/>
      <c r="DOB22" s="66"/>
      <c r="DOC22" s="66"/>
      <c r="DOD22" s="66"/>
      <c r="DOE22" s="66"/>
      <c r="DOF22" s="66"/>
      <c r="DOG22" s="66"/>
      <c r="DOH22" s="66"/>
      <c r="DOI22" s="66"/>
      <c r="DOJ22" s="66"/>
      <c r="DOK22" s="66"/>
      <c r="DOL22" s="66"/>
      <c r="DOM22" s="66"/>
      <c r="DON22" s="66"/>
      <c r="DOO22" s="66"/>
      <c r="DOP22" s="66"/>
      <c r="DOQ22" s="66"/>
      <c r="DOR22" s="66"/>
      <c r="DOS22" s="66"/>
      <c r="DOT22" s="66"/>
      <c r="DOU22" s="66"/>
      <c r="DOV22" s="66"/>
      <c r="DOW22" s="66"/>
      <c r="DOX22" s="66"/>
      <c r="DOY22" s="66"/>
      <c r="DOZ22" s="66"/>
      <c r="DPA22" s="66"/>
      <c r="DPB22" s="66"/>
      <c r="DPC22" s="66"/>
      <c r="DPD22" s="66"/>
      <c r="DPE22" s="66"/>
      <c r="DPF22" s="66"/>
      <c r="DPG22" s="66"/>
      <c r="DPH22" s="66"/>
      <c r="DPI22" s="66"/>
      <c r="DPJ22" s="66"/>
      <c r="DPK22" s="66"/>
      <c r="DPL22" s="66"/>
      <c r="DPM22" s="66"/>
      <c r="DPN22" s="66"/>
      <c r="DPO22" s="66"/>
      <c r="DPP22" s="66"/>
      <c r="DPQ22" s="66"/>
      <c r="DPR22" s="66"/>
      <c r="DPS22" s="66"/>
      <c r="DPT22" s="66"/>
      <c r="DPU22" s="66"/>
      <c r="DPV22" s="66"/>
      <c r="DPW22" s="66"/>
      <c r="DPX22" s="66"/>
      <c r="DPY22" s="66"/>
      <c r="DPZ22" s="66"/>
      <c r="DQA22" s="66"/>
      <c r="DQB22" s="66"/>
      <c r="DQC22" s="66"/>
      <c r="DQD22" s="66"/>
      <c r="DQE22" s="66"/>
      <c r="DQF22" s="66"/>
      <c r="DQG22" s="66"/>
      <c r="DQH22" s="66"/>
      <c r="DQI22" s="66"/>
      <c r="DQJ22" s="66"/>
      <c r="DQK22" s="66"/>
      <c r="DQL22" s="66"/>
      <c r="DQM22" s="66"/>
      <c r="DQN22" s="66"/>
      <c r="DQO22" s="66"/>
      <c r="DQP22" s="66"/>
      <c r="DQQ22" s="66"/>
      <c r="DQR22" s="66"/>
      <c r="DQS22" s="66"/>
      <c r="DQT22" s="66"/>
      <c r="DQU22" s="66"/>
      <c r="DQV22" s="66"/>
      <c r="DQW22" s="66"/>
      <c r="DQX22" s="66"/>
      <c r="DQY22" s="66"/>
      <c r="DQZ22" s="66"/>
      <c r="DRA22" s="66"/>
      <c r="DRB22" s="66"/>
      <c r="DRC22" s="66"/>
      <c r="DRD22" s="66"/>
      <c r="DRE22" s="66"/>
      <c r="DRF22" s="66"/>
      <c r="DRG22" s="66"/>
      <c r="DRH22" s="66"/>
      <c r="DRI22" s="66"/>
      <c r="DRJ22" s="66"/>
      <c r="DRK22" s="66"/>
      <c r="DRL22" s="66"/>
      <c r="DRM22" s="66"/>
      <c r="DRN22" s="66"/>
      <c r="DRO22" s="66"/>
      <c r="DRP22" s="66"/>
      <c r="DRQ22" s="66"/>
      <c r="DRR22" s="66"/>
      <c r="DRS22" s="66"/>
      <c r="DRT22" s="66"/>
      <c r="DRU22" s="66"/>
      <c r="DRV22" s="66"/>
      <c r="DRW22" s="66"/>
      <c r="DRX22" s="66"/>
      <c r="DRY22" s="66"/>
      <c r="DRZ22" s="66"/>
      <c r="DSA22" s="66"/>
      <c r="DSB22" s="66"/>
      <c r="DSC22" s="66"/>
      <c r="DSD22" s="66"/>
      <c r="DSE22" s="66"/>
      <c r="DSF22" s="66"/>
      <c r="DSG22" s="66"/>
      <c r="DSH22" s="66"/>
      <c r="DSI22" s="66"/>
      <c r="DSJ22" s="66"/>
      <c r="DSK22" s="66"/>
      <c r="DSL22" s="66"/>
      <c r="DSM22" s="66"/>
      <c r="DSN22" s="66"/>
      <c r="DSO22" s="66"/>
      <c r="DSP22" s="66"/>
      <c r="DSQ22" s="66"/>
      <c r="DSR22" s="66"/>
      <c r="DSS22" s="66"/>
      <c r="DST22" s="66"/>
      <c r="DSU22" s="66"/>
      <c r="DSV22" s="66"/>
      <c r="DSW22" s="66"/>
      <c r="DSX22" s="66"/>
      <c r="DSY22" s="66"/>
      <c r="DSZ22" s="66"/>
      <c r="DTA22" s="66"/>
      <c r="DTB22" s="66"/>
      <c r="DTC22" s="66"/>
      <c r="DTD22" s="66"/>
      <c r="DTE22" s="66"/>
      <c r="DTF22" s="66"/>
      <c r="DTG22" s="66"/>
      <c r="DTH22" s="66"/>
      <c r="DTI22" s="66"/>
      <c r="DTJ22" s="66"/>
      <c r="DTK22" s="66"/>
      <c r="DTL22" s="66"/>
      <c r="DTM22" s="66"/>
      <c r="DTN22" s="66"/>
      <c r="DTO22" s="66"/>
      <c r="DTP22" s="66"/>
      <c r="DTQ22" s="66"/>
      <c r="DTR22" s="66"/>
      <c r="DTS22" s="66"/>
      <c r="DTT22" s="66"/>
      <c r="DTU22" s="66"/>
      <c r="DTV22" s="66"/>
      <c r="DTW22" s="66"/>
      <c r="DTX22" s="66"/>
      <c r="DTY22" s="66"/>
      <c r="DTZ22" s="66"/>
      <c r="DUA22" s="66"/>
      <c r="DUB22" s="66"/>
      <c r="DUC22" s="66"/>
      <c r="DUD22" s="66"/>
      <c r="DUE22" s="66"/>
      <c r="DUF22" s="66"/>
      <c r="DUG22" s="66"/>
      <c r="DUH22" s="66"/>
      <c r="DUI22" s="66"/>
      <c r="DUJ22" s="66"/>
      <c r="DUK22" s="66"/>
      <c r="DUL22" s="66"/>
      <c r="DUM22" s="66"/>
      <c r="DUN22" s="66"/>
      <c r="DUO22" s="66"/>
      <c r="DUP22" s="66"/>
      <c r="DUQ22" s="66"/>
      <c r="DUR22" s="66"/>
      <c r="DUS22" s="66"/>
      <c r="DUT22" s="66"/>
      <c r="DUU22" s="66"/>
      <c r="DUV22" s="66"/>
      <c r="DUW22" s="66"/>
      <c r="DUX22" s="66"/>
      <c r="DUY22" s="66"/>
      <c r="DUZ22" s="66"/>
      <c r="DVA22" s="66"/>
      <c r="DVB22" s="66"/>
      <c r="DVC22" s="66"/>
      <c r="DVD22" s="66"/>
      <c r="DVE22" s="66"/>
      <c r="DVF22" s="66"/>
      <c r="DVG22" s="66"/>
      <c r="DVH22" s="66"/>
      <c r="DVI22" s="66"/>
      <c r="DVJ22" s="66"/>
      <c r="DVK22" s="66"/>
      <c r="DVL22" s="66"/>
      <c r="DVM22" s="66"/>
      <c r="DVN22" s="66"/>
      <c r="DVO22" s="66"/>
      <c r="DVP22" s="66"/>
      <c r="DVQ22" s="66"/>
      <c r="DVR22" s="66"/>
      <c r="DVS22" s="66"/>
      <c r="DVT22" s="66"/>
      <c r="DVU22" s="66"/>
      <c r="DVV22" s="66"/>
      <c r="DVW22" s="66"/>
      <c r="DVX22" s="66"/>
      <c r="DVY22" s="66"/>
      <c r="DVZ22" s="66"/>
      <c r="DWA22" s="66"/>
      <c r="DWB22" s="66"/>
      <c r="DWC22" s="66"/>
      <c r="DWD22" s="66"/>
      <c r="DWE22" s="66"/>
      <c r="DWF22" s="66"/>
      <c r="DWG22" s="66"/>
      <c r="DWH22" s="66"/>
      <c r="DWI22" s="66"/>
      <c r="DWJ22" s="66"/>
      <c r="DWK22" s="66"/>
      <c r="DWL22" s="66"/>
      <c r="DWM22" s="66"/>
      <c r="DWN22" s="66"/>
      <c r="DWO22" s="66"/>
      <c r="DWP22" s="66"/>
      <c r="DWQ22" s="66"/>
      <c r="DWR22" s="66"/>
      <c r="DWS22" s="66"/>
      <c r="DWT22" s="66"/>
      <c r="DWU22" s="66"/>
      <c r="DWV22" s="66"/>
      <c r="DWW22" s="66"/>
      <c r="DWX22" s="66"/>
      <c r="DWY22" s="66"/>
      <c r="DWZ22" s="66"/>
      <c r="DXA22" s="66"/>
      <c r="DXB22" s="66"/>
      <c r="DXC22" s="66"/>
      <c r="DXD22" s="66"/>
      <c r="DXE22" s="66"/>
      <c r="DXF22" s="66"/>
      <c r="DXG22" s="66"/>
      <c r="DXH22" s="66"/>
      <c r="DXI22" s="66"/>
      <c r="DXJ22" s="66"/>
      <c r="DXK22" s="66"/>
      <c r="DXL22" s="66"/>
      <c r="DXM22" s="66"/>
      <c r="DXN22" s="66"/>
      <c r="DXO22" s="66"/>
      <c r="DXP22" s="66"/>
      <c r="DXQ22" s="66"/>
      <c r="DXR22" s="66"/>
      <c r="DXS22" s="66"/>
      <c r="DXT22" s="66"/>
      <c r="DXU22" s="66"/>
      <c r="DXV22" s="66"/>
      <c r="DXW22" s="66"/>
      <c r="DXX22" s="66"/>
      <c r="DXY22" s="66"/>
      <c r="DXZ22" s="66"/>
      <c r="DYA22" s="66"/>
      <c r="DYB22" s="66"/>
      <c r="DYC22" s="66"/>
      <c r="DYD22" s="66"/>
      <c r="DYE22" s="66"/>
      <c r="DYF22" s="66"/>
      <c r="DYG22" s="66"/>
      <c r="DYH22" s="66"/>
      <c r="DYI22" s="66"/>
      <c r="DYJ22" s="66"/>
      <c r="DYK22" s="66"/>
      <c r="DYL22" s="66"/>
      <c r="DYM22" s="66"/>
      <c r="DYN22" s="66"/>
      <c r="DYO22" s="66"/>
      <c r="DYP22" s="66"/>
      <c r="DYQ22" s="66"/>
      <c r="DYR22" s="66"/>
      <c r="DYS22" s="66"/>
      <c r="DYT22" s="66"/>
      <c r="DYU22" s="66"/>
      <c r="DYV22" s="66"/>
      <c r="DYW22" s="66"/>
      <c r="DYX22" s="66"/>
      <c r="DYY22" s="66"/>
      <c r="DYZ22" s="66"/>
      <c r="DZA22" s="66"/>
      <c r="DZB22" s="66"/>
      <c r="DZC22" s="66"/>
      <c r="DZD22" s="66"/>
      <c r="DZE22" s="66"/>
      <c r="DZF22" s="66"/>
      <c r="DZG22" s="66"/>
      <c r="DZH22" s="66"/>
      <c r="DZI22" s="66"/>
      <c r="DZJ22" s="66"/>
      <c r="DZK22" s="66"/>
      <c r="DZL22" s="66"/>
      <c r="DZM22" s="66"/>
      <c r="DZN22" s="66"/>
      <c r="DZO22" s="66"/>
      <c r="DZP22" s="66"/>
      <c r="DZQ22" s="66"/>
      <c r="DZR22" s="66"/>
      <c r="DZS22" s="66"/>
      <c r="DZT22" s="66"/>
      <c r="DZU22" s="66"/>
      <c r="DZV22" s="66"/>
      <c r="DZW22" s="66"/>
      <c r="DZX22" s="66"/>
      <c r="DZY22" s="66"/>
      <c r="DZZ22" s="66"/>
      <c r="EAA22" s="66"/>
      <c r="EAB22" s="66"/>
      <c r="EAC22" s="66"/>
      <c r="EAD22" s="66"/>
      <c r="EAE22" s="66"/>
      <c r="EAF22" s="66"/>
      <c r="EAG22" s="66"/>
      <c r="EAH22" s="66"/>
      <c r="EAI22" s="66"/>
      <c r="EAJ22" s="66"/>
      <c r="EAK22" s="66"/>
      <c r="EAL22" s="66"/>
      <c r="EAM22" s="66"/>
      <c r="EAN22" s="66"/>
      <c r="EAO22" s="66"/>
      <c r="EAP22" s="66"/>
      <c r="EAQ22" s="66"/>
      <c r="EAR22" s="66"/>
      <c r="EAS22" s="66"/>
      <c r="EAT22" s="66"/>
      <c r="EAU22" s="66"/>
      <c r="EAV22" s="66"/>
      <c r="EAW22" s="66"/>
      <c r="EAX22" s="66"/>
      <c r="EAY22" s="66"/>
      <c r="EAZ22" s="66"/>
      <c r="EBA22" s="66"/>
      <c r="EBB22" s="66"/>
      <c r="EBC22" s="66"/>
      <c r="EBD22" s="66"/>
      <c r="EBE22" s="66"/>
      <c r="EBF22" s="66"/>
      <c r="EBG22" s="66"/>
      <c r="EBH22" s="66"/>
      <c r="EBI22" s="66"/>
      <c r="EBJ22" s="66"/>
      <c r="EBK22" s="66"/>
      <c r="EBL22" s="66"/>
      <c r="EBM22" s="66"/>
      <c r="EBN22" s="66"/>
      <c r="EBO22" s="66"/>
      <c r="EBP22" s="66"/>
      <c r="EBQ22" s="66"/>
      <c r="EBR22" s="66"/>
      <c r="EBS22" s="66"/>
      <c r="EBT22" s="66"/>
      <c r="EBU22" s="66"/>
      <c r="EBV22" s="66"/>
      <c r="EBW22" s="66"/>
      <c r="EBX22" s="66"/>
      <c r="EBY22" s="66"/>
      <c r="EBZ22" s="66"/>
      <c r="ECA22" s="66"/>
      <c r="ECB22" s="66"/>
      <c r="ECC22" s="66"/>
      <c r="ECD22" s="66"/>
      <c r="ECE22" s="66"/>
      <c r="ECF22" s="66"/>
      <c r="ECG22" s="66"/>
      <c r="ECH22" s="66"/>
      <c r="ECI22" s="66"/>
      <c r="ECJ22" s="66"/>
      <c r="ECK22" s="66"/>
      <c r="ECL22" s="66"/>
      <c r="ECM22" s="66"/>
      <c r="ECN22" s="66"/>
      <c r="ECO22" s="66"/>
      <c r="ECP22" s="66"/>
      <c r="ECQ22" s="66"/>
      <c r="ECR22" s="66"/>
      <c r="ECS22" s="66"/>
      <c r="ECT22" s="66"/>
      <c r="ECU22" s="66"/>
      <c r="ECV22" s="66"/>
      <c r="ECW22" s="66"/>
      <c r="ECX22" s="66"/>
      <c r="ECY22" s="66"/>
      <c r="ECZ22" s="66"/>
      <c r="EDA22" s="66"/>
      <c r="EDB22" s="66"/>
      <c r="EDC22" s="66"/>
      <c r="EDD22" s="66"/>
      <c r="EDE22" s="66"/>
      <c r="EDF22" s="66"/>
      <c r="EDG22" s="66"/>
      <c r="EDH22" s="66"/>
      <c r="EDI22" s="66"/>
      <c r="EDJ22" s="66"/>
      <c r="EDK22" s="66"/>
      <c r="EDL22" s="66"/>
      <c r="EDM22" s="66"/>
      <c r="EDN22" s="66"/>
      <c r="EDO22" s="66"/>
      <c r="EDP22" s="66"/>
      <c r="EDQ22" s="66"/>
      <c r="EDR22" s="66"/>
      <c r="EDS22" s="66"/>
      <c r="EDT22" s="66"/>
      <c r="EDU22" s="66"/>
      <c r="EDV22" s="66"/>
      <c r="EDW22" s="66"/>
      <c r="EDX22" s="66"/>
      <c r="EDY22" s="66"/>
      <c r="EDZ22" s="66"/>
      <c r="EEA22" s="66"/>
      <c r="EEB22" s="66"/>
      <c r="EEC22" s="66"/>
      <c r="EED22" s="66"/>
      <c r="EEE22" s="66"/>
      <c r="EEF22" s="66"/>
      <c r="EEG22" s="66"/>
      <c r="EEH22" s="66"/>
      <c r="EEI22" s="66"/>
      <c r="EEJ22" s="66"/>
      <c r="EEK22" s="66"/>
      <c r="EEL22" s="66"/>
      <c r="EEM22" s="66"/>
      <c r="EEN22" s="66"/>
      <c r="EEO22" s="66"/>
      <c r="EEP22" s="66"/>
      <c r="EEQ22" s="66"/>
      <c r="EER22" s="66"/>
      <c r="EES22" s="66"/>
      <c r="EET22" s="66"/>
      <c r="EEU22" s="66"/>
      <c r="EEV22" s="66"/>
      <c r="EEW22" s="66"/>
      <c r="EEX22" s="66"/>
      <c r="EEY22" s="66"/>
      <c r="EEZ22" s="66"/>
      <c r="EFA22" s="66"/>
      <c r="EFB22" s="66"/>
      <c r="EFC22" s="66"/>
      <c r="EFD22" s="66"/>
      <c r="EFE22" s="66"/>
      <c r="EFF22" s="66"/>
      <c r="EFG22" s="66"/>
      <c r="EFH22" s="66"/>
      <c r="EFI22" s="66"/>
      <c r="EFJ22" s="66"/>
      <c r="EFK22" s="66"/>
      <c r="EFL22" s="66"/>
      <c r="EFM22" s="66"/>
      <c r="EFN22" s="66"/>
      <c r="EFO22" s="66"/>
      <c r="EFP22" s="66"/>
      <c r="EFQ22" s="66"/>
      <c r="EFR22" s="66"/>
      <c r="EFS22" s="66"/>
      <c r="EFT22" s="66"/>
      <c r="EFU22" s="66"/>
      <c r="EFV22" s="66"/>
      <c r="EFW22" s="66"/>
      <c r="EFX22" s="66"/>
      <c r="EFY22" s="66"/>
      <c r="EFZ22" s="66"/>
      <c r="EGA22" s="66"/>
      <c r="EGB22" s="66"/>
      <c r="EGC22" s="66"/>
      <c r="EGD22" s="66"/>
      <c r="EGE22" s="66"/>
      <c r="EGF22" s="66"/>
      <c r="EGG22" s="66"/>
      <c r="EGH22" s="66"/>
      <c r="EGI22" s="66"/>
      <c r="EGJ22" s="66"/>
      <c r="EGK22" s="66"/>
      <c r="EGL22" s="66"/>
      <c r="EGM22" s="66"/>
      <c r="EGN22" s="66"/>
      <c r="EGO22" s="66"/>
      <c r="EGP22" s="66"/>
      <c r="EGQ22" s="66"/>
      <c r="EGR22" s="66"/>
      <c r="EGS22" s="66"/>
      <c r="EGT22" s="66"/>
      <c r="EGU22" s="66"/>
      <c r="EGV22" s="66"/>
      <c r="EGW22" s="66"/>
      <c r="EGX22" s="66"/>
      <c r="EGY22" s="66"/>
      <c r="EGZ22" s="66"/>
      <c r="EHA22" s="66"/>
      <c r="EHB22" s="66"/>
      <c r="EHC22" s="66"/>
      <c r="EHD22" s="66"/>
      <c r="EHE22" s="66"/>
      <c r="EHF22" s="66"/>
      <c r="EHG22" s="66"/>
      <c r="EHH22" s="66"/>
      <c r="EHI22" s="66"/>
      <c r="EHJ22" s="66"/>
      <c r="EHK22" s="66"/>
      <c r="EHL22" s="66"/>
      <c r="EHM22" s="66"/>
      <c r="EHN22" s="66"/>
      <c r="EHO22" s="66"/>
      <c r="EHP22" s="66"/>
      <c r="EHQ22" s="66"/>
      <c r="EHR22" s="66"/>
      <c r="EHS22" s="66"/>
      <c r="EHT22" s="66"/>
      <c r="EHU22" s="66"/>
      <c r="EHV22" s="66"/>
      <c r="EHW22" s="66"/>
      <c r="EHX22" s="66"/>
      <c r="EHY22" s="66"/>
      <c r="EHZ22" s="66"/>
      <c r="EIA22" s="66"/>
      <c r="EIB22" s="66"/>
      <c r="EIC22" s="66"/>
      <c r="EID22" s="66"/>
      <c r="EIE22" s="66"/>
      <c r="EIF22" s="66"/>
      <c r="EIG22" s="66"/>
      <c r="EIH22" s="66"/>
      <c r="EII22" s="66"/>
      <c r="EIJ22" s="66"/>
      <c r="EIK22" s="66"/>
      <c r="EIL22" s="66"/>
      <c r="EIM22" s="66"/>
      <c r="EIN22" s="66"/>
      <c r="EIO22" s="66"/>
      <c r="EIP22" s="66"/>
      <c r="EIQ22" s="66"/>
      <c r="EIR22" s="66"/>
      <c r="EIS22" s="66"/>
      <c r="EIT22" s="66"/>
      <c r="EIU22" s="66"/>
      <c r="EIV22" s="66"/>
      <c r="EIW22" s="66"/>
      <c r="EIX22" s="66"/>
      <c r="EIY22" s="66"/>
      <c r="EIZ22" s="66"/>
      <c r="EJA22" s="66"/>
      <c r="EJB22" s="66"/>
      <c r="EJC22" s="66"/>
      <c r="EJD22" s="66"/>
      <c r="EJE22" s="66"/>
      <c r="EJF22" s="66"/>
      <c r="EJG22" s="66"/>
      <c r="EJH22" s="66"/>
      <c r="EJI22" s="66"/>
      <c r="EJJ22" s="66"/>
      <c r="EJK22" s="66"/>
      <c r="EJL22" s="66"/>
      <c r="EJM22" s="66"/>
      <c r="EJN22" s="66"/>
      <c r="EJO22" s="66"/>
      <c r="EJP22" s="66"/>
      <c r="EJQ22" s="66"/>
      <c r="EJR22" s="66"/>
      <c r="EJS22" s="66"/>
      <c r="EJT22" s="66"/>
      <c r="EJU22" s="66"/>
      <c r="EJV22" s="66"/>
      <c r="EJW22" s="66"/>
      <c r="EJX22" s="66"/>
      <c r="EJY22" s="66"/>
      <c r="EJZ22" s="66"/>
      <c r="EKA22" s="66"/>
      <c r="EKB22" s="66"/>
      <c r="EKC22" s="66"/>
      <c r="EKD22" s="66"/>
      <c r="EKE22" s="66"/>
      <c r="EKF22" s="66"/>
      <c r="EKG22" s="66"/>
      <c r="EKH22" s="66"/>
      <c r="EKI22" s="66"/>
      <c r="EKJ22" s="66"/>
      <c r="EKK22" s="66"/>
      <c r="EKL22" s="66"/>
      <c r="EKM22" s="66"/>
      <c r="EKN22" s="66"/>
      <c r="EKO22" s="66"/>
      <c r="EKP22" s="66"/>
      <c r="EKQ22" s="66"/>
      <c r="EKR22" s="66"/>
      <c r="EKS22" s="66"/>
      <c r="EKT22" s="66"/>
      <c r="EKU22" s="66"/>
      <c r="EKV22" s="66"/>
      <c r="EKW22" s="66"/>
      <c r="EKX22" s="66"/>
      <c r="EKY22" s="66"/>
      <c r="EKZ22" s="66"/>
      <c r="ELA22" s="66"/>
      <c r="ELB22" s="66"/>
      <c r="ELC22" s="66"/>
      <c r="ELD22" s="66"/>
      <c r="ELE22" s="66"/>
      <c r="ELF22" s="66"/>
      <c r="ELG22" s="66"/>
      <c r="ELH22" s="66"/>
      <c r="ELI22" s="66"/>
      <c r="ELJ22" s="66"/>
      <c r="ELK22" s="66"/>
      <c r="ELL22" s="66"/>
      <c r="ELM22" s="66"/>
      <c r="ELN22" s="66"/>
      <c r="ELO22" s="66"/>
      <c r="ELP22" s="66"/>
      <c r="ELQ22" s="66"/>
      <c r="ELR22" s="66"/>
      <c r="ELS22" s="66"/>
      <c r="ELT22" s="66"/>
      <c r="ELU22" s="66"/>
      <c r="ELV22" s="66"/>
      <c r="ELW22" s="66"/>
      <c r="ELX22" s="66"/>
      <c r="ELY22" s="66"/>
      <c r="ELZ22" s="66"/>
      <c r="EMA22" s="66"/>
      <c r="EMB22" s="66"/>
      <c r="EMC22" s="66"/>
      <c r="EMD22" s="66"/>
      <c r="EME22" s="66"/>
      <c r="EMF22" s="66"/>
      <c r="EMG22" s="66"/>
      <c r="EMH22" s="66"/>
      <c r="EMI22" s="66"/>
      <c r="EMJ22" s="66"/>
      <c r="EMK22" s="66"/>
      <c r="EML22" s="66"/>
      <c r="EMM22" s="66"/>
      <c r="EMN22" s="66"/>
      <c r="EMO22" s="66"/>
      <c r="EMP22" s="66"/>
      <c r="EMQ22" s="66"/>
      <c r="EMR22" s="66"/>
      <c r="EMS22" s="66"/>
      <c r="EMT22" s="66"/>
      <c r="EMU22" s="66"/>
      <c r="EMV22" s="66"/>
      <c r="EMW22" s="66"/>
      <c r="EMX22" s="66"/>
      <c r="EMY22" s="66"/>
      <c r="EMZ22" s="66"/>
      <c r="ENA22" s="66"/>
      <c r="ENB22" s="66"/>
      <c r="ENC22" s="66"/>
      <c r="END22" s="66"/>
      <c r="ENE22" s="66"/>
      <c r="ENF22" s="66"/>
      <c r="ENG22" s="66"/>
      <c r="ENH22" s="66"/>
      <c r="ENI22" s="66"/>
      <c r="ENJ22" s="66"/>
      <c r="ENK22" s="66"/>
      <c r="ENL22" s="66"/>
      <c r="ENM22" s="66"/>
      <c r="ENN22" s="66"/>
      <c r="ENO22" s="66"/>
      <c r="ENP22" s="66"/>
      <c r="ENQ22" s="66"/>
      <c r="ENR22" s="66"/>
      <c r="ENS22" s="66"/>
      <c r="ENT22" s="66"/>
      <c r="ENU22" s="66"/>
      <c r="ENV22" s="66"/>
      <c r="ENW22" s="66"/>
      <c r="ENX22" s="66"/>
      <c r="ENY22" s="66"/>
      <c r="ENZ22" s="66"/>
      <c r="EOA22" s="66"/>
      <c r="EOB22" s="66"/>
      <c r="EOC22" s="66"/>
      <c r="EOD22" s="66"/>
      <c r="EOE22" s="66"/>
      <c r="EOF22" s="66"/>
      <c r="EOG22" s="66"/>
      <c r="EOH22" s="66"/>
      <c r="EOI22" s="66"/>
      <c r="EOJ22" s="66"/>
      <c r="EOK22" s="66"/>
      <c r="EOL22" s="66"/>
      <c r="EOM22" s="66"/>
      <c r="EON22" s="66"/>
      <c r="EOO22" s="66"/>
      <c r="EOP22" s="66"/>
      <c r="EOQ22" s="66"/>
      <c r="EOR22" s="66"/>
      <c r="EOS22" s="66"/>
      <c r="EOT22" s="66"/>
      <c r="EOU22" s="66"/>
      <c r="EOV22" s="66"/>
      <c r="EOW22" s="66"/>
      <c r="EOX22" s="66"/>
      <c r="EOY22" s="66"/>
      <c r="EOZ22" s="66"/>
      <c r="EPA22" s="66"/>
      <c r="EPB22" s="66"/>
      <c r="EPC22" s="66"/>
      <c r="EPD22" s="66"/>
      <c r="EPE22" s="66"/>
      <c r="EPF22" s="66"/>
      <c r="EPG22" s="66"/>
      <c r="EPH22" s="66"/>
      <c r="EPI22" s="66"/>
      <c r="EPJ22" s="66"/>
      <c r="EPK22" s="66"/>
      <c r="EPL22" s="66"/>
      <c r="EPM22" s="66"/>
      <c r="EPN22" s="66"/>
      <c r="EPO22" s="66"/>
      <c r="EPP22" s="66"/>
      <c r="EPQ22" s="66"/>
      <c r="EPR22" s="66"/>
      <c r="EPS22" s="66"/>
      <c r="EPT22" s="66"/>
      <c r="EPU22" s="66"/>
      <c r="EPV22" s="66"/>
      <c r="EPW22" s="66"/>
      <c r="EPX22" s="66"/>
      <c r="EPY22" s="66"/>
      <c r="EPZ22" s="66"/>
      <c r="EQA22" s="66"/>
      <c r="EQB22" s="66"/>
      <c r="EQC22" s="66"/>
      <c r="EQD22" s="66"/>
      <c r="EQE22" s="66"/>
      <c r="EQF22" s="66"/>
      <c r="EQG22" s="66"/>
      <c r="EQH22" s="66"/>
      <c r="EQI22" s="66"/>
      <c r="EQJ22" s="66"/>
      <c r="EQK22" s="66"/>
      <c r="EQL22" s="66"/>
      <c r="EQM22" s="66"/>
      <c r="EQN22" s="66"/>
      <c r="EQO22" s="66"/>
      <c r="EQP22" s="66"/>
      <c r="EQQ22" s="66"/>
      <c r="EQR22" s="66"/>
      <c r="EQS22" s="66"/>
      <c r="EQT22" s="66"/>
      <c r="EQU22" s="66"/>
      <c r="EQV22" s="66"/>
      <c r="EQW22" s="66"/>
      <c r="EQX22" s="66"/>
      <c r="EQY22" s="66"/>
      <c r="EQZ22" s="66"/>
      <c r="ERA22" s="66"/>
      <c r="ERB22" s="66"/>
      <c r="ERC22" s="66"/>
      <c r="ERD22" s="66"/>
      <c r="ERE22" s="66"/>
      <c r="ERF22" s="66"/>
      <c r="ERG22" s="66"/>
      <c r="ERH22" s="66"/>
      <c r="ERI22" s="66"/>
      <c r="ERJ22" s="66"/>
      <c r="ERK22" s="66"/>
      <c r="ERL22" s="66"/>
      <c r="ERM22" s="66"/>
      <c r="ERN22" s="66"/>
      <c r="ERO22" s="66"/>
      <c r="ERP22" s="66"/>
      <c r="ERQ22" s="66"/>
      <c r="ERR22" s="66"/>
      <c r="ERS22" s="66"/>
      <c r="ERT22" s="66"/>
      <c r="ERU22" s="66"/>
      <c r="ERV22" s="66"/>
      <c r="ERW22" s="66"/>
      <c r="ERX22" s="66"/>
      <c r="ERY22" s="66"/>
      <c r="ERZ22" s="66"/>
      <c r="ESA22" s="66"/>
      <c r="ESB22" s="66"/>
      <c r="ESC22" s="66"/>
      <c r="ESD22" s="66"/>
      <c r="ESE22" s="66"/>
      <c r="ESF22" s="66"/>
      <c r="ESG22" s="66"/>
      <c r="ESH22" s="66"/>
      <c r="ESI22" s="66"/>
      <c r="ESJ22" s="66"/>
      <c r="ESK22" s="66"/>
      <c r="ESL22" s="66"/>
      <c r="ESM22" s="66"/>
      <c r="ESN22" s="66"/>
      <c r="ESO22" s="66"/>
      <c r="ESP22" s="66"/>
      <c r="ESQ22" s="66"/>
      <c r="ESR22" s="66"/>
      <c r="ESS22" s="66"/>
      <c r="EST22" s="66"/>
      <c r="ESU22" s="66"/>
      <c r="ESV22" s="66"/>
      <c r="ESW22" s="66"/>
      <c r="ESX22" s="66"/>
      <c r="ESY22" s="66"/>
      <c r="ESZ22" s="66"/>
      <c r="ETA22" s="66"/>
      <c r="ETB22" s="66"/>
      <c r="ETC22" s="66"/>
      <c r="ETD22" s="66"/>
      <c r="ETE22" s="66"/>
      <c r="ETF22" s="66"/>
      <c r="ETG22" s="66"/>
      <c r="ETH22" s="66"/>
      <c r="ETI22" s="66"/>
      <c r="ETJ22" s="66"/>
      <c r="ETK22" s="66"/>
      <c r="ETL22" s="66"/>
      <c r="ETM22" s="66"/>
      <c r="ETN22" s="66"/>
      <c r="ETO22" s="66"/>
      <c r="ETP22" s="66"/>
      <c r="ETQ22" s="66"/>
      <c r="ETR22" s="66"/>
      <c r="ETS22" s="66"/>
      <c r="ETT22" s="66"/>
      <c r="ETU22" s="66"/>
      <c r="ETV22" s="66"/>
      <c r="ETW22" s="66"/>
      <c r="ETX22" s="66"/>
      <c r="ETY22" s="66"/>
      <c r="ETZ22" s="66"/>
      <c r="EUA22" s="66"/>
      <c r="EUB22" s="66"/>
      <c r="EUC22" s="66"/>
      <c r="EUD22" s="66"/>
      <c r="EUE22" s="66"/>
      <c r="EUF22" s="66"/>
      <c r="EUG22" s="66"/>
      <c r="EUH22" s="66"/>
      <c r="EUI22" s="66"/>
      <c r="EUJ22" s="66"/>
      <c r="EUK22" s="66"/>
      <c r="EUL22" s="66"/>
      <c r="EUM22" s="66"/>
      <c r="EUN22" s="66"/>
      <c r="EUO22" s="66"/>
      <c r="EUP22" s="66"/>
      <c r="EUQ22" s="66"/>
      <c r="EUR22" s="66"/>
      <c r="EUS22" s="66"/>
      <c r="EUT22" s="66"/>
      <c r="EUU22" s="66"/>
      <c r="EUV22" s="66"/>
      <c r="EUW22" s="66"/>
      <c r="EUX22" s="66"/>
      <c r="EUY22" s="66"/>
      <c r="EUZ22" s="66"/>
      <c r="EVA22" s="66"/>
      <c r="EVB22" s="66"/>
      <c r="EVC22" s="66"/>
      <c r="EVD22" s="66"/>
      <c r="EVE22" s="66"/>
      <c r="EVF22" s="66"/>
      <c r="EVG22" s="66"/>
      <c r="EVH22" s="66"/>
      <c r="EVI22" s="66"/>
      <c r="EVJ22" s="66"/>
      <c r="EVK22" s="66"/>
      <c r="EVL22" s="66"/>
      <c r="EVM22" s="66"/>
      <c r="EVN22" s="66"/>
      <c r="EVO22" s="66"/>
      <c r="EVP22" s="66"/>
      <c r="EVQ22" s="66"/>
      <c r="EVR22" s="66"/>
      <c r="EVS22" s="66"/>
      <c r="EVT22" s="66"/>
      <c r="EVU22" s="66"/>
      <c r="EVV22" s="66"/>
      <c r="EVW22" s="66"/>
      <c r="EVX22" s="66"/>
      <c r="EVY22" s="66"/>
      <c r="EVZ22" s="66"/>
      <c r="EWA22" s="66"/>
      <c r="EWB22" s="66"/>
      <c r="EWC22" s="66"/>
      <c r="EWD22" s="66"/>
      <c r="EWE22" s="66"/>
      <c r="EWF22" s="66"/>
      <c r="EWG22" s="66"/>
      <c r="EWH22" s="66"/>
      <c r="EWI22" s="66"/>
      <c r="EWJ22" s="66"/>
      <c r="EWK22" s="66"/>
      <c r="EWL22" s="66"/>
      <c r="EWM22" s="66"/>
      <c r="EWN22" s="66"/>
      <c r="EWO22" s="66"/>
      <c r="EWP22" s="66"/>
      <c r="EWQ22" s="66"/>
      <c r="EWR22" s="66"/>
      <c r="EWS22" s="66"/>
      <c r="EWT22" s="66"/>
      <c r="EWU22" s="66"/>
      <c r="EWV22" s="66"/>
      <c r="EWW22" s="66"/>
      <c r="EWX22" s="66"/>
      <c r="EWY22" s="66"/>
      <c r="EWZ22" s="66"/>
      <c r="EXA22" s="66"/>
      <c r="EXB22" s="66"/>
      <c r="EXC22" s="66"/>
      <c r="EXD22" s="66"/>
      <c r="EXE22" s="66"/>
      <c r="EXF22" s="66"/>
      <c r="EXG22" s="66"/>
      <c r="EXH22" s="66"/>
      <c r="EXI22" s="66"/>
      <c r="EXJ22" s="66"/>
      <c r="EXK22" s="66"/>
      <c r="EXL22" s="66"/>
      <c r="EXM22" s="66"/>
      <c r="EXN22" s="66"/>
      <c r="EXO22" s="66"/>
      <c r="EXP22" s="66"/>
      <c r="EXQ22" s="66"/>
      <c r="EXR22" s="66"/>
      <c r="EXS22" s="66"/>
      <c r="EXT22" s="66"/>
      <c r="EXU22" s="66"/>
      <c r="EXV22" s="66"/>
      <c r="EXW22" s="66"/>
      <c r="EXX22" s="66"/>
      <c r="EXY22" s="66"/>
      <c r="EXZ22" s="66"/>
      <c r="EYA22" s="66"/>
      <c r="EYB22" s="66"/>
      <c r="EYC22" s="66"/>
      <c r="EYD22" s="66"/>
      <c r="EYE22" s="66"/>
      <c r="EYF22" s="66"/>
      <c r="EYG22" s="66"/>
      <c r="EYH22" s="66"/>
      <c r="EYI22" s="66"/>
      <c r="EYJ22" s="66"/>
      <c r="EYK22" s="66"/>
      <c r="EYL22" s="66"/>
      <c r="EYM22" s="66"/>
      <c r="EYN22" s="66"/>
      <c r="EYO22" s="66"/>
      <c r="EYP22" s="66"/>
      <c r="EYQ22" s="66"/>
      <c r="EYR22" s="66"/>
      <c r="EYS22" s="66"/>
      <c r="EYT22" s="66"/>
      <c r="EYU22" s="66"/>
      <c r="EYV22" s="66"/>
      <c r="EYW22" s="66"/>
      <c r="EYX22" s="66"/>
      <c r="EYY22" s="66"/>
      <c r="EYZ22" s="66"/>
      <c r="EZA22" s="66"/>
      <c r="EZB22" s="66"/>
      <c r="EZC22" s="66"/>
      <c r="EZD22" s="66"/>
      <c r="EZE22" s="66"/>
      <c r="EZF22" s="66"/>
      <c r="EZG22" s="66"/>
      <c r="EZH22" s="66"/>
      <c r="EZI22" s="66"/>
      <c r="EZJ22" s="66"/>
      <c r="EZK22" s="66"/>
      <c r="EZL22" s="66"/>
      <c r="EZM22" s="66"/>
      <c r="EZN22" s="66"/>
      <c r="EZO22" s="66"/>
      <c r="EZP22" s="66"/>
      <c r="EZQ22" s="66"/>
      <c r="EZR22" s="66"/>
      <c r="EZS22" s="66"/>
      <c r="EZT22" s="66"/>
      <c r="EZU22" s="66"/>
      <c r="EZV22" s="66"/>
      <c r="EZW22" s="66"/>
      <c r="EZX22" s="66"/>
      <c r="EZY22" s="66"/>
      <c r="EZZ22" s="66"/>
      <c r="FAA22" s="66"/>
      <c r="FAB22" s="66"/>
      <c r="FAC22" s="66"/>
      <c r="FAD22" s="66"/>
      <c r="FAE22" s="66"/>
      <c r="FAF22" s="66"/>
      <c r="FAG22" s="66"/>
      <c r="FAH22" s="66"/>
      <c r="FAI22" s="66"/>
      <c r="FAJ22" s="66"/>
      <c r="FAK22" s="66"/>
      <c r="FAL22" s="66"/>
      <c r="FAM22" s="66"/>
      <c r="FAN22" s="66"/>
      <c r="FAO22" s="66"/>
      <c r="FAP22" s="66"/>
      <c r="FAQ22" s="66"/>
      <c r="FAR22" s="66"/>
      <c r="FAS22" s="66"/>
      <c r="FAT22" s="66"/>
      <c r="FAU22" s="66"/>
      <c r="FAV22" s="66"/>
      <c r="FAW22" s="66"/>
      <c r="FAX22" s="66"/>
      <c r="FAY22" s="66"/>
      <c r="FAZ22" s="66"/>
      <c r="FBA22" s="66"/>
      <c r="FBB22" s="66"/>
      <c r="FBC22" s="66"/>
      <c r="FBD22" s="66"/>
      <c r="FBE22" s="66"/>
      <c r="FBF22" s="66"/>
      <c r="FBG22" s="66"/>
      <c r="FBH22" s="66"/>
      <c r="FBI22" s="66"/>
      <c r="FBJ22" s="66"/>
      <c r="FBK22" s="66"/>
      <c r="FBL22" s="66"/>
      <c r="FBM22" s="66"/>
      <c r="FBN22" s="66"/>
      <c r="FBO22" s="66"/>
      <c r="FBP22" s="66"/>
      <c r="FBQ22" s="66"/>
      <c r="FBR22" s="66"/>
      <c r="FBS22" s="66"/>
      <c r="FBT22" s="66"/>
      <c r="FBU22" s="66"/>
      <c r="FBV22" s="66"/>
      <c r="FBW22" s="66"/>
      <c r="FBX22" s="66"/>
      <c r="FBY22" s="66"/>
      <c r="FBZ22" s="66"/>
      <c r="FCA22" s="66"/>
      <c r="FCB22" s="66"/>
      <c r="FCC22" s="66"/>
      <c r="FCD22" s="66"/>
      <c r="FCE22" s="66"/>
      <c r="FCF22" s="66"/>
      <c r="FCG22" s="66"/>
      <c r="FCH22" s="66"/>
      <c r="FCI22" s="66"/>
      <c r="FCJ22" s="66"/>
      <c r="FCK22" s="66"/>
      <c r="FCL22" s="66"/>
      <c r="FCM22" s="66"/>
      <c r="FCN22" s="66"/>
      <c r="FCO22" s="66"/>
      <c r="FCP22" s="66"/>
      <c r="FCQ22" s="66"/>
      <c r="FCR22" s="66"/>
      <c r="FCS22" s="66"/>
      <c r="FCT22" s="66"/>
      <c r="FCU22" s="66"/>
      <c r="FCV22" s="66"/>
      <c r="FCW22" s="66"/>
      <c r="FCX22" s="66"/>
      <c r="FCY22" s="66"/>
      <c r="FCZ22" s="66"/>
      <c r="FDA22" s="66"/>
      <c r="FDB22" s="66"/>
      <c r="FDC22" s="66"/>
      <c r="FDD22" s="66"/>
      <c r="FDE22" s="66"/>
      <c r="FDF22" s="66"/>
      <c r="FDG22" s="66"/>
      <c r="FDH22" s="66"/>
      <c r="FDI22" s="66"/>
      <c r="FDJ22" s="66"/>
      <c r="FDK22" s="66"/>
      <c r="FDL22" s="66"/>
      <c r="FDM22" s="66"/>
      <c r="FDN22" s="66"/>
      <c r="FDO22" s="66"/>
      <c r="FDP22" s="66"/>
      <c r="FDQ22" s="66"/>
      <c r="FDR22" s="66"/>
      <c r="FDS22" s="66"/>
      <c r="FDT22" s="66"/>
      <c r="FDU22" s="66"/>
      <c r="FDV22" s="66"/>
      <c r="FDW22" s="66"/>
      <c r="FDX22" s="66"/>
      <c r="FDY22" s="66"/>
      <c r="FDZ22" s="66"/>
      <c r="FEA22" s="66"/>
      <c r="FEB22" s="66"/>
      <c r="FEC22" s="66"/>
      <c r="FED22" s="66"/>
      <c r="FEE22" s="66"/>
      <c r="FEF22" s="66"/>
      <c r="FEG22" s="66"/>
      <c r="FEH22" s="66"/>
      <c r="FEI22" s="66"/>
      <c r="FEJ22" s="66"/>
      <c r="FEK22" s="66"/>
      <c r="FEL22" s="66"/>
      <c r="FEM22" s="66"/>
      <c r="FEN22" s="66"/>
      <c r="FEO22" s="66"/>
      <c r="FEP22" s="66"/>
      <c r="FEQ22" s="66"/>
      <c r="FER22" s="66"/>
      <c r="FES22" s="66"/>
      <c r="FET22" s="66"/>
      <c r="FEU22" s="66"/>
      <c r="FEV22" s="66"/>
      <c r="FEW22" s="66"/>
      <c r="FEX22" s="66"/>
      <c r="FEY22" s="66"/>
      <c r="FEZ22" s="66"/>
      <c r="FFA22" s="66"/>
      <c r="FFB22" s="66"/>
      <c r="FFC22" s="66"/>
      <c r="FFD22" s="66"/>
      <c r="FFE22" s="66"/>
      <c r="FFF22" s="66"/>
      <c r="FFG22" s="66"/>
      <c r="FFH22" s="66"/>
      <c r="FFI22" s="66"/>
      <c r="FFJ22" s="66"/>
      <c r="FFK22" s="66"/>
      <c r="FFL22" s="66"/>
      <c r="FFM22" s="66"/>
      <c r="FFN22" s="66"/>
      <c r="FFO22" s="66"/>
      <c r="FFP22" s="66"/>
      <c r="FFQ22" s="66"/>
      <c r="FFR22" s="66"/>
      <c r="FFS22" s="66"/>
      <c r="FFT22" s="66"/>
      <c r="FFU22" s="66"/>
      <c r="FFV22" s="66"/>
      <c r="FFW22" s="66"/>
      <c r="FFX22" s="66"/>
      <c r="FFY22" s="66"/>
      <c r="FFZ22" s="66"/>
      <c r="FGA22" s="66"/>
      <c r="FGB22" s="66"/>
      <c r="FGC22" s="66"/>
      <c r="FGD22" s="66"/>
      <c r="FGE22" s="66"/>
      <c r="FGF22" s="66"/>
      <c r="FGG22" s="66"/>
      <c r="FGH22" s="66"/>
      <c r="FGI22" s="66"/>
      <c r="FGJ22" s="66"/>
      <c r="FGK22" s="66"/>
      <c r="FGL22" s="66"/>
      <c r="FGM22" s="66"/>
      <c r="FGN22" s="66"/>
      <c r="FGO22" s="66"/>
      <c r="FGP22" s="66"/>
      <c r="FGQ22" s="66"/>
      <c r="FGR22" s="66"/>
      <c r="FGS22" s="66"/>
      <c r="FGT22" s="66"/>
      <c r="FGU22" s="66"/>
      <c r="FGV22" s="66"/>
      <c r="FGW22" s="66"/>
      <c r="FGX22" s="66"/>
      <c r="FGY22" s="66"/>
      <c r="FGZ22" s="66"/>
      <c r="FHA22" s="66"/>
      <c r="FHB22" s="66"/>
      <c r="FHC22" s="66"/>
      <c r="FHD22" s="66"/>
      <c r="FHE22" s="66"/>
      <c r="FHF22" s="66"/>
      <c r="FHG22" s="66"/>
      <c r="FHH22" s="66"/>
      <c r="FHI22" s="66"/>
      <c r="FHJ22" s="66"/>
      <c r="FHK22" s="66"/>
      <c r="FHL22" s="66"/>
      <c r="FHM22" s="66"/>
      <c r="FHN22" s="66"/>
      <c r="FHO22" s="66"/>
      <c r="FHP22" s="66"/>
      <c r="FHQ22" s="66"/>
      <c r="FHR22" s="66"/>
      <c r="FHS22" s="66"/>
      <c r="FHT22" s="66"/>
      <c r="FHU22" s="66"/>
      <c r="FHV22" s="66"/>
      <c r="FHW22" s="66"/>
      <c r="FHX22" s="66"/>
      <c r="FHY22" s="66"/>
      <c r="FHZ22" s="66"/>
      <c r="FIA22" s="66"/>
      <c r="FIB22" s="66"/>
      <c r="FIC22" s="66"/>
      <c r="FID22" s="66"/>
      <c r="FIE22" s="66"/>
      <c r="FIF22" s="66"/>
      <c r="FIG22" s="66"/>
      <c r="FIH22" s="66"/>
      <c r="FII22" s="66"/>
      <c r="FIJ22" s="66"/>
      <c r="FIK22" s="66"/>
      <c r="FIL22" s="66"/>
      <c r="FIM22" s="66"/>
      <c r="FIN22" s="66"/>
      <c r="FIO22" s="66"/>
      <c r="FIP22" s="66"/>
      <c r="FIQ22" s="66"/>
      <c r="FIR22" s="66"/>
      <c r="FIS22" s="66"/>
      <c r="FIT22" s="66"/>
      <c r="FIU22" s="66"/>
      <c r="FIV22" s="66"/>
      <c r="FIW22" s="66"/>
      <c r="FIX22" s="66"/>
      <c r="FIY22" s="66"/>
      <c r="FIZ22" s="66"/>
      <c r="FJA22" s="66"/>
      <c r="FJB22" s="66"/>
      <c r="FJC22" s="66"/>
      <c r="FJD22" s="66"/>
      <c r="FJE22" s="66"/>
      <c r="FJF22" s="66"/>
      <c r="FJG22" s="66"/>
      <c r="FJH22" s="66"/>
      <c r="FJI22" s="66"/>
      <c r="FJJ22" s="66"/>
      <c r="FJK22" s="66"/>
      <c r="FJL22" s="66"/>
      <c r="FJM22" s="66"/>
      <c r="FJN22" s="66"/>
      <c r="FJO22" s="66"/>
      <c r="FJP22" s="66"/>
      <c r="FJQ22" s="66"/>
      <c r="FJR22" s="66"/>
      <c r="FJS22" s="66"/>
      <c r="FJT22" s="66"/>
      <c r="FJU22" s="66"/>
      <c r="FJV22" s="66"/>
      <c r="FJW22" s="66"/>
      <c r="FJX22" s="66"/>
      <c r="FJY22" s="66"/>
      <c r="FJZ22" s="66"/>
      <c r="FKA22" s="66"/>
      <c r="FKB22" s="66"/>
      <c r="FKC22" s="66"/>
      <c r="FKD22" s="66"/>
      <c r="FKE22" s="66"/>
      <c r="FKF22" s="66"/>
      <c r="FKG22" s="66"/>
      <c r="FKH22" s="66"/>
      <c r="FKI22" s="66"/>
      <c r="FKJ22" s="66"/>
      <c r="FKK22" s="66"/>
      <c r="FKL22" s="66"/>
      <c r="FKM22" s="66"/>
      <c r="FKN22" s="66"/>
      <c r="FKO22" s="66"/>
      <c r="FKP22" s="66"/>
      <c r="FKQ22" s="66"/>
      <c r="FKR22" s="66"/>
      <c r="FKS22" s="66"/>
      <c r="FKT22" s="66"/>
      <c r="FKU22" s="66"/>
      <c r="FKV22" s="66"/>
      <c r="FKW22" s="66"/>
      <c r="FKX22" s="66"/>
      <c r="FKY22" s="66"/>
      <c r="FKZ22" s="66"/>
      <c r="FLA22" s="66"/>
      <c r="FLB22" s="66"/>
      <c r="FLC22" s="66"/>
      <c r="FLD22" s="66"/>
      <c r="FLE22" s="66"/>
      <c r="FLF22" s="66"/>
      <c r="FLG22" s="66"/>
      <c r="FLH22" s="66"/>
      <c r="FLI22" s="66"/>
      <c r="FLJ22" s="66"/>
      <c r="FLK22" s="66"/>
      <c r="FLL22" s="66"/>
      <c r="FLM22" s="66"/>
      <c r="FLN22" s="66"/>
      <c r="FLO22" s="66"/>
      <c r="FLP22" s="66"/>
      <c r="FLQ22" s="66"/>
      <c r="FLR22" s="66"/>
      <c r="FLS22" s="66"/>
      <c r="FLT22" s="66"/>
      <c r="FLU22" s="66"/>
      <c r="FLV22" s="66"/>
      <c r="FLW22" s="66"/>
      <c r="FLX22" s="66"/>
      <c r="FLY22" s="66"/>
      <c r="FLZ22" s="66"/>
      <c r="FMA22" s="66"/>
      <c r="FMB22" s="66"/>
      <c r="FMC22" s="66"/>
      <c r="FMD22" s="66"/>
      <c r="FME22" s="66"/>
      <c r="FMF22" s="66"/>
      <c r="FMG22" s="66"/>
      <c r="FMH22" s="66"/>
      <c r="FMI22" s="66"/>
      <c r="FMJ22" s="66"/>
      <c r="FMK22" s="66"/>
      <c r="FML22" s="66"/>
      <c r="FMM22" s="66"/>
      <c r="FMN22" s="66"/>
      <c r="FMO22" s="66"/>
      <c r="FMP22" s="66"/>
      <c r="FMQ22" s="66"/>
      <c r="FMR22" s="66"/>
      <c r="FMS22" s="66"/>
      <c r="FMT22" s="66"/>
      <c r="FMU22" s="66"/>
      <c r="FMV22" s="66"/>
      <c r="FMW22" s="66"/>
      <c r="FMX22" s="66"/>
      <c r="FMY22" s="66"/>
      <c r="FMZ22" s="66"/>
      <c r="FNA22" s="66"/>
      <c r="FNB22" s="66"/>
      <c r="FNC22" s="66"/>
      <c r="FND22" s="66"/>
      <c r="FNE22" s="66"/>
      <c r="FNF22" s="66"/>
      <c r="FNG22" s="66"/>
      <c r="FNH22" s="66"/>
      <c r="FNI22" s="66"/>
      <c r="FNJ22" s="66"/>
      <c r="FNK22" s="66"/>
      <c r="FNL22" s="66"/>
      <c r="FNM22" s="66"/>
      <c r="FNN22" s="66"/>
      <c r="FNO22" s="66"/>
      <c r="FNP22" s="66"/>
      <c r="FNQ22" s="66"/>
      <c r="FNR22" s="66"/>
      <c r="FNS22" s="66"/>
      <c r="FNT22" s="66"/>
      <c r="FNU22" s="66"/>
      <c r="FNV22" s="66"/>
      <c r="FNW22" s="66"/>
      <c r="FNX22" s="66"/>
      <c r="FNY22" s="66"/>
      <c r="FNZ22" s="66"/>
      <c r="FOA22" s="66"/>
      <c r="FOB22" s="66"/>
      <c r="FOC22" s="66"/>
      <c r="FOD22" s="66"/>
      <c r="FOE22" s="66"/>
      <c r="FOF22" s="66"/>
      <c r="FOG22" s="66"/>
      <c r="FOH22" s="66"/>
      <c r="FOI22" s="66"/>
      <c r="FOJ22" s="66"/>
      <c r="FOK22" s="66"/>
      <c r="FOL22" s="66"/>
      <c r="FOM22" s="66"/>
      <c r="FON22" s="66"/>
      <c r="FOO22" s="66"/>
      <c r="FOP22" s="66"/>
      <c r="FOQ22" s="66"/>
      <c r="FOR22" s="66"/>
      <c r="FOS22" s="66"/>
      <c r="FOT22" s="66"/>
      <c r="FOU22" s="66"/>
      <c r="FOV22" s="66"/>
      <c r="FOW22" s="66"/>
      <c r="FOX22" s="66"/>
      <c r="FOY22" s="66"/>
      <c r="FOZ22" s="66"/>
      <c r="FPA22" s="66"/>
      <c r="FPB22" s="66"/>
      <c r="FPC22" s="66"/>
      <c r="FPD22" s="66"/>
      <c r="FPE22" s="66"/>
      <c r="FPF22" s="66"/>
      <c r="FPG22" s="66"/>
      <c r="FPH22" s="66"/>
      <c r="FPI22" s="66"/>
      <c r="FPJ22" s="66"/>
      <c r="FPK22" s="66"/>
      <c r="FPL22" s="66"/>
      <c r="FPM22" s="66"/>
      <c r="FPN22" s="66"/>
      <c r="FPO22" s="66"/>
      <c r="FPP22" s="66"/>
      <c r="FPQ22" s="66"/>
      <c r="FPR22" s="66"/>
      <c r="FPS22" s="66"/>
      <c r="FPT22" s="66"/>
      <c r="FPU22" s="66"/>
      <c r="FPV22" s="66"/>
      <c r="FPW22" s="66"/>
      <c r="FPX22" s="66"/>
      <c r="FPY22" s="66"/>
      <c r="FPZ22" s="66"/>
      <c r="FQA22" s="66"/>
      <c r="FQB22" s="66"/>
      <c r="FQC22" s="66"/>
      <c r="FQD22" s="66"/>
      <c r="FQE22" s="66"/>
      <c r="FQF22" s="66"/>
      <c r="FQG22" s="66"/>
      <c r="FQH22" s="66"/>
      <c r="FQI22" s="66"/>
      <c r="FQJ22" s="66"/>
      <c r="FQK22" s="66"/>
      <c r="FQL22" s="66"/>
      <c r="FQM22" s="66"/>
      <c r="FQN22" s="66"/>
      <c r="FQO22" s="66"/>
      <c r="FQP22" s="66"/>
      <c r="FQQ22" s="66"/>
      <c r="FQR22" s="66"/>
      <c r="FQS22" s="66"/>
      <c r="FQT22" s="66"/>
      <c r="FQU22" s="66"/>
      <c r="FQV22" s="66"/>
      <c r="FQW22" s="66"/>
      <c r="FQX22" s="66"/>
      <c r="FQY22" s="66"/>
      <c r="FQZ22" s="66"/>
      <c r="FRA22" s="66"/>
      <c r="FRB22" s="66"/>
      <c r="FRC22" s="66"/>
      <c r="FRD22" s="66"/>
      <c r="FRE22" s="66"/>
      <c r="FRF22" s="66"/>
      <c r="FRG22" s="66"/>
      <c r="FRH22" s="66"/>
      <c r="FRI22" s="66"/>
      <c r="FRJ22" s="66"/>
      <c r="FRK22" s="66"/>
      <c r="FRL22" s="66"/>
      <c r="FRM22" s="66"/>
      <c r="FRN22" s="66"/>
      <c r="FRO22" s="66"/>
      <c r="FRP22" s="66"/>
      <c r="FRQ22" s="66"/>
      <c r="FRR22" s="66"/>
      <c r="FRS22" s="66"/>
      <c r="FRT22" s="66"/>
      <c r="FRU22" s="66"/>
      <c r="FRV22" s="66"/>
      <c r="FRW22" s="66"/>
      <c r="FRX22" s="66"/>
      <c r="FRY22" s="66"/>
      <c r="FRZ22" s="66"/>
      <c r="FSA22" s="66"/>
      <c r="FSB22" s="66"/>
      <c r="FSC22" s="66"/>
      <c r="FSD22" s="66"/>
      <c r="FSE22" s="66"/>
      <c r="FSF22" s="66"/>
      <c r="FSG22" s="66"/>
      <c r="FSH22" s="66"/>
      <c r="FSI22" s="66"/>
      <c r="FSJ22" s="66"/>
      <c r="FSK22" s="66"/>
      <c r="FSL22" s="66"/>
      <c r="FSM22" s="66"/>
      <c r="FSN22" s="66"/>
      <c r="FSO22" s="66"/>
      <c r="FSP22" s="66"/>
      <c r="FSQ22" s="66"/>
      <c r="FSR22" s="66"/>
      <c r="FSS22" s="66"/>
      <c r="FST22" s="66"/>
      <c r="FSU22" s="66"/>
      <c r="FSV22" s="66"/>
      <c r="FSW22" s="66"/>
      <c r="FSX22" s="66"/>
      <c r="FSY22" s="66"/>
      <c r="FSZ22" s="66"/>
      <c r="FTA22" s="66"/>
      <c r="FTB22" s="66"/>
      <c r="FTC22" s="66"/>
      <c r="FTD22" s="66"/>
      <c r="FTE22" s="66"/>
      <c r="FTF22" s="66"/>
      <c r="FTG22" s="66"/>
      <c r="FTH22" s="66"/>
      <c r="FTI22" s="66"/>
      <c r="FTJ22" s="66"/>
      <c r="FTK22" s="66"/>
      <c r="FTL22" s="66"/>
      <c r="FTM22" s="66"/>
      <c r="FTN22" s="66"/>
      <c r="FTO22" s="66"/>
      <c r="FTP22" s="66"/>
      <c r="FTQ22" s="66"/>
      <c r="FTR22" s="66"/>
      <c r="FTS22" s="66"/>
      <c r="FTT22" s="66"/>
      <c r="FTU22" s="66"/>
      <c r="FTV22" s="66"/>
      <c r="FTW22" s="66"/>
      <c r="FTX22" s="66"/>
      <c r="FTY22" s="66"/>
      <c r="FTZ22" s="66"/>
      <c r="FUA22" s="66"/>
      <c r="FUB22" s="66"/>
      <c r="FUC22" s="66"/>
      <c r="FUD22" s="66"/>
      <c r="FUE22" s="66"/>
      <c r="FUF22" s="66"/>
      <c r="FUG22" s="66"/>
      <c r="FUH22" s="66"/>
      <c r="FUI22" s="66"/>
      <c r="FUJ22" s="66"/>
      <c r="FUK22" s="66"/>
      <c r="FUL22" s="66"/>
      <c r="FUM22" s="66"/>
      <c r="FUN22" s="66"/>
      <c r="FUO22" s="66"/>
      <c r="FUP22" s="66"/>
      <c r="FUQ22" s="66"/>
      <c r="FUR22" s="66"/>
      <c r="FUS22" s="66"/>
      <c r="FUT22" s="66"/>
      <c r="FUU22" s="66"/>
      <c r="FUV22" s="66"/>
      <c r="FUW22" s="66"/>
      <c r="FUX22" s="66"/>
      <c r="FUY22" s="66"/>
      <c r="FUZ22" s="66"/>
      <c r="FVA22" s="66"/>
      <c r="FVB22" s="66"/>
      <c r="FVC22" s="66"/>
      <c r="FVD22" s="66"/>
      <c r="FVE22" s="66"/>
      <c r="FVF22" s="66"/>
      <c r="FVG22" s="66"/>
      <c r="FVH22" s="66"/>
      <c r="FVI22" s="66"/>
      <c r="FVJ22" s="66"/>
      <c r="FVK22" s="66"/>
      <c r="FVL22" s="66"/>
      <c r="FVM22" s="66"/>
      <c r="FVN22" s="66"/>
      <c r="FVO22" s="66"/>
      <c r="FVP22" s="66"/>
      <c r="FVQ22" s="66"/>
      <c r="FVR22" s="66"/>
      <c r="FVS22" s="66"/>
      <c r="FVT22" s="66"/>
      <c r="FVU22" s="66"/>
      <c r="FVV22" s="66"/>
      <c r="FVW22" s="66"/>
      <c r="FVX22" s="66"/>
      <c r="FVY22" s="66"/>
      <c r="FVZ22" s="66"/>
      <c r="FWA22" s="66"/>
      <c r="FWB22" s="66"/>
      <c r="FWC22" s="66"/>
      <c r="FWD22" s="66"/>
      <c r="FWE22" s="66"/>
      <c r="FWF22" s="66"/>
      <c r="FWG22" s="66"/>
      <c r="FWH22" s="66"/>
      <c r="FWI22" s="66"/>
      <c r="FWJ22" s="66"/>
      <c r="FWK22" s="66"/>
      <c r="FWL22" s="66"/>
      <c r="FWM22" s="66"/>
      <c r="FWN22" s="66"/>
      <c r="FWO22" s="66"/>
      <c r="FWP22" s="66"/>
      <c r="FWQ22" s="66"/>
      <c r="FWR22" s="66"/>
      <c r="FWS22" s="66"/>
      <c r="FWT22" s="66"/>
      <c r="FWU22" s="66"/>
      <c r="FWV22" s="66"/>
      <c r="FWW22" s="66"/>
      <c r="FWX22" s="66"/>
      <c r="FWY22" s="66"/>
      <c r="FWZ22" s="66"/>
      <c r="FXA22" s="66"/>
      <c r="FXB22" s="66"/>
      <c r="FXC22" s="66"/>
      <c r="FXD22" s="66"/>
      <c r="FXE22" s="66"/>
      <c r="FXF22" s="66"/>
      <c r="FXG22" s="66"/>
      <c r="FXH22" s="66"/>
      <c r="FXI22" s="66"/>
      <c r="FXJ22" s="66"/>
      <c r="FXK22" s="66"/>
      <c r="FXL22" s="66"/>
      <c r="FXM22" s="66"/>
      <c r="FXN22" s="66"/>
      <c r="FXO22" s="66"/>
      <c r="FXP22" s="66"/>
      <c r="FXQ22" s="66"/>
      <c r="FXR22" s="66"/>
      <c r="FXS22" s="66"/>
      <c r="FXT22" s="66"/>
      <c r="FXU22" s="66"/>
      <c r="FXV22" s="66"/>
      <c r="FXW22" s="66"/>
      <c r="FXX22" s="66"/>
      <c r="FXY22" s="66"/>
      <c r="FXZ22" s="66"/>
      <c r="FYA22" s="66"/>
      <c r="FYB22" s="66"/>
      <c r="FYC22" s="66"/>
      <c r="FYD22" s="66"/>
      <c r="FYE22" s="66"/>
      <c r="FYF22" s="66"/>
      <c r="FYG22" s="66"/>
      <c r="FYH22" s="66"/>
      <c r="FYI22" s="66"/>
      <c r="FYJ22" s="66"/>
      <c r="FYK22" s="66"/>
      <c r="FYL22" s="66"/>
      <c r="FYM22" s="66"/>
      <c r="FYN22" s="66"/>
      <c r="FYO22" s="66"/>
      <c r="FYP22" s="66"/>
      <c r="FYQ22" s="66"/>
      <c r="FYR22" s="66"/>
      <c r="FYS22" s="66"/>
      <c r="FYT22" s="66"/>
      <c r="FYU22" s="66"/>
      <c r="FYV22" s="66"/>
      <c r="FYW22" s="66"/>
      <c r="FYX22" s="66"/>
      <c r="FYY22" s="66"/>
      <c r="FYZ22" s="66"/>
      <c r="FZA22" s="66"/>
      <c r="FZB22" s="66"/>
      <c r="FZC22" s="66"/>
      <c r="FZD22" s="66"/>
      <c r="FZE22" s="66"/>
      <c r="FZF22" s="66"/>
      <c r="FZG22" s="66"/>
      <c r="FZH22" s="66"/>
      <c r="FZI22" s="66"/>
      <c r="FZJ22" s="66"/>
      <c r="FZK22" s="66"/>
      <c r="FZL22" s="66"/>
      <c r="FZM22" s="66"/>
      <c r="FZN22" s="66"/>
      <c r="FZO22" s="66"/>
      <c r="FZP22" s="66"/>
      <c r="FZQ22" s="66"/>
      <c r="FZR22" s="66"/>
      <c r="FZS22" s="66"/>
      <c r="FZT22" s="66"/>
      <c r="FZU22" s="66"/>
      <c r="FZV22" s="66"/>
      <c r="FZW22" s="66"/>
      <c r="FZX22" s="66"/>
      <c r="FZY22" s="66"/>
      <c r="FZZ22" s="66"/>
      <c r="GAA22" s="66"/>
      <c r="GAB22" s="66"/>
      <c r="GAC22" s="66"/>
      <c r="GAD22" s="66"/>
      <c r="GAE22" s="66"/>
      <c r="GAF22" s="66"/>
      <c r="GAG22" s="66"/>
      <c r="GAH22" s="66"/>
      <c r="GAI22" s="66"/>
      <c r="GAJ22" s="66"/>
      <c r="GAK22" s="66"/>
      <c r="GAL22" s="66"/>
      <c r="GAM22" s="66"/>
      <c r="GAN22" s="66"/>
      <c r="GAO22" s="66"/>
      <c r="GAP22" s="66"/>
      <c r="GAQ22" s="66"/>
      <c r="GAR22" s="66"/>
      <c r="GAS22" s="66"/>
      <c r="GAT22" s="66"/>
      <c r="GAU22" s="66"/>
      <c r="GAV22" s="66"/>
      <c r="GAW22" s="66"/>
      <c r="GAX22" s="66"/>
      <c r="GAY22" s="66"/>
      <c r="GAZ22" s="66"/>
      <c r="GBA22" s="66"/>
      <c r="GBB22" s="66"/>
      <c r="GBC22" s="66"/>
      <c r="GBD22" s="66"/>
      <c r="GBE22" s="66"/>
      <c r="GBF22" s="66"/>
      <c r="GBG22" s="66"/>
      <c r="GBH22" s="66"/>
      <c r="GBI22" s="66"/>
      <c r="GBJ22" s="66"/>
      <c r="GBK22" s="66"/>
      <c r="GBL22" s="66"/>
      <c r="GBM22" s="66"/>
      <c r="GBN22" s="66"/>
      <c r="GBO22" s="66"/>
      <c r="GBP22" s="66"/>
      <c r="GBQ22" s="66"/>
      <c r="GBR22" s="66"/>
      <c r="GBS22" s="66"/>
      <c r="GBT22" s="66"/>
      <c r="GBU22" s="66"/>
      <c r="GBV22" s="66"/>
      <c r="GBW22" s="66"/>
      <c r="GBX22" s="66"/>
      <c r="GBY22" s="66"/>
      <c r="GBZ22" s="66"/>
      <c r="GCA22" s="66"/>
      <c r="GCB22" s="66"/>
      <c r="GCC22" s="66"/>
      <c r="GCD22" s="66"/>
      <c r="GCE22" s="66"/>
      <c r="GCF22" s="66"/>
      <c r="GCG22" s="66"/>
      <c r="GCH22" s="66"/>
      <c r="GCI22" s="66"/>
      <c r="GCJ22" s="66"/>
      <c r="GCK22" s="66"/>
      <c r="GCL22" s="66"/>
      <c r="GCM22" s="66"/>
      <c r="GCN22" s="66"/>
      <c r="GCO22" s="66"/>
      <c r="GCP22" s="66"/>
      <c r="GCQ22" s="66"/>
      <c r="GCR22" s="66"/>
      <c r="GCS22" s="66"/>
      <c r="GCT22" s="66"/>
      <c r="GCU22" s="66"/>
      <c r="GCV22" s="66"/>
      <c r="GCW22" s="66"/>
      <c r="GCX22" s="66"/>
      <c r="GCY22" s="66"/>
      <c r="GCZ22" s="66"/>
      <c r="GDA22" s="66"/>
      <c r="GDB22" s="66"/>
      <c r="GDC22" s="66"/>
      <c r="GDD22" s="66"/>
      <c r="GDE22" s="66"/>
      <c r="GDF22" s="66"/>
      <c r="GDG22" s="66"/>
      <c r="GDH22" s="66"/>
      <c r="GDI22" s="66"/>
      <c r="GDJ22" s="66"/>
      <c r="GDK22" s="66"/>
      <c r="GDL22" s="66"/>
      <c r="GDM22" s="66"/>
      <c r="GDN22" s="66"/>
      <c r="GDO22" s="66"/>
      <c r="GDP22" s="66"/>
      <c r="GDQ22" s="66"/>
      <c r="GDR22" s="66"/>
      <c r="GDS22" s="66"/>
      <c r="GDT22" s="66"/>
      <c r="GDU22" s="66"/>
      <c r="GDV22" s="66"/>
      <c r="GDW22" s="66"/>
      <c r="GDX22" s="66"/>
      <c r="GDY22" s="66"/>
      <c r="GDZ22" s="66"/>
      <c r="GEA22" s="66"/>
      <c r="GEB22" s="66"/>
      <c r="GEC22" s="66"/>
      <c r="GED22" s="66"/>
      <c r="GEE22" s="66"/>
      <c r="GEF22" s="66"/>
      <c r="GEG22" s="66"/>
      <c r="GEH22" s="66"/>
      <c r="GEI22" s="66"/>
      <c r="GEJ22" s="66"/>
      <c r="GEK22" s="66"/>
      <c r="GEL22" s="66"/>
      <c r="GEM22" s="66"/>
      <c r="GEN22" s="66"/>
      <c r="GEO22" s="66"/>
      <c r="GEP22" s="66"/>
      <c r="GEQ22" s="66"/>
      <c r="GER22" s="66"/>
      <c r="GES22" s="66"/>
      <c r="GET22" s="66"/>
      <c r="GEU22" s="66"/>
      <c r="GEV22" s="66"/>
      <c r="GEW22" s="66"/>
      <c r="GEX22" s="66"/>
      <c r="GEY22" s="66"/>
      <c r="GEZ22" s="66"/>
      <c r="GFA22" s="66"/>
      <c r="GFB22" s="66"/>
      <c r="GFC22" s="66"/>
      <c r="GFD22" s="66"/>
      <c r="GFE22" s="66"/>
      <c r="GFF22" s="66"/>
      <c r="GFG22" s="66"/>
      <c r="GFH22" s="66"/>
      <c r="GFI22" s="66"/>
      <c r="GFJ22" s="66"/>
      <c r="GFK22" s="66"/>
      <c r="GFL22" s="66"/>
      <c r="GFM22" s="66"/>
      <c r="GFN22" s="66"/>
      <c r="GFO22" s="66"/>
      <c r="GFP22" s="66"/>
      <c r="GFQ22" s="66"/>
      <c r="GFR22" s="66"/>
      <c r="GFS22" s="66"/>
      <c r="GFT22" s="66"/>
      <c r="GFU22" s="66"/>
      <c r="GFV22" s="66"/>
      <c r="GFW22" s="66"/>
      <c r="GFX22" s="66"/>
      <c r="GFY22" s="66"/>
      <c r="GFZ22" s="66"/>
      <c r="GGA22" s="66"/>
      <c r="GGB22" s="66"/>
      <c r="GGC22" s="66"/>
      <c r="GGD22" s="66"/>
      <c r="GGE22" s="66"/>
      <c r="GGF22" s="66"/>
      <c r="GGG22" s="66"/>
      <c r="GGH22" s="66"/>
      <c r="GGI22" s="66"/>
      <c r="GGJ22" s="66"/>
      <c r="GGK22" s="66"/>
      <c r="GGL22" s="66"/>
      <c r="GGM22" s="66"/>
      <c r="GGN22" s="66"/>
      <c r="GGO22" s="66"/>
      <c r="GGP22" s="66"/>
      <c r="GGQ22" s="66"/>
      <c r="GGR22" s="66"/>
      <c r="GGS22" s="66"/>
      <c r="GGT22" s="66"/>
      <c r="GGU22" s="66"/>
      <c r="GGV22" s="66"/>
      <c r="GGW22" s="66"/>
      <c r="GGX22" s="66"/>
      <c r="GGY22" s="66"/>
      <c r="GGZ22" s="66"/>
      <c r="GHA22" s="66"/>
      <c r="GHB22" s="66"/>
      <c r="GHC22" s="66"/>
      <c r="GHD22" s="66"/>
      <c r="GHE22" s="66"/>
      <c r="GHF22" s="66"/>
      <c r="GHG22" s="66"/>
      <c r="GHH22" s="66"/>
      <c r="GHI22" s="66"/>
      <c r="GHJ22" s="66"/>
      <c r="GHK22" s="66"/>
      <c r="GHL22" s="66"/>
      <c r="GHM22" s="66"/>
      <c r="GHN22" s="66"/>
      <c r="GHO22" s="66"/>
      <c r="GHP22" s="66"/>
      <c r="GHQ22" s="66"/>
      <c r="GHR22" s="66"/>
      <c r="GHS22" s="66"/>
      <c r="GHT22" s="66"/>
      <c r="GHU22" s="66"/>
      <c r="GHV22" s="66"/>
      <c r="GHW22" s="66"/>
      <c r="GHX22" s="66"/>
      <c r="GHY22" s="66"/>
      <c r="GHZ22" s="66"/>
      <c r="GIA22" s="66"/>
      <c r="GIB22" s="66"/>
      <c r="GIC22" s="66"/>
      <c r="GID22" s="66"/>
      <c r="GIE22" s="66"/>
      <c r="GIF22" s="66"/>
      <c r="GIG22" s="66"/>
      <c r="GIH22" s="66"/>
      <c r="GII22" s="66"/>
      <c r="GIJ22" s="66"/>
      <c r="GIK22" s="66"/>
      <c r="GIL22" s="66"/>
      <c r="GIM22" s="66"/>
      <c r="GIN22" s="66"/>
      <c r="GIO22" s="66"/>
      <c r="GIP22" s="66"/>
      <c r="GIQ22" s="66"/>
      <c r="GIR22" s="66"/>
      <c r="GIS22" s="66"/>
      <c r="GIT22" s="66"/>
      <c r="GIU22" s="66"/>
      <c r="GIV22" s="66"/>
      <c r="GIW22" s="66"/>
      <c r="GIX22" s="66"/>
      <c r="GIY22" s="66"/>
      <c r="GIZ22" s="66"/>
      <c r="GJA22" s="66"/>
      <c r="GJB22" s="66"/>
      <c r="GJC22" s="66"/>
      <c r="GJD22" s="66"/>
      <c r="GJE22" s="66"/>
      <c r="GJF22" s="66"/>
      <c r="GJG22" s="66"/>
      <c r="GJH22" s="66"/>
      <c r="GJI22" s="66"/>
      <c r="GJJ22" s="66"/>
      <c r="GJK22" s="66"/>
      <c r="GJL22" s="66"/>
      <c r="GJM22" s="66"/>
      <c r="GJN22" s="66"/>
      <c r="GJO22" s="66"/>
      <c r="GJP22" s="66"/>
      <c r="GJQ22" s="66"/>
      <c r="GJR22" s="66"/>
      <c r="GJS22" s="66"/>
      <c r="GJT22" s="66"/>
      <c r="GJU22" s="66"/>
      <c r="GJV22" s="66"/>
      <c r="GJW22" s="66"/>
      <c r="GJX22" s="66"/>
      <c r="GJY22" s="66"/>
      <c r="GJZ22" s="66"/>
      <c r="GKA22" s="66"/>
      <c r="GKB22" s="66"/>
      <c r="GKC22" s="66"/>
      <c r="GKD22" s="66"/>
      <c r="GKE22" s="66"/>
      <c r="GKF22" s="66"/>
      <c r="GKG22" s="66"/>
      <c r="GKH22" s="66"/>
      <c r="GKI22" s="66"/>
      <c r="GKJ22" s="66"/>
      <c r="GKK22" s="66"/>
      <c r="GKL22" s="66"/>
      <c r="GKM22" s="66"/>
      <c r="GKN22" s="66"/>
      <c r="GKO22" s="66"/>
      <c r="GKP22" s="66"/>
      <c r="GKQ22" s="66"/>
      <c r="GKR22" s="66"/>
      <c r="GKS22" s="66"/>
      <c r="GKT22" s="66"/>
      <c r="GKU22" s="66"/>
      <c r="GKV22" s="66"/>
      <c r="GKW22" s="66"/>
      <c r="GKX22" s="66"/>
      <c r="GKY22" s="66"/>
      <c r="GKZ22" s="66"/>
      <c r="GLA22" s="66"/>
      <c r="GLB22" s="66"/>
      <c r="GLC22" s="66"/>
      <c r="GLD22" s="66"/>
      <c r="GLE22" s="66"/>
      <c r="GLF22" s="66"/>
      <c r="GLG22" s="66"/>
      <c r="GLH22" s="66"/>
      <c r="GLI22" s="66"/>
      <c r="GLJ22" s="66"/>
      <c r="GLK22" s="66"/>
      <c r="GLL22" s="66"/>
      <c r="GLM22" s="66"/>
      <c r="GLN22" s="66"/>
      <c r="GLO22" s="66"/>
      <c r="GLP22" s="66"/>
      <c r="GLQ22" s="66"/>
      <c r="GLR22" s="66"/>
      <c r="GLS22" s="66"/>
      <c r="GLT22" s="66"/>
      <c r="GLU22" s="66"/>
      <c r="GLV22" s="66"/>
      <c r="GLW22" s="66"/>
      <c r="GLX22" s="66"/>
      <c r="GLY22" s="66"/>
      <c r="GLZ22" s="66"/>
      <c r="GMA22" s="66"/>
      <c r="GMB22" s="66"/>
      <c r="GMC22" s="66"/>
      <c r="GMD22" s="66"/>
      <c r="GME22" s="66"/>
      <c r="GMF22" s="66"/>
      <c r="GMG22" s="66"/>
      <c r="GMH22" s="66"/>
      <c r="GMI22" s="66"/>
      <c r="GMJ22" s="66"/>
      <c r="GMK22" s="66"/>
      <c r="GML22" s="66"/>
      <c r="GMM22" s="66"/>
      <c r="GMN22" s="66"/>
      <c r="GMO22" s="66"/>
      <c r="GMP22" s="66"/>
      <c r="GMQ22" s="66"/>
      <c r="GMR22" s="66"/>
      <c r="GMS22" s="66"/>
      <c r="GMT22" s="66"/>
      <c r="GMU22" s="66"/>
      <c r="GMV22" s="66"/>
      <c r="GMW22" s="66"/>
      <c r="GMX22" s="66"/>
      <c r="GMY22" s="66"/>
      <c r="GMZ22" s="66"/>
      <c r="GNA22" s="66"/>
      <c r="GNB22" s="66"/>
      <c r="GNC22" s="66"/>
      <c r="GND22" s="66"/>
      <c r="GNE22" s="66"/>
      <c r="GNF22" s="66"/>
      <c r="GNG22" s="66"/>
      <c r="GNH22" s="66"/>
      <c r="GNI22" s="66"/>
      <c r="GNJ22" s="66"/>
      <c r="GNK22" s="66"/>
      <c r="GNL22" s="66"/>
      <c r="GNM22" s="66"/>
      <c r="GNN22" s="66"/>
      <c r="GNO22" s="66"/>
      <c r="GNP22" s="66"/>
      <c r="GNQ22" s="66"/>
      <c r="GNR22" s="66"/>
      <c r="GNS22" s="66"/>
      <c r="GNT22" s="66"/>
      <c r="GNU22" s="66"/>
      <c r="GNV22" s="66"/>
      <c r="GNW22" s="66"/>
      <c r="GNX22" s="66"/>
      <c r="GNY22" s="66"/>
      <c r="GNZ22" s="66"/>
      <c r="GOA22" s="66"/>
      <c r="GOB22" s="66"/>
      <c r="GOC22" s="66"/>
      <c r="GOD22" s="66"/>
      <c r="GOE22" s="66"/>
      <c r="GOF22" s="66"/>
      <c r="GOG22" s="66"/>
      <c r="GOH22" s="66"/>
      <c r="GOI22" s="66"/>
      <c r="GOJ22" s="66"/>
      <c r="GOK22" s="66"/>
      <c r="GOL22" s="66"/>
      <c r="GOM22" s="66"/>
      <c r="GON22" s="66"/>
      <c r="GOO22" s="66"/>
      <c r="GOP22" s="66"/>
      <c r="GOQ22" s="66"/>
      <c r="GOR22" s="66"/>
      <c r="GOS22" s="66"/>
      <c r="GOT22" s="66"/>
      <c r="GOU22" s="66"/>
      <c r="GOV22" s="66"/>
      <c r="GOW22" s="66"/>
      <c r="GOX22" s="66"/>
      <c r="GOY22" s="66"/>
      <c r="GOZ22" s="66"/>
      <c r="GPA22" s="66"/>
      <c r="GPB22" s="66"/>
      <c r="GPC22" s="66"/>
      <c r="GPD22" s="66"/>
      <c r="GPE22" s="66"/>
      <c r="GPF22" s="66"/>
      <c r="GPG22" s="66"/>
      <c r="GPH22" s="66"/>
      <c r="GPI22" s="66"/>
      <c r="GPJ22" s="66"/>
      <c r="GPK22" s="66"/>
      <c r="GPL22" s="66"/>
      <c r="GPM22" s="66"/>
      <c r="GPN22" s="66"/>
      <c r="GPO22" s="66"/>
      <c r="GPP22" s="66"/>
      <c r="GPQ22" s="66"/>
      <c r="GPR22" s="66"/>
      <c r="GPS22" s="66"/>
      <c r="GPT22" s="66"/>
      <c r="GPU22" s="66"/>
      <c r="GPV22" s="66"/>
      <c r="GPW22" s="66"/>
      <c r="GPX22" s="66"/>
      <c r="GPY22" s="66"/>
      <c r="GPZ22" s="66"/>
      <c r="GQA22" s="66"/>
      <c r="GQB22" s="66"/>
      <c r="GQC22" s="66"/>
      <c r="GQD22" s="66"/>
      <c r="GQE22" s="66"/>
      <c r="GQF22" s="66"/>
      <c r="GQG22" s="66"/>
      <c r="GQH22" s="66"/>
      <c r="GQI22" s="66"/>
      <c r="GQJ22" s="66"/>
      <c r="GQK22" s="66"/>
      <c r="GQL22" s="66"/>
      <c r="GQM22" s="66"/>
      <c r="GQN22" s="66"/>
      <c r="GQO22" s="66"/>
      <c r="GQP22" s="66"/>
      <c r="GQQ22" s="66"/>
      <c r="GQR22" s="66"/>
      <c r="GQS22" s="66"/>
      <c r="GQT22" s="66"/>
      <c r="GQU22" s="66"/>
      <c r="GQV22" s="66"/>
      <c r="GQW22" s="66"/>
      <c r="GQX22" s="66"/>
      <c r="GQY22" s="66"/>
      <c r="GQZ22" s="66"/>
      <c r="GRA22" s="66"/>
      <c r="GRB22" s="66"/>
      <c r="GRC22" s="66"/>
      <c r="GRD22" s="66"/>
      <c r="GRE22" s="66"/>
      <c r="GRF22" s="66"/>
      <c r="GRG22" s="66"/>
      <c r="GRH22" s="66"/>
      <c r="GRI22" s="66"/>
      <c r="GRJ22" s="66"/>
      <c r="GRK22" s="66"/>
      <c r="GRL22" s="66"/>
      <c r="GRM22" s="66"/>
      <c r="GRN22" s="66"/>
      <c r="GRO22" s="66"/>
      <c r="GRP22" s="66"/>
      <c r="GRQ22" s="66"/>
      <c r="GRR22" s="66"/>
      <c r="GRS22" s="66"/>
      <c r="GRT22" s="66"/>
      <c r="GRU22" s="66"/>
      <c r="GRV22" s="66"/>
      <c r="GRW22" s="66"/>
      <c r="GRX22" s="66"/>
      <c r="GRY22" s="66"/>
      <c r="GRZ22" s="66"/>
      <c r="GSA22" s="66"/>
      <c r="GSB22" s="66"/>
      <c r="GSC22" s="66"/>
      <c r="GSD22" s="66"/>
      <c r="GSE22" s="66"/>
      <c r="GSF22" s="66"/>
      <c r="GSG22" s="66"/>
      <c r="GSH22" s="66"/>
      <c r="GSI22" s="66"/>
      <c r="GSJ22" s="66"/>
      <c r="GSK22" s="66"/>
      <c r="GSL22" s="66"/>
      <c r="GSM22" s="66"/>
      <c r="GSN22" s="66"/>
      <c r="GSO22" s="66"/>
      <c r="GSP22" s="66"/>
      <c r="GSQ22" s="66"/>
      <c r="GSR22" s="66"/>
      <c r="GSS22" s="66"/>
      <c r="GST22" s="66"/>
      <c r="GSU22" s="66"/>
      <c r="GSV22" s="66"/>
      <c r="GSW22" s="66"/>
      <c r="GSX22" s="66"/>
      <c r="GSY22" s="66"/>
      <c r="GSZ22" s="66"/>
      <c r="GTA22" s="66"/>
      <c r="GTB22" s="66"/>
      <c r="GTC22" s="66"/>
      <c r="GTD22" s="66"/>
      <c r="GTE22" s="66"/>
      <c r="GTF22" s="66"/>
      <c r="GTG22" s="66"/>
      <c r="GTH22" s="66"/>
      <c r="GTI22" s="66"/>
      <c r="GTJ22" s="66"/>
      <c r="GTK22" s="66"/>
      <c r="GTL22" s="66"/>
      <c r="GTM22" s="66"/>
      <c r="GTN22" s="66"/>
      <c r="GTO22" s="66"/>
      <c r="GTP22" s="66"/>
      <c r="GTQ22" s="66"/>
      <c r="GTR22" s="66"/>
      <c r="GTS22" s="66"/>
      <c r="GTT22" s="66"/>
      <c r="GTU22" s="66"/>
      <c r="GTV22" s="66"/>
      <c r="GTW22" s="66"/>
      <c r="GTX22" s="66"/>
      <c r="GTY22" s="66"/>
      <c r="GTZ22" s="66"/>
      <c r="GUA22" s="66"/>
      <c r="GUB22" s="66"/>
      <c r="GUC22" s="66"/>
      <c r="GUD22" s="66"/>
      <c r="GUE22" s="66"/>
      <c r="GUF22" s="66"/>
      <c r="GUG22" s="66"/>
      <c r="GUH22" s="66"/>
      <c r="GUI22" s="66"/>
      <c r="GUJ22" s="66"/>
      <c r="GUK22" s="66"/>
      <c r="GUL22" s="66"/>
      <c r="GUM22" s="66"/>
      <c r="GUN22" s="66"/>
      <c r="GUO22" s="66"/>
      <c r="GUP22" s="66"/>
      <c r="GUQ22" s="66"/>
      <c r="GUR22" s="66"/>
      <c r="GUS22" s="66"/>
      <c r="GUT22" s="66"/>
      <c r="GUU22" s="66"/>
      <c r="GUV22" s="66"/>
      <c r="GUW22" s="66"/>
      <c r="GUX22" s="66"/>
      <c r="GUY22" s="66"/>
      <c r="GUZ22" s="66"/>
      <c r="GVA22" s="66"/>
      <c r="GVB22" s="66"/>
      <c r="GVC22" s="66"/>
      <c r="GVD22" s="66"/>
      <c r="GVE22" s="66"/>
      <c r="GVF22" s="66"/>
      <c r="GVG22" s="66"/>
      <c r="GVH22" s="66"/>
      <c r="GVI22" s="66"/>
      <c r="GVJ22" s="66"/>
      <c r="GVK22" s="66"/>
      <c r="GVL22" s="66"/>
      <c r="GVM22" s="66"/>
      <c r="GVN22" s="66"/>
      <c r="GVO22" s="66"/>
      <c r="GVP22" s="66"/>
      <c r="GVQ22" s="66"/>
      <c r="GVR22" s="66"/>
      <c r="GVS22" s="66"/>
      <c r="GVT22" s="66"/>
      <c r="GVU22" s="66"/>
      <c r="GVV22" s="66"/>
      <c r="GVW22" s="66"/>
      <c r="GVX22" s="66"/>
      <c r="GVY22" s="66"/>
      <c r="GVZ22" s="66"/>
      <c r="GWA22" s="66"/>
      <c r="GWB22" s="66"/>
      <c r="GWC22" s="66"/>
      <c r="GWD22" s="66"/>
      <c r="GWE22" s="66"/>
      <c r="GWF22" s="66"/>
      <c r="GWG22" s="66"/>
      <c r="GWH22" s="66"/>
      <c r="GWI22" s="66"/>
      <c r="GWJ22" s="66"/>
      <c r="GWK22" s="66"/>
      <c r="GWL22" s="66"/>
      <c r="GWM22" s="66"/>
      <c r="GWN22" s="66"/>
      <c r="GWO22" s="66"/>
      <c r="GWP22" s="66"/>
      <c r="GWQ22" s="66"/>
      <c r="GWR22" s="66"/>
      <c r="GWS22" s="66"/>
      <c r="GWT22" s="66"/>
      <c r="GWU22" s="66"/>
      <c r="GWV22" s="66"/>
      <c r="GWW22" s="66"/>
      <c r="GWX22" s="66"/>
      <c r="GWY22" s="66"/>
      <c r="GWZ22" s="66"/>
      <c r="GXA22" s="66"/>
      <c r="GXB22" s="66"/>
      <c r="GXC22" s="66"/>
      <c r="GXD22" s="66"/>
      <c r="GXE22" s="66"/>
      <c r="GXF22" s="66"/>
      <c r="GXG22" s="66"/>
      <c r="GXH22" s="66"/>
      <c r="GXI22" s="66"/>
      <c r="GXJ22" s="66"/>
      <c r="GXK22" s="66"/>
      <c r="GXL22" s="66"/>
      <c r="GXM22" s="66"/>
      <c r="GXN22" s="66"/>
      <c r="GXO22" s="66"/>
      <c r="GXP22" s="66"/>
      <c r="GXQ22" s="66"/>
      <c r="GXR22" s="66"/>
      <c r="GXS22" s="66"/>
      <c r="GXT22" s="66"/>
      <c r="GXU22" s="66"/>
      <c r="GXV22" s="66"/>
      <c r="GXW22" s="66"/>
      <c r="GXX22" s="66"/>
      <c r="GXY22" s="66"/>
      <c r="GXZ22" s="66"/>
      <c r="GYA22" s="66"/>
      <c r="GYB22" s="66"/>
      <c r="GYC22" s="66"/>
      <c r="GYD22" s="66"/>
      <c r="GYE22" s="66"/>
      <c r="GYF22" s="66"/>
      <c r="GYG22" s="66"/>
      <c r="GYH22" s="66"/>
      <c r="GYI22" s="66"/>
      <c r="GYJ22" s="66"/>
      <c r="GYK22" s="66"/>
      <c r="GYL22" s="66"/>
      <c r="GYM22" s="66"/>
      <c r="GYN22" s="66"/>
      <c r="GYO22" s="66"/>
      <c r="GYP22" s="66"/>
      <c r="GYQ22" s="66"/>
      <c r="GYR22" s="66"/>
      <c r="GYS22" s="66"/>
      <c r="GYT22" s="66"/>
      <c r="GYU22" s="66"/>
      <c r="GYV22" s="66"/>
      <c r="GYW22" s="66"/>
      <c r="GYX22" s="66"/>
      <c r="GYY22" s="66"/>
      <c r="GYZ22" s="66"/>
      <c r="GZA22" s="66"/>
      <c r="GZB22" s="66"/>
      <c r="GZC22" s="66"/>
      <c r="GZD22" s="66"/>
      <c r="GZE22" s="66"/>
      <c r="GZF22" s="66"/>
      <c r="GZG22" s="66"/>
      <c r="GZH22" s="66"/>
      <c r="GZI22" s="66"/>
      <c r="GZJ22" s="66"/>
      <c r="GZK22" s="66"/>
      <c r="GZL22" s="66"/>
      <c r="GZM22" s="66"/>
      <c r="GZN22" s="66"/>
      <c r="GZO22" s="66"/>
      <c r="GZP22" s="66"/>
      <c r="GZQ22" s="66"/>
      <c r="GZR22" s="66"/>
      <c r="GZS22" s="66"/>
      <c r="GZT22" s="66"/>
      <c r="GZU22" s="66"/>
      <c r="GZV22" s="66"/>
      <c r="GZW22" s="66"/>
      <c r="GZX22" s="66"/>
      <c r="GZY22" s="66"/>
      <c r="GZZ22" s="66"/>
      <c r="HAA22" s="66"/>
      <c r="HAB22" s="66"/>
      <c r="HAC22" s="66"/>
      <c r="HAD22" s="66"/>
      <c r="HAE22" s="66"/>
      <c r="HAF22" s="66"/>
      <c r="HAG22" s="66"/>
      <c r="HAH22" s="66"/>
      <c r="HAI22" s="66"/>
      <c r="HAJ22" s="66"/>
      <c r="HAK22" s="66"/>
      <c r="HAL22" s="66"/>
      <c r="HAM22" s="66"/>
      <c r="HAN22" s="66"/>
      <c r="HAO22" s="66"/>
      <c r="HAP22" s="66"/>
      <c r="HAQ22" s="66"/>
      <c r="HAR22" s="66"/>
      <c r="HAS22" s="66"/>
      <c r="HAT22" s="66"/>
      <c r="HAU22" s="66"/>
      <c r="HAV22" s="66"/>
      <c r="HAW22" s="66"/>
      <c r="HAX22" s="66"/>
      <c r="HAY22" s="66"/>
      <c r="HAZ22" s="66"/>
      <c r="HBA22" s="66"/>
      <c r="HBB22" s="66"/>
      <c r="HBC22" s="66"/>
      <c r="HBD22" s="66"/>
      <c r="HBE22" s="66"/>
      <c r="HBF22" s="66"/>
      <c r="HBG22" s="66"/>
      <c r="HBH22" s="66"/>
      <c r="HBI22" s="66"/>
      <c r="HBJ22" s="66"/>
      <c r="HBK22" s="66"/>
      <c r="HBL22" s="66"/>
      <c r="HBM22" s="66"/>
      <c r="HBN22" s="66"/>
      <c r="HBO22" s="66"/>
      <c r="HBP22" s="66"/>
      <c r="HBQ22" s="66"/>
      <c r="HBR22" s="66"/>
      <c r="HBS22" s="66"/>
      <c r="HBT22" s="66"/>
      <c r="HBU22" s="66"/>
      <c r="HBV22" s="66"/>
      <c r="HBW22" s="66"/>
      <c r="HBX22" s="66"/>
      <c r="HBY22" s="66"/>
      <c r="HBZ22" s="66"/>
      <c r="HCA22" s="66"/>
      <c r="HCB22" s="66"/>
      <c r="HCC22" s="66"/>
      <c r="HCD22" s="66"/>
      <c r="HCE22" s="66"/>
      <c r="HCF22" s="66"/>
      <c r="HCG22" s="66"/>
      <c r="HCH22" s="66"/>
      <c r="HCI22" s="66"/>
      <c r="HCJ22" s="66"/>
      <c r="HCK22" s="66"/>
      <c r="HCL22" s="66"/>
      <c r="HCM22" s="66"/>
      <c r="HCN22" s="66"/>
      <c r="HCO22" s="66"/>
      <c r="HCP22" s="66"/>
      <c r="HCQ22" s="66"/>
      <c r="HCR22" s="66"/>
      <c r="HCS22" s="66"/>
      <c r="HCT22" s="66"/>
      <c r="HCU22" s="66"/>
      <c r="HCV22" s="66"/>
      <c r="HCW22" s="66"/>
      <c r="HCX22" s="66"/>
      <c r="HCY22" s="66"/>
      <c r="HCZ22" s="66"/>
      <c r="HDA22" s="66"/>
      <c r="HDB22" s="66"/>
      <c r="HDC22" s="66"/>
      <c r="HDD22" s="66"/>
      <c r="HDE22" s="66"/>
      <c r="HDF22" s="66"/>
      <c r="HDG22" s="66"/>
      <c r="HDH22" s="66"/>
      <c r="HDI22" s="66"/>
      <c r="HDJ22" s="66"/>
      <c r="HDK22" s="66"/>
      <c r="HDL22" s="66"/>
      <c r="HDM22" s="66"/>
      <c r="HDN22" s="66"/>
      <c r="HDO22" s="66"/>
      <c r="HDP22" s="66"/>
      <c r="HDQ22" s="66"/>
      <c r="HDR22" s="66"/>
      <c r="HDS22" s="66"/>
      <c r="HDT22" s="66"/>
      <c r="HDU22" s="66"/>
      <c r="HDV22" s="66"/>
      <c r="HDW22" s="66"/>
      <c r="HDX22" s="66"/>
      <c r="HDY22" s="66"/>
      <c r="HDZ22" s="66"/>
      <c r="HEA22" s="66"/>
      <c r="HEB22" s="66"/>
      <c r="HEC22" s="66"/>
      <c r="HED22" s="66"/>
      <c r="HEE22" s="66"/>
      <c r="HEF22" s="66"/>
      <c r="HEG22" s="66"/>
      <c r="HEH22" s="66"/>
      <c r="HEI22" s="66"/>
      <c r="HEJ22" s="66"/>
      <c r="HEK22" s="66"/>
      <c r="HEL22" s="66"/>
      <c r="HEM22" s="66"/>
      <c r="HEN22" s="66"/>
      <c r="HEO22" s="66"/>
      <c r="HEP22" s="66"/>
      <c r="HEQ22" s="66"/>
      <c r="HER22" s="66"/>
      <c r="HES22" s="66"/>
      <c r="HET22" s="66"/>
      <c r="HEU22" s="66"/>
      <c r="HEV22" s="66"/>
      <c r="HEW22" s="66"/>
      <c r="HEX22" s="66"/>
      <c r="HEY22" s="66"/>
      <c r="HEZ22" s="66"/>
      <c r="HFA22" s="66"/>
      <c r="HFB22" s="66"/>
      <c r="HFC22" s="66"/>
      <c r="HFD22" s="66"/>
      <c r="HFE22" s="66"/>
      <c r="HFF22" s="66"/>
      <c r="HFG22" s="66"/>
      <c r="HFH22" s="66"/>
      <c r="HFI22" s="66"/>
      <c r="HFJ22" s="66"/>
      <c r="HFK22" s="66"/>
      <c r="HFL22" s="66"/>
      <c r="HFM22" s="66"/>
      <c r="HFN22" s="66"/>
      <c r="HFO22" s="66"/>
      <c r="HFP22" s="66"/>
      <c r="HFQ22" s="66"/>
      <c r="HFR22" s="66"/>
      <c r="HFS22" s="66"/>
      <c r="HFT22" s="66"/>
      <c r="HFU22" s="66"/>
      <c r="HFV22" s="66"/>
      <c r="HFW22" s="66"/>
      <c r="HFX22" s="66"/>
      <c r="HFY22" s="66"/>
      <c r="HFZ22" s="66"/>
      <c r="HGA22" s="66"/>
      <c r="HGB22" s="66"/>
      <c r="HGC22" s="66"/>
      <c r="HGD22" s="66"/>
      <c r="HGE22" s="66"/>
      <c r="HGF22" s="66"/>
      <c r="HGG22" s="66"/>
      <c r="HGH22" s="66"/>
      <c r="HGI22" s="66"/>
      <c r="HGJ22" s="66"/>
      <c r="HGK22" s="66"/>
      <c r="HGL22" s="66"/>
      <c r="HGM22" s="66"/>
      <c r="HGN22" s="66"/>
      <c r="HGO22" s="66"/>
      <c r="HGP22" s="66"/>
      <c r="HGQ22" s="66"/>
      <c r="HGR22" s="66"/>
      <c r="HGS22" s="66"/>
      <c r="HGT22" s="66"/>
      <c r="HGU22" s="66"/>
      <c r="HGV22" s="66"/>
      <c r="HGW22" s="66"/>
      <c r="HGX22" s="66"/>
      <c r="HGY22" s="66"/>
      <c r="HGZ22" s="66"/>
      <c r="HHA22" s="66"/>
      <c r="HHB22" s="66"/>
      <c r="HHC22" s="66"/>
      <c r="HHD22" s="66"/>
      <c r="HHE22" s="66"/>
      <c r="HHF22" s="66"/>
      <c r="HHG22" s="66"/>
      <c r="HHH22" s="66"/>
      <c r="HHI22" s="66"/>
      <c r="HHJ22" s="66"/>
      <c r="HHK22" s="66"/>
      <c r="HHL22" s="66"/>
      <c r="HHM22" s="66"/>
      <c r="HHN22" s="66"/>
      <c r="HHO22" s="66"/>
      <c r="HHP22" s="66"/>
      <c r="HHQ22" s="66"/>
      <c r="HHR22" s="66"/>
      <c r="HHS22" s="66"/>
      <c r="HHT22" s="66"/>
      <c r="HHU22" s="66"/>
      <c r="HHV22" s="66"/>
      <c r="HHW22" s="66"/>
      <c r="HHX22" s="66"/>
      <c r="HHY22" s="66"/>
      <c r="HHZ22" s="66"/>
      <c r="HIA22" s="66"/>
      <c r="HIB22" s="66"/>
      <c r="HIC22" s="66"/>
      <c r="HID22" s="66"/>
      <c r="HIE22" s="66"/>
      <c r="HIF22" s="66"/>
      <c r="HIG22" s="66"/>
      <c r="HIH22" s="66"/>
      <c r="HII22" s="66"/>
      <c r="HIJ22" s="66"/>
      <c r="HIK22" s="66"/>
      <c r="HIL22" s="66"/>
      <c r="HIM22" s="66"/>
      <c r="HIN22" s="66"/>
      <c r="HIO22" s="66"/>
      <c r="HIP22" s="66"/>
      <c r="HIQ22" s="66"/>
      <c r="HIR22" s="66"/>
      <c r="HIS22" s="66"/>
      <c r="HIT22" s="66"/>
      <c r="HIU22" s="66"/>
      <c r="HIV22" s="66"/>
      <c r="HIW22" s="66"/>
      <c r="HIX22" s="66"/>
      <c r="HIY22" s="66"/>
      <c r="HIZ22" s="66"/>
      <c r="HJA22" s="66"/>
      <c r="HJB22" s="66"/>
      <c r="HJC22" s="66"/>
      <c r="HJD22" s="66"/>
      <c r="HJE22" s="66"/>
      <c r="HJF22" s="66"/>
      <c r="HJG22" s="66"/>
      <c r="HJH22" s="66"/>
      <c r="HJI22" s="66"/>
      <c r="HJJ22" s="66"/>
      <c r="HJK22" s="66"/>
      <c r="HJL22" s="66"/>
      <c r="HJM22" s="66"/>
      <c r="HJN22" s="66"/>
      <c r="HJO22" s="66"/>
      <c r="HJP22" s="66"/>
      <c r="HJQ22" s="66"/>
      <c r="HJR22" s="66"/>
      <c r="HJS22" s="66"/>
      <c r="HJT22" s="66"/>
      <c r="HJU22" s="66"/>
      <c r="HJV22" s="66"/>
      <c r="HJW22" s="66"/>
      <c r="HJX22" s="66"/>
      <c r="HJY22" s="66"/>
      <c r="HJZ22" s="66"/>
      <c r="HKA22" s="66"/>
      <c r="HKB22" s="66"/>
      <c r="HKC22" s="66"/>
      <c r="HKD22" s="66"/>
      <c r="HKE22" s="66"/>
      <c r="HKF22" s="66"/>
      <c r="HKG22" s="66"/>
      <c r="HKH22" s="66"/>
      <c r="HKI22" s="66"/>
      <c r="HKJ22" s="66"/>
      <c r="HKK22" s="66"/>
      <c r="HKL22" s="66"/>
      <c r="HKM22" s="66"/>
      <c r="HKN22" s="66"/>
      <c r="HKO22" s="66"/>
      <c r="HKP22" s="66"/>
      <c r="HKQ22" s="66"/>
      <c r="HKR22" s="66"/>
      <c r="HKS22" s="66"/>
      <c r="HKT22" s="66"/>
      <c r="HKU22" s="66"/>
      <c r="HKV22" s="66"/>
      <c r="HKW22" s="66"/>
      <c r="HKX22" s="66"/>
      <c r="HKY22" s="66"/>
      <c r="HKZ22" s="66"/>
      <c r="HLA22" s="66"/>
      <c r="HLB22" s="66"/>
      <c r="HLC22" s="66"/>
      <c r="HLD22" s="66"/>
      <c r="HLE22" s="66"/>
      <c r="HLF22" s="66"/>
      <c r="HLG22" s="66"/>
      <c r="HLH22" s="66"/>
      <c r="HLI22" s="66"/>
      <c r="HLJ22" s="66"/>
      <c r="HLK22" s="66"/>
      <c r="HLL22" s="66"/>
      <c r="HLM22" s="66"/>
      <c r="HLN22" s="66"/>
      <c r="HLO22" s="66"/>
      <c r="HLP22" s="66"/>
      <c r="HLQ22" s="66"/>
      <c r="HLR22" s="66"/>
      <c r="HLS22" s="66"/>
      <c r="HLT22" s="66"/>
      <c r="HLU22" s="66"/>
      <c r="HLV22" s="66"/>
      <c r="HLW22" s="66"/>
      <c r="HLX22" s="66"/>
      <c r="HLY22" s="66"/>
      <c r="HLZ22" s="66"/>
      <c r="HMA22" s="66"/>
      <c r="HMB22" s="66"/>
      <c r="HMC22" s="66"/>
      <c r="HMD22" s="66"/>
      <c r="HME22" s="66"/>
      <c r="HMF22" s="66"/>
      <c r="HMG22" s="66"/>
      <c r="HMH22" s="66"/>
      <c r="HMI22" s="66"/>
      <c r="HMJ22" s="66"/>
      <c r="HMK22" s="66"/>
      <c r="HML22" s="66"/>
      <c r="HMM22" s="66"/>
      <c r="HMN22" s="66"/>
      <c r="HMO22" s="66"/>
      <c r="HMP22" s="66"/>
      <c r="HMQ22" s="66"/>
      <c r="HMR22" s="66"/>
      <c r="HMS22" s="66"/>
      <c r="HMT22" s="66"/>
      <c r="HMU22" s="66"/>
      <c r="HMV22" s="66"/>
      <c r="HMW22" s="66"/>
      <c r="HMX22" s="66"/>
      <c r="HMY22" s="66"/>
      <c r="HMZ22" s="66"/>
      <c r="HNA22" s="66"/>
      <c r="HNB22" s="66"/>
      <c r="HNC22" s="66"/>
      <c r="HND22" s="66"/>
      <c r="HNE22" s="66"/>
      <c r="HNF22" s="66"/>
      <c r="HNG22" s="66"/>
      <c r="HNH22" s="66"/>
      <c r="HNI22" s="66"/>
      <c r="HNJ22" s="66"/>
      <c r="HNK22" s="66"/>
      <c r="HNL22" s="66"/>
      <c r="HNM22" s="66"/>
      <c r="HNN22" s="66"/>
      <c r="HNO22" s="66"/>
      <c r="HNP22" s="66"/>
      <c r="HNQ22" s="66"/>
      <c r="HNR22" s="66"/>
      <c r="HNS22" s="66"/>
      <c r="HNT22" s="66"/>
      <c r="HNU22" s="66"/>
      <c r="HNV22" s="66"/>
      <c r="HNW22" s="66"/>
      <c r="HNX22" s="66"/>
      <c r="HNY22" s="66"/>
      <c r="HNZ22" s="66"/>
      <c r="HOA22" s="66"/>
      <c r="HOB22" s="66"/>
      <c r="HOC22" s="66"/>
      <c r="HOD22" s="66"/>
      <c r="HOE22" s="66"/>
      <c r="HOF22" s="66"/>
      <c r="HOG22" s="66"/>
      <c r="HOH22" s="66"/>
      <c r="HOI22" s="66"/>
      <c r="HOJ22" s="66"/>
      <c r="HOK22" s="66"/>
      <c r="HOL22" s="66"/>
      <c r="HOM22" s="66"/>
      <c r="HON22" s="66"/>
      <c r="HOO22" s="66"/>
      <c r="HOP22" s="66"/>
      <c r="HOQ22" s="66"/>
      <c r="HOR22" s="66"/>
      <c r="HOS22" s="66"/>
      <c r="HOT22" s="66"/>
      <c r="HOU22" s="66"/>
      <c r="HOV22" s="66"/>
      <c r="HOW22" s="66"/>
      <c r="HOX22" s="66"/>
      <c r="HOY22" s="66"/>
      <c r="HOZ22" s="66"/>
      <c r="HPA22" s="66"/>
      <c r="HPB22" s="66"/>
      <c r="HPC22" s="66"/>
      <c r="HPD22" s="66"/>
      <c r="HPE22" s="66"/>
      <c r="HPF22" s="66"/>
      <c r="HPG22" s="66"/>
      <c r="HPH22" s="66"/>
      <c r="HPI22" s="66"/>
      <c r="HPJ22" s="66"/>
      <c r="HPK22" s="66"/>
      <c r="HPL22" s="66"/>
      <c r="HPM22" s="66"/>
      <c r="HPN22" s="66"/>
      <c r="HPO22" s="66"/>
      <c r="HPP22" s="66"/>
      <c r="HPQ22" s="66"/>
      <c r="HPR22" s="66"/>
      <c r="HPS22" s="66"/>
      <c r="HPT22" s="66"/>
      <c r="HPU22" s="66"/>
      <c r="HPV22" s="66"/>
      <c r="HPW22" s="66"/>
      <c r="HPX22" s="66"/>
      <c r="HPY22" s="66"/>
      <c r="HPZ22" s="66"/>
      <c r="HQA22" s="66"/>
      <c r="HQB22" s="66"/>
      <c r="HQC22" s="66"/>
      <c r="HQD22" s="66"/>
      <c r="HQE22" s="66"/>
      <c r="HQF22" s="66"/>
      <c r="HQG22" s="66"/>
      <c r="HQH22" s="66"/>
      <c r="HQI22" s="66"/>
      <c r="HQJ22" s="66"/>
      <c r="HQK22" s="66"/>
      <c r="HQL22" s="66"/>
      <c r="HQM22" s="66"/>
      <c r="HQN22" s="66"/>
      <c r="HQO22" s="66"/>
      <c r="HQP22" s="66"/>
      <c r="HQQ22" s="66"/>
      <c r="HQR22" s="66"/>
      <c r="HQS22" s="66"/>
      <c r="HQT22" s="66"/>
      <c r="HQU22" s="66"/>
      <c r="HQV22" s="66"/>
      <c r="HQW22" s="66"/>
      <c r="HQX22" s="66"/>
      <c r="HQY22" s="66"/>
      <c r="HQZ22" s="66"/>
      <c r="HRA22" s="66"/>
      <c r="HRB22" s="66"/>
      <c r="HRC22" s="66"/>
      <c r="HRD22" s="66"/>
      <c r="HRE22" s="66"/>
      <c r="HRF22" s="66"/>
      <c r="HRG22" s="66"/>
      <c r="HRH22" s="66"/>
      <c r="HRI22" s="66"/>
      <c r="HRJ22" s="66"/>
      <c r="HRK22" s="66"/>
      <c r="HRL22" s="66"/>
      <c r="HRM22" s="66"/>
      <c r="HRN22" s="66"/>
      <c r="HRO22" s="66"/>
      <c r="HRP22" s="66"/>
      <c r="HRQ22" s="66"/>
      <c r="HRR22" s="66"/>
      <c r="HRS22" s="66"/>
      <c r="HRT22" s="66"/>
      <c r="HRU22" s="66"/>
      <c r="HRV22" s="66"/>
      <c r="HRW22" s="66"/>
      <c r="HRX22" s="66"/>
      <c r="HRY22" s="66"/>
      <c r="HRZ22" s="66"/>
      <c r="HSA22" s="66"/>
      <c r="HSB22" s="66"/>
      <c r="HSC22" s="66"/>
      <c r="HSD22" s="66"/>
      <c r="HSE22" s="66"/>
      <c r="HSF22" s="66"/>
      <c r="HSG22" s="66"/>
      <c r="HSH22" s="66"/>
      <c r="HSI22" s="66"/>
      <c r="HSJ22" s="66"/>
      <c r="HSK22" s="66"/>
      <c r="HSL22" s="66"/>
      <c r="HSM22" s="66"/>
      <c r="HSN22" s="66"/>
      <c r="HSO22" s="66"/>
      <c r="HSP22" s="66"/>
      <c r="HSQ22" s="66"/>
      <c r="HSR22" s="66"/>
      <c r="HSS22" s="66"/>
      <c r="HST22" s="66"/>
      <c r="HSU22" s="66"/>
      <c r="HSV22" s="66"/>
      <c r="HSW22" s="66"/>
      <c r="HSX22" s="66"/>
      <c r="HSY22" s="66"/>
      <c r="HSZ22" s="66"/>
      <c r="HTA22" s="66"/>
      <c r="HTB22" s="66"/>
      <c r="HTC22" s="66"/>
      <c r="HTD22" s="66"/>
      <c r="HTE22" s="66"/>
      <c r="HTF22" s="66"/>
      <c r="HTG22" s="66"/>
      <c r="HTH22" s="66"/>
      <c r="HTI22" s="66"/>
      <c r="HTJ22" s="66"/>
      <c r="HTK22" s="66"/>
      <c r="HTL22" s="66"/>
      <c r="HTM22" s="66"/>
      <c r="HTN22" s="66"/>
      <c r="HTO22" s="66"/>
      <c r="HTP22" s="66"/>
      <c r="HTQ22" s="66"/>
      <c r="HTR22" s="66"/>
      <c r="HTS22" s="66"/>
      <c r="HTT22" s="66"/>
      <c r="HTU22" s="66"/>
      <c r="HTV22" s="66"/>
      <c r="HTW22" s="66"/>
      <c r="HTX22" s="66"/>
      <c r="HTY22" s="66"/>
      <c r="HTZ22" s="66"/>
      <c r="HUA22" s="66"/>
      <c r="HUB22" s="66"/>
      <c r="HUC22" s="66"/>
      <c r="HUD22" s="66"/>
      <c r="HUE22" s="66"/>
      <c r="HUF22" s="66"/>
      <c r="HUG22" s="66"/>
      <c r="HUH22" s="66"/>
      <c r="HUI22" s="66"/>
      <c r="HUJ22" s="66"/>
      <c r="HUK22" s="66"/>
      <c r="HUL22" s="66"/>
      <c r="HUM22" s="66"/>
      <c r="HUN22" s="66"/>
      <c r="HUO22" s="66"/>
      <c r="HUP22" s="66"/>
      <c r="HUQ22" s="66"/>
      <c r="HUR22" s="66"/>
      <c r="HUS22" s="66"/>
      <c r="HUT22" s="66"/>
      <c r="HUU22" s="66"/>
      <c r="HUV22" s="66"/>
      <c r="HUW22" s="66"/>
      <c r="HUX22" s="66"/>
      <c r="HUY22" s="66"/>
      <c r="HUZ22" s="66"/>
      <c r="HVA22" s="66"/>
      <c r="HVB22" s="66"/>
      <c r="HVC22" s="66"/>
      <c r="HVD22" s="66"/>
      <c r="HVE22" s="66"/>
      <c r="HVF22" s="66"/>
      <c r="HVG22" s="66"/>
      <c r="HVH22" s="66"/>
      <c r="HVI22" s="66"/>
      <c r="HVJ22" s="66"/>
      <c r="HVK22" s="66"/>
      <c r="HVL22" s="66"/>
      <c r="HVM22" s="66"/>
      <c r="HVN22" s="66"/>
      <c r="HVO22" s="66"/>
      <c r="HVP22" s="66"/>
      <c r="HVQ22" s="66"/>
      <c r="HVR22" s="66"/>
      <c r="HVS22" s="66"/>
      <c r="HVT22" s="66"/>
      <c r="HVU22" s="66"/>
      <c r="HVV22" s="66"/>
      <c r="HVW22" s="66"/>
      <c r="HVX22" s="66"/>
      <c r="HVY22" s="66"/>
      <c r="HVZ22" s="66"/>
      <c r="HWA22" s="66"/>
      <c r="HWB22" s="66"/>
      <c r="HWC22" s="66"/>
      <c r="HWD22" s="66"/>
      <c r="HWE22" s="66"/>
      <c r="HWF22" s="66"/>
      <c r="HWG22" s="66"/>
      <c r="HWH22" s="66"/>
      <c r="HWI22" s="66"/>
      <c r="HWJ22" s="66"/>
      <c r="HWK22" s="66"/>
      <c r="HWL22" s="66"/>
      <c r="HWM22" s="66"/>
      <c r="HWN22" s="66"/>
      <c r="HWO22" s="66"/>
      <c r="HWP22" s="66"/>
      <c r="HWQ22" s="66"/>
      <c r="HWR22" s="66"/>
      <c r="HWS22" s="66"/>
      <c r="HWT22" s="66"/>
      <c r="HWU22" s="66"/>
      <c r="HWV22" s="66"/>
      <c r="HWW22" s="66"/>
      <c r="HWX22" s="66"/>
      <c r="HWY22" s="66"/>
      <c r="HWZ22" s="66"/>
      <c r="HXA22" s="66"/>
      <c r="HXB22" s="66"/>
      <c r="HXC22" s="66"/>
      <c r="HXD22" s="66"/>
      <c r="HXE22" s="66"/>
      <c r="HXF22" s="66"/>
      <c r="HXG22" s="66"/>
      <c r="HXH22" s="66"/>
      <c r="HXI22" s="66"/>
      <c r="HXJ22" s="66"/>
      <c r="HXK22" s="66"/>
      <c r="HXL22" s="66"/>
      <c r="HXM22" s="66"/>
      <c r="HXN22" s="66"/>
      <c r="HXO22" s="66"/>
      <c r="HXP22" s="66"/>
      <c r="HXQ22" s="66"/>
      <c r="HXR22" s="66"/>
      <c r="HXS22" s="66"/>
      <c r="HXT22" s="66"/>
      <c r="HXU22" s="66"/>
      <c r="HXV22" s="66"/>
      <c r="HXW22" s="66"/>
      <c r="HXX22" s="66"/>
      <c r="HXY22" s="66"/>
      <c r="HXZ22" s="66"/>
      <c r="HYA22" s="66"/>
      <c r="HYB22" s="66"/>
      <c r="HYC22" s="66"/>
      <c r="HYD22" s="66"/>
      <c r="HYE22" s="66"/>
      <c r="HYF22" s="66"/>
      <c r="HYG22" s="66"/>
      <c r="HYH22" s="66"/>
      <c r="HYI22" s="66"/>
      <c r="HYJ22" s="66"/>
      <c r="HYK22" s="66"/>
      <c r="HYL22" s="66"/>
      <c r="HYM22" s="66"/>
      <c r="HYN22" s="66"/>
      <c r="HYO22" s="66"/>
      <c r="HYP22" s="66"/>
      <c r="HYQ22" s="66"/>
      <c r="HYR22" s="66"/>
      <c r="HYS22" s="66"/>
      <c r="HYT22" s="66"/>
      <c r="HYU22" s="66"/>
      <c r="HYV22" s="66"/>
      <c r="HYW22" s="66"/>
      <c r="HYX22" s="66"/>
      <c r="HYY22" s="66"/>
      <c r="HYZ22" s="66"/>
      <c r="HZA22" s="66"/>
      <c r="HZB22" s="66"/>
      <c r="HZC22" s="66"/>
      <c r="HZD22" s="66"/>
      <c r="HZE22" s="66"/>
      <c r="HZF22" s="66"/>
      <c r="HZG22" s="66"/>
      <c r="HZH22" s="66"/>
      <c r="HZI22" s="66"/>
      <c r="HZJ22" s="66"/>
      <c r="HZK22" s="66"/>
      <c r="HZL22" s="66"/>
      <c r="HZM22" s="66"/>
      <c r="HZN22" s="66"/>
      <c r="HZO22" s="66"/>
      <c r="HZP22" s="66"/>
      <c r="HZQ22" s="66"/>
      <c r="HZR22" s="66"/>
      <c r="HZS22" s="66"/>
      <c r="HZT22" s="66"/>
      <c r="HZU22" s="66"/>
      <c r="HZV22" s="66"/>
      <c r="HZW22" s="66"/>
      <c r="HZX22" s="66"/>
      <c r="HZY22" s="66"/>
      <c r="HZZ22" s="66"/>
      <c r="IAA22" s="66"/>
      <c r="IAB22" s="66"/>
      <c r="IAC22" s="66"/>
      <c r="IAD22" s="66"/>
      <c r="IAE22" s="66"/>
      <c r="IAF22" s="66"/>
      <c r="IAG22" s="66"/>
      <c r="IAH22" s="66"/>
      <c r="IAI22" s="66"/>
      <c r="IAJ22" s="66"/>
      <c r="IAK22" s="66"/>
      <c r="IAL22" s="66"/>
      <c r="IAM22" s="66"/>
      <c r="IAN22" s="66"/>
      <c r="IAO22" s="66"/>
      <c r="IAP22" s="66"/>
      <c r="IAQ22" s="66"/>
      <c r="IAR22" s="66"/>
      <c r="IAS22" s="66"/>
      <c r="IAT22" s="66"/>
      <c r="IAU22" s="66"/>
      <c r="IAV22" s="66"/>
      <c r="IAW22" s="66"/>
      <c r="IAX22" s="66"/>
      <c r="IAY22" s="66"/>
      <c r="IAZ22" s="66"/>
      <c r="IBA22" s="66"/>
      <c r="IBB22" s="66"/>
      <c r="IBC22" s="66"/>
      <c r="IBD22" s="66"/>
      <c r="IBE22" s="66"/>
      <c r="IBF22" s="66"/>
      <c r="IBG22" s="66"/>
      <c r="IBH22" s="66"/>
      <c r="IBI22" s="66"/>
      <c r="IBJ22" s="66"/>
      <c r="IBK22" s="66"/>
      <c r="IBL22" s="66"/>
      <c r="IBM22" s="66"/>
      <c r="IBN22" s="66"/>
      <c r="IBO22" s="66"/>
      <c r="IBP22" s="66"/>
      <c r="IBQ22" s="66"/>
      <c r="IBR22" s="66"/>
      <c r="IBS22" s="66"/>
      <c r="IBT22" s="66"/>
      <c r="IBU22" s="66"/>
      <c r="IBV22" s="66"/>
      <c r="IBW22" s="66"/>
      <c r="IBX22" s="66"/>
      <c r="IBY22" s="66"/>
      <c r="IBZ22" s="66"/>
      <c r="ICA22" s="66"/>
      <c r="ICB22" s="66"/>
      <c r="ICC22" s="66"/>
      <c r="ICD22" s="66"/>
      <c r="ICE22" s="66"/>
      <c r="ICF22" s="66"/>
      <c r="ICG22" s="66"/>
      <c r="ICH22" s="66"/>
      <c r="ICI22" s="66"/>
      <c r="ICJ22" s="66"/>
      <c r="ICK22" s="66"/>
      <c r="ICL22" s="66"/>
      <c r="ICM22" s="66"/>
      <c r="ICN22" s="66"/>
      <c r="ICO22" s="66"/>
      <c r="ICP22" s="66"/>
      <c r="ICQ22" s="66"/>
      <c r="ICR22" s="66"/>
      <c r="ICS22" s="66"/>
      <c r="ICT22" s="66"/>
      <c r="ICU22" s="66"/>
      <c r="ICV22" s="66"/>
      <c r="ICW22" s="66"/>
      <c r="ICX22" s="66"/>
      <c r="ICY22" s="66"/>
      <c r="ICZ22" s="66"/>
      <c r="IDA22" s="66"/>
      <c r="IDB22" s="66"/>
      <c r="IDC22" s="66"/>
      <c r="IDD22" s="66"/>
      <c r="IDE22" s="66"/>
      <c r="IDF22" s="66"/>
      <c r="IDG22" s="66"/>
      <c r="IDH22" s="66"/>
      <c r="IDI22" s="66"/>
      <c r="IDJ22" s="66"/>
      <c r="IDK22" s="66"/>
      <c r="IDL22" s="66"/>
      <c r="IDM22" s="66"/>
      <c r="IDN22" s="66"/>
      <c r="IDO22" s="66"/>
      <c r="IDP22" s="66"/>
      <c r="IDQ22" s="66"/>
      <c r="IDR22" s="66"/>
      <c r="IDS22" s="66"/>
      <c r="IDT22" s="66"/>
      <c r="IDU22" s="66"/>
      <c r="IDV22" s="66"/>
      <c r="IDW22" s="66"/>
      <c r="IDX22" s="66"/>
      <c r="IDY22" s="66"/>
      <c r="IDZ22" s="66"/>
      <c r="IEA22" s="66"/>
      <c r="IEB22" s="66"/>
      <c r="IEC22" s="66"/>
      <c r="IED22" s="66"/>
      <c r="IEE22" s="66"/>
      <c r="IEF22" s="66"/>
      <c r="IEG22" s="66"/>
      <c r="IEH22" s="66"/>
      <c r="IEI22" s="66"/>
      <c r="IEJ22" s="66"/>
      <c r="IEK22" s="66"/>
      <c r="IEL22" s="66"/>
      <c r="IEM22" s="66"/>
      <c r="IEN22" s="66"/>
      <c r="IEO22" s="66"/>
      <c r="IEP22" s="66"/>
      <c r="IEQ22" s="66"/>
      <c r="IER22" s="66"/>
      <c r="IES22" s="66"/>
      <c r="IET22" s="66"/>
      <c r="IEU22" s="66"/>
      <c r="IEV22" s="66"/>
      <c r="IEW22" s="66"/>
      <c r="IEX22" s="66"/>
      <c r="IEY22" s="66"/>
      <c r="IEZ22" s="66"/>
      <c r="IFA22" s="66"/>
      <c r="IFB22" s="66"/>
      <c r="IFC22" s="66"/>
      <c r="IFD22" s="66"/>
      <c r="IFE22" s="66"/>
      <c r="IFF22" s="66"/>
      <c r="IFG22" s="66"/>
      <c r="IFH22" s="66"/>
      <c r="IFI22" s="66"/>
      <c r="IFJ22" s="66"/>
      <c r="IFK22" s="66"/>
      <c r="IFL22" s="66"/>
      <c r="IFM22" s="66"/>
      <c r="IFN22" s="66"/>
      <c r="IFO22" s="66"/>
      <c r="IFP22" s="66"/>
      <c r="IFQ22" s="66"/>
      <c r="IFR22" s="66"/>
      <c r="IFS22" s="66"/>
      <c r="IFT22" s="66"/>
      <c r="IFU22" s="66"/>
      <c r="IFV22" s="66"/>
      <c r="IFW22" s="66"/>
      <c r="IFX22" s="66"/>
      <c r="IFY22" s="66"/>
      <c r="IFZ22" s="66"/>
      <c r="IGA22" s="66"/>
      <c r="IGB22" s="66"/>
      <c r="IGC22" s="66"/>
      <c r="IGD22" s="66"/>
      <c r="IGE22" s="66"/>
      <c r="IGF22" s="66"/>
      <c r="IGG22" s="66"/>
      <c r="IGH22" s="66"/>
      <c r="IGI22" s="66"/>
      <c r="IGJ22" s="66"/>
      <c r="IGK22" s="66"/>
      <c r="IGL22" s="66"/>
      <c r="IGM22" s="66"/>
      <c r="IGN22" s="66"/>
      <c r="IGO22" s="66"/>
      <c r="IGP22" s="66"/>
      <c r="IGQ22" s="66"/>
      <c r="IGR22" s="66"/>
      <c r="IGS22" s="66"/>
      <c r="IGT22" s="66"/>
      <c r="IGU22" s="66"/>
      <c r="IGV22" s="66"/>
      <c r="IGW22" s="66"/>
      <c r="IGX22" s="66"/>
      <c r="IGY22" s="66"/>
      <c r="IGZ22" s="66"/>
      <c r="IHA22" s="66"/>
      <c r="IHB22" s="66"/>
      <c r="IHC22" s="66"/>
      <c r="IHD22" s="66"/>
      <c r="IHE22" s="66"/>
      <c r="IHF22" s="66"/>
      <c r="IHG22" s="66"/>
      <c r="IHH22" s="66"/>
      <c r="IHI22" s="66"/>
      <c r="IHJ22" s="66"/>
      <c r="IHK22" s="66"/>
      <c r="IHL22" s="66"/>
      <c r="IHM22" s="66"/>
      <c r="IHN22" s="66"/>
      <c r="IHO22" s="66"/>
      <c r="IHP22" s="66"/>
      <c r="IHQ22" s="66"/>
      <c r="IHR22" s="66"/>
      <c r="IHS22" s="66"/>
      <c r="IHT22" s="66"/>
      <c r="IHU22" s="66"/>
      <c r="IHV22" s="66"/>
      <c r="IHW22" s="66"/>
      <c r="IHX22" s="66"/>
      <c r="IHY22" s="66"/>
      <c r="IHZ22" s="66"/>
      <c r="IIA22" s="66"/>
      <c r="IIB22" s="66"/>
      <c r="IIC22" s="66"/>
      <c r="IID22" s="66"/>
      <c r="IIE22" s="66"/>
      <c r="IIF22" s="66"/>
      <c r="IIG22" s="66"/>
      <c r="IIH22" s="66"/>
      <c r="III22" s="66"/>
      <c r="IIJ22" s="66"/>
      <c r="IIK22" s="66"/>
      <c r="IIL22" s="66"/>
      <c r="IIM22" s="66"/>
      <c r="IIN22" s="66"/>
      <c r="IIO22" s="66"/>
      <c r="IIP22" s="66"/>
      <c r="IIQ22" s="66"/>
      <c r="IIR22" s="66"/>
      <c r="IIS22" s="66"/>
      <c r="IIT22" s="66"/>
      <c r="IIU22" s="66"/>
      <c r="IIV22" s="66"/>
      <c r="IIW22" s="66"/>
      <c r="IIX22" s="66"/>
      <c r="IIY22" s="66"/>
      <c r="IIZ22" s="66"/>
      <c r="IJA22" s="66"/>
      <c r="IJB22" s="66"/>
      <c r="IJC22" s="66"/>
      <c r="IJD22" s="66"/>
      <c r="IJE22" s="66"/>
      <c r="IJF22" s="66"/>
      <c r="IJG22" s="66"/>
      <c r="IJH22" s="66"/>
      <c r="IJI22" s="66"/>
      <c r="IJJ22" s="66"/>
      <c r="IJK22" s="66"/>
      <c r="IJL22" s="66"/>
      <c r="IJM22" s="66"/>
      <c r="IJN22" s="66"/>
      <c r="IJO22" s="66"/>
      <c r="IJP22" s="66"/>
      <c r="IJQ22" s="66"/>
      <c r="IJR22" s="66"/>
      <c r="IJS22" s="66"/>
      <c r="IJT22" s="66"/>
      <c r="IJU22" s="66"/>
      <c r="IJV22" s="66"/>
      <c r="IJW22" s="66"/>
      <c r="IJX22" s="66"/>
      <c r="IJY22" s="66"/>
      <c r="IJZ22" s="66"/>
      <c r="IKA22" s="66"/>
      <c r="IKB22" s="66"/>
      <c r="IKC22" s="66"/>
      <c r="IKD22" s="66"/>
      <c r="IKE22" s="66"/>
      <c r="IKF22" s="66"/>
      <c r="IKG22" s="66"/>
      <c r="IKH22" s="66"/>
      <c r="IKI22" s="66"/>
      <c r="IKJ22" s="66"/>
      <c r="IKK22" s="66"/>
      <c r="IKL22" s="66"/>
      <c r="IKM22" s="66"/>
      <c r="IKN22" s="66"/>
      <c r="IKO22" s="66"/>
      <c r="IKP22" s="66"/>
      <c r="IKQ22" s="66"/>
      <c r="IKR22" s="66"/>
      <c r="IKS22" s="66"/>
      <c r="IKT22" s="66"/>
      <c r="IKU22" s="66"/>
      <c r="IKV22" s="66"/>
      <c r="IKW22" s="66"/>
      <c r="IKX22" s="66"/>
      <c r="IKY22" s="66"/>
      <c r="IKZ22" s="66"/>
      <c r="ILA22" s="66"/>
      <c r="ILB22" s="66"/>
      <c r="ILC22" s="66"/>
      <c r="ILD22" s="66"/>
      <c r="ILE22" s="66"/>
      <c r="ILF22" s="66"/>
      <c r="ILG22" s="66"/>
      <c r="ILH22" s="66"/>
      <c r="ILI22" s="66"/>
      <c r="ILJ22" s="66"/>
      <c r="ILK22" s="66"/>
      <c r="ILL22" s="66"/>
      <c r="ILM22" s="66"/>
      <c r="ILN22" s="66"/>
      <c r="ILO22" s="66"/>
      <c r="ILP22" s="66"/>
      <c r="ILQ22" s="66"/>
      <c r="ILR22" s="66"/>
      <c r="ILS22" s="66"/>
      <c r="ILT22" s="66"/>
      <c r="ILU22" s="66"/>
      <c r="ILV22" s="66"/>
      <c r="ILW22" s="66"/>
      <c r="ILX22" s="66"/>
      <c r="ILY22" s="66"/>
      <c r="ILZ22" s="66"/>
      <c r="IMA22" s="66"/>
      <c r="IMB22" s="66"/>
      <c r="IMC22" s="66"/>
      <c r="IMD22" s="66"/>
      <c r="IME22" s="66"/>
      <c r="IMF22" s="66"/>
      <c r="IMG22" s="66"/>
      <c r="IMH22" s="66"/>
      <c r="IMI22" s="66"/>
      <c r="IMJ22" s="66"/>
      <c r="IMK22" s="66"/>
      <c r="IML22" s="66"/>
      <c r="IMM22" s="66"/>
      <c r="IMN22" s="66"/>
      <c r="IMO22" s="66"/>
      <c r="IMP22" s="66"/>
      <c r="IMQ22" s="66"/>
      <c r="IMR22" s="66"/>
      <c r="IMS22" s="66"/>
      <c r="IMT22" s="66"/>
      <c r="IMU22" s="66"/>
      <c r="IMV22" s="66"/>
      <c r="IMW22" s="66"/>
      <c r="IMX22" s="66"/>
      <c r="IMY22" s="66"/>
      <c r="IMZ22" s="66"/>
      <c r="INA22" s="66"/>
      <c r="INB22" s="66"/>
      <c r="INC22" s="66"/>
      <c r="IND22" s="66"/>
      <c r="INE22" s="66"/>
      <c r="INF22" s="66"/>
      <c r="ING22" s="66"/>
      <c r="INH22" s="66"/>
      <c r="INI22" s="66"/>
      <c r="INJ22" s="66"/>
      <c r="INK22" s="66"/>
      <c r="INL22" s="66"/>
      <c r="INM22" s="66"/>
      <c r="INN22" s="66"/>
      <c r="INO22" s="66"/>
      <c r="INP22" s="66"/>
      <c r="INQ22" s="66"/>
      <c r="INR22" s="66"/>
      <c r="INS22" s="66"/>
      <c r="INT22" s="66"/>
      <c r="INU22" s="66"/>
      <c r="INV22" s="66"/>
      <c r="INW22" s="66"/>
      <c r="INX22" s="66"/>
      <c r="INY22" s="66"/>
      <c r="INZ22" s="66"/>
      <c r="IOA22" s="66"/>
      <c r="IOB22" s="66"/>
      <c r="IOC22" s="66"/>
      <c r="IOD22" s="66"/>
      <c r="IOE22" s="66"/>
      <c r="IOF22" s="66"/>
      <c r="IOG22" s="66"/>
      <c r="IOH22" s="66"/>
      <c r="IOI22" s="66"/>
      <c r="IOJ22" s="66"/>
      <c r="IOK22" s="66"/>
      <c r="IOL22" s="66"/>
      <c r="IOM22" s="66"/>
      <c r="ION22" s="66"/>
      <c r="IOO22" s="66"/>
      <c r="IOP22" s="66"/>
      <c r="IOQ22" s="66"/>
      <c r="IOR22" s="66"/>
      <c r="IOS22" s="66"/>
      <c r="IOT22" s="66"/>
      <c r="IOU22" s="66"/>
      <c r="IOV22" s="66"/>
      <c r="IOW22" s="66"/>
      <c r="IOX22" s="66"/>
      <c r="IOY22" s="66"/>
      <c r="IOZ22" s="66"/>
      <c r="IPA22" s="66"/>
      <c r="IPB22" s="66"/>
      <c r="IPC22" s="66"/>
      <c r="IPD22" s="66"/>
      <c r="IPE22" s="66"/>
      <c r="IPF22" s="66"/>
      <c r="IPG22" s="66"/>
      <c r="IPH22" s="66"/>
      <c r="IPI22" s="66"/>
      <c r="IPJ22" s="66"/>
      <c r="IPK22" s="66"/>
      <c r="IPL22" s="66"/>
      <c r="IPM22" s="66"/>
      <c r="IPN22" s="66"/>
      <c r="IPO22" s="66"/>
      <c r="IPP22" s="66"/>
      <c r="IPQ22" s="66"/>
      <c r="IPR22" s="66"/>
      <c r="IPS22" s="66"/>
      <c r="IPT22" s="66"/>
      <c r="IPU22" s="66"/>
      <c r="IPV22" s="66"/>
      <c r="IPW22" s="66"/>
      <c r="IPX22" s="66"/>
      <c r="IPY22" s="66"/>
      <c r="IPZ22" s="66"/>
      <c r="IQA22" s="66"/>
      <c r="IQB22" s="66"/>
      <c r="IQC22" s="66"/>
      <c r="IQD22" s="66"/>
      <c r="IQE22" s="66"/>
      <c r="IQF22" s="66"/>
      <c r="IQG22" s="66"/>
      <c r="IQH22" s="66"/>
      <c r="IQI22" s="66"/>
      <c r="IQJ22" s="66"/>
      <c r="IQK22" s="66"/>
      <c r="IQL22" s="66"/>
      <c r="IQM22" s="66"/>
      <c r="IQN22" s="66"/>
      <c r="IQO22" s="66"/>
      <c r="IQP22" s="66"/>
      <c r="IQQ22" s="66"/>
      <c r="IQR22" s="66"/>
      <c r="IQS22" s="66"/>
      <c r="IQT22" s="66"/>
      <c r="IQU22" s="66"/>
      <c r="IQV22" s="66"/>
      <c r="IQW22" s="66"/>
      <c r="IQX22" s="66"/>
      <c r="IQY22" s="66"/>
      <c r="IQZ22" s="66"/>
      <c r="IRA22" s="66"/>
      <c r="IRB22" s="66"/>
      <c r="IRC22" s="66"/>
      <c r="IRD22" s="66"/>
      <c r="IRE22" s="66"/>
      <c r="IRF22" s="66"/>
      <c r="IRG22" s="66"/>
      <c r="IRH22" s="66"/>
      <c r="IRI22" s="66"/>
      <c r="IRJ22" s="66"/>
      <c r="IRK22" s="66"/>
      <c r="IRL22" s="66"/>
      <c r="IRM22" s="66"/>
      <c r="IRN22" s="66"/>
      <c r="IRO22" s="66"/>
      <c r="IRP22" s="66"/>
      <c r="IRQ22" s="66"/>
      <c r="IRR22" s="66"/>
      <c r="IRS22" s="66"/>
      <c r="IRT22" s="66"/>
      <c r="IRU22" s="66"/>
      <c r="IRV22" s="66"/>
      <c r="IRW22" s="66"/>
      <c r="IRX22" s="66"/>
      <c r="IRY22" s="66"/>
      <c r="IRZ22" s="66"/>
      <c r="ISA22" s="66"/>
      <c r="ISB22" s="66"/>
      <c r="ISC22" s="66"/>
      <c r="ISD22" s="66"/>
      <c r="ISE22" s="66"/>
      <c r="ISF22" s="66"/>
      <c r="ISG22" s="66"/>
      <c r="ISH22" s="66"/>
      <c r="ISI22" s="66"/>
      <c r="ISJ22" s="66"/>
      <c r="ISK22" s="66"/>
      <c r="ISL22" s="66"/>
      <c r="ISM22" s="66"/>
      <c r="ISN22" s="66"/>
      <c r="ISO22" s="66"/>
      <c r="ISP22" s="66"/>
      <c r="ISQ22" s="66"/>
      <c r="ISR22" s="66"/>
      <c r="ISS22" s="66"/>
      <c r="IST22" s="66"/>
      <c r="ISU22" s="66"/>
      <c r="ISV22" s="66"/>
      <c r="ISW22" s="66"/>
      <c r="ISX22" s="66"/>
      <c r="ISY22" s="66"/>
      <c r="ISZ22" s="66"/>
      <c r="ITA22" s="66"/>
      <c r="ITB22" s="66"/>
      <c r="ITC22" s="66"/>
      <c r="ITD22" s="66"/>
      <c r="ITE22" s="66"/>
      <c r="ITF22" s="66"/>
      <c r="ITG22" s="66"/>
      <c r="ITH22" s="66"/>
      <c r="ITI22" s="66"/>
      <c r="ITJ22" s="66"/>
      <c r="ITK22" s="66"/>
      <c r="ITL22" s="66"/>
      <c r="ITM22" s="66"/>
      <c r="ITN22" s="66"/>
      <c r="ITO22" s="66"/>
      <c r="ITP22" s="66"/>
      <c r="ITQ22" s="66"/>
      <c r="ITR22" s="66"/>
      <c r="ITS22" s="66"/>
      <c r="ITT22" s="66"/>
      <c r="ITU22" s="66"/>
      <c r="ITV22" s="66"/>
      <c r="ITW22" s="66"/>
      <c r="ITX22" s="66"/>
      <c r="ITY22" s="66"/>
      <c r="ITZ22" s="66"/>
      <c r="IUA22" s="66"/>
      <c r="IUB22" s="66"/>
      <c r="IUC22" s="66"/>
      <c r="IUD22" s="66"/>
      <c r="IUE22" s="66"/>
      <c r="IUF22" s="66"/>
      <c r="IUG22" s="66"/>
      <c r="IUH22" s="66"/>
      <c r="IUI22" s="66"/>
      <c r="IUJ22" s="66"/>
      <c r="IUK22" s="66"/>
      <c r="IUL22" s="66"/>
      <c r="IUM22" s="66"/>
      <c r="IUN22" s="66"/>
      <c r="IUO22" s="66"/>
      <c r="IUP22" s="66"/>
      <c r="IUQ22" s="66"/>
      <c r="IUR22" s="66"/>
      <c r="IUS22" s="66"/>
      <c r="IUT22" s="66"/>
      <c r="IUU22" s="66"/>
      <c r="IUV22" s="66"/>
      <c r="IUW22" s="66"/>
      <c r="IUX22" s="66"/>
      <c r="IUY22" s="66"/>
      <c r="IUZ22" s="66"/>
      <c r="IVA22" s="66"/>
      <c r="IVB22" s="66"/>
      <c r="IVC22" s="66"/>
      <c r="IVD22" s="66"/>
      <c r="IVE22" s="66"/>
      <c r="IVF22" s="66"/>
      <c r="IVG22" s="66"/>
      <c r="IVH22" s="66"/>
      <c r="IVI22" s="66"/>
      <c r="IVJ22" s="66"/>
      <c r="IVK22" s="66"/>
      <c r="IVL22" s="66"/>
      <c r="IVM22" s="66"/>
      <c r="IVN22" s="66"/>
      <c r="IVO22" s="66"/>
      <c r="IVP22" s="66"/>
      <c r="IVQ22" s="66"/>
      <c r="IVR22" s="66"/>
      <c r="IVS22" s="66"/>
      <c r="IVT22" s="66"/>
      <c r="IVU22" s="66"/>
      <c r="IVV22" s="66"/>
      <c r="IVW22" s="66"/>
      <c r="IVX22" s="66"/>
      <c r="IVY22" s="66"/>
      <c r="IVZ22" s="66"/>
      <c r="IWA22" s="66"/>
      <c r="IWB22" s="66"/>
      <c r="IWC22" s="66"/>
      <c r="IWD22" s="66"/>
      <c r="IWE22" s="66"/>
      <c r="IWF22" s="66"/>
      <c r="IWG22" s="66"/>
      <c r="IWH22" s="66"/>
      <c r="IWI22" s="66"/>
      <c r="IWJ22" s="66"/>
      <c r="IWK22" s="66"/>
      <c r="IWL22" s="66"/>
      <c r="IWM22" s="66"/>
      <c r="IWN22" s="66"/>
      <c r="IWO22" s="66"/>
      <c r="IWP22" s="66"/>
      <c r="IWQ22" s="66"/>
      <c r="IWR22" s="66"/>
      <c r="IWS22" s="66"/>
      <c r="IWT22" s="66"/>
      <c r="IWU22" s="66"/>
      <c r="IWV22" s="66"/>
      <c r="IWW22" s="66"/>
      <c r="IWX22" s="66"/>
      <c r="IWY22" s="66"/>
      <c r="IWZ22" s="66"/>
      <c r="IXA22" s="66"/>
      <c r="IXB22" s="66"/>
      <c r="IXC22" s="66"/>
      <c r="IXD22" s="66"/>
      <c r="IXE22" s="66"/>
      <c r="IXF22" s="66"/>
      <c r="IXG22" s="66"/>
      <c r="IXH22" s="66"/>
      <c r="IXI22" s="66"/>
      <c r="IXJ22" s="66"/>
      <c r="IXK22" s="66"/>
      <c r="IXL22" s="66"/>
      <c r="IXM22" s="66"/>
      <c r="IXN22" s="66"/>
      <c r="IXO22" s="66"/>
      <c r="IXP22" s="66"/>
      <c r="IXQ22" s="66"/>
      <c r="IXR22" s="66"/>
      <c r="IXS22" s="66"/>
      <c r="IXT22" s="66"/>
      <c r="IXU22" s="66"/>
      <c r="IXV22" s="66"/>
      <c r="IXW22" s="66"/>
      <c r="IXX22" s="66"/>
      <c r="IXY22" s="66"/>
      <c r="IXZ22" s="66"/>
      <c r="IYA22" s="66"/>
      <c r="IYB22" s="66"/>
      <c r="IYC22" s="66"/>
      <c r="IYD22" s="66"/>
      <c r="IYE22" s="66"/>
      <c r="IYF22" s="66"/>
      <c r="IYG22" s="66"/>
      <c r="IYH22" s="66"/>
      <c r="IYI22" s="66"/>
      <c r="IYJ22" s="66"/>
      <c r="IYK22" s="66"/>
      <c r="IYL22" s="66"/>
      <c r="IYM22" s="66"/>
      <c r="IYN22" s="66"/>
      <c r="IYO22" s="66"/>
      <c r="IYP22" s="66"/>
      <c r="IYQ22" s="66"/>
      <c r="IYR22" s="66"/>
      <c r="IYS22" s="66"/>
      <c r="IYT22" s="66"/>
      <c r="IYU22" s="66"/>
      <c r="IYV22" s="66"/>
      <c r="IYW22" s="66"/>
      <c r="IYX22" s="66"/>
      <c r="IYY22" s="66"/>
      <c r="IYZ22" s="66"/>
      <c r="IZA22" s="66"/>
      <c r="IZB22" s="66"/>
      <c r="IZC22" s="66"/>
      <c r="IZD22" s="66"/>
      <c r="IZE22" s="66"/>
      <c r="IZF22" s="66"/>
      <c r="IZG22" s="66"/>
      <c r="IZH22" s="66"/>
      <c r="IZI22" s="66"/>
      <c r="IZJ22" s="66"/>
      <c r="IZK22" s="66"/>
      <c r="IZL22" s="66"/>
      <c r="IZM22" s="66"/>
      <c r="IZN22" s="66"/>
      <c r="IZO22" s="66"/>
      <c r="IZP22" s="66"/>
      <c r="IZQ22" s="66"/>
      <c r="IZR22" s="66"/>
      <c r="IZS22" s="66"/>
      <c r="IZT22" s="66"/>
      <c r="IZU22" s="66"/>
      <c r="IZV22" s="66"/>
      <c r="IZW22" s="66"/>
      <c r="IZX22" s="66"/>
      <c r="IZY22" s="66"/>
      <c r="IZZ22" s="66"/>
      <c r="JAA22" s="66"/>
      <c r="JAB22" s="66"/>
      <c r="JAC22" s="66"/>
      <c r="JAD22" s="66"/>
      <c r="JAE22" s="66"/>
      <c r="JAF22" s="66"/>
      <c r="JAG22" s="66"/>
      <c r="JAH22" s="66"/>
      <c r="JAI22" s="66"/>
      <c r="JAJ22" s="66"/>
      <c r="JAK22" s="66"/>
      <c r="JAL22" s="66"/>
      <c r="JAM22" s="66"/>
      <c r="JAN22" s="66"/>
      <c r="JAO22" s="66"/>
      <c r="JAP22" s="66"/>
      <c r="JAQ22" s="66"/>
      <c r="JAR22" s="66"/>
      <c r="JAS22" s="66"/>
      <c r="JAT22" s="66"/>
      <c r="JAU22" s="66"/>
      <c r="JAV22" s="66"/>
      <c r="JAW22" s="66"/>
      <c r="JAX22" s="66"/>
      <c r="JAY22" s="66"/>
      <c r="JAZ22" s="66"/>
      <c r="JBA22" s="66"/>
      <c r="JBB22" s="66"/>
      <c r="JBC22" s="66"/>
      <c r="JBD22" s="66"/>
      <c r="JBE22" s="66"/>
      <c r="JBF22" s="66"/>
      <c r="JBG22" s="66"/>
      <c r="JBH22" s="66"/>
      <c r="JBI22" s="66"/>
      <c r="JBJ22" s="66"/>
      <c r="JBK22" s="66"/>
      <c r="JBL22" s="66"/>
      <c r="JBM22" s="66"/>
      <c r="JBN22" s="66"/>
      <c r="JBO22" s="66"/>
      <c r="JBP22" s="66"/>
      <c r="JBQ22" s="66"/>
      <c r="JBR22" s="66"/>
      <c r="JBS22" s="66"/>
      <c r="JBT22" s="66"/>
      <c r="JBU22" s="66"/>
      <c r="JBV22" s="66"/>
      <c r="JBW22" s="66"/>
      <c r="JBX22" s="66"/>
      <c r="JBY22" s="66"/>
      <c r="JBZ22" s="66"/>
      <c r="JCA22" s="66"/>
      <c r="JCB22" s="66"/>
      <c r="JCC22" s="66"/>
      <c r="JCD22" s="66"/>
      <c r="JCE22" s="66"/>
      <c r="JCF22" s="66"/>
      <c r="JCG22" s="66"/>
      <c r="JCH22" s="66"/>
      <c r="JCI22" s="66"/>
      <c r="JCJ22" s="66"/>
      <c r="JCK22" s="66"/>
      <c r="JCL22" s="66"/>
      <c r="JCM22" s="66"/>
      <c r="JCN22" s="66"/>
      <c r="JCO22" s="66"/>
      <c r="JCP22" s="66"/>
      <c r="JCQ22" s="66"/>
      <c r="JCR22" s="66"/>
      <c r="JCS22" s="66"/>
      <c r="JCT22" s="66"/>
      <c r="JCU22" s="66"/>
      <c r="JCV22" s="66"/>
      <c r="JCW22" s="66"/>
      <c r="JCX22" s="66"/>
      <c r="JCY22" s="66"/>
      <c r="JCZ22" s="66"/>
      <c r="JDA22" s="66"/>
      <c r="JDB22" s="66"/>
      <c r="JDC22" s="66"/>
      <c r="JDD22" s="66"/>
      <c r="JDE22" s="66"/>
      <c r="JDF22" s="66"/>
      <c r="JDG22" s="66"/>
      <c r="JDH22" s="66"/>
      <c r="JDI22" s="66"/>
      <c r="JDJ22" s="66"/>
      <c r="JDK22" s="66"/>
      <c r="JDL22" s="66"/>
      <c r="JDM22" s="66"/>
      <c r="JDN22" s="66"/>
      <c r="JDO22" s="66"/>
      <c r="JDP22" s="66"/>
      <c r="JDQ22" s="66"/>
      <c r="JDR22" s="66"/>
      <c r="JDS22" s="66"/>
      <c r="JDT22" s="66"/>
      <c r="JDU22" s="66"/>
      <c r="JDV22" s="66"/>
      <c r="JDW22" s="66"/>
      <c r="JDX22" s="66"/>
      <c r="JDY22" s="66"/>
      <c r="JDZ22" s="66"/>
      <c r="JEA22" s="66"/>
      <c r="JEB22" s="66"/>
      <c r="JEC22" s="66"/>
      <c r="JED22" s="66"/>
      <c r="JEE22" s="66"/>
      <c r="JEF22" s="66"/>
      <c r="JEG22" s="66"/>
      <c r="JEH22" s="66"/>
      <c r="JEI22" s="66"/>
      <c r="JEJ22" s="66"/>
      <c r="JEK22" s="66"/>
      <c r="JEL22" s="66"/>
      <c r="JEM22" s="66"/>
      <c r="JEN22" s="66"/>
      <c r="JEO22" s="66"/>
      <c r="JEP22" s="66"/>
      <c r="JEQ22" s="66"/>
      <c r="JER22" s="66"/>
      <c r="JES22" s="66"/>
      <c r="JET22" s="66"/>
      <c r="JEU22" s="66"/>
      <c r="JEV22" s="66"/>
      <c r="JEW22" s="66"/>
      <c r="JEX22" s="66"/>
      <c r="JEY22" s="66"/>
      <c r="JEZ22" s="66"/>
      <c r="JFA22" s="66"/>
      <c r="JFB22" s="66"/>
      <c r="JFC22" s="66"/>
      <c r="JFD22" s="66"/>
      <c r="JFE22" s="66"/>
      <c r="JFF22" s="66"/>
      <c r="JFG22" s="66"/>
      <c r="JFH22" s="66"/>
      <c r="JFI22" s="66"/>
      <c r="JFJ22" s="66"/>
      <c r="JFK22" s="66"/>
      <c r="JFL22" s="66"/>
      <c r="JFM22" s="66"/>
      <c r="JFN22" s="66"/>
      <c r="JFO22" s="66"/>
      <c r="JFP22" s="66"/>
      <c r="JFQ22" s="66"/>
      <c r="JFR22" s="66"/>
      <c r="JFS22" s="66"/>
      <c r="JFT22" s="66"/>
      <c r="JFU22" s="66"/>
      <c r="JFV22" s="66"/>
      <c r="JFW22" s="66"/>
      <c r="JFX22" s="66"/>
      <c r="JFY22" s="66"/>
      <c r="JFZ22" s="66"/>
      <c r="JGA22" s="66"/>
      <c r="JGB22" s="66"/>
      <c r="JGC22" s="66"/>
      <c r="JGD22" s="66"/>
      <c r="JGE22" s="66"/>
      <c r="JGF22" s="66"/>
      <c r="JGG22" s="66"/>
      <c r="JGH22" s="66"/>
      <c r="JGI22" s="66"/>
      <c r="JGJ22" s="66"/>
      <c r="JGK22" s="66"/>
      <c r="JGL22" s="66"/>
      <c r="JGM22" s="66"/>
      <c r="JGN22" s="66"/>
      <c r="JGO22" s="66"/>
      <c r="JGP22" s="66"/>
      <c r="JGQ22" s="66"/>
      <c r="JGR22" s="66"/>
      <c r="JGS22" s="66"/>
      <c r="JGT22" s="66"/>
      <c r="JGU22" s="66"/>
      <c r="JGV22" s="66"/>
      <c r="JGW22" s="66"/>
      <c r="JGX22" s="66"/>
      <c r="JGY22" s="66"/>
      <c r="JGZ22" s="66"/>
      <c r="JHA22" s="66"/>
      <c r="JHB22" s="66"/>
      <c r="JHC22" s="66"/>
      <c r="JHD22" s="66"/>
      <c r="JHE22" s="66"/>
      <c r="JHF22" s="66"/>
      <c r="JHG22" s="66"/>
      <c r="JHH22" s="66"/>
      <c r="JHI22" s="66"/>
      <c r="JHJ22" s="66"/>
      <c r="JHK22" s="66"/>
      <c r="JHL22" s="66"/>
      <c r="JHM22" s="66"/>
      <c r="JHN22" s="66"/>
      <c r="JHO22" s="66"/>
      <c r="JHP22" s="66"/>
      <c r="JHQ22" s="66"/>
      <c r="JHR22" s="66"/>
      <c r="JHS22" s="66"/>
      <c r="JHT22" s="66"/>
      <c r="JHU22" s="66"/>
      <c r="JHV22" s="66"/>
      <c r="JHW22" s="66"/>
      <c r="JHX22" s="66"/>
      <c r="JHY22" s="66"/>
      <c r="JHZ22" s="66"/>
      <c r="JIA22" s="66"/>
      <c r="JIB22" s="66"/>
      <c r="JIC22" s="66"/>
      <c r="JID22" s="66"/>
      <c r="JIE22" s="66"/>
      <c r="JIF22" s="66"/>
      <c r="JIG22" s="66"/>
      <c r="JIH22" s="66"/>
      <c r="JII22" s="66"/>
      <c r="JIJ22" s="66"/>
      <c r="JIK22" s="66"/>
      <c r="JIL22" s="66"/>
      <c r="JIM22" s="66"/>
      <c r="JIN22" s="66"/>
      <c r="JIO22" s="66"/>
      <c r="JIP22" s="66"/>
      <c r="JIQ22" s="66"/>
      <c r="JIR22" s="66"/>
      <c r="JIS22" s="66"/>
      <c r="JIT22" s="66"/>
      <c r="JIU22" s="66"/>
      <c r="JIV22" s="66"/>
      <c r="JIW22" s="66"/>
      <c r="JIX22" s="66"/>
      <c r="JIY22" s="66"/>
      <c r="JIZ22" s="66"/>
      <c r="JJA22" s="66"/>
      <c r="JJB22" s="66"/>
      <c r="JJC22" s="66"/>
      <c r="JJD22" s="66"/>
      <c r="JJE22" s="66"/>
      <c r="JJF22" s="66"/>
      <c r="JJG22" s="66"/>
      <c r="JJH22" s="66"/>
      <c r="JJI22" s="66"/>
      <c r="JJJ22" s="66"/>
      <c r="JJK22" s="66"/>
      <c r="JJL22" s="66"/>
      <c r="JJM22" s="66"/>
      <c r="JJN22" s="66"/>
      <c r="JJO22" s="66"/>
      <c r="JJP22" s="66"/>
      <c r="JJQ22" s="66"/>
      <c r="JJR22" s="66"/>
      <c r="JJS22" s="66"/>
      <c r="JJT22" s="66"/>
      <c r="JJU22" s="66"/>
      <c r="JJV22" s="66"/>
      <c r="JJW22" s="66"/>
      <c r="JJX22" s="66"/>
      <c r="JJY22" s="66"/>
      <c r="JJZ22" s="66"/>
      <c r="JKA22" s="66"/>
      <c r="JKB22" s="66"/>
      <c r="JKC22" s="66"/>
      <c r="JKD22" s="66"/>
      <c r="JKE22" s="66"/>
      <c r="JKF22" s="66"/>
      <c r="JKG22" s="66"/>
      <c r="JKH22" s="66"/>
      <c r="JKI22" s="66"/>
      <c r="JKJ22" s="66"/>
      <c r="JKK22" s="66"/>
      <c r="JKL22" s="66"/>
      <c r="JKM22" s="66"/>
      <c r="JKN22" s="66"/>
      <c r="JKO22" s="66"/>
      <c r="JKP22" s="66"/>
      <c r="JKQ22" s="66"/>
      <c r="JKR22" s="66"/>
      <c r="JKS22" s="66"/>
      <c r="JKT22" s="66"/>
      <c r="JKU22" s="66"/>
      <c r="JKV22" s="66"/>
      <c r="JKW22" s="66"/>
      <c r="JKX22" s="66"/>
      <c r="JKY22" s="66"/>
      <c r="JKZ22" s="66"/>
      <c r="JLA22" s="66"/>
      <c r="JLB22" s="66"/>
      <c r="JLC22" s="66"/>
      <c r="JLD22" s="66"/>
      <c r="JLE22" s="66"/>
      <c r="JLF22" s="66"/>
      <c r="JLG22" s="66"/>
      <c r="JLH22" s="66"/>
      <c r="JLI22" s="66"/>
      <c r="JLJ22" s="66"/>
      <c r="JLK22" s="66"/>
      <c r="JLL22" s="66"/>
      <c r="JLM22" s="66"/>
      <c r="JLN22" s="66"/>
      <c r="JLO22" s="66"/>
      <c r="JLP22" s="66"/>
      <c r="JLQ22" s="66"/>
      <c r="JLR22" s="66"/>
      <c r="JLS22" s="66"/>
      <c r="JLT22" s="66"/>
      <c r="JLU22" s="66"/>
      <c r="JLV22" s="66"/>
      <c r="JLW22" s="66"/>
      <c r="JLX22" s="66"/>
      <c r="JLY22" s="66"/>
      <c r="JLZ22" s="66"/>
      <c r="JMA22" s="66"/>
      <c r="JMB22" s="66"/>
      <c r="JMC22" s="66"/>
      <c r="JMD22" s="66"/>
      <c r="JME22" s="66"/>
      <c r="JMF22" s="66"/>
      <c r="JMG22" s="66"/>
      <c r="JMH22" s="66"/>
      <c r="JMI22" s="66"/>
      <c r="JMJ22" s="66"/>
      <c r="JMK22" s="66"/>
      <c r="JML22" s="66"/>
      <c r="JMM22" s="66"/>
      <c r="JMN22" s="66"/>
      <c r="JMO22" s="66"/>
      <c r="JMP22" s="66"/>
      <c r="JMQ22" s="66"/>
      <c r="JMR22" s="66"/>
      <c r="JMS22" s="66"/>
      <c r="JMT22" s="66"/>
      <c r="JMU22" s="66"/>
      <c r="JMV22" s="66"/>
      <c r="JMW22" s="66"/>
      <c r="JMX22" s="66"/>
      <c r="JMY22" s="66"/>
      <c r="JMZ22" s="66"/>
      <c r="JNA22" s="66"/>
      <c r="JNB22" s="66"/>
      <c r="JNC22" s="66"/>
      <c r="JND22" s="66"/>
      <c r="JNE22" s="66"/>
      <c r="JNF22" s="66"/>
      <c r="JNG22" s="66"/>
      <c r="JNH22" s="66"/>
      <c r="JNI22" s="66"/>
      <c r="JNJ22" s="66"/>
      <c r="JNK22" s="66"/>
      <c r="JNL22" s="66"/>
      <c r="JNM22" s="66"/>
      <c r="JNN22" s="66"/>
      <c r="JNO22" s="66"/>
      <c r="JNP22" s="66"/>
      <c r="JNQ22" s="66"/>
      <c r="JNR22" s="66"/>
      <c r="JNS22" s="66"/>
      <c r="JNT22" s="66"/>
      <c r="JNU22" s="66"/>
      <c r="JNV22" s="66"/>
      <c r="JNW22" s="66"/>
      <c r="JNX22" s="66"/>
      <c r="JNY22" s="66"/>
      <c r="JNZ22" s="66"/>
      <c r="JOA22" s="66"/>
      <c r="JOB22" s="66"/>
      <c r="JOC22" s="66"/>
      <c r="JOD22" s="66"/>
      <c r="JOE22" s="66"/>
      <c r="JOF22" s="66"/>
      <c r="JOG22" s="66"/>
      <c r="JOH22" s="66"/>
      <c r="JOI22" s="66"/>
      <c r="JOJ22" s="66"/>
      <c r="JOK22" s="66"/>
      <c r="JOL22" s="66"/>
      <c r="JOM22" s="66"/>
      <c r="JON22" s="66"/>
      <c r="JOO22" s="66"/>
      <c r="JOP22" s="66"/>
      <c r="JOQ22" s="66"/>
      <c r="JOR22" s="66"/>
      <c r="JOS22" s="66"/>
      <c r="JOT22" s="66"/>
      <c r="JOU22" s="66"/>
      <c r="JOV22" s="66"/>
      <c r="JOW22" s="66"/>
      <c r="JOX22" s="66"/>
      <c r="JOY22" s="66"/>
      <c r="JOZ22" s="66"/>
      <c r="JPA22" s="66"/>
      <c r="JPB22" s="66"/>
      <c r="JPC22" s="66"/>
      <c r="JPD22" s="66"/>
      <c r="JPE22" s="66"/>
      <c r="JPF22" s="66"/>
      <c r="JPG22" s="66"/>
      <c r="JPH22" s="66"/>
      <c r="JPI22" s="66"/>
      <c r="JPJ22" s="66"/>
      <c r="JPK22" s="66"/>
      <c r="JPL22" s="66"/>
      <c r="JPM22" s="66"/>
      <c r="JPN22" s="66"/>
      <c r="JPO22" s="66"/>
      <c r="JPP22" s="66"/>
      <c r="JPQ22" s="66"/>
      <c r="JPR22" s="66"/>
      <c r="JPS22" s="66"/>
      <c r="JPT22" s="66"/>
      <c r="JPU22" s="66"/>
      <c r="JPV22" s="66"/>
      <c r="JPW22" s="66"/>
      <c r="JPX22" s="66"/>
      <c r="JPY22" s="66"/>
      <c r="JPZ22" s="66"/>
      <c r="JQA22" s="66"/>
      <c r="JQB22" s="66"/>
      <c r="JQC22" s="66"/>
      <c r="JQD22" s="66"/>
      <c r="JQE22" s="66"/>
      <c r="JQF22" s="66"/>
      <c r="JQG22" s="66"/>
      <c r="JQH22" s="66"/>
      <c r="JQI22" s="66"/>
      <c r="JQJ22" s="66"/>
      <c r="JQK22" s="66"/>
      <c r="JQL22" s="66"/>
      <c r="JQM22" s="66"/>
      <c r="JQN22" s="66"/>
      <c r="JQO22" s="66"/>
      <c r="JQP22" s="66"/>
      <c r="JQQ22" s="66"/>
      <c r="JQR22" s="66"/>
      <c r="JQS22" s="66"/>
      <c r="JQT22" s="66"/>
      <c r="JQU22" s="66"/>
      <c r="JQV22" s="66"/>
      <c r="JQW22" s="66"/>
      <c r="JQX22" s="66"/>
      <c r="JQY22" s="66"/>
      <c r="JQZ22" s="66"/>
      <c r="JRA22" s="66"/>
      <c r="JRB22" s="66"/>
      <c r="JRC22" s="66"/>
      <c r="JRD22" s="66"/>
      <c r="JRE22" s="66"/>
      <c r="JRF22" s="66"/>
      <c r="JRG22" s="66"/>
      <c r="JRH22" s="66"/>
      <c r="JRI22" s="66"/>
      <c r="JRJ22" s="66"/>
      <c r="JRK22" s="66"/>
      <c r="JRL22" s="66"/>
      <c r="JRM22" s="66"/>
      <c r="JRN22" s="66"/>
      <c r="JRO22" s="66"/>
      <c r="JRP22" s="66"/>
      <c r="JRQ22" s="66"/>
      <c r="JRR22" s="66"/>
      <c r="JRS22" s="66"/>
      <c r="JRT22" s="66"/>
      <c r="JRU22" s="66"/>
      <c r="JRV22" s="66"/>
      <c r="JRW22" s="66"/>
      <c r="JRX22" s="66"/>
      <c r="JRY22" s="66"/>
      <c r="JRZ22" s="66"/>
      <c r="JSA22" s="66"/>
      <c r="JSB22" s="66"/>
      <c r="JSC22" s="66"/>
      <c r="JSD22" s="66"/>
      <c r="JSE22" s="66"/>
      <c r="JSF22" s="66"/>
      <c r="JSG22" s="66"/>
      <c r="JSH22" s="66"/>
      <c r="JSI22" s="66"/>
      <c r="JSJ22" s="66"/>
      <c r="JSK22" s="66"/>
      <c r="JSL22" s="66"/>
      <c r="JSM22" s="66"/>
      <c r="JSN22" s="66"/>
      <c r="JSO22" s="66"/>
      <c r="JSP22" s="66"/>
      <c r="JSQ22" s="66"/>
      <c r="JSR22" s="66"/>
      <c r="JSS22" s="66"/>
      <c r="JST22" s="66"/>
      <c r="JSU22" s="66"/>
      <c r="JSV22" s="66"/>
      <c r="JSW22" s="66"/>
      <c r="JSX22" s="66"/>
      <c r="JSY22" s="66"/>
      <c r="JSZ22" s="66"/>
      <c r="JTA22" s="66"/>
      <c r="JTB22" s="66"/>
      <c r="JTC22" s="66"/>
      <c r="JTD22" s="66"/>
      <c r="JTE22" s="66"/>
      <c r="JTF22" s="66"/>
      <c r="JTG22" s="66"/>
      <c r="JTH22" s="66"/>
      <c r="JTI22" s="66"/>
      <c r="JTJ22" s="66"/>
      <c r="JTK22" s="66"/>
      <c r="JTL22" s="66"/>
      <c r="JTM22" s="66"/>
      <c r="JTN22" s="66"/>
      <c r="JTO22" s="66"/>
      <c r="JTP22" s="66"/>
      <c r="JTQ22" s="66"/>
      <c r="JTR22" s="66"/>
      <c r="JTS22" s="66"/>
      <c r="JTT22" s="66"/>
      <c r="JTU22" s="66"/>
      <c r="JTV22" s="66"/>
      <c r="JTW22" s="66"/>
      <c r="JTX22" s="66"/>
      <c r="JTY22" s="66"/>
      <c r="JTZ22" s="66"/>
      <c r="JUA22" s="66"/>
      <c r="JUB22" s="66"/>
      <c r="JUC22" s="66"/>
      <c r="JUD22" s="66"/>
      <c r="JUE22" s="66"/>
      <c r="JUF22" s="66"/>
      <c r="JUG22" s="66"/>
      <c r="JUH22" s="66"/>
      <c r="JUI22" s="66"/>
      <c r="JUJ22" s="66"/>
      <c r="JUK22" s="66"/>
      <c r="JUL22" s="66"/>
      <c r="JUM22" s="66"/>
      <c r="JUN22" s="66"/>
      <c r="JUO22" s="66"/>
      <c r="JUP22" s="66"/>
      <c r="JUQ22" s="66"/>
      <c r="JUR22" s="66"/>
      <c r="JUS22" s="66"/>
      <c r="JUT22" s="66"/>
      <c r="JUU22" s="66"/>
      <c r="JUV22" s="66"/>
      <c r="JUW22" s="66"/>
      <c r="JUX22" s="66"/>
      <c r="JUY22" s="66"/>
      <c r="JUZ22" s="66"/>
      <c r="JVA22" s="66"/>
      <c r="JVB22" s="66"/>
      <c r="JVC22" s="66"/>
      <c r="JVD22" s="66"/>
      <c r="JVE22" s="66"/>
      <c r="JVF22" s="66"/>
      <c r="JVG22" s="66"/>
      <c r="JVH22" s="66"/>
      <c r="JVI22" s="66"/>
      <c r="JVJ22" s="66"/>
      <c r="JVK22" s="66"/>
      <c r="JVL22" s="66"/>
      <c r="JVM22" s="66"/>
      <c r="JVN22" s="66"/>
      <c r="JVO22" s="66"/>
      <c r="JVP22" s="66"/>
      <c r="JVQ22" s="66"/>
      <c r="JVR22" s="66"/>
      <c r="JVS22" s="66"/>
      <c r="JVT22" s="66"/>
      <c r="JVU22" s="66"/>
      <c r="JVV22" s="66"/>
      <c r="JVW22" s="66"/>
      <c r="JVX22" s="66"/>
      <c r="JVY22" s="66"/>
      <c r="JVZ22" s="66"/>
      <c r="JWA22" s="66"/>
      <c r="JWB22" s="66"/>
      <c r="JWC22" s="66"/>
      <c r="JWD22" s="66"/>
      <c r="JWE22" s="66"/>
      <c r="JWF22" s="66"/>
      <c r="JWG22" s="66"/>
      <c r="JWH22" s="66"/>
      <c r="JWI22" s="66"/>
      <c r="JWJ22" s="66"/>
      <c r="JWK22" s="66"/>
      <c r="JWL22" s="66"/>
      <c r="JWM22" s="66"/>
      <c r="JWN22" s="66"/>
      <c r="JWO22" s="66"/>
      <c r="JWP22" s="66"/>
      <c r="JWQ22" s="66"/>
      <c r="JWR22" s="66"/>
      <c r="JWS22" s="66"/>
      <c r="JWT22" s="66"/>
      <c r="JWU22" s="66"/>
      <c r="JWV22" s="66"/>
      <c r="JWW22" s="66"/>
      <c r="JWX22" s="66"/>
      <c r="JWY22" s="66"/>
      <c r="JWZ22" s="66"/>
      <c r="JXA22" s="66"/>
      <c r="JXB22" s="66"/>
      <c r="JXC22" s="66"/>
      <c r="JXD22" s="66"/>
      <c r="JXE22" s="66"/>
      <c r="JXF22" s="66"/>
      <c r="JXG22" s="66"/>
      <c r="JXH22" s="66"/>
      <c r="JXI22" s="66"/>
      <c r="JXJ22" s="66"/>
      <c r="JXK22" s="66"/>
      <c r="JXL22" s="66"/>
      <c r="JXM22" s="66"/>
      <c r="JXN22" s="66"/>
      <c r="JXO22" s="66"/>
      <c r="JXP22" s="66"/>
      <c r="JXQ22" s="66"/>
      <c r="JXR22" s="66"/>
      <c r="JXS22" s="66"/>
      <c r="JXT22" s="66"/>
      <c r="JXU22" s="66"/>
      <c r="JXV22" s="66"/>
      <c r="JXW22" s="66"/>
      <c r="JXX22" s="66"/>
      <c r="JXY22" s="66"/>
      <c r="JXZ22" s="66"/>
      <c r="JYA22" s="66"/>
      <c r="JYB22" s="66"/>
      <c r="JYC22" s="66"/>
      <c r="JYD22" s="66"/>
      <c r="JYE22" s="66"/>
      <c r="JYF22" s="66"/>
      <c r="JYG22" s="66"/>
      <c r="JYH22" s="66"/>
      <c r="JYI22" s="66"/>
      <c r="JYJ22" s="66"/>
      <c r="JYK22" s="66"/>
      <c r="JYL22" s="66"/>
      <c r="JYM22" s="66"/>
      <c r="JYN22" s="66"/>
      <c r="JYO22" s="66"/>
      <c r="JYP22" s="66"/>
      <c r="JYQ22" s="66"/>
      <c r="JYR22" s="66"/>
      <c r="JYS22" s="66"/>
      <c r="JYT22" s="66"/>
      <c r="JYU22" s="66"/>
      <c r="JYV22" s="66"/>
      <c r="JYW22" s="66"/>
      <c r="JYX22" s="66"/>
      <c r="JYY22" s="66"/>
      <c r="JYZ22" s="66"/>
      <c r="JZA22" s="66"/>
      <c r="JZB22" s="66"/>
      <c r="JZC22" s="66"/>
      <c r="JZD22" s="66"/>
      <c r="JZE22" s="66"/>
      <c r="JZF22" s="66"/>
      <c r="JZG22" s="66"/>
      <c r="JZH22" s="66"/>
      <c r="JZI22" s="66"/>
      <c r="JZJ22" s="66"/>
      <c r="JZK22" s="66"/>
      <c r="JZL22" s="66"/>
      <c r="JZM22" s="66"/>
      <c r="JZN22" s="66"/>
      <c r="JZO22" s="66"/>
      <c r="JZP22" s="66"/>
      <c r="JZQ22" s="66"/>
      <c r="JZR22" s="66"/>
      <c r="JZS22" s="66"/>
      <c r="JZT22" s="66"/>
      <c r="JZU22" s="66"/>
      <c r="JZV22" s="66"/>
      <c r="JZW22" s="66"/>
      <c r="JZX22" s="66"/>
      <c r="JZY22" s="66"/>
      <c r="JZZ22" s="66"/>
      <c r="KAA22" s="66"/>
      <c r="KAB22" s="66"/>
      <c r="KAC22" s="66"/>
      <c r="KAD22" s="66"/>
      <c r="KAE22" s="66"/>
      <c r="KAF22" s="66"/>
      <c r="KAG22" s="66"/>
      <c r="KAH22" s="66"/>
      <c r="KAI22" s="66"/>
      <c r="KAJ22" s="66"/>
      <c r="KAK22" s="66"/>
      <c r="KAL22" s="66"/>
      <c r="KAM22" s="66"/>
      <c r="KAN22" s="66"/>
      <c r="KAO22" s="66"/>
      <c r="KAP22" s="66"/>
      <c r="KAQ22" s="66"/>
      <c r="KAR22" s="66"/>
      <c r="KAS22" s="66"/>
      <c r="KAT22" s="66"/>
      <c r="KAU22" s="66"/>
      <c r="KAV22" s="66"/>
      <c r="KAW22" s="66"/>
      <c r="KAX22" s="66"/>
      <c r="KAY22" s="66"/>
      <c r="KAZ22" s="66"/>
      <c r="KBA22" s="66"/>
      <c r="KBB22" s="66"/>
      <c r="KBC22" s="66"/>
      <c r="KBD22" s="66"/>
      <c r="KBE22" s="66"/>
      <c r="KBF22" s="66"/>
      <c r="KBG22" s="66"/>
      <c r="KBH22" s="66"/>
      <c r="KBI22" s="66"/>
      <c r="KBJ22" s="66"/>
      <c r="KBK22" s="66"/>
      <c r="KBL22" s="66"/>
      <c r="KBM22" s="66"/>
      <c r="KBN22" s="66"/>
      <c r="KBO22" s="66"/>
      <c r="KBP22" s="66"/>
      <c r="KBQ22" s="66"/>
      <c r="KBR22" s="66"/>
      <c r="KBS22" s="66"/>
      <c r="KBT22" s="66"/>
      <c r="KBU22" s="66"/>
      <c r="KBV22" s="66"/>
      <c r="KBW22" s="66"/>
      <c r="KBX22" s="66"/>
      <c r="KBY22" s="66"/>
      <c r="KBZ22" s="66"/>
      <c r="KCA22" s="66"/>
      <c r="KCB22" s="66"/>
      <c r="KCC22" s="66"/>
      <c r="KCD22" s="66"/>
      <c r="KCE22" s="66"/>
      <c r="KCF22" s="66"/>
      <c r="KCG22" s="66"/>
      <c r="KCH22" s="66"/>
      <c r="KCI22" s="66"/>
      <c r="KCJ22" s="66"/>
      <c r="KCK22" s="66"/>
      <c r="KCL22" s="66"/>
      <c r="KCM22" s="66"/>
      <c r="KCN22" s="66"/>
      <c r="KCO22" s="66"/>
      <c r="KCP22" s="66"/>
      <c r="KCQ22" s="66"/>
      <c r="KCR22" s="66"/>
      <c r="KCS22" s="66"/>
      <c r="KCT22" s="66"/>
      <c r="KCU22" s="66"/>
      <c r="KCV22" s="66"/>
      <c r="KCW22" s="66"/>
      <c r="KCX22" s="66"/>
      <c r="KCY22" s="66"/>
      <c r="KCZ22" s="66"/>
      <c r="KDA22" s="66"/>
      <c r="KDB22" s="66"/>
      <c r="KDC22" s="66"/>
      <c r="KDD22" s="66"/>
      <c r="KDE22" s="66"/>
      <c r="KDF22" s="66"/>
      <c r="KDG22" s="66"/>
      <c r="KDH22" s="66"/>
      <c r="KDI22" s="66"/>
      <c r="KDJ22" s="66"/>
      <c r="KDK22" s="66"/>
      <c r="KDL22" s="66"/>
      <c r="KDM22" s="66"/>
      <c r="KDN22" s="66"/>
      <c r="KDO22" s="66"/>
      <c r="KDP22" s="66"/>
      <c r="KDQ22" s="66"/>
      <c r="KDR22" s="66"/>
      <c r="KDS22" s="66"/>
      <c r="KDT22" s="66"/>
      <c r="KDU22" s="66"/>
      <c r="KDV22" s="66"/>
      <c r="KDW22" s="66"/>
      <c r="KDX22" s="66"/>
      <c r="KDY22" s="66"/>
      <c r="KDZ22" s="66"/>
      <c r="KEA22" s="66"/>
      <c r="KEB22" s="66"/>
      <c r="KEC22" s="66"/>
      <c r="KED22" s="66"/>
      <c r="KEE22" s="66"/>
      <c r="KEF22" s="66"/>
      <c r="KEG22" s="66"/>
      <c r="KEH22" s="66"/>
      <c r="KEI22" s="66"/>
      <c r="KEJ22" s="66"/>
      <c r="KEK22" s="66"/>
      <c r="KEL22" s="66"/>
      <c r="KEM22" s="66"/>
      <c r="KEN22" s="66"/>
      <c r="KEO22" s="66"/>
      <c r="KEP22" s="66"/>
      <c r="KEQ22" s="66"/>
      <c r="KER22" s="66"/>
      <c r="KES22" s="66"/>
      <c r="KET22" s="66"/>
      <c r="KEU22" s="66"/>
      <c r="KEV22" s="66"/>
      <c r="KEW22" s="66"/>
      <c r="KEX22" s="66"/>
      <c r="KEY22" s="66"/>
      <c r="KEZ22" s="66"/>
      <c r="KFA22" s="66"/>
      <c r="KFB22" s="66"/>
      <c r="KFC22" s="66"/>
      <c r="KFD22" s="66"/>
      <c r="KFE22" s="66"/>
      <c r="KFF22" s="66"/>
      <c r="KFG22" s="66"/>
      <c r="KFH22" s="66"/>
      <c r="KFI22" s="66"/>
      <c r="KFJ22" s="66"/>
      <c r="KFK22" s="66"/>
      <c r="KFL22" s="66"/>
      <c r="KFM22" s="66"/>
      <c r="KFN22" s="66"/>
      <c r="KFO22" s="66"/>
      <c r="KFP22" s="66"/>
      <c r="KFQ22" s="66"/>
      <c r="KFR22" s="66"/>
      <c r="KFS22" s="66"/>
      <c r="KFT22" s="66"/>
      <c r="KFU22" s="66"/>
      <c r="KFV22" s="66"/>
      <c r="KFW22" s="66"/>
      <c r="KFX22" s="66"/>
      <c r="KFY22" s="66"/>
      <c r="KFZ22" s="66"/>
      <c r="KGA22" s="66"/>
      <c r="KGB22" s="66"/>
      <c r="KGC22" s="66"/>
      <c r="KGD22" s="66"/>
      <c r="KGE22" s="66"/>
      <c r="KGF22" s="66"/>
      <c r="KGG22" s="66"/>
      <c r="KGH22" s="66"/>
      <c r="KGI22" s="66"/>
      <c r="KGJ22" s="66"/>
      <c r="KGK22" s="66"/>
      <c r="KGL22" s="66"/>
      <c r="KGM22" s="66"/>
      <c r="KGN22" s="66"/>
      <c r="KGO22" s="66"/>
      <c r="KGP22" s="66"/>
      <c r="KGQ22" s="66"/>
      <c r="KGR22" s="66"/>
      <c r="KGS22" s="66"/>
      <c r="KGT22" s="66"/>
      <c r="KGU22" s="66"/>
      <c r="KGV22" s="66"/>
      <c r="KGW22" s="66"/>
      <c r="KGX22" s="66"/>
      <c r="KGY22" s="66"/>
      <c r="KGZ22" s="66"/>
      <c r="KHA22" s="66"/>
      <c r="KHB22" s="66"/>
      <c r="KHC22" s="66"/>
      <c r="KHD22" s="66"/>
      <c r="KHE22" s="66"/>
      <c r="KHF22" s="66"/>
      <c r="KHG22" s="66"/>
      <c r="KHH22" s="66"/>
      <c r="KHI22" s="66"/>
      <c r="KHJ22" s="66"/>
      <c r="KHK22" s="66"/>
      <c r="KHL22" s="66"/>
      <c r="KHM22" s="66"/>
      <c r="KHN22" s="66"/>
      <c r="KHO22" s="66"/>
      <c r="KHP22" s="66"/>
      <c r="KHQ22" s="66"/>
      <c r="KHR22" s="66"/>
      <c r="KHS22" s="66"/>
      <c r="KHT22" s="66"/>
      <c r="KHU22" s="66"/>
      <c r="KHV22" s="66"/>
      <c r="KHW22" s="66"/>
      <c r="KHX22" s="66"/>
      <c r="KHY22" s="66"/>
      <c r="KHZ22" s="66"/>
      <c r="KIA22" s="66"/>
      <c r="KIB22" s="66"/>
      <c r="KIC22" s="66"/>
      <c r="KID22" s="66"/>
      <c r="KIE22" s="66"/>
      <c r="KIF22" s="66"/>
      <c r="KIG22" s="66"/>
      <c r="KIH22" s="66"/>
      <c r="KII22" s="66"/>
      <c r="KIJ22" s="66"/>
      <c r="KIK22" s="66"/>
      <c r="KIL22" s="66"/>
      <c r="KIM22" s="66"/>
      <c r="KIN22" s="66"/>
      <c r="KIO22" s="66"/>
      <c r="KIP22" s="66"/>
      <c r="KIQ22" s="66"/>
      <c r="KIR22" s="66"/>
      <c r="KIS22" s="66"/>
      <c r="KIT22" s="66"/>
      <c r="KIU22" s="66"/>
      <c r="KIV22" s="66"/>
      <c r="KIW22" s="66"/>
      <c r="KIX22" s="66"/>
      <c r="KIY22" s="66"/>
      <c r="KIZ22" s="66"/>
      <c r="KJA22" s="66"/>
      <c r="KJB22" s="66"/>
      <c r="KJC22" s="66"/>
      <c r="KJD22" s="66"/>
      <c r="KJE22" s="66"/>
      <c r="KJF22" s="66"/>
      <c r="KJG22" s="66"/>
      <c r="KJH22" s="66"/>
      <c r="KJI22" s="66"/>
      <c r="KJJ22" s="66"/>
      <c r="KJK22" s="66"/>
      <c r="KJL22" s="66"/>
      <c r="KJM22" s="66"/>
      <c r="KJN22" s="66"/>
      <c r="KJO22" s="66"/>
      <c r="KJP22" s="66"/>
      <c r="KJQ22" s="66"/>
      <c r="KJR22" s="66"/>
      <c r="KJS22" s="66"/>
      <c r="KJT22" s="66"/>
      <c r="KJU22" s="66"/>
      <c r="KJV22" s="66"/>
      <c r="KJW22" s="66"/>
      <c r="KJX22" s="66"/>
      <c r="KJY22" s="66"/>
      <c r="KJZ22" s="66"/>
      <c r="KKA22" s="66"/>
      <c r="KKB22" s="66"/>
      <c r="KKC22" s="66"/>
      <c r="KKD22" s="66"/>
      <c r="KKE22" s="66"/>
      <c r="KKF22" s="66"/>
      <c r="KKG22" s="66"/>
      <c r="KKH22" s="66"/>
      <c r="KKI22" s="66"/>
      <c r="KKJ22" s="66"/>
      <c r="KKK22" s="66"/>
      <c r="KKL22" s="66"/>
      <c r="KKM22" s="66"/>
      <c r="KKN22" s="66"/>
      <c r="KKO22" s="66"/>
      <c r="KKP22" s="66"/>
      <c r="KKQ22" s="66"/>
      <c r="KKR22" s="66"/>
      <c r="KKS22" s="66"/>
      <c r="KKT22" s="66"/>
      <c r="KKU22" s="66"/>
      <c r="KKV22" s="66"/>
      <c r="KKW22" s="66"/>
      <c r="KKX22" s="66"/>
      <c r="KKY22" s="66"/>
      <c r="KKZ22" s="66"/>
      <c r="KLA22" s="66"/>
      <c r="KLB22" s="66"/>
      <c r="KLC22" s="66"/>
      <c r="KLD22" s="66"/>
      <c r="KLE22" s="66"/>
      <c r="KLF22" s="66"/>
      <c r="KLG22" s="66"/>
      <c r="KLH22" s="66"/>
      <c r="KLI22" s="66"/>
      <c r="KLJ22" s="66"/>
      <c r="KLK22" s="66"/>
      <c r="KLL22" s="66"/>
      <c r="KLM22" s="66"/>
      <c r="KLN22" s="66"/>
      <c r="KLO22" s="66"/>
      <c r="KLP22" s="66"/>
      <c r="KLQ22" s="66"/>
      <c r="KLR22" s="66"/>
      <c r="KLS22" s="66"/>
      <c r="KLT22" s="66"/>
      <c r="KLU22" s="66"/>
      <c r="KLV22" s="66"/>
      <c r="KLW22" s="66"/>
      <c r="KLX22" s="66"/>
      <c r="KLY22" s="66"/>
      <c r="KLZ22" s="66"/>
      <c r="KMA22" s="66"/>
      <c r="KMB22" s="66"/>
      <c r="KMC22" s="66"/>
      <c r="KMD22" s="66"/>
      <c r="KME22" s="66"/>
      <c r="KMF22" s="66"/>
      <c r="KMG22" s="66"/>
      <c r="KMH22" s="66"/>
      <c r="KMI22" s="66"/>
      <c r="KMJ22" s="66"/>
      <c r="KMK22" s="66"/>
      <c r="KML22" s="66"/>
      <c r="KMM22" s="66"/>
      <c r="KMN22" s="66"/>
      <c r="KMO22" s="66"/>
      <c r="KMP22" s="66"/>
      <c r="KMQ22" s="66"/>
      <c r="KMR22" s="66"/>
      <c r="KMS22" s="66"/>
      <c r="KMT22" s="66"/>
      <c r="KMU22" s="66"/>
      <c r="KMV22" s="66"/>
      <c r="KMW22" s="66"/>
      <c r="KMX22" s="66"/>
      <c r="KMY22" s="66"/>
      <c r="KMZ22" s="66"/>
      <c r="KNA22" s="66"/>
      <c r="KNB22" s="66"/>
      <c r="KNC22" s="66"/>
      <c r="KND22" s="66"/>
      <c r="KNE22" s="66"/>
      <c r="KNF22" s="66"/>
      <c r="KNG22" s="66"/>
      <c r="KNH22" s="66"/>
      <c r="KNI22" s="66"/>
      <c r="KNJ22" s="66"/>
      <c r="KNK22" s="66"/>
      <c r="KNL22" s="66"/>
      <c r="KNM22" s="66"/>
      <c r="KNN22" s="66"/>
      <c r="KNO22" s="66"/>
      <c r="KNP22" s="66"/>
      <c r="KNQ22" s="66"/>
      <c r="KNR22" s="66"/>
      <c r="KNS22" s="66"/>
      <c r="KNT22" s="66"/>
      <c r="KNU22" s="66"/>
      <c r="KNV22" s="66"/>
      <c r="KNW22" s="66"/>
      <c r="KNX22" s="66"/>
      <c r="KNY22" s="66"/>
      <c r="KNZ22" s="66"/>
      <c r="KOA22" s="66"/>
      <c r="KOB22" s="66"/>
      <c r="KOC22" s="66"/>
      <c r="KOD22" s="66"/>
      <c r="KOE22" s="66"/>
      <c r="KOF22" s="66"/>
      <c r="KOG22" s="66"/>
      <c r="KOH22" s="66"/>
      <c r="KOI22" s="66"/>
      <c r="KOJ22" s="66"/>
      <c r="KOK22" s="66"/>
      <c r="KOL22" s="66"/>
      <c r="KOM22" s="66"/>
      <c r="KON22" s="66"/>
      <c r="KOO22" s="66"/>
      <c r="KOP22" s="66"/>
      <c r="KOQ22" s="66"/>
      <c r="KOR22" s="66"/>
      <c r="KOS22" s="66"/>
      <c r="KOT22" s="66"/>
      <c r="KOU22" s="66"/>
      <c r="KOV22" s="66"/>
      <c r="KOW22" s="66"/>
      <c r="KOX22" s="66"/>
      <c r="KOY22" s="66"/>
      <c r="KOZ22" s="66"/>
      <c r="KPA22" s="66"/>
      <c r="KPB22" s="66"/>
      <c r="KPC22" s="66"/>
      <c r="KPD22" s="66"/>
      <c r="KPE22" s="66"/>
      <c r="KPF22" s="66"/>
      <c r="KPG22" s="66"/>
      <c r="KPH22" s="66"/>
      <c r="KPI22" s="66"/>
      <c r="KPJ22" s="66"/>
      <c r="KPK22" s="66"/>
      <c r="KPL22" s="66"/>
      <c r="KPM22" s="66"/>
      <c r="KPN22" s="66"/>
      <c r="KPO22" s="66"/>
      <c r="KPP22" s="66"/>
      <c r="KPQ22" s="66"/>
      <c r="KPR22" s="66"/>
      <c r="KPS22" s="66"/>
      <c r="KPT22" s="66"/>
      <c r="KPU22" s="66"/>
      <c r="KPV22" s="66"/>
      <c r="KPW22" s="66"/>
      <c r="KPX22" s="66"/>
      <c r="KPY22" s="66"/>
      <c r="KPZ22" s="66"/>
      <c r="KQA22" s="66"/>
      <c r="KQB22" s="66"/>
      <c r="KQC22" s="66"/>
      <c r="KQD22" s="66"/>
      <c r="KQE22" s="66"/>
      <c r="KQF22" s="66"/>
      <c r="KQG22" s="66"/>
      <c r="KQH22" s="66"/>
      <c r="KQI22" s="66"/>
      <c r="KQJ22" s="66"/>
      <c r="KQK22" s="66"/>
      <c r="KQL22" s="66"/>
      <c r="KQM22" s="66"/>
      <c r="KQN22" s="66"/>
      <c r="KQO22" s="66"/>
      <c r="KQP22" s="66"/>
      <c r="KQQ22" s="66"/>
      <c r="KQR22" s="66"/>
      <c r="KQS22" s="66"/>
      <c r="KQT22" s="66"/>
      <c r="KQU22" s="66"/>
      <c r="KQV22" s="66"/>
      <c r="KQW22" s="66"/>
      <c r="KQX22" s="66"/>
      <c r="KQY22" s="66"/>
      <c r="KQZ22" s="66"/>
      <c r="KRA22" s="66"/>
      <c r="KRB22" s="66"/>
      <c r="KRC22" s="66"/>
      <c r="KRD22" s="66"/>
      <c r="KRE22" s="66"/>
      <c r="KRF22" s="66"/>
      <c r="KRG22" s="66"/>
      <c r="KRH22" s="66"/>
      <c r="KRI22" s="66"/>
      <c r="KRJ22" s="66"/>
      <c r="KRK22" s="66"/>
      <c r="KRL22" s="66"/>
      <c r="KRM22" s="66"/>
      <c r="KRN22" s="66"/>
      <c r="KRO22" s="66"/>
      <c r="KRP22" s="66"/>
      <c r="KRQ22" s="66"/>
      <c r="KRR22" s="66"/>
      <c r="KRS22" s="66"/>
      <c r="KRT22" s="66"/>
      <c r="KRU22" s="66"/>
      <c r="KRV22" s="66"/>
      <c r="KRW22" s="66"/>
      <c r="KRX22" s="66"/>
      <c r="KRY22" s="66"/>
      <c r="KRZ22" s="66"/>
      <c r="KSA22" s="66"/>
      <c r="KSB22" s="66"/>
      <c r="KSC22" s="66"/>
      <c r="KSD22" s="66"/>
      <c r="KSE22" s="66"/>
      <c r="KSF22" s="66"/>
      <c r="KSG22" s="66"/>
      <c r="KSH22" s="66"/>
      <c r="KSI22" s="66"/>
      <c r="KSJ22" s="66"/>
      <c r="KSK22" s="66"/>
      <c r="KSL22" s="66"/>
      <c r="KSM22" s="66"/>
      <c r="KSN22" s="66"/>
      <c r="KSO22" s="66"/>
      <c r="KSP22" s="66"/>
      <c r="KSQ22" s="66"/>
      <c r="KSR22" s="66"/>
      <c r="KSS22" s="66"/>
      <c r="KST22" s="66"/>
      <c r="KSU22" s="66"/>
      <c r="KSV22" s="66"/>
      <c r="KSW22" s="66"/>
      <c r="KSX22" s="66"/>
      <c r="KSY22" s="66"/>
      <c r="KSZ22" s="66"/>
      <c r="KTA22" s="66"/>
      <c r="KTB22" s="66"/>
      <c r="KTC22" s="66"/>
      <c r="KTD22" s="66"/>
      <c r="KTE22" s="66"/>
      <c r="KTF22" s="66"/>
      <c r="KTG22" s="66"/>
      <c r="KTH22" s="66"/>
      <c r="KTI22" s="66"/>
      <c r="KTJ22" s="66"/>
      <c r="KTK22" s="66"/>
      <c r="KTL22" s="66"/>
      <c r="KTM22" s="66"/>
      <c r="KTN22" s="66"/>
      <c r="KTO22" s="66"/>
      <c r="KTP22" s="66"/>
      <c r="KTQ22" s="66"/>
      <c r="KTR22" s="66"/>
      <c r="KTS22" s="66"/>
      <c r="KTT22" s="66"/>
      <c r="KTU22" s="66"/>
      <c r="KTV22" s="66"/>
      <c r="KTW22" s="66"/>
      <c r="KTX22" s="66"/>
      <c r="KTY22" s="66"/>
      <c r="KTZ22" s="66"/>
      <c r="KUA22" s="66"/>
      <c r="KUB22" s="66"/>
      <c r="KUC22" s="66"/>
      <c r="KUD22" s="66"/>
      <c r="KUE22" s="66"/>
      <c r="KUF22" s="66"/>
      <c r="KUG22" s="66"/>
      <c r="KUH22" s="66"/>
      <c r="KUI22" s="66"/>
      <c r="KUJ22" s="66"/>
      <c r="KUK22" s="66"/>
      <c r="KUL22" s="66"/>
      <c r="KUM22" s="66"/>
      <c r="KUN22" s="66"/>
      <c r="KUO22" s="66"/>
      <c r="KUP22" s="66"/>
      <c r="KUQ22" s="66"/>
      <c r="KUR22" s="66"/>
      <c r="KUS22" s="66"/>
      <c r="KUT22" s="66"/>
      <c r="KUU22" s="66"/>
      <c r="KUV22" s="66"/>
      <c r="KUW22" s="66"/>
      <c r="KUX22" s="66"/>
      <c r="KUY22" s="66"/>
      <c r="KUZ22" s="66"/>
      <c r="KVA22" s="66"/>
      <c r="KVB22" s="66"/>
      <c r="KVC22" s="66"/>
      <c r="KVD22" s="66"/>
      <c r="KVE22" s="66"/>
      <c r="KVF22" s="66"/>
      <c r="KVG22" s="66"/>
      <c r="KVH22" s="66"/>
      <c r="KVI22" s="66"/>
      <c r="KVJ22" s="66"/>
      <c r="KVK22" s="66"/>
      <c r="KVL22" s="66"/>
      <c r="KVM22" s="66"/>
      <c r="KVN22" s="66"/>
      <c r="KVO22" s="66"/>
      <c r="KVP22" s="66"/>
      <c r="KVQ22" s="66"/>
      <c r="KVR22" s="66"/>
      <c r="KVS22" s="66"/>
      <c r="KVT22" s="66"/>
      <c r="KVU22" s="66"/>
      <c r="KVV22" s="66"/>
      <c r="KVW22" s="66"/>
      <c r="KVX22" s="66"/>
      <c r="KVY22" s="66"/>
      <c r="KVZ22" s="66"/>
      <c r="KWA22" s="66"/>
      <c r="KWB22" s="66"/>
      <c r="KWC22" s="66"/>
      <c r="KWD22" s="66"/>
      <c r="KWE22" s="66"/>
      <c r="KWF22" s="66"/>
      <c r="KWG22" s="66"/>
      <c r="KWH22" s="66"/>
      <c r="KWI22" s="66"/>
      <c r="KWJ22" s="66"/>
      <c r="KWK22" s="66"/>
      <c r="KWL22" s="66"/>
      <c r="KWM22" s="66"/>
      <c r="KWN22" s="66"/>
      <c r="KWO22" s="66"/>
      <c r="KWP22" s="66"/>
      <c r="KWQ22" s="66"/>
      <c r="KWR22" s="66"/>
      <c r="KWS22" s="66"/>
      <c r="KWT22" s="66"/>
      <c r="KWU22" s="66"/>
      <c r="KWV22" s="66"/>
      <c r="KWW22" s="66"/>
      <c r="KWX22" s="66"/>
      <c r="KWY22" s="66"/>
      <c r="KWZ22" s="66"/>
      <c r="KXA22" s="66"/>
      <c r="KXB22" s="66"/>
      <c r="KXC22" s="66"/>
      <c r="KXD22" s="66"/>
      <c r="KXE22" s="66"/>
      <c r="KXF22" s="66"/>
      <c r="KXG22" s="66"/>
      <c r="KXH22" s="66"/>
      <c r="KXI22" s="66"/>
      <c r="KXJ22" s="66"/>
      <c r="KXK22" s="66"/>
      <c r="KXL22" s="66"/>
      <c r="KXM22" s="66"/>
      <c r="KXN22" s="66"/>
      <c r="KXO22" s="66"/>
      <c r="KXP22" s="66"/>
      <c r="KXQ22" s="66"/>
      <c r="KXR22" s="66"/>
      <c r="KXS22" s="66"/>
      <c r="KXT22" s="66"/>
      <c r="KXU22" s="66"/>
      <c r="KXV22" s="66"/>
      <c r="KXW22" s="66"/>
      <c r="KXX22" s="66"/>
      <c r="KXY22" s="66"/>
      <c r="KXZ22" s="66"/>
      <c r="KYA22" s="66"/>
      <c r="KYB22" s="66"/>
      <c r="KYC22" s="66"/>
      <c r="KYD22" s="66"/>
      <c r="KYE22" s="66"/>
      <c r="KYF22" s="66"/>
      <c r="KYG22" s="66"/>
      <c r="KYH22" s="66"/>
      <c r="KYI22" s="66"/>
      <c r="KYJ22" s="66"/>
      <c r="KYK22" s="66"/>
      <c r="KYL22" s="66"/>
      <c r="KYM22" s="66"/>
      <c r="KYN22" s="66"/>
      <c r="KYO22" s="66"/>
      <c r="KYP22" s="66"/>
      <c r="KYQ22" s="66"/>
      <c r="KYR22" s="66"/>
      <c r="KYS22" s="66"/>
      <c r="KYT22" s="66"/>
      <c r="KYU22" s="66"/>
      <c r="KYV22" s="66"/>
      <c r="KYW22" s="66"/>
      <c r="KYX22" s="66"/>
      <c r="KYY22" s="66"/>
      <c r="KYZ22" s="66"/>
      <c r="KZA22" s="66"/>
      <c r="KZB22" s="66"/>
      <c r="KZC22" s="66"/>
      <c r="KZD22" s="66"/>
      <c r="KZE22" s="66"/>
      <c r="KZF22" s="66"/>
      <c r="KZG22" s="66"/>
      <c r="KZH22" s="66"/>
      <c r="KZI22" s="66"/>
      <c r="KZJ22" s="66"/>
      <c r="KZK22" s="66"/>
      <c r="KZL22" s="66"/>
      <c r="KZM22" s="66"/>
      <c r="KZN22" s="66"/>
      <c r="KZO22" s="66"/>
      <c r="KZP22" s="66"/>
      <c r="KZQ22" s="66"/>
      <c r="KZR22" s="66"/>
      <c r="KZS22" s="66"/>
      <c r="KZT22" s="66"/>
      <c r="KZU22" s="66"/>
      <c r="KZV22" s="66"/>
      <c r="KZW22" s="66"/>
      <c r="KZX22" s="66"/>
      <c r="KZY22" s="66"/>
      <c r="KZZ22" s="66"/>
      <c r="LAA22" s="66"/>
      <c r="LAB22" s="66"/>
      <c r="LAC22" s="66"/>
      <c r="LAD22" s="66"/>
      <c r="LAE22" s="66"/>
      <c r="LAF22" s="66"/>
      <c r="LAG22" s="66"/>
      <c r="LAH22" s="66"/>
      <c r="LAI22" s="66"/>
      <c r="LAJ22" s="66"/>
      <c r="LAK22" s="66"/>
      <c r="LAL22" s="66"/>
      <c r="LAM22" s="66"/>
      <c r="LAN22" s="66"/>
      <c r="LAO22" s="66"/>
      <c r="LAP22" s="66"/>
      <c r="LAQ22" s="66"/>
      <c r="LAR22" s="66"/>
      <c r="LAS22" s="66"/>
      <c r="LAT22" s="66"/>
      <c r="LAU22" s="66"/>
      <c r="LAV22" s="66"/>
      <c r="LAW22" s="66"/>
      <c r="LAX22" s="66"/>
      <c r="LAY22" s="66"/>
      <c r="LAZ22" s="66"/>
      <c r="LBA22" s="66"/>
      <c r="LBB22" s="66"/>
      <c r="LBC22" s="66"/>
      <c r="LBD22" s="66"/>
      <c r="LBE22" s="66"/>
      <c r="LBF22" s="66"/>
      <c r="LBG22" s="66"/>
      <c r="LBH22" s="66"/>
      <c r="LBI22" s="66"/>
      <c r="LBJ22" s="66"/>
      <c r="LBK22" s="66"/>
      <c r="LBL22" s="66"/>
      <c r="LBM22" s="66"/>
      <c r="LBN22" s="66"/>
      <c r="LBO22" s="66"/>
      <c r="LBP22" s="66"/>
      <c r="LBQ22" s="66"/>
      <c r="LBR22" s="66"/>
      <c r="LBS22" s="66"/>
      <c r="LBT22" s="66"/>
      <c r="LBU22" s="66"/>
      <c r="LBV22" s="66"/>
      <c r="LBW22" s="66"/>
      <c r="LBX22" s="66"/>
      <c r="LBY22" s="66"/>
      <c r="LBZ22" s="66"/>
      <c r="LCA22" s="66"/>
      <c r="LCB22" s="66"/>
      <c r="LCC22" s="66"/>
      <c r="LCD22" s="66"/>
      <c r="LCE22" s="66"/>
      <c r="LCF22" s="66"/>
      <c r="LCG22" s="66"/>
      <c r="LCH22" s="66"/>
      <c r="LCI22" s="66"/>
      <c r="LCJ22" s="66"/>
      <c r="LCK22" s="66"/>
      <c r="LCL22" s="66"/>
      <c r="LCM22" s="66"/>
      <c r="LCN22" s="66"/>
      <c r="LCO22" s="66"/>
      <c r="LCP22" s="66"/>
      <c r="LCQ22" s="66"/>
      <c r="LCR22" s="66"/>
      <c r="LCS22" s="66"/>
      <c r="LCT22" s="66"/>
      <c r="LCU22" s="66"/>
      <c r="LCV22" s="66"/>
      <c r="LCW22" s="66"/>
      <c r="LCX22" s="66"/>
      <c r="LCY22" s="66"/>
      <c r="LCZ22" s="66"/>
      <c r="LDA22" s="66"/>
      <c r="LDB22" s="66"/>
      <c r="LDC22" s="66"/>
      <c r="LDD22" s="66"/>
      <c r="LDE22" s="66"/>
      <c r="LDF22" s="66"/>
      <c r="LDG22" s="66"/>
      <c r="LDH22" s="66"/>
      <c r="LDI22" s="66"/>
      <c r="LDJ22" s="66"/>
      <c r="LDK22" s="66"/>
      <c r="LDL22" s="66"/>
      <c r="LDM22" s="66"/>
      <c r="LDN22" s="66"/>
      <c r="LDO22" s="66"/>
      <c r="LDP22" s="66"/>
      <c r="LDQ22" s="66"/>
      <c r="LDR22" s="66"/>
      <c r="LDS22" s="66"/>
      <c r="LDT22" s="66"/>
      <c r="LDU22" s="66"/>
      <c r="LDV22" s="66"/>
      <c r="LDW22" s="66"/>
      <c r="LDX22" s="66"/>
      <c r="LDY22" s="66"/>
      <c r="LDZ22" s="66"/>
      <c r="LEA22" s="66"/>
      <c r="LEB22" s="66"/>
      <c r="LEC22" s="66"/>
      <c r="LED22" s="66"/>
      <c r="LEE22" s="66"/>
      <c r="LEF22" s="66"/>
      <c r="LEG22" s="66"/>
      <c r="LEH22" s="66"/>
      <c r="LEI22" s="66"/>
      <c r="LEJ22" s="66"/>
      <c r="LEK22" s="66"/>
      <c r="LEL22" s="66"/>
      <c r="LEM22" s="66"/>
      <c r="LEN22" s="66"/>
      <c r="LEO22" s="66"/>
      <c r="LEP22" s="66"/>
      <c r="LEQ22" s="66"/>
      <c r="LER22" s="66"/>
      <c r="LES22" s="66"/>
      <c r="LET22" s="66"/>
      <c r="LEU22" s="66"/>
      <c r="LEV22" s="66"/>
      <c r="LEW22" s="66"/>
      <c r="LEX22" s="66"/>
      <c r="LEY22" s="66"/>
      <c r="LEZ22" s="66"/>
      <c r="LFA22" s="66"/>
      <c r="LFB22" s="66"/>
      <c r="LFC22" s="66"/>
      <c r="LFD22" s="66"/>
      <c r="LFE22" s="66"/>
      <c r="LFF22" s="66"/>
      <c r="LFG22" s="66"/>
      <c r="LFH22" s="66"/>
      <c r="LFI22" s="66"/>
      <c r="LFJ22" s="66"/>
      <c r="LFK22" s="66"/>
      <c r="LFL22" s="66"/>
      <c r="LFM22" s="66"/>
      <c r="LFN22" s="66"/>
      <c r="LFO22" s="66"/>
      <c r="LFP22" s="66"/>
      <c r="LFQ22" s="66"/>
      <c r="LFR22" s="66"/>
      <c r="LFS22" s="66"/>
      <c r="LFT22" s="66"/>
      <c r="LFU22" s="66"/>
      <c r="LFV22" s="66"/>
      <c r="LFW22" s="66"/>
      <c r="LFX22" s="66"/>
      <c r="LFY22" s="66"/>
      <c r="LFZ22" s="66"/>
      <c r="LGA22" s="66"/>
      <c r="LGB22" s="66"/>
      <c r="LGC22" s="66"/>
      <c r="LGD22" s="66"/>
      <c r="LGE22" s="66"/>
      <c r="LGF22" s="66"/>
      <c r="LGG22" s="66"/>
      <c r="LGH22" s="66"/>
      <c r="LGI22" s="66"/>
      <c r="LGJ22" s="66"/>
      <c r="LGK22" s="66"/>
      <c r="LGL22" s="66"/>
      <c r="LGM22" s="66"/>
      <c r="LGN22" s="66"/>
      <c r="LGO22" s="66"/>
      <c r="LGP22" s="66"/>
      <c r="LGQ22" s="66"/>
      <c r="LGR22" s="66"/>
      <c r="LGS22" s="66"/>
      <c r="LGT22" s="66"/>
      <c r="LGU22" s="66"/>
      <c r="LGV22" s="66"/>
      <c r="LGW22" s="66"/>
      <c r="LGX22" s="66"/>
      <c r="LGY22" s="66"/>
      <c r="LGZ22" s="66"/>
      <c r="LHA22" s="66"/>
      <c r="LHB22" s="66"/>
      <c r="LHC22" s="66"/>
      <c r="LHD22" s="66"/>
      <c r="LHE22" s="66"/>
      <c r="LHF22" s="66"/>
      <c r="LHG22" s="66"/>
      <c r="LHH22" s="66"/>
      <c r="LHI22" s="66"/>
      <c r="LHJ22" s="66"/>
      <c r="LHK22" s="66"/>
      <c r="LHL22" s="66"/>
      <c r="LHM22" s="66"/>
      <c r="LHN22" s="66"/>
      <c r="LHO22" s="66"/>
      <c r="LHP22" s="66"/>
      <c r="LHQ22" s="66"/>
      <c r="LHR22" s="66"/>
      <c r="LHS22" s="66"/>
      <c r="LHT22" s="66"/>
      <c r="LHU22" s="66"/>
      <c r="LHV22" s="66"/>
      <c r="LHW22" s="66"/>
      <c r="LHX22" s="66"/>
      <c r="LHY22" s="66"/>
      <c r="LHZ22" s="66"/>
      <c r="LIA22" s="66"/>
      <c r="LIB22" s="66"/>
      <c r="LIC22" s="66"/>
      <c r="LID22" s="66"/>
      <c r="LIE22" s="66"/>
      <c r="LIF22" s="66"/>
      <c r="LIG22" s="66"/>
      <c r="LIH22" s="66"/>
      <c r="LII22" s="66"/>
      <c r="LIJ22" s="66"/>
      <c r="LIK22" s="66"/>
      <c r="LIL22" s="66"/>
      <c r="LIM22" s="66"/>
      <c r="LIN22" s="66"/>
      <c r="LIO22" s="66"/>
      <c r="LIP22" s="66"/>
      <c r="LIQ22" s="66"/>
      <c r="LIR22" s="66"/>
      <c r="LIS22" s="66"/>
      <c r="LIT22" s="66"/>
      <c r="LIU22" s="66"/>
      <c r="LIV22" s="66"/>
      <c r="LIW22" s="66"/>
      <c r="LIX22" s="66"/>
      <c r="LIY22" s="66"/>
      <c r="LIZ22" s="66"/>
      <c r="LJA22" s="66"/>
      <c r="LJB22" s="66"/>
      <c r="LJC22" s="66"/>
      <c r="LJD22" s="66"/>
      <c r="LJE22" s="66"/>
      <c r="LJF22" s="66"/>
      <c r="LJG22" s="66"/>
      <c r="LJH22" s="66"/>
      <c r="LJI22" s="66"/>
      <c r="LJJ22" s="66"/>
      <c r="LJK22" s="66"/>
      <c r="LJL22" s="66"/>
      <c r="LJM22" s="66"/>
      <c r="LJN22" s="66"/>
      <c r="LJO22" s="66"/>
      <c r="LJP22" s="66"/>
      <c r="LJQ22" s="66"/>
      <c r="LJR22" s="66"/>
      <c r="LJS22" s="66"/>
      <c r="LJT22" s="66"/>
      <c r="LJU22" s="66"/>
      <c r="LJV22" s="66"/>
      <c r="LJW22" s="66"/>
      <c r="LJX22" s="66"/>
      <c r="LJY22" s="66"/>
      <c r="LJZ22" s="66"/>
      <c r="LKA22" s="66"/>
      <c r="LKB22" s="66"/>
      <c r="LKC22" s="66"/>
      <c r="LKD22" s="66"/>
      <c r="LKE22" s="66"/>
      <c r="LKF22" s="66"/>
      <c r="LKG22" s="66"/>
      <c r="LKH22" s="66"/>
      <c r="LKI22" s="66"/>
      <c r="LKJ22" s="66"/>
      <c r="LKK22" s="66"/>
      <c r="LKL22" s="66"/>
      <c r="LKM22" s="66"/>
      <c r="LKN22" s="66"/>
      <c r="LKO22" s="66"/>
      <c r="LKP22" s="66"/>
      <c r="LKQ22" s="66"/>
      <c r="LKR22" s="66"/>
      <c r="LKS22" s="66"/>
      <c r="LKT22" s="66"/>
      <c r="LKU22" s="66"/>
      <c r="LKV22" s="66"/>
      <c r="LKW22" s="66"/>
      <c r="LKX22" s="66"/>
      <c r="LKY22" s="66"/>
      <c r="LKZ22" s="66"/>
      <c r="LLA22" s="66"/>
      <c r="LLB22" s="66"/>
      <c r="LLC22" s="66"/>
      <c r="LLD22" s="66"/>
      <c r="LLE22" s="66"/>
      <c r="LLF22" s="66"/>
      <c r="LLG22" s="66"/>
      <c r="LLH22" s="66"/>
      <c r="LLI22" s="66"/>
      <c r="LLJ22" s="66"/>
      <c r="LLK22" s="66"/>
      <c r="LLL22" s="66"/>
      <c r="LLM22" s="66"/>
      <c r="LLN22" s="66"/>
      <c r="LLO22" s="66"/>
      <c r="LLP22" s="66"/>
      <c r="LLQ22" s="66"/>
      <c r="LLR22" s="66"/>
      <c r="LLS22" s="66"/>
      <c r="LLT22" s="66"/>
      <c r="LLU22" s="66"/>
      <c r="LLV22" s="66"/>
      <c r="LLW22" s="66"/>
      <c r="LLX22" s="66"/>
      <c r="LLY22" s="66"/>
      <c r="LLZ22" s="66"/>
      <c r="LMA22" s="66"/>
      <c r="LMB22" s="66"/>
      <c r="LMC22" s="66"/>
      <c r="LMD22" s="66"/>
      <c r="LME22" s="66"/>
      <c r="LMF22" s="66"/>
      <c r="LMG22" s="66"/>
      <c r="LMH22" s="66"/>
      <c r="LMI22" s="66"/>
      <c r="LMJ22" s="66"/>
      <c r="LMK22" s="66"/>
      <c r="LML22" s="66"/>
      <c r="LMM22" s="66"/>
      <c r="LMN22" s="66"/>
      <c r="LMO22" s="66"/>
      <c r="LMP22" s="66"/>
      <c r="LMQ22" s="66"/>
      <c r="LMR22" s="66"/>
      <c r="LMS22" s="66"/>
      <c r="LMT22" s="66"/>
      <c r="LMU22" s="66"/>
      <c r="LMV22" s="66"/>
      <c r="LMW22" s="66"/>
      <c r="LMX22" s="66"/>
      <c r="LMY22" s="66"/>
      <c r="LMZ22" s="66"/>
      <c r="LNA22" s="66"/>
      <c r="LNB22" s="66"/>
      <c r="LNC22" s="66"/>
      <c r="LND22" s="66"/>
      <c r="LNE22" s="66"/>
      <c r="LNF22" s="66"/>
      <c r="LNG22" s="66"/>
      <c r="LNH22" s="66"/>
      <c r="LNI22" s="66"/>
      <c r="LNJ22" s="66"/>
      <c r="LNK22" s="66"/>
      <c r="LNL22" s="66"/>
      <c r="LNM22" s="66"/>
      <c r="LNN22" s="66"/>
      <c r="LNO22" s="66"/>
      <c r="LNP22" s="66"/>
      <c r="LNQ22" s="66"/>
      <c r="LNR22" s="66"/>
      <c r="LNS22" s="66"/>
      <c r="LNT22" s="66"/>
      <c r="LNU22" s="66"/>
      <c r="LNV22" s="66"/>
      <c r="LNW22" s="66"/>
      <c r="LNX22" s="66"/>
      <c r="LNY22" s="66"/>
      <c r="LNZ22" s="66"/>
      <c r="LOA22" s="66"/>
      <c r="LOB22" s="66"/>
      <c r="LOC22" s="66"/>
      <c r="LOD22" s="66"/>
      <c r="LOE22" s="66"/>
      <c r="LOF22" s="66"/>
      <c r="LOG22" s="66"/>
      <c r="LOH22" s="66"/>
      <c r="LOI22" s="66"/>
      <c r="LOJ22" s="66"/>
      <c r="LOK22" s="66"/>
      <c r="LOL22" s="66"/>
      <c r="LOM22" s="66"/>
      <c r="LON22" s="66"/>
      <c r="LOO22" s="66"/>
      <c r="LOP22" s="66"/>
      <c r="LOQ22" s="66"/>
      <c r="LOR22" s="66"/>
      <c r="LOS22" s="66"/>
      <c r="LOT22" s="66"/>
      <c r="LOU22" s="66"/>
      <c r="LOV22" s="66"/>
      <c r="LOW22" s="66"/>
      <c r="LOX22" s="66"/>
      <c r="LOY22" s="66"/>
      <c r="LOZ22" s="66"/>
      <c r="LPA22" s="66"/>
      <c r="LPB22" s="66"/>
      <c r="LPC22" s="66"/>
      <c r="LPD22" s="66"/>
      <c r="LPE22" s="66"/>
      <c r="LPF22" s="66"/>
      <c r="LPG22" s="66"/>
      <c r="LPH22" s="66"/>
      <c r="LPI22" s="66"/>
      <c r="LPJ22" s="66"/>
      <c r="LPK22" s="66"/>
      <c r="LPL22" s="66"/>
      <c r="LPM22" s="66"/>
      <c r="LPN22" s="66"/>
      <c r="LPO22" s="66"/>
      <c r="LPP22" s="66"/>
      <c r="LPQ22" s="66"/>
      <c r="LPR22" s="66"/>
      <c r="LPS22" s="66"/>
      <c r="LPT22" s="66"/>
      <c r="LPU22" s="66"/>
      <c r="LPV22" s="66"/>
      <c r="LPW22" s="66"/>
      <c r="LPX22" s="66"/>
      <c r="LPY22" s="66"/>
      <c r="LPZ22" s="66"/>
      <c r="LQA22" s="66"/>
      <c r="LQB22" s="66"/>
      <c r="LQC22" s="66"/>
      <c r="LQD22" s="66"/>
      <c r="LQE22" s="66"/>
      <c r="LQF22" s="66"/>
      <c r="LQG22" s="66"/>
      <c r="LQH22" s="66"/>
      <c r="LQI22" s="66"/>
      <c r="LQJ22" s="66"/>
      <c r="LQK22" s="66"/>
      <c r="LQL22" s="66"/>
      <c r="LQM22" s="66"/>
      <c r="LQN22" s="66"/>
      <c r="LQO22" s="66"/>
      <c r="LQP22" s="66"/>
      <c r="LQQ22" s="66"/>
      <c r="LQR22" s="66"/>
      <c r="LQS22" s="66"/>
      <c r="LQT22" s="66"/>
      <c r="LQU22" s="66"/>
      <c r="LQV22" s="66"/>
      <c r="LQW22" s="66"/>
      <c r="LQX22" s="66"/>
      <c r="LQY22" s="66"/>
      <c r="LQZ22" s="66"/>
      <c r="LRA22" s="66"/>
      <c r="LRB22" s="66"/>
      <c r="LRC22" s="66"/>
      <c r="LRD22" s="66"/>
      <c r="LRE22" s="66"/>
      <c r="LRF22" s="66"/>
      <c r="LRG22" s="66"/>
      <c r="LRH22" s="66"/>
      <c r="LRI22" s="66"/>
      <c r="LRJ22" s="66"/>
      <c r="LRK22" s="66"/>
      <c r="LRL22" s="66"/>
      <c r="LRM22" s="66"/>
      <c r="LRN22" s="66"/>
      <c r="LRO22" s="66"/>
      <c r="LRP22" s="66"/>
      <c r="LRQ22" s="66"/>
      <c r="LRR22" s="66"/>
      <c r="LRS22" s="66"/>
      <c r="LRT22" s="66"/>
      <c r="LRU22" s="66"/>
      <c r="LRV22" s="66"/>
      <c r="LRW22" s="66"/>
      <c r="LRX22" s="66"/>
      <c r="LRY22" s="66"/>
      <c r="LRZ22" s="66"/>
      <c r="LSA22" s="66"/>
      <c r="LSB22" s="66"/>
      <c r="LSC22" s="66"/>
      <c r="LSD22" s="66"/>
      <c r="LSE22" s="66"/>
      <c r="LSF22" s="66"/>
      <c r="LSG22" s="66"/>
      <c r="LSH22" s="66"/>
      <c r="LSI22" s="66"/>
      <c r="LSJ22" s="66"/>
      <c r="LSK22" s="66"/>
      <c r="LSL22" s="66"/>
      <c r="LSM22" s="66"/>
      <c r="LSN22" s="66"/>
      <c r="LSO22" s="66"/>
      <c r="LSP22" s="66"/>
      <c r="LSQ22" s="66"/>
      <c r="LSR22" s="66"/>
      <c r="LSS22" s="66"/>
      <c r="LST22" s="66"/>
      <c r="LSU22" s="66"/>
      <c r="LSV22" s="66"/>
      <c r="LSW22" s="66"/>
      <c r="LSX22" s="66"/>
      <c r="LSY22" s="66"/>
      <c r="LSZ22" s="66"/>
      <c r="LTA22" s="66"/>
      <c r="LTB22" s="66"/>
      <c r="LTC22" s="66"/>
      <c r="LTD22" s="66"/>
      <c r="LTE22" s="66"/>
      <c r="LTF22" s="66"/>
      <c r="LTG22" s="66"/>
      <c r="LTH22" s="66"/>
      <c r="LTI22" s="66"/>
      <c r="LTJ22" s="66"/>
      <c r="LTK22" s="66"/>
      <c r="LTL22" s="66"/>
      <c r="LTM22" s="66"/>
      <c r="LTN22" s="66"/>
      <c r="LTO22" s="66"/>
      <c r="LTP22" s="66"/>
      <c r="LTQ22" s="66"/>
      <c r="LTR22" s="66"/>
      <c r="LTS22" s="66"/>
      <c r="LTT22" s="66"/>
      <c r="LTU22" s="66"/>
      <c r="LTV22" s="66"/>
      <c r="LTW22" s="66"/>
      <c r="LTX22" s="66"/>
      <c r="LTY22" s="66"/>
      <c r="LTZ22" s="66"/>
      <c r="LUA22" s="66"/>
      <c r="LUB22" s="66"/>
      <c r="LUC22" s="66"/>
      <c r="LUD22" s="66"/>
      <c r="LUE22" s="66"/>
      <c r="LUF22" s="66"/>
      <c r="LUG22" s="66"/>
      <c r="LUH22" s="66"/>
      <c r="LUI22" s="66"/>
      <c r="LUJ22" s="66"/>
      <c r="LUK22" s="66"/>
      <c r="LUL22" s="66"/>
      <c r="LUM22" s="66"/>
      <c r="LUN22" s="66"/>
      <c r="LUO22" s="66"/>
      <c r="LUP22" s="66"/>
      <c r="LUQ22" s="66"/>
      <c r="LUR22" s="66"/>
      <c r="LUS22" s="66"/>
      <c r="LUT22" s="66"/>
      <c r="LUU22" s="66"/>
      <c r="LUV22" s="66"/>
      <c r="LUW22" s="66"/>
      <c r="LUX22" s="66"/>
      <c r="LUY22" s="66"/>
      <c r="LUZ22" s="66"/>
      <c r="LVA22" s="66"/>
      <c r="LVB22" s="66"/>
      <c r="LVC22" s="66"/>
      <c r="LVD22" s="66"/>
      <c r="LVE22" s="66"/>
      <c r="LVF22" s="66"/>
      <c r="LVG22" s="66"/>
      <c r="LVH22" s="66"/>
      <c r="LVI22" s="66"/>
      <c r="LVJ22" s="66"/>
      <c r="LVK22" s="66"/>
      <c r="LVL22" s="66"/>
      <c r="LVM22" s="66"/>
      <c r="LVN22" s="66"/>
      <c r="LVO22" s="66"/>
      <c r="LVP22" s="66"/>
      <c r="LVQ22" s="66"/>
      <c r="LVR22" s="66"/>
      <c r="LVS22" s="66"/>
      <c r="LVT22" s="66"/>
      <c r="LVU22" s="66"/>
      <c r="LVV22" s="66"/>
      <c r="LVW22" s="66"/>
      <c r="LVX22" s="66"/>
      <c r="LVY22" s="66"/>
      <c r="LVZ22" s="66"/>
      <c r="LWA22" s="66"/>
      <c r="LWB22" s="66"/>
      <c r="LWC22" s="66"/>
      <c r="LWD22" s="66"/>
      <c r="LWE22" s="66"/>
      <c r="LWF22" s="66"/>
      <c r="LWG22" s="66"/>
      <c r="LWH22" s="66"/>
      <c r="LWI22" s="66"/>
      <c r="LWJ22" s="66"/>
      <c r="LWK22" s="66"/>
      <c r="LWL22" s="66"/>
      <c r="LWM22" s="66"/>
      <c r="LWN22" s="66"/>
      <c r="LWO22" s="66"/>
      <c r="LWP22" s="66"/>
      <c r="LWQ22" s="66"/>
      <c r="LWR22" s="66"/>
      <c r="LWS22" s="66"/>
      <c r="LWT22" s="66"/>
      <c r="LWU22" s="66"/>
      <c r="LWV22" s="66"/>
      <c r="LWW22" s="66"/>
      <c r="LWX22" s="66"/>
      <c r="LWY22" s="66"/>
      <c r="LWZ22" s="66"/>
      <c r="LXA22" s="66"/>
      <c r="LXB22" s="66"/>
      <c r="LXC22" s="66"/>
      <c r="LXD22" s="66"/>
      <c r="LXE22" s="66"/>
      <c r="LXF22" s="66"/>
      <c r="LXG22" s="66"/>
      <c r="LXH22" s="66"/>
      <c r="LXI22" s="66"/>
      <c r="LXJ22" s="66"/>
      <c r="LXK22" s="66"/>
      <c r="LXL22" s="66"/>
      <c r="LXM22" s="66"/>
      <c r="LXN22" s="66"/>
      <c r="LXO22" s="66"/>
      <c r="LXP22" s="66"/>
      <c r="LXQ22" s="66"/>
      <c r="LXR22" s="66"/>
      <c r="LXS22" s="66"/>
      <c r="LXT22" s="66"/>
      <c r="LXU22" s="66"/>
      <c r="LXV22" s="66"/>
      <c r="LXW22" s="66"/>
      <c r="LXX22" s="66"/>
      <c r="LXY22" s="66"/>
      <c r="LXZ22" s="66"/>
      <c r="LYA22" s="66"/>
      <c r="LYB22" s="66"/>
      <c r="LYC22" s="66"/>
      <c r="LYD22" s="66"/>
      <c r="LYE22" s="66"/>
      <c r="LYF22" s="66"/>
      <c r="LYG22" s="66"/>
      <c r="LYH22" s="66"/>
      <c r="LYI22" s="66"/>
      <c r="LYJ22" s="66"/>
      <c r="LYK22" s="66"/>
      <c r="LYL22" s="66"/>
      <c r="LYM22" s="66"/>
      <c r="LYN22" s="66"/>
      <c r="LYO22" s="66"/>
      <c r="LYP22" s="66"/>
      <c r="LYQ22" s="66"/>
      <c r="LYR22" s="66"/>
      <c r="LYS22" s="66"/>
      <c r="LYT22" s="66"/>
      <c r="LYU22" s="66"/>
      <c r="LYV22" s="66"/>
      <c r="LYW22" s="66"/>
      <c r="LYX22" s="66"/>
      <c r="LYY22" s="66"/>
      <c r="LYZ22" s="66"/>
      <c r="LZA22" s="66"/>
      <c r="LZB22" s="66"/>
      <c r="LZC22" s="66"/>
      <c r="LZD22" s="66"/>
      <c r="LZE22" s="66"/>
      <c r="LZF22" s="66"/>
      <c r="LZG22" s="66"/>
      <c r="LZH22" s="66"/>
      <c r="LZI22" s="66"/>
      <c r="LZJ22" s="66"/>
      <c r="LZK22" s="66"/>
      <c r="LZL22" s="66"/>
      <c r="LZM22" s="66"/>
      <c r="LZN22" s="66"/>
      <c r="LZO22" s="66"/>
      <c r="LZP22" s="66"/>
      <c r="LZQ22" s="66"/>
      <c r="LZR22" s="66"/>
      <c r="LZS22" s="66"/>
      <c r="LZT22" s="66"/>
      <c r="LZU22" s="66"/>
      <c r="LZV22" s="66"/>
      <c r="LZW22" s="66"/>
      <c r="LZX22" s="66"/>
      <c r="LZY22" s="66"/>
      <c r="LZZ22" s="66"/>
      <c r="MAA22" s="66"/>
      <c r="MAB22" s="66"/>
      <c r="MAC22" s="66"/>
      <c r="MAD22" s="66"/>
      <c r="MAE22" s="66"/>
      <c r="MAF22" s="66"/>
      <c r="MAG22" s="66"/>
      <c r="MAH22" s="66"/>
      <c r="MAI22" s="66"/>
      <c r="MAJ22" s="66"/>
      <c r="MAK22" s="66"/>
      <c r="MAL22" s="66"/>
      <c r="MAM22" s="66"/>
      <c r="MAN22" s="66"/>
      <c r="MAO22" s="66"/>
      <c r="MAP22" s="66"/>
      <c r="MAQ22" s="66"/>
      <c r="MAR22" s="66"/>
      <c r="MAS22" s="66"/>
      <c r="MAT22" s="66"/>
      <c r="MAU22" s="66"/>
      <c r="MAV22" s="66"/>
      <c r="MAW22" s="66"/>
      <c r="MAX22" s="66"/>
      <c r="MAY22" s="66"/>
      <c r="MAZ22" s="66"/>
      <c r="MBA22" s="66"/>
      <c r="MBB22" s="66"/>
      <c r="MBC22" s="66"/>
      <c r="MBD22" s="66"/>
      <c r="MBE22" s="66"/>
      <c r="MBF22" s="66"/>
      <c r="MBG22" s="66"/>
      <c r="MBH22" s="66"/>
      <c r="MBI22" s="66"/>
      <c r="MBJ22" s="66"/>
      <c r="MBK22" s="66"/>
      <c r="MBL22" s="66"/>
      <c r="MBM22" s="66"/>
      <c r="MBN22" s="66"/>
      <c r="MBO22" s="66"/>
      <c r="MBP22" s="66"/>
      <c r="MBQ22" s="66"/>
      <c r="MBR22" s="66"/>
      <c r="MBS22" s="66"/>
      <c r="MBT22" s="66"/>
      <c r="MBU22" s="66"/>
      <c r="MBV22" s="66"/>
      <c r="MBW22" s="66"/>
      <c r="MBX22" s="66"/>
      <c r="MBY22" s="66"/>
      <c r="MBZ22" s="66"/>
      <c r="MCA22" s="66"/>
      <c r="MCB22" s="66"/>
      <c r="MCC22" s="66"/>
      <c r="MCD22" s="66"/>
      <c r="MCE22" s="66"/>
      <c r="MCF22" s="66"/>
      <c r="MCG22" s="66"/>
      <c r="MCH22" s="66"/>
      <c r="MCI22" s="66"/>
      <c r="MCJ22" s="66"/>
      <c r="MCK22" s="66"/>
      <c r="MCL22" s="66"/>
      <c r="MCM22" s="66"/>
      <c r="MCN22" s="66"/>
      <c r="MCO22" s="66"/>
      <c r="MCP22" s="66"/>
      <c r="MCQ22" s="66"/>
      <c r="MCR22" s="66"/>
      <c r="MCS22" s="66"/>
      <c r="MCT22" s="66"/>
      <c r="MCU22" s="66"/>
      <c r="MCV22" s="66"/>
      <c r="MCW22" s="66"/>
      <c r="MCX22" s="66"/>
      <c r="MCY22" s="66"/>
      <c r="MCZ22" s="66"/>
      <c r="MDA22" s="66"/>
      <c r="MDB22" s="66"/>
      <c r="MDC22" s="66"/>
      <c r="MDD22" s="66"/>
      <c r="MDE22" s="66"/>
      <c r="MDF22" s="66"/>
      <c r="MDG22" s="66"/>
      <c r="MDH22" s="66"/>
      <c r="MDI22" s="66"/>
      <c r="MDJ22" s="66"/>
      <c r="MDK22" s="66"/>
      <c r="MDL22" s="66"/>
      <c r="MDM22" s="66"/>
      <c r="MDN22" s="66"/>
      <c r="MDO22" s="66"/>
      <c r="MDP22" s="66"/>
      <c r="MDQ22" s="66"/>
      <c r="MDR22" s="66"/>
      <c r="MDS22" s="66"/>
      <c r="MDT22" s="66"/>
      <c r="MDU22" s="66"/>
      <c r="MDV22" s="66"/>
      <c r="MDW22" s="66"/>
      <c r="MDX22" s="66"/>
      <c r="MDY22" s="66"/>
      <c r="MDZ22" s="66"/>
      <c r="MEA22" s="66"/>
      <c r="MEB22" s="66"/>
      <c r="MEC22" s="66"/>
      <c r="MED22" s="66"/>
      <c r="MEE22" s="66"/>
      <c r="MEF22" s="66"/>
      <c r="MEG22" s="66"/>
      <c r="MEH22" s="66"/>
      <c r="MEI22" s="66"/>
      <c r="MEJ22" s="66"/>
      <c r="MEK22" s="66"/>
      <c r="MEL22" s="66"/>
      <c r="MEM22" s="66"/>
      <c r="MEN22" s="66"/>
      <c r="MEO22" s="66"/>
      <c r="MEP22" s="66"/>
      <c r="MEQ22" s="66"/>
      <c r="MER22" s="66"/>
      <c r="MES22" s="66"/>
      <c r="MET22" s="66"/>
      <c r="MEU22" s="66"/>
      <c r="MEV22" s="66"/>
      <c r="MEW22" s="66"/>
      <c r="MEX22" s="66"/>
      <c r="MEY22" s="66"/>
      <c r="MEZ22" s="66"/>
      <c r="MFA22" s="66"/>
      <c r="MFB22" s="66"/>
      <c r="MFC22" s="66"/>
      <c r="MFD22" s="66"/>
      <c r="MFE22" s="66"/>
      <c r="MFF22" s="66"/>
      <c r="MFG22" s="66"/>
      <c r="MFH22" s="66"/>
      <c r="MFI22" s="66"/>
      <c r="MFJ22" s="66"/>
      <c r="MFK22" s="66"/>
      <c r="MFL22" s="66"/>
      <c r="MFM22" s="66"/>
      <c r="MFN22" s="66"/>
      <c r="MFO22" s="66"/>
      <c r="MFP22" s="66"/>
      <c r="MFQ22" s="66"/>
      <c r="MFR22" s="66"/>
      <c r="MFS22" s="66"/>
      <c r="MFT22" s="66"/>
      <c r="MFU22" s="66"/>
      <c r="MFV22" s="66"/>
      <c r="MFW22" s="66"/>
      <c r="MFX22" s="66"/>
      <c r="MFY22" s="66"/>
      <c r="MFZ22" s="66"/>
      <c r="MGA22" s="66"/>
      <c r="MGB22" s="66"/>
      <c r="MGC22" s="66"/>
      <c r="MGD22" s="66"/>
      <c r="MGE22" s="66"/>
      <c r="MGF22" s="66"/>
      <c r="MGG22" s="66"/>
      <c r="MGH22" s="66"/>
      <c r="MGI22" s="66"/>
      <c r="MGJ22" s="66"/>
      <c r="MGK22" s="66"/>
      <c r="MGL22" s="66"/>
      <c r="MGM22" s="66"/>
      <c r="MGN22" s="66"/>
      <c r="MGO22" s="66"/>
      <c r="MGP22" s="66"/>
      <c r="MGQ22" s="66"/>
      <c r="MGR22" s="66"/>
      <c r="MGS22" s="66"/>
      <c r="MGT22" s="66"/>
      <c r="MGU22" s="66"/>
      <c r="MGV22" s="66"/>
      <c r="MGW22" s="66"/>
      <c r="MGX22" s="66"/>
      <c r="MGY22" s="66"/>
      <c r="MGZ22" s="66"/>
      <c r="MHA22" s="66"/>
      <c r="MHB22" s="66"/>
      <c r="MHC22" s="66"/>
      <c r="MHD22" s="66"/>
      <c r="MHE22" s="66"/>
      <c r="MHF22" s="66"/>
      <c r="MHG22" s="66"/>
      <c r="MHH22" s="66"/>
      <c r="MHI22" s="66"/>
      <c r="MHJ22" s="66"/>
      <c r="MHK22" s="66"/>
      <c r="MHL22" s="66"/>
      <c r="MHM22" s="66"/>
      <c r="MHN22" s="66"/>
      <c r="MHO22" s="66"/>
      <c r="MHP22" s="66"/>
      <c r="MHQ22" s="66"/>
      <c r="MHR22" s="66"/>
      <c r="MHS22" s="66"/>
      <c r="MHT22" s="66"/>
      <c r="MHU22" s="66"/>
      <c r="MHV22" s="66"/>
      <c r="MHW22" s="66"/>
      <c r="MHX22" s="66"/>
      <c r="MHY22" s="66"/>
      <c r="MHZ22" s="66"/>
      <c r="MIA22" s="66"/>
      <c r="MIB22" s="66"/>
      <c r="MIC22" s="66"/>
      <c r="MID22" s="66"/>
      <c r="MIE22" s="66"/>
      <c r="MIF22" s="66"/>
      <c r="MIG22" s="66"/>
      <c r="MIH22" s="66"/>
      <c r="MII22" s="66"/>
      <c r="MIJ22" s="66"/>
      <c r="MIK22" s="66"/>
      <c r="MIL22" s="66"/>
      <c r="MIM22" s="66"/>
      <c r="MIN22" s="66"/>
      <c r="MIO22" s="66"/>
      <c r="MIP22" s="66"/>
      <c r="MIQ22" s="66"/>
      <c r="MIR22" s="66"/>
      <c r="MIS22" s="66"/>
      <c r="MIT22" s="66"/>
      <c r="MIU22" s="66"/>
      <c r="MIV22" s="66"/>
      <c r="MIW22" s="66"/>
      <c r="MIX22" s="66"/>
      <c r="MIY22" s="66"/>
      <c r="MIZ22" s="66"/>
      <c r="MJA22" s="66"/>
      <c r="MJB22" s="66"/>
      <c r="MJC22" s="66"/>
      <c r="MJD22" s="66"/>
      <c r="MJE22" s="66"/>
      <c r="MJF22" s="66"/>
      <c r="MJG22" s="66"/>
      <c r="MJH22" s="66"/>
      <c r="MJI22" s="66"/>
      <c r="MJJ22" s="66"/>
      <c r="MJK22" s="66"/>
      <c r="MJL22" s="66"/>
      <c r="MJM22" s="66"/>
      <c r="MJN22" s="66"/>
      <c r="MJO22" s="66"/>
      <c r="MJP22" s="66"/>
      <c r="MJQ22" s="66"/>
      <c r="MJR22" s="66"/>
      <c r="MJS22" s="66"/>
      <c r="MJT22" s="66"/>
      <c r="MJU22" s="66"/>
      <c r="MJV22" s="66"/>
      <c r="MJW22" s="66"/>
      <c r="MJX22" s="66"/>
      <c r="MJY22" s="66"/>
      <c r="MJZ22" s="66"/>
      <c r="MKA22" s="66"/>
      <c r="MKB22" s="66"/>
      <c r="MKC22" s="66"/>
      <c r="MKD22" s="66"/>
      <c r="MKE22" s="66"/>
      <c r="MKF22" s="66"/>
      <c r="MKG22" s="66"/>
      <c r="MKH22" s="66"/>
      <c r="MKI22" s="66"/>
      <c r="MKJ22" s="66"/>
      <c r="MKK22" s="66"/>
      <c r="MKL22" s="66"/>
      <c r="MKM22" s="66"/>
      <c r="MKN22" s="66"/>
      <c r="MKO22" s="66"/>
      <c r="MKP22" s="66"/>
      <c r="MKQ22" s="66"/>
      <c r="MKR22" s="66"/>
      <c r="MKS22" s="66"/>
      <c r="MKT22" s="66"/>
      <c r="MKU22" s="66"/>
      <c r="MKV22" s="66"/>
      <c r="MKW22" s="66"/>
      <c r="MKX22" s="66"/>
      <c r="MKY22" s="66"/>
      <c r="MKZ22" s="66"/>
      <c r="MLA22" s="66"/>
      <c r="MLB22" s="66"/>
      <c r="MLC22" s="66"/>
      <c r="MLD22" s="66"/>
      <c r="MLE22" s="66"/>
      <c r="MLF22" s="66"/>
      <c r="MLG22" s="66"/>
      <c r="MLH22" s="66"/>
      <c r="MLI22" s="66"/>
      <c r="MLJ22" s="66"/>
      <c r="MLK22" s="66"/>
      <c r="MLL22" s="66"/>
      <c r="MLM22" s="66"/>
      <c r="MLN22" s="66"/>
      <c r="MLO22" s="66"/>
      <c r="MLP22" s="66"/>
      <c r="MLQ22" s="66"/>
      <c r="MLR22" s="66"/>
      <c r="MLS22" s="66"/>
      <c r="MLT22" s="66"/>
      <c r="MLU22" s="66"/>
      <c r="MLV22" s="66"/>
      <c r="MLW22" s="66"/>
      <c r="MLX22" s="66"/>
      <c r="MLY22" s="66"/>
      <c r="MLZ22" s="66"/>
      <c r="MMA22" s="66"/>
      <c r="MMB22" s="66"/>
      <c r="MMC22" s="66"/>
      <c r="MMD22" s="66"/>
      <c r="MME22" s="66"/>
      <c r="MMF22" s="66"/>
      <c r="MMG22" s="66"/>
      <c r="MMH22" s="66"/>
      <c r="MMI22" s="66"/>
      <c r="MMJ22" s="66"/>
      <c r="MMK22" s="66"/>
      <c r="MML22" s="66"/>
      <c r="MMM22" s="66"/>
      <c r="MMN22" s="66"/>
      <c r="MMO22" s="66"/>
      <c r="MMP22" s="66"/>
      <c r="MMQ22" s="66"/>
      <c r="MMR22" s="66"/>
      <c r="MMS22" s="66"/>
      <c r="MMT22" s="66"/>
      <c r="MMU22" s="66"/>
      <c r="MMV22" s="66"/>
      <c r="MMW22" s="66"/>
      <c r="MMX22" s="66"/>
      <c r="MMY22" s="66"/>
      <c r="MMZ22" s="66"/>
      <c r="MNA22" s="66"/>
      <c r="MNB22" s="66"/>
      <c r="MNC22" s="66"/>
      <c r="MND22" s="66"/>
      <c r="MNE22" s="66"/>
      <c r="MNF22" s="66"/>
      <c r="MNG22" s="66"/>
      <c r="MNH22" s="66"/>
      <c r="MNI22" s="66"/>
      <c r="MNJ22" s="66"/>
      <c r="MNK22" s="66"/>
      <c r="MNL22" s="66"/>
      <c r="MNM22" s="66"/>
      <c r="MNN22" s="66"/>
      <c r="MNO22" s="66"/>
      <c r="MNP22" s="66"/>
      <c r="MNQ22" s="66"/>
      <c r="MNR22" s="66"/>
      <c r="MNS22" s="66"/>
      <c r="MNT22" s="66"/>
      <c r="MNU22" s="66"/>
      <c r="MNV22" s="66"/>
      <c r="MNW22" s="66"/>
      <c r="MNX22" s="66"/>
      <c r="MNY22" s="66"/>
      <c r="MNZ22" s="66"/>
      <c r="MOA22" s="66"/>
      <c r="MOB22" s="66"/>
      <c r="MOC22" s="66"/>
      <c r="MOD22" s="66"/>
      <c r="MOE22" s="66"/>
      <c r="MOF22" s="66"/>
      <c r="MOG22" s="66"/>
      <c r="MOH22" s="66"/>
      <c r="MOI22" s="66"/>
      <c r="MOJ22" s="66"/>
      <c r="MOK22" s="66"/>
      <c r="MOL22" s="66"/>
      <c r="MOM22" s="66"/>
      <c r="MON22" s="66"/>
      <c r="MOO22" s="66"/>
      <c r="MOP22" s="66"/>
      <c r="MOQ22" s="66"/>
      <c r="MOR22" s="66"/>
      <c r="MOS22" s="66"/>
      <c r="MOT22" s="66"/>
      <c r="MOU22" s="66"/>
      <c r="MOV22" s="66"/>
      <c r="MOW22" s="66"/>
      <c r="MOX22" s="66"/>
      <c r="MOY22" s="66"/>
      <c r="MOZ22" s="66"/>
      <c r="MPA22" s="66"/>
      <c r="MPB22" s="66"/>
      <c r="MPC22" s="66"/>
      <c r="MPD22" s="66"/>
      <c r="MPE22" s="66"/>
      <c r="MPF22" s="66"/>
      <c r="MPG22" s="66"/>
      <c r="MPH22" s="66"/>
      <c r="MPI22" s="66"/>
      <c r="MPJ22" s="66"/>
      <c r="MPK22" s="66"/>
      <c r="MPL22" s="66"/>
      <c r="MPM22" s="66"/>
      <c r="MPN22" s="66"/>
      <c r="MPO22" s="66"/>
      <c r="MPP22" s="66"/>
      <c r="MPQ22" s="66"/>
      <c r="MPR22" s="66"/>
      <c r="MPS22" s="66"/>
      <c r="MPT22" s="66"/>
      <c r="MPU22" s="66"/>
      <c r="MPV22" s="66"/>
      <c r="MPW22" s="66"/>
      <c r="MPX22" s="66"/>
      <c r="MPY22" s="66"/>
      <c r="MPZ22" s="66"/>
      <c r="MQA22" s="66"/>
      <c r="MQB22" s="66"/>
      <c r="MQC22" s="66"/>
      <c r="MQD22" s="66"/>
      <c r="MQE22" s="66"/>
      <c r="MQF22" s="66"/>
      <c r="MQG22" s="66"/>
      <c r="MQH22" s="66"/>
      <c r="MQI22" s="66"/>
      <c r="MQJ22" s="66"/>
      <c r="MQK22" s="66"/>
      <c r="MQL22" s="66"/>
      <c r="MQM22" s="66"/>
      <c r="MQN22" s="66"/>
      <c r="MQO22" s="66"/>
      <c r="MQP22" s="66"/>
      <c r="MQQ22" s="66"/>
      <c r="MQR22" s="66"/>
      <c r="MQS22" s="66"/>
      <c r="MQT22" s="66"/>
      <c r="MQU22" s="66"/>
      <c r="MQV22" s="66"/>
      <c r="MQW22" s="66"/>
      <c r="MQX22" s="66"/>
      <c r="MQY22" s="66"/>
      <c r="MQZ22" s="66"/>
      <c r="MRA22" s="66"/>
      <c r="MRB22" s="66"/>
      <c r="MRC22" s="66"/>
      <c r="MRD22" s="66"/>
      <c r="MRE22" s="66"/>
      <c r="MRF22" s="66"/>
      <c r="MRG22" s="66"/>
      <c r="MRH22" s="66"/>
      <c r="MRI22" s="66"/>
      <c r="MRJ22" s="66"/>
      <c r="MRK22" s="66"/>
      <c r="MRL22" s="66"/>
      <c r="MRM22" s="66"/>
      <c r="MRN22" s="66"/>
      <c r="MRO22" s="66"/>
      <c r="MRP22" s="66"/>
      <c r="MRQ22" s="66"/>
      <c r="MRR22" s="66"/>
      <c r="MRS22" s="66"/>
      <c r="MRT22" s="66"/>
      <c r="MRU22" s="66"/>
      <c r="MRV22" s="66"/>
      <c r="MRW22" s="66"/>
      <c r="MRX22" s="66"/>
      <c r="MRY22" s="66"/>
      <c r="MRZ22" s="66"/>
      <c r="MSA22" s="66"/>
      <c r="MSB22" s="66"/>
      <c r="MSC22" s="66"/>
      <c r="MSD22" s="66"/>
      <c r="MSE22" s="66"/>
      <c r="MSF22" s="66"/>
      <c r="MSG22" s="66"/>
      <c r="MSH22" s="66"/>
      <c r="MSI22" s="66"/>
      <c r="MSJ22" s="66"/>
      <c r="MSK22" s="66"/>
      <c r="MSL22" s="66"/>
      <c r="MSM22" s="66"/>
      <c r="MSN22" s="66"/>
      <c r="MSO22" s="66"/>
      <c r="MSP22" s="66"/>
      <c r="MSQ22" s="66"/>
      <c r="MSR22" s="66"/>
      <c r="MSS22" s="66"/>
      <c r="MST22" s="66"/>
      <c r="MSU22" s="66"/>
      <c r="MSV22" s="66"/>
      <c r="MSW22" s="66"/>
      <c r="MSX22" s="66"/>
      <c r="MSY22" s="66"/>
      <c r="MSZ22" s="66"/>
      <c r="MTA22" s="66"/>
      <c r="MTB22" s="66"/>
      <c r="MTC22" s="66"/>
      <c r="MTD22" s="66"/>
      <c r="MTE22" s="66"/>
      <c r="MTF22" s="66"/>
      <c r="MTG22" s="66"/>
      <c r="MTH22" s="66"/>
      <c r="MTI22" s="66"/>
      <c r="MTJ22" s="66"/>
      <c r="MTK22" s="66"/>
      <c r="MTL22" s="66"/>
      <c r="MTM22" s="66"/>
      <c r="MTN22" s="66"/>
      <c r="MTO22" s="66"/>
      <c r="MTP22" s="66"/>
      <c r="MTQ22" s="66"/>
      <c r="MTR22" s="66"/>
      <c r="MTS22" s="66"/>
      <c r="MTT22" s="66"/>
      <c r="MTU22" s="66"/>
      <c r="MTV22" s="66"/>
      <c r="MTW22" s="66"/>
      <c r="MTX22" s="66"/>
      <c r="MTY22" s="66"/>
      <c r="MTZ22" s="66"/>
      <c r="MUA22" s="66"/>
      <c r="MUB22" s="66"/>
      <c r="MUC22" s="66"/>
      <c r="MUD22" s="66"/>
      <c r="MUE22" s="66"/>
      <c r="MUF22" s="66"/>
      <c r="MUG22" s="66"/>
      <c r="MUH22" s="66"/>
      <c r="MUI22" s="66"/>
      <c r="MUJ22" s="66"/>
      <c r="MUK22" s="66"/>
      <c r="MUL22" s="66"/>
      <c r="MUM22" s="66"/>
      <c r="MUN22" s="66"/>
      <c r="MUO22" s="66"/>
      <c r="MUP22" s="66"/>
      <c r="MUQ22" s="66"/>
      <c r="MUR22" s="66"/>
      <c r="MUS22" s="66"/>
      <c r="MUT22" s="66"/>
      <c r="MUU22" s="66"/>
      <c r="MUV22" s="66"/>
      <c r="MUW22" s="66"/>
      <c r="MUX22" s="66"/>
      <c r="MUY22" s="66"/>
      <c r="MUZ22" s="66"/>
      <c r="MVA22" s="66"/>
      <c r="MVB22" s="66"/>
      <c r="MVC22" s="66"/>
      <c r="MVD22" s="66"/>
      <c r="MVE22" s="66"/>
      <c r="MVF22" s="66"/>
      <c r="MVG22" s="66"/>
      <c r="MVH22" s="66"/>
      <c r="MVI22" s="66"/>
      <c r="MVJ22" s="66"/>
      <c r="MVK22" s="66"/>
      <c r="MVL22" s="66"/>
      <c r="MVM22" s="66"/>
      <c r="MVN22" s="66"/>
      <c r="MVO22" s="66"/>
      <c r="MVP22" s="66"/>
      <c r="MVQ22" s="66"/>
      <c r="MVR22" s="66"/>
      <c r="MVS22" s="66"/>
      <c r="MVT22" s="66"/>
      <c r="MVU22" s="66"/>
      <c r="MVV22" s="66"/>
      <c r="MVW22" s="66"/>
      <c r="MVX22" s="66"/>
      <c r="MVY22" s="66"/>
      <c r="MVZ22" s="66"/>
      <c r="MWA22" s="66"/>
      <c r="MWB22" s="66"/>
      <c r="MWC22" s="66"/>
      <c r="MWD22" s="66"/>
      <c r="MWE22" s="66"/>
      <c r="MWF22" s="66"/>
      <c r="MWG22" s="66"/>
      <c r="MWH22" s="66"/>
      <c r="MWI22" s="66"/>
      <c r="MWJ22" s="66"/>
      <c r="MWK22" s="66"/>
      <c r="MWL22" s="66"/>
      <c r="MWM22" s="66"/>
      <c r="MWN22" s="66"/>
      <c r="MWO22" s="66"/>
      <c r="MWP22" s="66"/>
      <c r="MWQ22" s="66"/>
      <c r="MWR22" s="66"/>
      <c r="MWS22" s="66"/>
      <c r="MWT22" s="66"/>
      <c r="MWU22" s="66"/>
      <c r="MWV22" s="66"/>
      <c r="MWW22" s="66"/>
      <c r="MWX22" s="66"/>
      <c r="MWY22" s="66"/>
      <c r="MWZ22" s="66"/>
      <c r="MXA22" s="66"/>
      <c r="MXB22" s="66"/>
      <c r="MXC22" s="66"/>
      <c r="MXD22" s="66"/>
      <c r="MXE22" s="66"/>
      <c r="MXF22" s="66"/>
      <c r="MXG22" s="66"/>
      <c r="MXH22" s="66"/>
      <c r="MXI22" s="66"/>
      <c r="MXJ22" s="66"/>
      <c r="MXK22" s="66"/>
      <c r="MXL22" s="66"/>
      <c r="MXM22" s="66"/>
      <c r="MXN22" s="66"/>
      <c r="MXO22" s="66"/>
      <c r="MXP22" s="66"/>
      <c r="MXQ22" s="66"/>
      <c r="MXR22" s="66"/>
      <c r="MXS22" s="66"/>
      <c r="MXT22" s="66"/>
      <c r="MXU22" s="66"/>
      <c r="MXV22" s="66"/>
      <c r="MXW22" s="66"/>
      <c r="MXX22" s="66"/>
      <c r="MXY22" s="66"/>
      <c r="MXZ22" s="66"/>
      <c r="MYA22" s="66"/>
      <c r="MYB22" s="66"/>
      <c r="MYC22" s="66"/>
      <c r="MYD22" s="66"/>
      <c r="MYE22" s="66"/>
      <c r="MYF22" s="66"/>
      <c r="MYG22" s="66"/>
      <c r="MYH22" s="66"/>
      <c r="MYI22" s="66"/>
      <c r="MYJ22" s="66"/>
      <c r="MYK22" s="66"/>
      <c r="MYL22" s="66"/>
      <c r="MYM22" s="66"/>
      <c r="MYN22" s="66"/>
      <c r="MYO22" s="66"/>
      <c r="MYP22" s="66"/>
      <c r="MYQ22" s="66"/>
      <c r="MYR22" s="66"/>
      <c r="MYS22" s="66"/>
      <c r="MYT22" s="66"/>
      <c r="MYU22" s="66"/>
      <c r="MYV22" s="66"/>
      <c r="MYW22" s="66"/>
      <c r="MYX22" s="66"/>
      <c r="MYY22" s="66"/>
      <c r="MYZ22" s="66"/>
      <c r="MZA22" s="66"/>
      <c r="MZB22" s="66"/>
      <c r="MZC22" s="66"/>
      <c r="MZD22" s="66"/>
      <c r="MZE22" s="66"/>
      <c r="MZF22" s="66"/>
      <c r="MZG22" s="66"/>
      <c r="MZH22" s="66"/>
      <c r="MZI22" s="66"/>
      <c r="MZJ22" s="66"/>
      <c r="MZK22" s="66"/>
      <c r="MZL22" s="66"/>
      <c r="MZM22" s="66"/>
      <c r="MZN22" s="66"/>
      <c r="MZO22" s="66"/>
      <c r="MZP22" s="66"/>
      <c r="MZQ22" s="66"/>
      <c r="MZR22" s="66"/>
      <c r="MZS22" s="66"/>
      <c r="MZT22" s="66"/>
      <c r="MZU22" s="66"/>
      <c r="MZV22" s="66"/>
      <c r="MZW22" s="66"/>
      <c r="MZX22" s="66"/>
      <c r="MZY22" s="66"/>
      <c r="MZZ22" s="66"/>
      <c r="NAA22" s="66"/>
      <c r="NAB22" s="66"/>
      <c r="NAC22" s="66"/>
      <c r="NAD22" s="66"/>
      <c r="NAE22" s="66"/>
      <c r="NAF22" s="66"/>
      <c r="NAG22" s="66"/>
      <c r="NAH22" s="66"/>
      <c r="NAI22" s="66"/>
      <c r="NAJ22" s="66"/>
      <c r="NAK22" s="66"/>
      <c r="NAL22" s="66"/>
      <c r="NAM22" s="66"/>
      <c r="NAN22" s="66"/>
      <c r="NAO22" s="66"/>
      <c r="NAP22" s="66"/>
      <c r="NAQ22" s="66"/>
      <c r="NAR22" s="66"/>
      <c r="NAS22" s="66"/>
      <c r="NAT22" s="66"/>
      <c r="NAU22" s="66"/>
      <c r="NAV22" s="66"/>
      <c r="NAW22" s="66"/>
      <c r="NAX22" s="66"/>
      <c r="NAY22" s="66"/>
      <c r="NAZ22" s="66"/>
      <c r="NBA22" s="66"/>
      <c r="NBB22" s="66"/>
      <c r="NBC22" s="66"/>
      <c r="NBD22" s="66"/>
      <c r="NBE22" s="66"/>
      <c r="NBF22" s="66"/>
      <c r="NBG22" s="66"/>
      <c r="NBH22" s="66"/>
      <c r="NBI22" s="66"/>
      <c r="NBJ22" s="66"/>
      <c r="NBK22" s="66"/>
      <c r="NBL22" s="66"/>
      <c r="NBM22" s="66"/>
      <c r="NBN22" s="66"/>
      <c r="NBO22" s="66"/>
      <c r="NBP22" s="66"/>
      <c r="NBQ22" s="66"/>
      <c r="NBR22" s="66"/>
      <c r="NBS22" s="66"/>
      <c r="NBT22" s="66"/>
      <c r="NBU22" s="66"/>
      <c r="NBV22" s="66"/>
      <c r="NBW22" s="66"/>
      <c r="NBX22" s="66"/>
      <c r="NBY22" s="66"/>
      <c r="NBZ22" s="66"/>
      <c r="NCA22" s="66"/>
      <c r="NCB22" s="66"/>
      <c r="NCC22" s="66"/>
      <c r="NCD22" s="66"/>
      <c r="NCE22" s="66"/>
      <c r="NCF22" s="66"/>
      <c r="NCG22" s="66"/>
      <c r="NCH22" s="66"/>
      <c r="NCI22" s="66"/>
      <c r="NCJ22" s="66"/>
      <c r="NCK22" s="66"/>
      <c r="NCL22" s="66"/>
      <c r="NCM22" s="66"/>
      <c r="NCN22" s="66"/>
      <c r="NCO22" s="66"/>
      <c r="NCP22" s="66"/>
      <c r="NCQ22" s="66"/>
      <c r="NCR22" s="66"/>
      <c r="NCS22" s="66"/>
      <c r="NCT22" s="66"/>
      <c r="NCU22" s="66"/>
      <c r="NCV22" s="66"/>
      <c r="NCW22" s="66"/>
      <c r="NCX22" s="66"/>
      <c r="NCY22" s="66"/>
      <c r="NCZ22" s="66"/>
      <c r="NDA22" s="66"/>
      <c r="NDB22" s="66"/>
      <c r="NDC22" s="66"/>
      <c r="NDD22" s="66"/>
      <c r="NDE22" s="66"/>
      <c r="NDF22" s="66"/>
      <c r="NDG22" s="66"/>
      <c r="NDH22" s="66"/>
      <c r="NDI22" s="66"/>
      <c r="NDJ22" s="66"/>
      <c r="NDK22" s="66"/>
      <c r="NDL22" s="66"/>
      <c r="NDM22" s="66"/>
      <c r="NDN22" s="66"/>
      <c r="NDO22" s="66"/>
      <c r="NDP22" s="66"/>
      <c r="NDQ22" s="66"/>
      <c r="NDR22" s="66"/>
      <c r="NDS22" s="66"/>
      <c r="NDT22" s="66"/>
      <c r="NDU22" s="66"/>
      <c r="NDV22" s="66"/>
      <c r="NDW22" s="66"/>
      <c r="NDX22" s="66"/>
      <c r="NDY22" s="66"/>
      <c r="NDZ22" s="66"/>
      <c r="NEA22" s="66"/>
      <c r="NEB22" s="66"/>
      <c r="NEC22" s="66"/>
      <c r="NED22" s="66"/>
      <c r="NEE22" s="66"/>
      <c r="NEF22" s="66"/>
      <c r="NEG22" s="66"/>
      <c r="NEH22" s="66"/>
      <c r="NEI22" s="66"/>
      <c r="NEJ22" s="66"/>
      <c r="NEK22" s="66"/>
      <c r="NEL22" s="66"/>
      <c r="NEM22" s="66"/>
      <c r="NEN22" s="66"/>
      <c r="NEO22" s="66"/>
      <c r="NEP22" s="66"/>
      <c r="NEQ22" s="66"/>
      <c r="NER22" s="66"/>
      <c r="NES22" s="66"/>
      <c r="NET22" s="66"/>
      <c r="NEU22" s="66"/>
      <c r="NEV22" s="66"/>
      <c r="NEW22" s="66"/>
      <c r="NEX22" s="66"/>
      <c r="NEY22" s="66"/>
      <c r="NEZ22" s="66"/>
      <c r="NFA22" s="66"/>
      <c r="NFB22" s="66"/>
      <c r="NFC22" s="66"/>
      <c r="NFD22" s="66"/>
      <c r="NFE22" s="66"/>
      <c r="NFF22" s="66"/>
      <c r="NFG22" s="66"/>
      <c r="NFH22" s="66"/>
      <c r="NFI22" s="66"/>
      <c r="NFJ22" s="66"/>
      <c r="NFK22" s="66"/>
      <c r="NFL22" s="66"/>
      <c r="NFM22" s="66"/>
      <c r="NFN22" s="66"/>
      <c r="NFO22" s="66"/>
      <c r="NFP22" s="66"/>
      <c r="NFQ22" s="66"/>
      <c r="NFR22" s="66"/>
      <c r="NFS22" s="66"/>
      <c r="NFT22" s="66"/>
      <c r="NFU22" s="66"/>
      <c r="NFV22" s="66"/>
      <c r="NFW22" s="66"/>
      <c r="NFX22" s="66"/>
      <c r="NFY22" s="66"/>
      <c r="NFZ22" s="66"/>
      <c r="NGA22" s="66"/>
      <c r="NGB22" s="66"/>
      <c r="NGC22" s="66"/>
      <c r="NGD22" s="66"/>
      <c r="NGE22" s="66"/>
      <c r="NGF22" s="66"/>
      <c r="NGG22" s="66"/>
      <c r="NGH22" s="66"/>
      <c r="NGI22" s="66"/>
      <c r="NGJ22" s="66"/>
      <c r="NGK22" s="66"/>
      <c r="NGL22" s="66"/>
      <c r="NGM22" s="66"/>
      <c r="NGN22" s="66"/>
      <c r="NGO22" s="66"/>
      <c r="NGP22" s="66"/>
      <c r="NGQ22" s="66"/>
      <c r="NGR22" s="66"/>
      <c r="NGS22" s="66"/>
      <c r="NGT22" s="66"/>
      <c r="NGU22" s="66"/>
      <c r="NGV22" s="66"/>
      <c r="NGW22" s="66"/>
      <c r="NGX22" s="66"/>
      <c r="NGY22" s="66"/>
      <c r="NGZ22" s="66"/>
      <c r="NHA22" s="66"/>
      <c r="NHB22" s="66"/>
      <c r="NHC22" s="66"/>
      <c r="NHD22" s="66"/>
      <c r="NHE22" s="66"/>
      <c r="NHF22" s="66"/>
      <c r="NHG22" s="66"/>
      <c r="NHH22" s="66"/>
      <c r="NHI22" s="66"/>
      <c r="NHJ22" s="66"/>
      <c r="NHK22" s="66"/>
      <c r="NHL22" s="66"/>
      <c r="NHM22" s="66"/>
      <c r="NHN22" s="66"/>
      <c r="NHO22" s="66"/>
      <c r="NHP22" s="66"/>
      <c r="NHQ22" s="66"/>
      <c r="NHR22" s="66"/>
      <c r="NHS22" s="66"/>
      <c r="NHT22" s="66"/>
      <c r="NHU22" s="66"/>
      <c r="NHV22" s="66"/>
      <c r="NHW22" s="66"/>
      <c r="NHX22" s="66"/>
      <c r="NHY22" s="66"/>
      <c r="NHZ22" s="66"/>
      <c r="NIA22" s="66"/>
      <c r="NIB22" s="66"/>
      <c r="NIC22" s="66"/>
      <c r="NID22" s="66"/>
      <c r="NIE22" s="66"/>
      <c r="NIF22" s="66"/>
      <c r="NIG22" s="66"/>
      <c r="NIH22" s="66"/>
      <c r="NII22" s="66"/>
      <c r="NIJ22" s="66"/>
      <c r="NIK22" s="66"/>
      <c r="NIL22" s="66"/>
      <c r="NIM22" s="66"/>
      <c r="NIN22" s="66"/>
      <c r="NIO22" s="66"/>
      <c r="NIP22" s="66"/>
      <c r="NIQ22" s="66"/>
      <c r="NIR22" s="66"/>
      <c r="NIS22" s="66"/>
      <c r="NIT22" s="66"/>
      <c r="NIU22" s="66"/>
      <c r="NIV22" s="66"/>
      <c r="NIW22" s="66"/>
      <c r="NIX22" s="66"/>
      <c r="NIY22" s="66"/>
      <c r="NIZ22" s="66"/>
      <c r="NJA22" s="66"/>
      <c r="NJB22" s="66"/>
      <c r="NJC22" s="66"/>
      <c r="NJD22" s="66"/>
      <c r="NJE22" s="66"/>
      <c r="NJF22" s="66"/>
      <c r="NJG22" s="66"/>
      <c r="NJH22" s="66"/>
      <c r="NJI22" s="66"/>
      <c r="NJJ22" s="66"/>
      <c r="NJK22" s="66"/>
      <c r="NJL22" s="66"/>
      <c r="NJM22" s="66"/>
      <c r="NJN22" s="66"/>
      <c r="NJO22" s="66"/>
      <c r="NJP22" s="66"/>
      <c r="NJQ22" s="66"/>
      <c r="NJR22" s="66"/>
      <c r="NJS22" s="66"/>
      <c r="NJT22" s="66"/>
      <c r="NJU22" s="66"/>
      <c r="NJV22" s="66"/>
      <c r="NJW22" s="66"/>
      <c r="NJX22" s="66"/>
      <c r="NJY22" s="66"/>
      <c r="NJZ22" s="66"/>
      <c r="NKA22" s="66"/>
      <c r="NKB22" s="66"/>
      <c r="NKC22" s="66"/>
      <c r="NKD22" s="66"/>
      <c r="NKE22" s="66"/>
      <c r="NKF22" s="66"/>
      <c r="NKG22" s="66"/>
      <c r="NKH22" s="66"/>
      <c r="NKI22" s="66"/>
      <c r="NKJ22" s="66"/>
      <c r="NKK22" s="66"/>
      <c r="NKL22" s="66"/>
      <c r="NKM22" s="66"/>
      <c r="NKN22" s="66"/>
      <c r="NKO22" s="66"/>
      <c r="NKP22" s="66"/>
      <c r="NKQ22" s="66"/>
      <c r="NKR22" s="66"/>
      <c r="NKS22" s="66"/>
      <c r="NKT22" s="66"/>
      <c r="NKU22" s="66"/>
      <c r="NKV22" s="66"/>
      <c r="NKW22" s="66"/>
      <c r="NKX22" s="66"/>
      <c r="NKY22" s="66"/>
      <c r="NKZ22" s="66"/>
      <c r="NLA22" s="66"/>
      <c r="NLB22" s="66"/>
      <c r="NLC22" s="66"/>
      <c r="NLD22" s="66"/>
      <c r="NLE22" s="66"/>
      <c r="NLF22" s="66"/>
      <c r="NLG22" s="66"/>
      <c r="NLH22" s="66"/>
      <c r="NLI22" s="66"/>
      <c r="NLJ22" s="66"/>
      <c r="NLK22" s="66"/>
      <c r="NLL22" s="66"/>
      <c r="NLM22" s="66"/>
      <c r="NLN22" s="66"/>
      <c r="NLO22" s="66"/>
      <c r="NLP22" s="66"/>
      <c r="NLQ22" s="66"/>
      <c r="NLR22" s="66"/>
      <c r="NLS22" s="66"/>
      <c r="NLT22" s="66"/>
      <c r="NLU22" s="66"/>
      <c r="NLV22" s="66"/>
      <c r="NLW22" s="66"/>
      <c r="NLX22" s="66"/>
      <c r="NLY22" s="66"/>
      <c r="NLZ22" s="66"/>
      <c r="NMA22" s="66"/>
      <c r="NMB22" s="66"/>
      <c r="NMC22" s="66"/>
      <c r="NMD22" s="66"/>
      <c r="NME22" s="66"/>
      <c r="NMF22" s="66"/>
      <c r="NMG22" s="66"/>
      <c r="NMH22" s="66"/>
      <c r="NMI22" s="66"/>
      <c r="NMJ22" s="66"/>
      <c r="NMK22" s="66"/>
      <c r="NML22" s="66"/>
      <c r="NMM22" s="66"/>
      <c r="NMN22" s="66"/>
      <c r="NMO22" s="66"/>
      <c r="NMP22" s="66"/>
      <c r="NMQ22" s="66"/>
      <c r="NMR22" s="66"/>
      <c r="NMS22" s="66"/>
      <c r="NMT22" s="66"/>
      <c r="NMU22" s="66"/>
      <c r="NMV22" s="66"/>
      <c r="NMW22" s="66"/>
      <c r="NMX22" s="66"/>
      <c r="NMY22" s="66"/>
      <c r="NMZ22" s="66"/>
      <c r="NNA22" s="66"/>
      <c r="NNB22" s="66"/>
      <c r="NNC22" s="66"/>
      <c r="NND22" s="66"/>
      <c r="NNE22" s="66"/>
      <c r="NNF22" s="66"/>
      <c r="NNG22" s="66"/>
      <c r="NNH22" s="66"/>
      <c r="NNI22" s="66"/>
      <c r="NNJ22" s="66"/>
      <c r="NNK22" s="66"/>
      <c r="NNL22" s="66"/>
      <c r="NNM22" s="66"/>
      <c r="NNN22" s="66"/>
      <c r="NNO22" s="66"/>
      <c r="NNP22" s="66"/>
      <c r="NNQ22" s="66"/>
      <c r="NNR22" s="66"/>
      <c r="NNS22" s="66"/>
      <c r="NNT22" s="66"/>
      <c r="NNU22" s="66"/>
      <c r="NNV22" s="66"/>
      <c r="NNW22" s="66"/>
      <c r="NNX22" s="66"/>
      <c r="NNY22" s="66"/>
      <c r="NNZ22" s="66"/>
      <c r="NOA22" s="66"/>
      <c r="NOB22" s="66"/>
      <c r="NOC22" s="66"/>
      <c r="NOD22" s="66"/>
      <c r="NOE22" s="66"/>
      <c r="NOF22" s="66"/>
      <c r="NOG22" s="66"/>
      <c r="NOH22" s="66"/>
      <c r="NOI22" s="66"/>
      <c r="NOJ22" s="66"/>
      <c r="NOK22" s="66"/>
      <c r="NOL22" s="66"/>
      <c r="NOM22" s="66"/>
      <c r="NON22" s="66"/>
      <c r="NOO22" s="66"/>
      <c r="NOP22" s="66"/>
      <c r="NOQ22" s="66"/>
      <c r="NOR22" s="66"/>
      <c r="NOS22" s="66"/>
      <c r="NOT22" s="66"/>
      <c r="NOU22" s="66"/>
      <c r="NOV22" s="66"/>
      <c r="NOW22" s="66"/>
      <c r="NOX22" s="66"/>
      <c r="NOY22" s="66"/>
      <c r="NOZ22" s="66"/>
      <c r="NPA22" s="66"/>
      <c r="NPB22" s="66"/>
      <c r="NPC22" s="66"/>
      <c r="NPD22" s="66"/>
      <c r="NPE22" s="66"/>
      <c r="NPF22" s="66"/>
      <c r="NPG22" s="66"/>
      <c r="NPH22" s="66"/>
      <c r="NPI22" s="66"/>
      <c r="NPJ22" s="66"/>
      <c r="NPK22" s="66"/>
      <c r="NPL22" s="66"/>
      <c r="NPM22" s="66"/>
      <c r="NPN22" s="66"/>
      <c r="NPO22" s="66"/>
      <c r="NPP22" s="66"/>
      <c r="NPQ22" s="66"/>
      <c r="NPR22" s="66"/>
      <c r="NPS22" s="66"/>
      <c r="NPT22" s="66"/>
      <c r="NPU22" s="66"/>
      <c r="NPV22" s="66"/>
      <c r="NPW22" s="66"/>
      <c r="NPX22" s="66"/>
      <c r="NPY22" s="66"/>
      <c r="NPZ22" s="66"/>
      <c r="NQA22" s="66"/>
      <c r="NQB22" s="66"/>
      <c r="NQC22" s="66"/>
      <c r="NQD22" s="66"/>
      <c r="NQE22" s="66"/>
      <c r="NQF22" s="66"/>
      <c r="NQG22" s="66"/>
      <c r="NQH22" s="66"/>
      <c r="NQI22" s="66"/>
      <c r="NQJ22" s="66"/>
      <c r="NQK22" s="66"/>
      <c r="NQL22" s="66"/>
      <c r="NQM22" s="66"/>
      <c r="NQN22" s="66"/>
      <c r="NQO22" s="66"/>
      <c r="NQP22" s="66"/>
      <c r="NQQ22" s="66"/>
      <c r="NQR22" s="66"/>
      <c r="NQS22" s="66"/>
      <c r="NQT22" s="66"/>
      <c r="NQU22" s="66"/>
      <c r="NQV22" s="66"/>
      <c r="NQW22" s="66"/>
      <c r="NQX22" s="66"/>
      <c r="NQY22" s="66"/>
      <c r="NQZ22" s="66"/>
      <c r="NRA22" s="66"/>
      <c r="NRB22" s="66"/>
      <c r="NRC22" s="66"/>
      <c r="NRD22" s="66"/>
      <c r="NRE22" s="66"/>
      <c r="NRF22" s="66"/>
      <c r="NRG22" s="66"/>
      <c r="NRH22" s="66"/>
      <c r="NRI22" s="66"/>
      <c r="NRJ22" s="66"/>
      <c r="NRK22" s="66"/>
      <c r="NRL22" s="66"/>
      <c r="NRM22" s="66"/>
      <c r="NRN22" s="66"/>
      <c r="NRO22" s="66"/>
      <c r="NRP22" s="66"/>
      <c r="NRQ22" s="66"/>
      <c r="NRR22" s="66"/>
      <c r="NRS22" s="66"/>
      <c r="NRT22" s="66"/>
      <c r="NRU22" s="66"/>
      <c r="NRV22" s="66"/>
      <c r="NRW22" s="66"/>
      <c r="NRX22" s="66"/>
      <c r="NRY22" s="66"/>
      <c r="NRZ22" s="66"/>
      <c r="NSA22" s="66"/>
      <c r="NSB22" s="66"/>
      <c r="NSC22" s="66"/>
      <c r="NSD22" s="66"/>
      <c r="NSE22" s="66"/>
      <c r="NSF22" s="66"/>
      <c r="NSG22" s="66"/>
      <c r="NSH22" s="66"/>
      <c r="NSI22" s="66"/>
      <c r="NSJ22" s="66"/>
      <c r="NSK22" s="66"/>
      <c r="NSL22" s="66"/>
      <c r="NSM22" s="66"/>
      <c r="NSN22" s="66"/>
      <c r="NSO22" s="66"/>
      <c r="NSP22" s="66"/>
      <c r="NSQ22" s="66"/>
      <c r="NSR22" s="66"/>
      <c r="NSS22" s="66"/>
      <c r="NST22" s="66"/>
      <c r="NSU22" s="66"/>
      <c r="NSV22" s="66"/>
      <c r="NSW22" s="66"/>
      <c r="NSX22" s="66"/>
      <c r="NSY22" s="66"/>
      <c r="NSZ22" s="66"/>
      <c r="NTA22" s="66"/>
      <c r="NTB22" s="66"/>
      <c r="NTC22" s="66"/>
      <c r="NTD22" s="66"/>
      <c r="NTE22" s="66"/>
      <c r="NTF22" s="66"/>
      <c r="NTG22" s="66"/>
      <c r="NTH22" s="66"/>
      <c r="NTI22" s="66"/>
      <c r="NTJ22" s="66"/>
      <c r="NTK22" s="66"/>
      <c r="NTL22" s="66"/>
      <c r="NTM22" s="66"/>
      <c r="NTN22" s="66"/>
      <c r="NTO22" s="66"/>
      <c r="NTP22" s="66"/>
      <c r="NTQ22" s="66"/>
      <c r="NTR22" s="66"/>
      <c r="NTS22" s="66"/>
      <c r="NTT22" s="66"/>
      <c r="NTU22" s="66"/>
      <c r="NTV22" s="66"/>
      <c r="NTW22" s="66"/>
      <c r="NTX22" s="66"/>
      <c r="NTY22" s="66"/>
      <c r="NTZ22" s="66"/>
      <c r="NUA22" s="66"/>
      <c r="NUB22" s="66"/>
      <c r="NUC22" s="66"/>
      <c r="NUD22" s="66"/>
      <c r="NUE22" s="66"/>
      <c r="NUF22" s="66"/>
      <c r="NUG22" s="66"/>
      <c r="NUH22" s="66"/>
      <c r="NUI22" s="66"/>
      <c r="NUJ22" s="66"/>
      <c r="NUK22" s="66"/>
      <c r="NUL22" s="66"/>
      <c r="NUM22" s="66"/>
      <c r="NUN22" s="66"/>
      <c r="NUO22" s="66"/>
      <c r="NUP22" s="66"/>
      <c r="NUQ22" s="66"/>
      <c r="NUR22" s="66"/>
      <c r="NUS22" s="66"/>
      <c r="NUT22" s="66"/>
      <c r="NUU22" s="66"/>
      <c r="NUV22" s="66"/>
      <c r="NUW22" s="66"/>
      <c r="NUX22" s="66"/>
      <c r="NUY22" s="66"/>
      <c r="NUZ22" s="66"/>
      <c r="NVA22" s="66"/>
      <c r="NVB22" s="66"/>
      <c r="NVC22" s="66"/>
      <c r="NVD22" s="66"/>
      <c r="NVE22" s="66"/>
      <c r="NVF22" s="66"/>
      <c r="NVG22" s="66"/>
      <c r="NVH22" s="66"/>
      <c r="NVI22" s="66"/>
      <c r="NVJ22" s="66"/>
      <c r="NVK22" s="66"/>
      <c r="NVL22" s="66"/>
      <c r="NVM22" s="66"/>
      <c r="NVN22" s="66"/>
      <c r="NVO22" s="66"/>
      <c r="NVP22" s="66"/>
      <c r="NVQ22" s="66"/>
      <c r="NVR22" s="66"/>
      <c r="NVS22" s="66"/>
      <c r="NVT22" s="66"/>
      <c r="NVU22" s="66"/>
      <c r="NVV22" s="66"/>
      <c r="NVW22" s="66"/>
      <c r="NVX22" s="66"/>
      <c r="NVY22" s="66"/>
      <c r="NVZ22" s="66"/>
      <c r="NWA22" s="66"/>
      <c r="NWB22" s="66"/>
      <c r="NWC22" s="66"/>
      <c r="NWD22" s="66"/>
      <c r="NWE22" s="66"/>
      <c r="NWF22" s="66"/>
      <c r="NWG22" s="66"/>
      <c r="NWH22" s="66"/>
      <c r="NWI22" s="66"/>
      <c r="NWJ22" s="66"/>
      <c r="NWK22" s="66"/>
      <c r="NWL22" s="66"/>
      <c r="NWM22" s="66"/>
      <c r="NWN22" s="66"/>
      <c r="NWO22" s="66"/>
      <c r="NWP22" s="66"/>
      <c r="NWQ22" s="66"/>
      <c r="NWR22" s="66"/>
      <c r="NWS22" s="66"/>
      <c r="NWT22" s="66"/>
      <c r="NWU22" s="66"/>
      <c r="NWV22" s="66"/>
      <c r="NWW22" s="66"/>
      <c r="NWX22" s="66"/>
      <c r="NWY22" s="66"/>
      <c r="NWZ22" s="66"/>
      <c r="NXA22" s="66"/>
      <c r="NXB22" s="66"/>
      <c r="NXC22" s="66"/>
      <c r="NXD22" s="66"/>
      <c r="NXE22" s="66"/>
      <c r="NXF22" s="66"/>
      <c r="NXG22" s="66"/>
      <c r="NXH22" s="66"/>
      <c r="NXI22" s="66"/>
      <c r="NXJ22" s="66"/>
      <c r="NXK22" s="66"/>
      <c r="NXL22" s="66"/>
      <c r="NXM22" s="66"/>
      <c r="NXN22" s="66"/>
      <c r="NXO22" s="66"/>
      <c r="NXP22" s="66"/>
      <c r="NXQ22" s="66"/>
      <c r="NXR22" s="66"/>
      <c r="NXS22" s="66"/>
      <c r="NXT22" s="66"/>
      <c r="NXU22" s="66"/>
      <c r="NXV22" s="66"/>
      <c r="NXW22" s="66"/>
      <c r="NXX22" s="66"/>
      <c r="NXY22" s="66"/>
      <c r="NXZ22" s="66"/>
      <c r="NYA22" s="66"/>
      <c r="NYB22" s="66"/>
      <c r="NYC22" s="66"/>
      <c r="NYD22" s="66"/>
      <c r="NYE22" s="66"/>
      <c r="NYF22" s="66"/>
      <c r="NYG22" s="66"/>
      <c r="NYH22" s="66"/>
      <c r="NYI22" s="66"/>
      <c r="NYJ22" s="66"/>
      <c r="NYK22" s="66"/>
      <c r="NYL22" s="66"/>
      <c r="NYM22" s="66"/>
      <c r="NYN22" s="66"/>
      <c r="NYO22" s="66"/>
      <c r="NYP22" s="66"/>
      <c r="NYQ22" s="66"/>
      <c r="NYR22" s="66"/>
      <c r="NYS22" s="66"/>
      <c r="NYT22" s="66"/>
      <c r="NYU22" s="66"/>
      <c r="NYV22" s="66"/>
      <c r="NYW22" s="66"/>
      <c r="NYX22" s="66"/>
      <c r="NYY22" s="66"/>
      <c r="NYZ22" s="66"/>
      <c r="NZA22" s="66"/>
      <c r="NZB22" s="66"/>
      <c r="NZC22" s="66"/>
      <c r="NZD22" s="66"/>
      <c r="NZE22" s="66"/>
      <c r="NZF22" s="66"/>
      <c r="NZG22" s="66"/>
      <c r="NZH22" s="66"/>
      <c r="NZI22" s="66"/>
      <c r="NZJ22" s="66"/>
      <c r="NZK22" s="66"/>
      <c r="NZL22" s="66"/>
      <c r="NZM22" s="66"/>
      <c r="NZN22" s="66"/>
      <c r="NZO22" s="66"/>
      <c r="NZP22" s="66"/>
      <c r="NZQ22" s="66"/>
      <c r="NZR22" s="66"/>
      <c r="NZS22" s="66"/>
      <c r="NZT22" s="66"/>
      <c r="NZU22" s="66"/>
      <c r="NZV22" s="66"/>
      <c r="NZW22" s="66"/>
      <c r="NZX22" s="66"/>
      <c r="NZY22" s="66"/>
      <c r="NZZ22" s="66"/>
      <c r="OAA22" s="66"/>
      <c r="OAB22" s="66"/>
      <c r="OAC22" s="66"/>
      <c r="OAD22" s="66"/>
      <c r="OAE22" s="66"/>
      <c r="OAF22" s="66"/>
      <c r="OAG22" s="66"/>
      <c r="OAH22" s="66"/>
      <c r="OAI22" s="66"/>
      <c r="OAJ22" s="66"/>
      <c r="OAK22" s="66"/>
      <c r="OAL22" s="66"/>
      <c r="OAM22" s="66"/>
      <c r="OAN22" s="66"/>
      <c r="OAO22" s="66"/>
      <c r="OAP22" s="66"/>
      <c r="OAQ22" s="66"/>
      <c r="OAR22" s="66"/>
      <c r="OAS22" s="66"/>
      <c r="OAT22" s="66"/>
      <c r="OAU22" s="66"/>
      <c r="OAV22" s="66"/>
      <c r="OAW22" s="66"/>
      <c r="OAX22" s="66"/>
      <c r="OAY22" s="66"/>
      <c r="OAZ22" s="66"/>
      <c r="OBA22" s="66"/>
      <c r="OBB22" s="66"/>
      <c r="OBC22" s="66"/>
      <c r="OBD22" s="66"/>
      <c r="OBE22" s="66"/>
      <c r="OBF22" s="66"/>
      <c r="OBG22" s="66"/>
      <c r="OBH22" s="66"/>
      <c r="OBI22" s="66"/>
      <c r="OBJ22" s="66"/>
      <c r="OBK22" s="66"/>
      <c r="OBL22" s="66"/>
      <c r="OBM22" s="66"/>
      <c r="OBN22" s="66"/>
      <c r="OBO22" s="66"/>
      <c r="OBP22" s="66"/>
      <c r="OBQ22" s="66"/>
      <c r="OBR22" s="66"/>
      <c r="OBS22" s="66"/>
      <c r="OBT22" s="66"/>
      <c r="OBU22" s="66"/>
      <c r="OBV22" s="66"/>
      <c r="OBW22" s="66"/>
      <c r="OBX22" s="66"/>
      <c r="OBY22" s="66"/>
      <c r="OBZ22" s="66"/>
      <c r="OCA22" s="66"/>
      <c r="OCB22" s="66"/>
      <c r="OCC22" s="66"/>
      <c r="OCD22" s="66"/>
      <c r="OCE22" s="66"/>
      <c r="OCF22" s="66"/>
      <c r="OCG22" s="66"/>
      <c r="OCH22" s="66"/>
      <c r="OCI22" s="66"/>
      <c r="OCJ22" s="66"/>
      <c r="OCK22" s="66"/>
      <c r="OCL22" s="66"/>
      <c r="OCM22" s="66"/>
      <c r="OCN22" s="66"/>
      <c r="OCO22" s="66"/>
      <c r="OCP22" s="66"/>
      <c r="OCQ22" s="66"/>
      <c r="OCR22" s="66"/>
      <c r="OCS22" s="66"/>
      <c r="OCT22" s="66"/>
      <c r="OCU22" s="66"/>
      <c r="OCV22" s="66"/>
      <c r="OCW22" s="66"/>
      <c r="OCX22" s="66"/>
      <c r="OCY22" s="66"/>
      <c r="OCZ22" s="66"/>
      <c r="ODA22" s="66"/>
      <c r="ODB22" s="66"/>
      <c r="ODC22" s="66"/>
      <c r="ODD22" s="66"/>
      <c r="ODE22" s="66"/>
      <c r="ODF22" s="66"/>
      <c r="ODG22" s="66"/>
      <c r="ODH22" s="66"/>
      <c r="ODI22" s="66"/>
      <c r="ODJ22" s="66"/>
      <c r="ODK22" s="66"/>
      <c r="ODL22" s="66"/>
      <c r="ODM22" s="66"/>
      <c r="ODN22" s="66"/>
      <c r="ODO22" s="66"/>
      <c r="ODP22" s="66"/>
      <c r="ODQ22" s="66"/>
      <c r="ODR22" s="66"/>
      <c r="ODS22" s="66"/>
      <c r="ODT22" s="66"/>
      <c r="ODU22" s="66"/>
      <c r="ODV22" s="66"/>
      <c r="ODW22" s="66"/>
      <c r="ODX22" s="66"/>
      <c r="ODY22" s="66"/>
      <c r="ODZ22" s="66"/>
      <c r="OEA22" s="66"/>
      <c r="OEB22" s="66"/>
      <c r="OEC22" s="66"/>
      <c r="OED22" s="66"/>
      <c r="OEE22" s="66"/>
      <c r="OEF22" s="66"/>
      <c r="OEG22" s="66"/>
      <c r="OEH22" s="66"/>
      <c r="OEI22" s="66"/>
      <c r="OEJ22" s="66"/>
      <c r="OEK22" s="66"/>
      <c r="OEL22" s="66"/>
      <c r="OEM22" s="66"/>
      <c r="OEN22" s="66"/>
      <c r="OEO22" s="66"/>
      <c r="OEP22" s="66"/>
      <c r="OEQ22" s="66"/>
      <c r="OER22" s="66"/>
      <c r="OES22" s="66"/>
      <c r="OET22" s="66"/>
      <c r="OEU22" s="66"/>
      <c r="OEV22" s="66"/>
      <c r="OEW22" s="66"/>
      <c r="OEX22" s="66"/>
      <c r="OEY22" s="66"/>
      <c r="OEZ22" s="66"/>
      <c r="OFA22" s="66"/>
      <c r="OFB22" s="66"/>
      <c r="OFC22" s="66"/>
      <c r="OFD22" s="66"/>
      <c r="OFE22" s="66"/>
      <c r="OFF22" s="66"/>
      <c r="OFG22" s="66"/>
      <c r="OFH22" s="66"/>
      <c r="OFI22" s="66"/>
      <c r="OFJ22" s="66"/>
      <c r="OFK22" s="66"/>
      <c r="OFL22" s="66"/>
      <c r="OFM22" s="66"/>
      <c r="OFN22" s="66"/>
      <c r="OFO22" s="66"/>
      <c r="OFP22" s="66"/>
      <c r="OFQ22" s="66"/>
      <c r="OFR22" s="66"/>
      <c r="OFS22" s="66"/>
      <c r="OFT22" s="66"/>
      <c r="OFU22" s="66"/>
      <c r="OFV22" s="66"/>
      <c r="OFW22" s="66"/>
      <c r="OFX22" s="66"/>
      <c r="OFY22" s="66"/>
      <c r="OFZ22" s="66"/>
      <c r="OGA22" s="66"/>
      <c r="OGB22" s="66"/>
      <c r="OGC22" s="66"/>
      <c r="OGD22" s="66"/>
      <c r="OGE22" s="66"/>
      <c r="OGF22" s="66"/>
      <c r="OGG22" s="66"/>
      <c r="OGH22" s="66"/>
      <c r="OGI22" s="66"/>
      <c r="OGJ22" s="66"/>
      <c r="OGK22" s="66"/>
      <c r="OGL22" s="66"/>
      <c r="OGM22" s="66"/>
      <c r="OGN22" s="66"/>
      <c r="OGO22" s="66"/>
      <c r="OGP22" s="66"/>
      <c r="OGQ22" s="66"/>
      <c r="OGR22" s="66"/>
      <c r="OGS22" s="66"/>
      <c r="OGT22" s="66"/>
      <c r="OGU22" s="66"/>
      <c r="OGV22" s="66"/>
      <c r="OGW22" s="66"/>
      <c r="OGX22" s="66"/>
      <c r="OGY22" s="66"/>
      <c r="OGZ22" s="66"/>
      <c r="OHA22" s="66"/>
      <c r="OHB22" s="66"/>
      <c r="OHC22" s="66"/>
      <c r="OHD22" s="66"/>
      <c r="OHE22" s="66"/>
      <c r="OHF22" s="66"/>
      <c r="OHG22" s="66"/>
      <c r="OHH22" s="66"/>
      <c r="OHI22" s="66"/>
      <c r="OHJ22" s="66"/>
      <c r="OHK22" s="66"/>
      <c r="OHL22" s="66"/>
      <c r="OHM22" s="66"/>
      <c r="OHN22" s="66"/>
      <c r="OHO22" s="66"/>
      <c r="OHP22" s="66"/>
      <c r="OHQ22" s="66"/>
      <c r="OHR22" s="66"/>
      <c r="OHS22" s="66"/>
      <c r="OHT22" s="66"/>
      <c r="OHU22" s="66"/>
      <c r="OHV22" s="66"/>
      <c r="OHW22" s="66"/>
      <c r="OHX22" s="66"/>
      <c r="OHY22" s="66"/>
      <c r="OHZ22" s="66"/>
      <c r="OIA22" s="66"/>
      <c r="OIB22" s="66"/>
      <c r="OIC22" s="66"/>
      <c r="OID22" s="66"/>
      <c r="OIE22" s="66"/>
      <c r="OIF22" s="66"/>
      <c r="OIG22" s="66"/>
      <c r="OIH22" s="66"/>
      <c r="OII22" s="66"/>
      <c r="OIJ22" s="66"/>
      <c r="OIK22" s="66"/>
      <c r="OIL22" s="66"/>
      <c r="OIM22" s="66"/>
      <c r="OIN22" s="66"/>
      <c r="OIO22" s="66"/>
      <c r="OIP22" s="66"/>
      <c r="OIQ22" s="66"/>
      <c r="OIR22" s="66"/>
      <c r="OIS22" s="66"/>
      <c r="OIT22" s="66"/>
      <c r="OIU22" s="66"/>
      <c r="OIV22" s="66"/>
      <c r="OIW22" s="66"/>
      <c r="OIX22" s="66"/>
      <c r="OIY22" s="66"/>
      <c r="OIZ22" s="66"/>
      <c r="OJA22" s="66"/>
      <c r="OJB22" s="66"/>
      <c r="OJC22" s="66"/>
      <c r="OJD22" s="66"/>
      <c r="OJE22" s="66"/>
      <c r="OJF22" s="66"/>
      <c r="OJG22" s="66"/>
      <c r="OJH22" s="66"/>
      <c r="OJI22" s="66"/>
      <c r="OJJ22" s="66"/>
      <c r="OJK22" s="66"/>
      <c r="OJL22" s="66"/>
      <c r="OJM22" s="66"/>
      <c r="OJN22" s="66"/>
      <c r="OJO22" s="66"/>
      <c r="OJP22" s="66"/>
      <c r="OJQ22" s="66"/>
      <c r="OJR22" s="66"/>
      <c r="OJS22" s="66"/>
      <c r="OJT22" s="66"/>
      <c r="OJU22" s="66"/>
      <c r="OJV22" s="66"/>
      <c r="OJW22" s="66"/>
      <c r="OJX22" s="66"/>
      <c r="OJY22" s="66"/>
      <c r="OJZ22" s="66"/>
      <c r="OKA22" s="66"/>
      <c r="OKB22" s="66"/>
      <c r="OKC22" s="66"/>
      <c r="OKD22" s="66"/>
      <c r="OKE22" s="66"/>
      <c r="OKF22" s="66"/>
      <c r="OKG22" s="66"/>
      <c r="OKH22" s="66"/>
      <c r="OKI22" s="66"/>
      <c r="OKJ22" s="66"/>
      <c r="OKK22" s="66"/>
      <c r="OKL22" s="66"/>
      <c r="OKM22" s="66"/>
      <c r="OKN22" s="66"/>
      <c r="OKO22" s="66"/>
      <c r="OKP22" s="66"/>
      <c r="OKQ22" s="66"/>
      <c r="OKR22" s="66"/>
      <c r="OKS22" s="66"/>
      <c r="OKT22" s="66"/>
      <c r="OKU22" s="66"/>
      <c r="OKV22" s="66"/>
      <c r="OKW22" s="66"/>
      <c r="OKX22" s="66"/>
      <c r="OKY22" s="66"/>
      <c r="OKZ22" s="66"/>
      <c r="OLA22" s="66"/>
      <c r="OLB22" s="66"/>
      <c r="OLC22" s="66"/>
      <c r="OLD22" s="66"/>
      <c r="OLE22" s="66"/>
      <c r="OLF22" s="66"/>
      <c r="OLG22" s="66"/>
      <c r="OLH22" s="66"/>
      <c r="OLI22" s="66"/>
      <c r="OLJ22" s="66"/>
      <c r="OLK22" s="66"/>
      <c r="OLL22" s="66"/>
      <c r="OLM22" s="66"/>
      <c r="OLN22" s="66"/>
      <c r="OLO22" s="66"/>
      <c r="OLP22" s="66"/>
      <c r="OLQ22" s="66"/>
      <c r="OLR22" s="66"/>
      <c r="OLS22" s="66"/>
      <c r="OLT22" s="66"/>
      <c r="OLU22" s="66"/>
      <c r="OLV22" s="66"/>
      <c r="OLW22" s="66"/>
      <c r="OLX22" s="66"/>
      <c r="OLY22" s="66"/>
      <c r="OLZ22" s="66"/>
      <c r="OMA22" s="66"/>
      <c r="OMB22" s="66"/>
      <c r="OMC22" s="66"/>
      <c r="OMD22" s="66"/>
      <c r="OME22" s="66"/>
      <c r="OMF22" s="66"/>
      <c r="OMG22" s="66"/>
      <c r="OMH22" s="66"/>
      <c r="OMI22" s="66"/>
      <c r="OMJ22" s="66"/>
      <c r="OMK22" s="66"/>
      <c r="OML22" s="66"/>
      <c r="OMM22" s="66"/>
      <c r="OMN22" s="66"/>
      <c r="OMO22" s="66"/>
      <c r="OMP22" s="66"/>
      <c r="OMQ22" s="66"/>
      <c r="OMR22" s="66"/>
      <c r="OMS22" s="66"/>
      <c r="OMT22" s="66"/>
      <c r="OMU22" s="66"/>
      <c r="OMV22" s="66"/>
      <c r="OMW22" s="66"/>
      <c r="OMX22" s="66"/>
      <c r="OMY22" s="66"/>
      <c r="OMZ22" s="66"/>
      <c r="ONA22" s="66"/>
      <c r="ONB22" s="66"/>
      <c r="ONC22" s="66"/>
      <c r="OND22" s="66"/>
      <c r="ONE22" s="66"/>
      <c r="ONF22" s="66"/>
      <c r="ONG22" s="66"/>
      <c r="ONH22" s="66"/>
      <c r="ONI22" s="66"/>
      <c r="ONJ22" s="66"/>
      <c r="ONK22" s="66"/>
      <c r="ONL22" s="66"/>
      <c r="ONM22" s="66"/>
      <c r="ONN22" s="66"/>
      <c r="ONO22" s="66"/>
      <c r="ONP22" s="66"/>
      <c r="ONQ22" s="66"/>
      <c r="ONR22" s="66"/>
      <c r="ONS22" s="66"/>
      <c r="ONT22" s="66"/>
      <c r="ONU22" s="66"/>
      <c r="ONV22" s="66"/>
      <c r="ONW22" s="66"/>
      <c r="ONX22" s="66"/>
      <c r="ONY22" s="66"/>
      <c r="ONZ22" s="66"/>
      <c r="OOA22" s="66"/>
      <c r="OOB22" s="66"/>
      <c r="OOC22" s="66"/>
      <c r="OOD22" s="66"/>
      <c r="OOE22" s="66"/>
      <c r="OOF22" s="66"/>
      <c r="OOG22" s="66"/>
      <c r="OOH22" s="66"/>
      <c r="OOI22" s="66"/>
      <c r="OOJ22" s="66"/>
      <c r="OOK22" s="66"/>
      <c r="OOL22" s="66"/>
      <c r="OOM22" s="66"/>
      <c r="OON22" s="66"/>
      <c r="OOO22" s="66"/>
      <c r="OOP22" s="66"/>
      <c r="OOQ22" s="66"/>
      <c r="OOR22" s="66"/>
      <c r="OOS22" s="66"/>
      <c r="OOT22" s="66"/>
      <c r="OOU22" s="66"/>
      <c r="OOV22" s="66"/>
      <c r="OOW22" s="66"/>
      <c r="OOX22" s="66"/>
      <c r="OOY22" s="66"/>
      <c r="OOZ22" s="66"/>
      <c r="OPA22" s="66"/>
      <c r="OPB22" s="66"/>
      <c r="OPC22" s="66"/>
      <c r="OPD22" s="66"/>
      <c r="OPE22" s="66"/>
      <c r="OPF22" s="66"/>
      <c r="OPG22" s="66"/>
      <c r="OPH22" s="66"/>
      <c r="OPI22" s="66"/>
      <c r="OPJ22" s="66"/>
      <c r="OPK22" s="66"/>
      <c r="OPL22" s="66"/>
      <c r="OPM22" s="66"/>
      <c r="OPN22" s="66"/>
      <c r="OPO22" s="66"/>
      <c r="OPP22" s="66"/>
      <c r="OPQ22" s="66"/>
      <c r="OPR22" s="66"/>
      <c r="OPS22" s="66"/>
      <c r="OPT22" s="66"/>
      <c r="OPU22" s="66"/>
      <c r="OPV22" s="66"/>
      <c r="OPW22" s="66"/>
      <c r="OPX22" s="66"/>
      <c r="OPY22" s="66"/>
      <c r="OPZ22" s="66"/>
      <c r="OQA22" s="66"/>
      <c r="OQB22" s="66"/>
      <c r="OQC22" s="66"/>
      <c r="OQD22" s="66"/>
      <c r="OQE22" s="66"/>
      <c r="OQF22" s="66"/>
      <c r="OQG22" s="66"/>
      <c r="OQH22" s="66"/>
      <c r="OQI22" s="66"/>
      <c r="OQJ22" s="66"/>
      <c r="OQK22" s="66"/>
      <c r="OQL22" s="66"/>
      <c r="OQM22" s="66"/>
      <c r="OQN22" s="66"/>
      <c r="OQO22" s="66"/>
      <c r="OQP22" s="66"/>
      <c r="OQQ22" s="66"/>
      <c r="OQR22" s="66"/>
      <c r="OQS22" s="66"/>
      <c r="OQT22" s="66"/>
      <c r="OQU22" s="66"/>
      <c r="OQV22" s="66"/>
      <c r="OQW22" s="66"/>
      <c r="OQX22" s="66"/>
      <c r="OQY22" s="66"/>
      <c r="OQZ22" s="66"/>
      <c r="ORA22" s="66"/>
      <c r="ORB22" s="66"/>
      <c r="ORC22" s="66"/>
      <c r="ORD22" s="66"/>
      <c r="ORE22" s="66"/>
      <c r="ORF22" s="66"/>
      <c r="ORG22" s="66"/>
      <c r="ORH22" s="66"/>
      <c r="ORI22" s="66"/>
      <c r="ORJ22" s="66"/>
      <c r="ORK22" s="66"/>
      <c r="ORL22" s="66"/>
      <c r="ORM22" s="66"/>
      <c r="ORN22" s="66"/>
      <c r="ORO22" s="66"/>
      <c r="ORP22" s="66"/>
      <c r="ORQ22" s="66"/>
      <c r="ORR22" s="66"/>
      <c r="ORS22" s="66"/>
      <c r="ORT22" s="66"/>
      <c r="ORU22" s="66"/>
      <c r="ORV22" s="66"/>
      <c r="ORW22" s="66"/>
      <c r="ORX22" s="66"/>
      <c r="ORY22" s="66"/>
      <c r="ORZ22" s="66"/>
      <c r="OSA22" s="66"/>
      <c r="OSB22" s="66"/>
      <c r="OSC22" s="66"/>
      <c r="OSD22" s="66"/>
      <c r="OSE22" s="66"/>
      <c r="OSF22" s="66"/>
      <c r="OSG22" s="66"/>
      <c r="OSH22" s="66"/>
      <c r="OSI22" s="66"/>
      <c r="OSJ22" s="66"/>
      <c r="OSK22" s="66"/>
      <c r="OSL22" s="66"/>
      <c r="OSM22" s="66"/>
      <c r="OSN22" s="66"/>
      <c r="OSO22" s="66"/>
      <c r="OSP22" s="66"/>
      <c r="OSQ22" s="66"/>
      <c r="OSR22" s="66"/>
      <c r="OSS22" s="66"/>
      <c r="OST22" s="66"/>
      <c r="OSU22" s="66"/>
      <c r="OSV22" s="66"/>
      <c r="OSW22" s="66"/>
      <c r="OSX22" s="66"/>
      <c r="OSY22" s="66"/>
      <c r="OSZ22" s="66"/>
      <c r="OTA22" s="66"/>
      <c r="OTB22" s="66"/>
      <c r="OTC22" s="66"/>
      <c r="OTD22" s="66"/>
      <c r="OTE22" s="66"/>
      <c r="OTF22" s="66"/>
      <c r="OTG22" s="66"/>
      <c r="OTH22" s="66"/>
      <c r="OTI22" s="66"/>
      <c r="OTJ22" s="66"/>
      <c r="OTK22" s="66"/>
      <c r="OTL22" s="66"/>
      <c r="OTM22" s="66"/>
      <c r="OTN22" s="66"/>
      <c r="OTO22" s="66"/>
      <c r="OTP22" s="66"/>
      <c r="OTQ22" s="66"/>
      <c r="OTR22" s="66"/>
      <c r="OTS22" s="66"/>
      <c r="OTT22" s="66"/>
      <c r="OTU22" s="66"/>
      <c r="OTV22" s="66"/>
      <c r="OTW22" s="66"/>
      <c r="OTX22" s="66"/>
      <c r="OTY22" s="66"/>
      <c r="OTZ22" s="66"/>
      <c r="OUA22" s="66"/>
      <c r="OUB22" s="66"/>
      <c r="OUC22" s="66"/>
      <c r="OUD22" s="66"/>
      <c r="OUE22" s="66"/>
      <c r="OUF22" s="66"/>
      <c r="OUG22" s="66"/>
      <c r="OUH22" s="66"/>
      <c r="OUI22" s="66"/>
      <c r="OUJ22" s="66"/>
      <c r="OUK22" s="66"/>
      <c r="OUL22" s="66"/>
      <c r="OUM22" s="66"/>
      <c r="OUN22" s="66"/>
      <c r="OUO22" s="66"/>
      <c r="OUP22" s="66"/>
      <c r="OUQ22" s="66"/>
      <c r="OUR22" s="66"/>
      <c r="OUS22" s="66"/>
      <c r="OUT22" s="66"/>
      <c r="OUU22" s="66"/>
      <c r="OUV22" s="66"/>
      <c r="OUW22" s="66"/>
      <c r="OUX22" s="66"/>
      <c r="OUY22" s="66"/>
      <c r="OUZ22" s="66"/>
      <c r="OVA22" s="66"/>
      <c r="OVB22" s="66"/>
      <c r="OVC22" s="66"/>
      <c r="OVD22" s="66"/>
      <c r="OVE22" s="66"/>
      <c r="OVF22" s="66"/>
      <c r="OVG22" s="66"/>
      <c r="OVH22" s="66"/>
      <c r="OVI22" s="66"/>
      <c r="OVJ22" s="66"/>
      <c r="OVK22" s="66"/>
      <c r="OVL22" s="66"/>
      <c r="OVM22" s="66"/>
      <c r="OVN22" s="66"/>
      <c r="OVO22" s="66"/>
      <c r="OVP22" s="66"/>
      <c r="OVQ22" s="66"/>
      <c r="OVR22" s="66"/>
      <c r="OVS22" s="66"/>
      <c r="OVT22" s="66"/>
      <c r="OVU22" s="66"/>
      <c r="OVV22" s="66"/>
      <c r="OVW22" s="66"/>
      <c r="OVX22" s="66"/>
      <c r="OVY22" s="66"/>
      <c r="OVZ22" s="66"/>
      <c r="OWA22" s="66"/>
      <c r="OWB22" s="66"/>
      <c r="OWC22" s="66"/>
      <c r="OWD22" s="66"/>
      <c r="OWE22" s="66"/>
      <c r="OWF22" s="66"/>
      <c r="OWG22" s="66"/>
      <c r="OWH22" s="66"/>
      <c r="OWI22" s="66"/>
      <c r="OWJ22" s="66"/>
      <c r="OWK22" s="66"/>
      <c r="OWL22" s="66"/>
      <c r="OWM22" s="66"/>
      <c r="OWN22" s="66"/>
      <c r="OWO22" s="66"/>
      <c r="OWP22" s="66"/>
      <c r="OWQ22" s="66"/>
      <c r="OWR22" s="66"/>
      <c r="OWS22" s="66"/>
      <c r="OWT22" s="66"/>
      <c r="OWU22" s="66"/>
      <c r="OWV22" s="66"/>
      <c r="OWW22" s="66"/>
      <c r="OWX22" s="66"/>
      <c r="OWY22" s="66"/>
      <c r="OWZ22" s="66"/>
      <c r="OXA22" s="66"/>
      <c r="OXB22" s="66"/>
      <c r="OXC22" s="66"/>
      <c r="OXD22" s="66"/>
      <c r="OXE22" s="66"/>
      <c r="OXF22" s="66"/>
      <c r="OXG22" s="66"/>
      <c r="OXH22" s="66"/>
      <c r="OXI22" s="66"/>
      <c r="OXJ22" s="66"/>
      <c r="OXK22" s="66"/>
      <c r="OXL22" s="66"/>
      <c r="OXM22" s="66"/>
      <c r="OXN22" s="66"/>
      <c r="OXO22" s="66"/>
      <c r="OXP22" s="66"/>
      <c r="OXQ22" s="66"/>
      <c r="OXR22" s="66"/>
      <c r="OXS22" s="66"/>
      <c r="OXT22" s="66"/>
      <c r="OXU22" s="66"/>
      <c r="OXV22" s="66"/>
      <c r="OXW22" s="66"/>
      <c r="OXX22" s="66"/>
      <c r="OXY22" s="66"/>
      <c r="OXZ22" s="66"/>
      <c r="OYA22" s="66"/>
      <c r="OYB22" s="66"/>
      <c r="OYC22" s="66"/>
      <c r="OYD22" s="66"/>
      <c r="OYE22" s="66"/>
      <c r="OYF22" s="66"/>
      <c r="OYG22" s="66"/>
      <c r="OYH22" s="66"/>
      <c r="OYI22" s="66"/>
      <c r="OYJ22" s="66"/>
      <c r="OYK22" s="66"/>
      <c r="OYL22" s="66"/>
      <c r="OYM22" s="66"/>
      <c r="OYN22" s="66"/>
      <c r="OYO22" s="66"/>
      <c r="OYP22" s="66"/>
      <c r="OYQ22" s="66"/>
      <c r="OYR22" s="66"/>
      <c r="OYS22" s="66"/>
      <c r="OYT22" s="66"/>
      <c r="OYU22" s="66"/>
      <c r="OYV22" s="66"/>
      <c r="OYW22" s="66"/>
      <c r="OYX22" s="66"/>
      <c r="OYY22" s="66"/>
      <c r="OYZ22" s="66"/>
      <c r="OZA22" s="66"/>
      <c r="OZB22" s="66"/>
      <c r="OZC22" s="66"/>
      <c r="OZD22" s="66"/>
      <c r="OZE22" s="66"/>
      <c r="OZF22" s="66"/>
      <c r="OZG22" s="66"/>
      <c r="OZH22" s="66"/>
      <c r="OZI22" s="66"/>
      <c r="OZJ22" s="66"/>
      <c r="OZK22" s="66"/>
      <c r="OZL22" s="66"/>
      <c r="OZM22" s="66"/>
      <c r="OZN22" s="66"/>
      <c r="OZO22" s="66"/>
      <c r="OZP22" s="66"/>
      <c r="OZQ22" s="66"/>
      <c r="OZR22" s="66"/>
      <c r="OZS22" s="66"/>
      <c r="OZT22" s="66"/>
      <c r="OZU22" s="66"/>
      <c r="OZV22" s="66"/>
      <c r="OZW22" s="66"/>
      <c r="OZX22" s="66"/>
      <c r="OZY22" s="66"/>
      <c r="OZZ22" s="66"/>
      <c r="PAA22" s="66"/>
      <c r="PAB22" s="66"/>
      <c r="PAC22" s="66"/>
      <c r="PAD22" s="66"/>
      <c r="PAE22" s="66"/>
      <c r="PAF22" s="66"/>
      <c r="PAG22" s="66"/>
      <c r="PAH22" s="66"/>
      <c r="PAI22" s="66"/>
      <c r="PAJ22" s="66"/>
      <c r="PAK22" s="66"/>
      <c r="PAL22" s="66"/>
      <c r="PAM22" s="66"/>
      <c r="PAN22" s="66"/>
      <c r="PAO22" s="66"/>
      <c r="PAP22" s="66"/>
      <c r="PAQ22" s="66"/>
      <c r="PAR22" s="66"/>
      <c r="PAS22" s="66"/>
      <c r="PAT22" s="66"/>
      <c r="PAU22" s="66"/>
      <c r="PAV22" s="66"/>
      <c r="PAW22" s="66"/>
      <c r="PAX22" s="66"/>
      <c r="PAY22" s="66"/>
      <c r="PAZ22" s="66"/>
      <c r="PBA22" s="66"/>
      <c r="PBB22" s="66"/>
      <c r="PBC22" s="66"/>
      <c r="PBD22" s="66"/>
      <c r="PBE22" s="66"/>
      <c r="PBF22" s="66"/>
      <c r="PBG22" s="66"/>
      <c r="PBH22" s="66"/>
      <c r="PBI22" s="66"/>
      <c r="PBJ22" s="66"/>
      <c r="PBK22" s="66"/>
      <c r="PBL22" s="66"/>
      <c r="PBM22" s="66"/>
      <c r="PBN22" s="66"/>
      <c r="PBO22" s="66"/>
      <c r="PBP22" s="66"/>
      <c r="PBQ22" s="66"/>
      <c r="PBR22" s="66"/>
      <c r="PBS22" s="66"/>
      <c r="PBT22" s="66"/>
      <c r="PBU22" s="66"/>
      <c r="PBV22" s="66"/>
      <c r="PBW22" s="66"/>
      <c r="PBX22" s="66"/>
      <c r="PBY22" s="66"/>
      <c r="PBZ22" s="66"/>
      <c r="PCA22" s="66"/>
      <c r="PCB22" s="66"/>
      <c r="PCC22" s="66"/>
      <c r="PCD22" s="66"/>
      <c r="PCE22" s="66"/>
      <c r="PCF22" s="66"/>
      <c r="PCG22" s="66"/>
      <c r="PCH22" s="66"/>
      <c r="PCI22" s="66"/>
      <c r="PCJ22" s="66"/>
      <c r="PCK22" s="66"/>
      <c r="PCL22" s="66"/>
      <c r="PCM22" s="66"/>
      <c r="PCN22" s="66"/>
      <c r="PCO22" s="66"/>
      <c r="PCP22" s="66"/>
      <c r="PCQ22" s="66"/>
      <c r="PCR22" s="66"/>
      <c r="PCS22" s="66"/>
      <c r="PCT22" s="66"/>
      <c r="PCU22" s="66"/>
      <c r="PCV22" s="66"/>
      <c r="PCW22" s="66"/>
      <c r="PCX22" s="66"/>
      <c r="PCY22" s="66"/>
      <c r="PCZ22" s="66"/>
      <c r="PDA22" s="66"/>
      <c r="PDB22" s="66"/>
      <c r="PDC22" s="66"/>
      <c r="PDD22" s="66"/>
      <c r="PDE22" s="66"/>
      <c r="PDF22" s="66"/>
      <c r="PDG22" s="66"/>
      <c r="PDH22" s="66"/>
      <c r="PDI22" s="66"/>
      <c r="PDJ22" s="66"/>
      <c r="PDK22" s="66"/>
      <c r="PDL22" s="66"/>
      <c r="PDM22" s="66"/>
      <c r="PDN22" s="66"/>
      <c r="PDO22" s="66"/>
      <c r="PDP22" s="66"/>
      <c r="PDQ22" s="66"/>
      <c r="PDR22" s="66"/>
      <c r="PDS22" s="66"/>
      <c r="PDT22" s="66"/>
      <c r="PDU22" s="66"/>
      <c r="PDV22" s="66"/>
      <c r="PDW22" s="66"/>
      <c r="PDX22" s="66"/>
      <c r="PDY22" s="66"/>
      <c r="PDZ22" s="66"/>
      <c r="PEA22" s="66"/>
      <c r="PEB22" s="66"/>
      <c r="PEC22" s="66"/>
      <c r="PED22" s="66"/>
      <c r="PEE22" s="66"/>
      <c r="PEF22" s="66"/>
      <c r="PEG22" s="66"/>
      <c r="PEH22" s="66"/>
      <c r="PEI22" s="66"/>
      <c r="PEJ22" s="66"/>
      <c r="PEK22" s="66"/>
      <c r="PEL22" s="66"/>
      <c r="PEM22" s="66"/>
      <c r="PEN22" s="66"/>
      <c r="PEO22" s="66"/>
      <c r="PEP22" s="66"/>
      <c r="PEQ22" s="66"/>
      <c r="PER22" s="66"/>
      <c r="PES22" s="66"/>
      <c r="PET22" s="66"/>
      <c r="PEU22" s="66"/>
      <c r="PEV22" s="66"/>
      <c r="PEW22" s="66"/>
      <c r="PEX22" s="66"/>
      <c r="PEY22" s="66"/>
      <c r="PEZ22" s="66"/>
      <c r="PFA22" s="66"/>
      <c r="PFB22" s="66"/>
      <c r="PFC22" s="66"/>
      <c r="PFD22" s="66"/>
      <c r="PFE22" s="66"/>
      <c r="PFF22" s="66"/>
      <c r="PFG22" s="66"/>
      <c r="PFH22" s="66"/>
      <c r="PFI22" s="66"/>
      <c r="PFJ22" s="66"/>
      <c r="PFK22" s="66"/>
      <c r="PFL22" s="66"/>
      <c r="PFM22" s="66"/>
      <c r="PFN22" s="66"/>
      <c r="PFO22" s="66"/>
      <c r="PFP22" s="66"/>
      <c r="PFQ22" s="66"/>
      <c r="PFR22" s="66"/>
      <c r="PFS22" s="66"/>
      <c r="PFT22" s="66"/>
      <c r="PFU22" s="66"/>
      <c r="PFV22" s="66"/>
      <c r="PFW22" s="66"/>
      <c r="PFX22" s="66"/>
      <c r="PFY22" s="66"/>
      <c r="PFZ22" s="66"/>
      <c r="PGA22" s="66"/>
      <c r="PGB22" s="66"/>
      <c r="PGC22" s="66"/>
      <c r="PGD22" s="66"/>
      <c r="PGE22" s="66"/>
      <c r="PGF22" s="66"/>
      <c r="PGG22" s="66"/>
      <c r="PGH22" s="66"/>
      <c r="PGI22" s="66"/>
      <c r="PGJ22" s="66"/>
      <c r="PGK22" s="66"/>
      <c r="PGL22" s="66"/>
      <c r="PGM22" s="66"/>
      <c r="PGN22" s="66"/>
      <c r="PGO22" s="66"/>
      <c r="PGP22" s="66"/>
      <c r="PGQ22" s="66"/>
      <c r="PGR22" s="66"/>
      <c r="PGS22" s="66"/>
      <c r="PGT22" s="66"/>
      <c r="PGU22" s="66"/>
      <c r="PGV22" s="66"/>
      <c r="PGW22" s="66"/>
      <c r="PGX22" s="66"/>
      <c r="PGY22" s="66"/>
      <c r="PGZ22" s="66"/>
      <c r="PHA22" s="66"/>
      <c r="PHB22" s="66"/>
      <c r="PHC22" s="66"/>
      <c r="PHD22" s="66"/>
      <c r="PHE22" s="66"/>
      <c r="PHF22" s="66"/>
      <c r="PHG22" s="66"/>
      <c r="PHH22" s="66"/>
      <c r="PHI22" s="66"/>
      <c r="PHJ22" s="66"/>
      <c r="PHK22" s="66"/>
      <c r="PHL22" s="66"/>
      <c r="PHM22" s="66"/>
      <c r="PHN22" s="66"/>
      <c r="PHO22" s="66"/>
      <c r="PHP22" s="66"/>
      <c r="PHQ22" s="66"/>
      <c r="PHR22" s="66"/>
      <c r="PHS22" s="66"/>
      <c r="PHT22" s="66"/>
      <c r="PHU22" s="66"/>
      <c r="PHV22" s="66"/>
      <c r="PHW22" s="66"/>
      <c r="PHX22" s="66"/>
      <c r="PHY22" s="66"/>
      <c r="PHZ22" s="66"/>
      <c r="PIA22" s="66"/>
      <c r="PIB22" s="66"/>
      <c r="PIC22" s="66"/>
      <c r="PID22" s="66"/>
      <c r="PIE22" s="66"/>
      <c r="PIF22" s="66"/>
      <c r="PIG22" s="66"/>
      <c r="PIH22" s="66"/>
      <c r="PII22" s="66"/>
      <c r="PIJ22" s="66"/>
      <c r="PIK22" s="66"/>
      <c r="PIL22" s="66"/>
      <c r="PIM22" s="66"/>
      <c r="PIN22" s="66"/>
      <c r="PIO22" s="66"/>
      <c r="PIP22" s="66"/>
      <c r="PIQ22" s="66"/>
      <c r="PIR22" s="66"/>
      <c r="PIS22" s="66"/>
      <c r="PIT22" s="66"/>
      <c r="PIU22" s="66"/>
      <c r="PIV22" s="66"/>
      <c r="PIW22" s="66"/>
      <c r="PIX22" s="66"/>
      <c r="PIY22" s="66"/>
      <c r="PIZ22" s="66"/>
      <c r="PJA22" s="66"/>
      <c r="PJB22" s="66"/>
      <c r="PJC22" s="66"/>
      <c r="PJD22" s="66"/>
      <c r="PJE22" s="66"/>
      <c r="PJF22" s="66"/>
      <c r="PJG22" s="66"/>
      <c r="PJH22" s="66"/>
      <c r="PJI22" s="66"/>
      <c r="PJJ22" s="66"/>
      <c r="PJK22" s="66"/>
      <c r="PJL22" s="66"/>
      <c r="PJM22" s="66"/>
      <c r="PJN22" s="66"/>
      <c r="PJO22" s="66"/>
      <c r="PJP22" s="66"/>
      <c r="PJQ22" s="66"/>
      <c r="PJR22" s="66"/>
      <c r="PJS22" s="66"/>
      <c r="PJT22" s="66"/>
      <c r="PJU22" s="66"/>
      <c r="PJV22" s="66"/>
      <c r="PJW22" s="66"/>
      <c r="PJX22" s="66"/>
      <c r="PJY22" s="66"/>
      <c r="PJZ22" s="66"/>
      <c r="PKA22" s="66"/>
      <c r="PKB22" s="66"/>
      <c r="PKC22" s="66"/>
      <c r="PKD22" s="66"/>
      <c r="PKE22" s="66"/>
      <c r="PKF22" s="66"/>
      <c r="PKG22" s="66"/>
      <c r="PKH22" s="66"/>
      <c r="PKI22" s="66"/>
      <c r="PKJ22" s="66"/>
      <c r="PKK22" s="66"/>
      <c r="PKL22" s="66"/>
      <c r="PKM22" s="66"/>
      <c r="PKN22" s="66"/>
      <c r="PKO22" s="66"/>
      <c r="PKP22" s="66"/>
      <c r="PKQ22" s="66"/>
      <c r="PKR22" s="66"/>
      <c r="PKS22" s="66"/>
      <c r="PKT22" s="66"/>
      <c r="PKU22" s="66"/>
      <c r="PKV22" s="66"/>
      <c r="PKW22" s="66"/>
      <c r="PKX22" s="66"/>
      <c r="PKY22" s="66"/>
      <c r="PKZ22" s="66"/>
      <c r="PLA22" s="66"/>
      <c r="PLB22" s="66"/>
      <c r="PLC22" s="66"/>
      <c r="PLD22" s="66"/>
      <c r="PLE22" s="66"/>
      <c r="PLF22" s="66"/>
      <c r="PLG22" s="66"/>
      <c r="PLH22" s="66"/>
      <c r="PLI22" s="66"/>
      <c r="PLJ22" s="66"/>
      <c r="PLK22" s="66"/>
      <c r="PLL22" s="66"/>
      <c r="PLM22" s="66"/>
      <c r="PLN22" s="66"/>
      <c r="PLO22" s="66"/>
      <c r="PLP22" s="66"/>
      <c r="PLQ22" s="66"/>
      <c r="PLR22" s="66"/>
      <c r="PLS22" s="66"/>
      <c r="PLT22" s="66"/>
      <c r="PLU22" s="66"/>
      <c r="PLV22" s="66"/>
      <c r="PLW22" s="66"/>
      <c r="PLX22" s="66"/>
      <c r="PLY22" s="66"/>
      <c r="PLZ22" s="66"/>
      <c r="PMA22" s="66"/>
      <c r="PMB22" s="66"/>
      <c r="PMC22" s="66"/>
      <c r="PMD22" s="66"/>
      <c r="PME22" s="66"/>
      <c r="PMF22" s="66"/>
      <c r="PMG22" s="66"/>
      <c r="PMH22" s="66"/>
      <c r="PMI22" s="66"/>
      <c r="PMJ22" s="66"/>
      <c r="PMK22" s="66"/>
      <c r="PML22" s="66"/>
      <c r="PMM22" s="66"/>
      <c r="PMN22" s="66"/>
      <c r="PMO22" s="66"/>
      <c r="PMP22" s="66"/>
      <c r="PMQ22" s="66"/>
      <c r="PMR22" s="66"/>
      <c r="PMS22" s="66"/>
      <c r="PMT22" s="66"/>
      <c r="PMU22" s="66"/>
      <c r="PMV22" s="66"/>
      <c r="PMW22" s="66"/>
      <c r="PMX22" s="66"/>
      <c r="PMY22" s="66"/>
      <c r="PMZ22" s="66"/>
      <c r="PNA22" s="66"/>
      <c r="PNB22" s="66"/>
      <c r="PNC22" s="66"/>
      <c r="PND22" s="66"/>
      <c r="PNE22" s="66"/>
      <c r="PNF22" s="66"/>
      <c r="PNG22" s="66"/>
      <c r="PNH22" s="66"/>
      <c r="PNI22" s="66"/>
      <c r="PNJ22" s="66"/>
      <c r="PNK22" s="66"/>
      <c r="PNL22" s="66"/>
      <c r="PNM22" s="66"/>
      <c r="PNN22" s="66"/>
      <c r="PNO22" s="66"/>
      <c r="PNP22" s="66"/>
      <c r="PNQ22" s="66"/>
      <c r="PNR22" s="66"/>
      <c r="PNS22" s="66"/>
      <c r="PNT22" s="66"/>
      <c r="PNU22" s="66"/>
      <c r="PNV22" s="66"/>
      <c r="PNW22" s="66"/>
      <c r="PNX22" s="66"/>
      <c r="PNY22" s="66"/>
      <c r="PNZ22" s="66"/>
      <c r="POA22" s="66"/>
      <c r="POB22" s="66"/>
      <c r="POC22" s="66"/>
      <c r="POD22" s="66"/>
      <c r="POE22" s="66"/>
      <c r="POF22" s="66"/>
      <c r="POG22" s="66"/>
      <c r="POH22" s="66"/>
      <c r="POI22" s="66"/>
      <c r="POJ22" s="66"/>
      <c r="POK22" s="66"/>
      <c r="POL22" s="66"/>
      <c r="POM22" s="66"/>
      <c r="PON22" s="66"/>
      <c r="POO22" s="66"/>
      <c r="POP22" s="66"/>
      <c r="POQ22" s="66"/>
      <c r="POR22" s="66"/>
      <c r="POS22" s="66"/>
      <c r="POT22" s="66"/>
      <c r="POU22" s="66"/>
      <c r="POV22" s="66"/>
      <c r="POW22" s="66"/>
      <c r="POX22" s="66"/>
      <c r="POY22" s="66"/>
      <c r="POZ22" s="66"/>
      <c r="PPA22" s="66"/>
      <c r="PPB22" s="66"/>
      <c r="PPC22" s="66"/>
      <c r="PPD22" s="66"/>
      <c r="PPE22" s="66"/>
      <c r="PPF22" s="66"/>
      <c r="PPG22" s="66"/>
      <c r="PPH22" s="66"/>
      <c r="PPI22" s="66"/>
      <c r="PPJ22" s="66"/>
      <c r="PPK22" s="66"/>
      <c r="PPL22" s="66"/>
      <c r="PPM22" s="66"/>
      <c r="PPN22" s="66"/>
      <c r="PPO22" s="66"/>
      <c r="PPP22" s="66"/>
      <c r="PPQ22" s="66"/>
      <c r="PPR22" s="66"/>
      <c r="PPS22" s="66"/>
      <c r="PPT22" s="66"/>
      <c r="PPU22" s="66"/>
      <c r="PPV22" s="66"/>
      <c r="PPW22" s="66"/>
      <c r="PPX22" s="66"/>
      <c r="PPY22" s="66"/>
      <c r="PPZ22" s="66"/>
      <c r="PQA22" s="66"/>
      <c r="PQB22" s="66"/>
      <c r="PQC22" s="66"/>
      <c r="PQD22" s="66"/>
      <c r="PQE22" s="66"/>
      <c r="PQF22" s="66"/>
      <c r="PQG22" s="66"/>
      <c r="PQH22" s="66"/>
      <c r="PQI22" s="66"/>
      <c r="PQJ22" s="66"/>
      <c r="PQK22" s="66"/>
      <c r="PQL22" s="66"/>
      <c r="PQM22" s="66"/>
      <c r="PQN22" s="66"/>
      <c r="PQO22" s="66"/>
      <c r="PQP22" s="66"/>
      <c r="PQQ22" s="66"/>
      <c r="PQR22" s="66"/>
      <c r="PQS22" s="66"/>
      <c r="PQT22" s="66"/>
      <c r="PQU22" s="66"/>
      <c r="PQV22" s="66"/>
      <c r="PQW22" s="66"/>
      <c r="PQX22" s="66"/>
      <c r="PQY22" s="66"/>
      <c r="PQZ22" s="66"/>
      <c r="PRA22" s="66"/>
      <c r="PRB22" s="66"/>
      <c r="PRC22" s="66"/>
      <c r="PRD22" s="66"/>
      <c r="PRE22" s="66"/>
      <c r="PRF22" s="66"/>
      <c r="PRG22" s="66"/>
      <c r="PRH22" s="66"/>
      <c r="PRI22" s="66"/>
      <c r="PRJ22" s="66"/>
      <c r="PRK22" s="66"/>
      <c r="PRL22" s="66"/>
      <c r="PRM22" s="66"/>
      <c r="PRN22" s="66"/>
      <c r="PRO22" s="66"/>
      <c r="PRP22" s="66"/>
      <c r="PRQ22" s="66"/>
      <c r="PRR22" s="66"/>
      <c r="PRS22" s="66"/>
      <c r="PRT22" s="66"/>
      <c r="PRU22" s="66"/>
      <c r="PRV22" s="66"/>
      <c r="PRW22" s="66"/>
      <c r="PRX22" s="66"/>
      <c r="PRY22" s="66"/>
      <c r="PRZ22" s="66"/>
      <c r="PSA22" s="66"/>
      <c r="PSB22" s="66"/>
      <c r="PSC22" s="66"/>
      <c r="PSD22" s="66"/>
      <c r="PSE22" s="66"/>
      <c r="PSF22" s="66"/>
      <c r="PSG22" s="66"/>
      <c r="PSH22" s="66"/>
      <c r="PSI22" s="66"/>
      <c r="PSJ22" s="66"/>
      <c r="PSK22" s="66"/>
      <c r="PSL22" s="66"/>
      <c r="PSM22" s="66"/>
      <c r="PSN22" s="66"/>
      <c r="PSO22" s="66"/>
      <c r="PSP22" s="66"/>
      <c r="PSQ22" s="66"/>
      <c r="PSR22" s="66"/>
      <c r="PSS22" s="66"/>
      <c r="PST22" s="66"/>
      <c r="PSU22" s="66"/>
      <c r="PSV22" s="66"/>
      <c r="PSW22" s="66"/>
      <c r="PSX22" s="66"/>
      <c r="PSY22" s="66"/>
      <c r="PSZ22" s="66"/>
      <c r="PTA22" s="66"/>
      <c r="PTB22" s="66"/>
      <c r="PTC22" s="66"/>
      <c r="PTD22" s="66"/>
      <c r="PTE22" s="66"/>
      <c r="PTF22" s="66"/>
      <c r="PTG22" s="66"/>
      <c r="PTH22" s="66"/>
      <c r="PTI22" s="66"/>
      <c r="PTJ22" s="66"/>
      <c r="PTK22" s="66"/>
      <c r="PTL22" s="66"/>
      <c r="PTM22" s="66"/>
      <c r="PTN22" s="66"/>
      <c r="PTO22" s="66"/>
      <c r="PTP22" s="66"/>
      <c r="PTQ22" s="66"/>
      <c r="PTR22" s="66"/>
      <c r="PTS22" s="66"/>
      <c r="PTT22" s="66"/>
      <c r="PTU22" s="66"/>
      <c r="PTV22" s="66"/>
      <c r="PTW22" s="66"/>
      <c r="PTX22" s="66"/>
      <c r="PTY22" s="66"/>
      <c r="PTZ22" s="66"/>
      <c r="PUA22" s="66"/>
      <c r="PUB22" s="66"/>
      <c r="PUC22" s="66"/>
      <c r="PUD22" s="66"/>
      <c r="PUE22" s="66"/>
      <c r="PUF22" s="66"/>
      <c r="PUG22" s="66"/>
      <c r="PUH22" s="66"/>
      <c r="PUI22" s="66"/>
      <c r="PUJ22" s="66"/>
      <c r="PUK22" s="66"/>
      <c r="PUL22" s="66"/>
      <c r="PUM22" s="66"/>
      <c r="PUN22" s="66"/>
      <c r="PUO22" s="66"/>
      <c r="PUP22" s="66"/>
      <c r="PUQ22" s="66"/>
      <c r="PUR22" s="66"/>
      <c r="PUS22" s="66"/>
      <c r="PUT22" s="66"/>
      <c r="PUU22" s="66"/>
      <c r="PUV22" s="66"/>
      <c r="PUW22" s="66"/>
      <c r="PUX22" s="66"/>
      <c r="PUY22" s="66"/>
      <c r="PUZ22" s="66"/>
      <c r="PVA22" s="66"/>
      <c r="PVB22" s="66"/>
      <c r="PVC22" s="66"/>
      <c r="PVD22" s="66"/>
      <c r="PVE22" s="66"/>
      <c r="PVF22" s="66"/>
      <c r="PVG22" s="66"/>
      <c r="PVH22" s="66"/>
      <c r="PVI22" s="66"/>
      <c r="PVJ22" s="66"/>
      <c r="PVK22" s="66"/>
      <c r="PVL22" s="66"/>
      <c r="PVM22" s="66"/>
      <c r="PVN22" s="66"/>
      <c r="PVO22" s="66"/>
      <c r="PVP22" s="66"/>
      <c r="PVQ22" s="66"/>
      <c r="PVR22" s="66"/>
      <c r="PVS22" s="66"/>
      <c r="PVT22" s="66"/>
      <c r="PVU22" s="66"/>
      <c r="PVV22" s="66"/>
      <c r="PVW22" s="66"/>
      <c r="PVX22" s="66"/>
      <c r="PVY22" s="66"/>
      <c r="PVZ22" s="66"/>
      <c r="PWA22" s="66"/>
      <c r="PWB22" s="66"/>
      <c r="PWC22" s="66"/>
      <c r="PWD22" s="66"/>
      <c r="PWE22" s="66"/>
      <c r="PWF22" s="66"/>
      <c r="PWG22" s="66"/>
      <c r="PWH22" s="66"/>
      <c r="PWI22" s="66"/>
      <c r="PWJ22" s="66"/>
      <c r="PWK22" s="66"/>
      <c r="PWL22" s="66"/>
      <c r="PWM22" s="66"/>
      <c r="PWN22" s="66"/>
      <c r="PWO22" s="66"/>
      <c r="PWP22" s="66"/>
      <c r="PWQ22" s="66"/>
      <c r="PWR22" s="66"/>
      <c r="PWS22" s="66"/>
      <c r="PWT22" s="66"/>
      <c r="PWU22" s="66"/>
      <c r="PWV22" s="66"/>
      <c r="PWW22" s="66"/>
      <c r="PWX22" s="66"/>
      <c r="PWY22" s="66"/>
      <c r="PWZ22" s="66"/>
      <c r="PXA22" s="66"/>
      <c r="PXB22" s="66"/>
      <c r="PXC22" s="66"/>
      <c r="PXD22" s="66"/>
      <c r="PXE22" s="66"/>
      <c r="PXF22" s="66"/>
      <c r="PXG22" s="66"/>
      <c r="PXH22" s="66"/>
      <c r="PXI22" s="66"/>
      <c r="PXJ22" s="66"/>
      <c r="PXK22" s="66"/>
      <c r="PXL22" s="66"/>
      <c r="PXM22" s="66"/>
      <c r="PXN22" s="66"/>
      <c r="PXO22" s="66"/>
      <c r="PXP22" s="66"/>
      <c r="PXQ22" s="66"/>
      <c r="PXR22" s="66"/>
      <c r="PXS22" s="66"/>
      <c r="PXT22" s="66"/>
      <c r="PXU22" s="66"/>
      <c r="PXV22" s="66"/>
      <c r="PXW22" s="66"/>
      <c r="PXX22" s="66"/>
      <c r="PXY22" s="66"/>
      <c r="PXZ22" s="66"/>
      <c r="PYA22" s="66"/>
      <c r="PYB22" s="66"/>
      <c r="PYC22" s="66"/>
      <c r="PYD22" s="66"/>
      <c r="PYE22" s="66"/>
      <c r="PYF22" s="66"/>
      <c r="PYG22" s="66"/>
      <c r="PYH22" s="66"/>
      <c r="PYI22" s="66"/>
      <c r="PYJ22" s="66"/>
      <c r="PYK22" s="66"/>
      <c r="PYL22" s="66"/>
      <c r="PYM22" s="66"/>
      <c r="PYN22" s="66"/>
      <c r="PYO22" s="66"/>
      <c r="PYP22" s="66"/>
      <c r="PYQ22" s="66"/>
      <c r="PYR22" s="66"/>
      <c r="PYS22" s="66"/>
      <c r="PYT22" s="66"/>
      <c r="PYU22" s="66"/>
      <c r="PYV22" s="66"/>
      <c r="PYW22" s="66"/>
      <c r="PYX22" s="66"/>
      <c r="PYY22" s="66"/>
      <c r="PYZ22" s="66"/>
      <c r="PZA22" s="66"/>
      <c r="PZB22" s="66"/>
      <c r="PZC22" s="66"/>
      <c r="PZD22" s="66"/>
      <c r="PZE22" s="66"/>
      <c r="PZF22" s="66"/>
      <c r="PZG22" s="66"/>
      <c r="PZH22" s="66"/>
      <c r="PZI22" s="66"/>
      <c r="PZJ22" s="66"/>
      <c r="PZK22" s="66"/>
      <c r="PZL22" s="66"/>
      <c r="PZM22" s="66"/>
      <c r="PZN22" s="66"/>
      <c r="PZO22" s="66"/>
      <c r="PZP22" s="66"/>
      <c r="PZQ22" s="66"/>
      <c r="PZR22" s="66"/>
      <c r="PZS22" s="66"/>
      <c r="PZT22" s="66"/>
      <c r="PZU22" s="66"/>
      <c r="PZV22" s="66"/>
      <c r="PZW22" s="66"/>
      <c r="PZX22" s="66"/>
      <c r="PZY22" s="66"/>
      <c r="PZZ22" s="66"/>
      <c r="QAA22" s="66"/>
      <c r="QAB22" s="66"/>
      <c r="QAC22" s="66"/>
      <c r="QAD22" s="66"/>
      <c r="QAE22" s="66"/>
      <c r="QAF22" s="66"/>
      <c r="QAG22" s="66"/>
      <c r="QAH22" s="66"/>
      <c r="QAI22" s="66"/>
      <c r="QAJ22" s="66"/>
      <c r="QAK22" s="66"/>
      <c r="QAL22" s="66"/>
      <c r="QAM22" s="66"/>
      <c r="QAN22" s="66"/>
      <c r="QAO22" s="66"/>
      <c r="QAP22" s="66"/>
      <c r="QAQ22" s="66"/>
      <c r="QAR22" s="66"/>
      <c r="QAS22" s="66"/>
      <c r="QAT22" s="66"/>
      <c r="QAU22" s="66"/>
      <c r="QAV22" s="66"/>
      <c r="QAW22" s="66"/>
      <c r="QAX22" s="66"/>
      <c r="QAY22" s="66"/>
      <c r="QAZ22" s="66"/>
      <c r="QBA22" s="66"/>
      <c r="QBB22" s="66"/>
      <c r="QBC22" s="66"/>
      <c r="QBD22" s="66"/>
      <c r="QBE22" s="66"/>
      <c r="QBF22" s="66"/>
      <c r="QBG22" s="66"/>
      <c r="QBH22" s="66"/>
      <c r="QBI22" s="66"/>
      <c r="QBJ22" s="66"/>
      <c r="QBK22" s="66"/>
      <c r="QBL22" s="66"/>
      <c r="QBM22" s="66"/>
      <c r="QBN22" s="66"/>
      <c r="QBO22" s="66"/>
      <c r="QBP22" s="66"/>
      <c r="QBQ22" s="66"/>
      <c r="QBR22" s="66"/>
      <c r="QBS22" s="66"/>
      <c r="QBT22" s="66"/>
      <c r="QBU22" s="66"/>
      <c r="QBV22" s="66"/>
      <c r="QBW22" s="66"/>
      <c r="QBX22" s="66"/>
      <c r="QBY22" s="66"/>
      <c r="QBZ22" s="66"/>
      <c r="QCA22" s="66"/>
      <c r="QCB22" s="66"/>
      <c r="QCC22" s="66"/>
      <c r="QCD22" s="66"/>
      <c r="QCE22" s="66"/>
      <c r="QCF22" s="66"/>
      <c r="QCG22" s="66"/>
      <c r="QCH22" s="66"/>
      <c r="QCI22" s="66"/>
      <c r="QCJ22" s="66"/>
      <c r="QCK22" s="66"/>
      <c r="QCL22" s="66"/>
      <c r="QCM22" s="66"/>
      <c r="QCN22" s="66"/>
      <c r="QCO22" s="66"/>
      <c r="QCP22" s="66"/>
      <c r="QCQ22" s="66"/>
      <c r="QCR22" s="66"/>
      <c r="QCS22" s="66"/>
      <c r="QCT22" s="66"/>
      <c r="QCU22" s="66"/>
      <c r="QCV22" s="66"/>
      <c r="QCW22" s="66"/>
      <c r="QCX22" s="66"/>
      <c r="QCY22" s="66"/>
      <c r="QCZ22" s="66"/>
      <c r="QDA22" s="66"/>
      <c r="QDB22" s="66"/>
      <c r="QDC22" s="66"/>
      <c r="QDD22" s="66"/>
      <c r="QDE22" s="66"/>
      <c r="QDF22" s="66"/>
      <c r="QDG22" s="66"/>
      <c r="QDH22" s="66"/>
      <c r="QDI22" s="66"/>
      <c r="QDJ22" s="66"/>
      <c r="QDK22" s="66"/>
      <c r="QDL22" s="66"/>
      <c r="QDM22" s="66"/>
      <c r="QDN22" s="66"/>
      <c r="QDO22" s="66"/>
      <c r="QDP22" s="66"/>
      <c r="QDQ22" s="66"/>
      <c r="QDR22" s="66"/>
      <c r="QDS22" s="66"/>
      <c r="QDT22" s="66"/>
      <c r="QDU22" s="66"/>
      <c r="QDV22" s="66"/>
      <c r="QDW22" s="66"/>
      <c r="QDX22" s="66"/>
      <c r="QDY22" s="66"/>
      <c r="QDZ22" s="66"/>
      <c r="QEA22" s="66"/>
      <c r="QEB22" s="66"/>
      <c r="QEC22" s="66"/>
      <c r="QED22" s="66"/>
      <c r="QEE22" s="66"/>
      <c r="QEF22" s="66"/>
      <c r="QEG22" s="66"/>
      <c r="QEH22" s="66"/>
      <c r="QEI22" s="66"/>
      <c r="QEJ22" s="66"/>
      <c r="QEK22" s="66"/>
      <c r="QEL22" s="66"/>
      <c r="QEM22" s="66"/>
      <c r="QEN22" s="66"/>
      <c r="QEO22" s="66"/>
      <c r="QEP22" s="66"/>
      <c r="QEQ22" s="66"/>
      <c r="QER22" s="66"/>
      <c r="QES22" s="66"/>
      <c r="QET22" s="66"/>
      <c r="QEU22" s="66"/>
      <c r="QEV22" s="66"/>
      <c r="QEW22" s="66"/>
      <c r="QEX22" s="66"/>
      <c r="QEY22" s="66"/>
      <c r="QEZ22" s="66"/>
      <c r="QFA22" s="66"/>
      <c r="QFB22" s="66"/>
      <c r="QFC22" s="66"/>
      <c r="QFD22" s="66"/>
      <c r="QFE22" s="66"/>
      <c r="QFF22" s="66"/>
      <c r="QFG22" s="66"/>
      <c r="QFH22" s="66"/>
      <c r="QFI22" s="66"/>
      <c r="QFJ22" s="66"/>
      <c r="QFK22" s="66"/>
      <c r="QFL22" s="66"/>
      <c r="QFM22" s="66"/>
      <c r="QFN22" s="66"/>
      <c r="QFO22" s="66"/>
      <c r="QFP22" s="66"/>
      <c r="QFQ22" s="66"/>
      <c r="QFR22" s="66"/>
      <c r="QFS22" s="66"/>
      <c r="QFT22" s="66"/>
      <c r="QFU22" s="66"/>
      <c r="QFV22" s="66"/>
      <c r="QFW22" s="66"/>
      <c r="QFX22" s="66"/>
      <c r="QFY22" s="66"/>
      <c r="QFZ22" s="66"/>
      <c r="QGA22" s="66"/>
      <c r="QGB22" s="66"/>
      <c r="QGC22" s="66"/>
      <c r="QGD22" s="66"/>
      <c r="QGE22" s="66"/>
      <c r="QGF22" s="66"/>
      <c r="QGG22" s="66"/>
      <c r="QGH22" s="66"/>
      <c r="QGI22" s="66"/>
      <c r="QGJ22" s="66"/>
      <c r="QGK22" s="66"/>
      <c r="QGL22" s="66"/>
      <c r="QGM22" s="66"/>
      <c r="QGN22" s="66"/>
      <c r="QGO22" s="66"/>
      <c r="QGP22" s="66"/>
      <c r="QGQ22" s="66"/>
      <c r="QGR22" s="66"/>
      <c r="QGS22" s="66"/>
      <c r="QGT22" s="66"/>
      <c r="QGU22" s="66"/>
      <c r="QGV22" s="66"/>
      <c r="QGW22" s="66"/>
      <c r="QGX22" s="66"/>
      <c r="QGY22" s="66"/>
      <c r="QGZ22" s="66"/>
      <c r="QHA22" s="66"/>
      <c r="QHB22" s="66"/>
      <c r="QHC22" s="66"/>
      <c r="QHD22" s="66"/>
      <c r="QHE22" s="66"/>
      <c r="QHF22" s="66"/>
      <c r="QHG22" s="66"/>
      <c r="QHH22" s="66"/>
      <c r="QHI22" s="66"/>
      <c r="QHJ22" s="66"/>
      <c r="QHK22" s="66"/>
      <c r="QHL22" s="66"/>
      <c r="QHM22" s="66"/>
      <c r="QHN22" s="66"/>
      <c r="QHO22" s="66"/>
      <c r="QHP22" s="66"/>
      <c r="QHQ22" s="66"/>
      <c r="QHR22" s="66"/>
      <c r="QHS22" s="66"/>
      <c r="QHT22" s="66"/>
      <c r="QHU22" s="66"/>
      <c r="QHV22" s="66"/>
      <c r="QHW22" s="66"/>
      <c r="QHX22" s="66"/>
      <c r="QHY22" s="66"/>
      <c r="QHZ22" s="66"/>
      <c r="QIA22" s="66"/>
      <c r="QIB22" s="66"/>
      <c r="QIC22" s="66"/>
      <c r="QID22" s="66"/>
      <c r="QIE22" s="66"/>
      <c r="QIF22" s="66"/>
      <c r="QIG22" s="66"/>
      <c r="QIH22" s="66"/>
      <c r="QII22" s="66"/>
      <c r="QIJ22" s="66"/>
      <c r="QIK22" s="66"/>
      <c r="QIL22" s="66"/>
      <c r="QIM22" s="66"/>
      <c r="QIN22" s="66"/>
      <c r="QIO22" s="66"/>
      <c r="QIP22" s="66"/>
      <c r="QIQ22" s="66"/>
      <c r="QIR22" s="66"/>
      <c r="QIS22" s="66"/>
      <c r="QIT22" s="66"/>
      <c r="QIU22" s="66"/>
      <c r="QIV22" s="66"/>
      <c r="QIW22" s="66"/>
      <c r="QIX22" s="66"/>
      <c r="QIY22" s="66"/>
      <c r="QIZ22" s="66"/>
      <c r="QJA22" s="66"/>
      <c r="QJB22" s="66"/>
      <c r="QJC22" s="66"/>
      <c r="QJD22" s="66"/>
      <c r="QJE22" s="66"/>
      <c r="QJF22" s="66"/>
      <c r="QJG22" s="66"/>
      <c r="QJH22" s="66"/>
      <c r="QJI22" s="66"/>
      <c r="QJJ22" s="66"/>
      <c r="QJK22" s="66"/>
      <c r="QJL22" s="66"/>
      <c r="QJM22" s="66"/>
      <c r="QJN22" s="66"/>
      <c r="QJO22" s="66"/>
      <c r="QJP22" s="66"/>
      <c r="QJQ22" s="66"/>
      <c r="QJR22" s="66"/>
      <c r="QJS22" s="66"/>
      <c r="QJT22" s="66"/>
      <c r="QJU22" s="66"/>
      <c r="QJV22" s="66"/>
      <c r="QJW22" s="66"/>
      <c r="QJX22" s="66"/>
      <c r="QJY22" s="66"/>
      <c r="QJZ22" s="66"/>
      <c r="QKA22" s="66"/>
      <c r="QKB22" s="66"/>
      <c r="QKC22" s="66"/>
      <c r="QKD22" s="66"/>
      <c r="QKE22" s="66"/>
      <c r="QKF22" s="66"/>
      <c r="QKG22" s="66"/>
      <c r="QKH22" s="66"/>
      <c r="QKI22" s="66"/>
      <c r="QKJ22" s="66"/>
      <c r="QKK22" s="66"/>
      <c r="QKL22" s="66"/>
      <c r="QKM22" s="66"/>
      <c r="QKN22" s="66"/>
      <c r="QKO22" s="66"/>
      <c r="QKP22" s="66"/>
      <c r="QKQ22" s="66"/>
      <c r="QKR22" s="66"/>
      <c r="QKS22" s="66"/>
      <c r="QKT22" s="66"/>
      <c r="QKU22" s="66"/>
      <c r="QKV22" s="66"/>
      <c r="QKW22" s="66"/>
      <c r="QKX22" s="66"/>
      <c r="QKY22" s="66"/>
      <c r="QKZ22" s="66"/>
      <c r="QLA22" s="66"/>
      <c r="QLB22" s="66"/>
      <c r="QLC22" s="66"/>
      <c r="QLD22" s="66"/>
      <c r="QLE22" s="66"/>
      <c r="QLF22" s="66"/>
      <c r="QLG22" s="66"/>
      <c r="QLH22" s="66"/>
      <c r="QLI22" s="66"/>
      <c r="QLJ22" s="66"/>
      <c r="QLK22" s="66"/>
      <c r="QLL22" s="66"/>
      <c r="QLM22" s="66"/>
      <c r="QLN22" s="66"/>
      <c r="QLO22" s="66"/>
      <c r="QLP22" s="66"/>
      <c r="QLQ22" s="66"/>
      <c r="QLR22" s="66"/>
      <c r="QLS22" s="66"/>
      <c r="QLT22" s="66"/>
      <c r="QLU22" s="66"/>
      <c r="QLV22" s="66"/>
      <c r="QLW22" s="66"/>
      <c r="QLX22" s="66"/>
      <c r="QLY22" s="66"/>
      <c r="QLZ22" s="66"/>
      <c r="QMA22" s="66"/>
      <c r="QMB22" s="66"/>
      <c r="QMC22" s="66"/>
      <c r="QMD22" s="66"/>
      <c r="QME22" s="66"/>
      <c r="QMF22" s="66"/>
      <c r="QMG22" s="66"/>
      <c r="QMH22" s="66"/>
      <c r="QMI22" s="66"/>
      <c r="QMJ22" s="66"/>
      <c r="QMK22" s="66"/>
      <c r="QML22" s="66"/>
      <c r="QMM22" s="66"/>
      <c r="QMN22" s="66"/>
      <c r="QMO22" s="66"/>
      <c r="QMP22" s="66"/>
      <c r="QMQ22" s="66"/>
      <c r="QMR22" s="66"/>
      <c r="QMS22" s="66"/>
      <c r="QMT22" s="66"/>
      <c r="QMU22" s="66"/>
      <c r="QMV22" s="66"/>
      <c r="QMW22" s="66"/>
      <c r="QMX22" s="66"/>
      <c r="QMY22" s="66"/>
      <c r="QMZ22" s="66"/>
      <c r="QNA22" s="66"/>
      <c r="QNB22" s="66"/>
      <c r="QNC22" s="66"/>
      <c r="QND22" s="66"/>
      <c r="QNE22" s="66"/>
      <c r="QNF22" s="66"/>
      <c r="QNG22" s="66"/>
      <c r="QNH22" s="66"/>
      <c r="QNI22" s="66"/>
      <c r="QNJ22" s="66"/>
      <c r="QNK22" s="66"/>
      <c r="QNL22" s="66"/>
      <c r="QNM22" s="66"/>
      <c r="QNN22" s="66"/>
      <c r="QNO22" s="66"/>
      <c r="QNP22" s="66"/>
      <c r="QNQ22" s="66"/>
      <c r="QNR22" s="66"/>
      <c r="QNS22" s="66"/>
      <c r="QNT22" s="66"/>
      <c r="QNU22" s="66"/>
      <c r="QNV22" s="66"/>
      <c r="QNW22" s="66"/>
      <c r="QNX22" s="66"/>
      <c r="QNY22" s="66"/>
      <c r="QNZ22" s="66"/>
      <c r="QOA22" s="66"/>
      <c r="QOB22" s="66"/>
      <c r="QOC22" s="66"/>
      <c r="QOD22" s="66"/>
      <c r="QOE22" s="66"/>
      <c r="QOF22" s="66"/>
      <c r="QOG22" s="66"/>
      <c r="QOH22" s="66"/>
      <c r="QOI22" s="66"/>
      <c r="QOJ22" s="66"/>
      <c r="QOK22" s="66"/>
      <c r="QOL22" s="66"/>
      <c r="QOM22" s="66"/>
      <c r="QON22" s="66"/>
      <c r="QOO22" s="66"/>
      <c r="QOP22" s="66"/>
      <c r="QOQ22" s="66"/>
      <c r="QOR22" s="66"/>
      <c r="QOS22" s="66"/>
      <c r="QOT22" s="66"/>
      <c r="QOU22" s="66"/>
      <c r="QOV22" s="66"/>
      <c r="QOW22" s="66"/>
      <c r="QOX22" s="66"/>
      <c r="QOY22" s="66"/>
      <c r="QOZ22" s="66"/>
      <c r="QPA22" s="66"/>
      <c r="QPB22" s="66"/>
      <c r="QPC22" s="66"/>
      <c r="QPD22" s="66"/>
      <c r="QPE22" s="66"/>
      <c r="QPF22" s="66"/>
      <c r="QPG22" s="66"/>
      <c r="QPH22" s="66"/>
      <c r="QPI22" s="66"/>
      <c r="QPJ22" s="66"/>
      <c r="QPK22" s="66"/>
      <c r="QPL22" s="66"/>
      <c r="QPM22" s="66"/>
      <c r="QPN22" s="66"/>
      <c r="QPO22" s="66"/>
      <c r="QPP22" s="66"/>
      <c r="QPQ22" s="66"/>
      <c r="QPR22" s="66"/>
      <c r="QPS22" s="66"/>
      <c r="QPT22" s="66"/>
      <c r="QPU22" s="66"/>
      <c r="QPV22" s="66"/>
      <c r="QPW22" s="66"/>
      <c r="QPX22" s="66"/>
      <c r="QPY22" s="66"/>
      <c r="QPZ22" s="66"/>
      <c r="QQA22" s="66"/>
      <c r="QQB22" s="66"/>
      <c r="QQC22" s="66"/>
      <c r="QQD22" s="66"/>
      <c r="QQE22" s="66"/>
      <c r="QQF22" s="66"/>
      <c r="QQG22" s="66"/>
      <c r="QQH22" s="66"/>
      <c r="QQI22" s="66"/>
      <c r="QQJ22" s="66"/>
      <c r="QQK22" s="66"/>
      <c r="QQL22" s="66"/>
      <c r="QQM22" s="66"/>
      <c r="QQN22" s="66"/>
      <c r="QQO22" s="66"/>
      <c r="QQP22" s="66"/>
      <c r="QQQ22" s="66"/>
      <c r="QQR22" s="66"/>
      <c r="QQS22" s="66"/>
      <c r="QQT22" s="66"/>
      <c r="QQU22" s="66"/>
      <c r="QQV22" s="66"/>
      <c r="QQW22" s="66"/>
      <c r="QQX22" s="66"/>
      <c r="QQY22" s="66"/>
      <c r="QQZ22" s="66"/>
      <c r="QRA22" s="66"/>
      <c r="QRB22" s="66"/>
      <c r="QRC22" s="66"/>
      <c r="QRD22" s="66"/>
      <c r="QRE22" s="66"/>
      <c r="QRF22" s="66"/>
      <c r="QRG22" s="66"/>
      <c r="QRH22" s="66"/>
      <c r="QRI22" s="66"/>
      <c r="QRJ22" s="66"/>
      <c r="QRK22" s="66"/>
      <c r="QRL22" s="66"/>
      <c r="QRM22" s="66"/>
      <c r="QRN22" s="66"/>
      <c r="QRO22" s="66"/>
      <c r="QRP22" s="66"/>
      <c r="QRQ22" s="66"/>
      <c r="QRR22" s="66"/>
      <c r="QRS22" s="66"/>
      <c r="QRT22" s="66"/>
      <c r="QRU22" s="66"/>
      <c r="QRV22" s="66"/>
      <c r="QRW22" s="66"/>
      <c r="QRX22" s="66"/>
      <c r="QRY22" s="66"/>
      <c r="QRZ22" s="66"/>
      <c r="QSA22" s="66"/>
      <c r="QSB22" s="66"/>
      <c r="QSC22" s="66"/>
      <c r="QSD22" s="66"/>
      <c r="QSE22" s="66"/>
      <c r="QSF22" s="66"/>
      <c r="QSG22" s="66"/>
      <c r="QSH22" s="66"/>
      <c r="QSI22" s="66"/>
      <c r="QSJ22" s="66"/>
      <c r="QSK22" s="66"/>
      <c r="QSL22" s="66"/>
      <c r="QSM22" s="66"/>
      <c r="QSN22" s="66"/>
      <c r="QSO22" s="66"/>
      <c r="QSP22" s="66"/>
      <c r="QSQ22" s="66"/>
      <c r="QSR22" s="66"/>
      <c r="QSS22" s="66"/>
      <c r="QST22" s="66"/>
      <c r="QSU22" s="66"/>
      <c r="QSV22" s="66"/>
      <c r="QSW22" s="66"/>
      <c r="QSX22" s="66"/>
      <c r="QSY22" s="66"/>
      <c r="QSZ22" s="66"/>
      <c r="QTA22" s="66"/>
      <c r="QTB22" s="66"/>
      <c r="QTC22" s="66"/>
      <c r="QTD22" s="66"/>
      <c r="QTE22" s="66"/>
      <c r="QTF22" s="66"/>
      <c r="QTG22" s="66"/>
      <c r="QTH22" s="66"/>
      <c r="QTI22" s="66"/>
      <c r="QTJ22" s="66"/>
      <c r="QTK22" s="66"/>
      <c r="QTL22" s="66"/>
      <c r="QTM22" s="66"/>
      <c r="QTN22" s="66"/>
      <c r="QTO22" s="66"/>
      <c r="QTP22" s="66"/>
      <c r="QTQ22" s="66"/>
      <c r="QTR22" s="66"/>
      <c r="QTS22" s="66"/>
      <c r="QTT22" s="66"/>
      <c r="QTU22" s="66"/>
      <c r="QTV22" s="66"/>
      <c r="QTW22" s="66"/>
      <c r="QTX22" s="66"/>
      <c r="QTY22" s="66"/>
      <c r="QTZ22" s="66"/>
      <c r="QUA22" s="66"/>
      <c r="QUB22" s="66"/>
      <c r="QUC22" s="66"/>
      <c r="QUD22" s="66"/>
      <c r="QUE22" s="66"/>
      <c r="QUF22" s="66"/>
      <c r="QUG22" s="66"/>
      <c r="QUH22" s="66"/>
      <c r="QUI22" s="66"/>
      <c r="QUJ22" s="66"/>
      <c r="QUK22" s="66"/>
      <c r="QUL22" s="66"/>
      <c r="QUM22" s="66"/>
      <c r="QUN22" s="66"/>
      <c r="QUO22" s="66"/>
      <c r="QUP22" s="66"/>
      <c r="QUQ22" s="66"/>
      <c r="QUR22" s="66"/>
      <c r="QUS22" s="66"/>
      <c r="QUT22" s="66"/>
      <c r="QUU22" s="66"/>
      <c r="QUV22" s="66"/>
      <c r="QUW22" s="66"/>
      <c r="QUX22" s="66"/>
      <c r="QUY22" s="66"/>
      <c r="QUZ22" s="66"/>
      <c r="QVA22" s="66"/>
      <c r="QVB22" s="66"/>
      <c r="QVC22" s="66"/>
      <c r="QVD22" s="66"/>
      <c r="QVE22" s="66"/>
      <c r="QVF22" s="66"/>
      <c r="QVG22" s="66"/>
      <c r="QVH22" s="66"/>
      <c r="QVI22" s="66"/>
      <c r="QVJ22" s="66"/>
      <c r="QVK22" s="66"/>
      <c r="QVL22" s="66"/>
      <c r="QVM22" s="66"/>
      <c r="QVN22" s="66"/>
      <c r="QVO22" s="66"/>
      <c r="QVP22" s="66"/>
      <c r="QVQ22" s="66"/>
      <c r="QVR22" s="66"/>
      <c r="QVS22" s="66"/>
      <c r="QVT22" s="66"/>
      <c r="QVU22" s="66"/>
      <c r="QVV22" s="66"/>
      <c r="QVW22" s="66"/>
      <c r="QVX22" s="66"/>
      <c r="QVY22" s="66"/>
      <c r="QVZ22" s="66"/>
      <c r="QWA22" s="66"/>
      <c r="QWB22" s="66"/>
      <c r="QWC22" s="66"/>
      <c r="QWD22" s="66"/>
      <c r="QWE22" s="66"/>
      <c r="QWF22" s="66"/>
      <c r="QWG22" s="66"/>
      <c r="QWH22" s="66"/>
      <c r="QWI22" s="66"/>
      <c r="QWJ22" s="66"/>
      <c r="QWK22" s="66"/>
      <c r="QWL22" s="66"/>
      <c r="QWM22" s="66"/>
      <c r="QWN22" s="66"/>
      <c r="QWO22" s="66"/>
      <c r="QWP22" s="66"/>
      <c r="QWQ22" s="66"/>
      <c r="QWR22" s="66"/>
      <c r="QWS22" s="66"/>
      <c r="QWT22" s="66"/>
      <c r="QWU22" s="66"/>
      <c r="QWV22" s="66"/>
      <c r="QWW22" s="66"/>
      <c r="QWX22" s="66"/>
      <c r="QWY22" s="66"/>
      <c r="QWZ22" s="66"/>
      <c r="QXA22" s="66"/>
      <c r="QXB22" s="66"/>
      <c r="QXC22" s="66"/>
      <c r="QXD22" s="66"/>
      <c r="QXE22" s="66"/>
      <c r="QXF22" s="66"/>
      <c r="QXG22" s="66"/>
      <c r="QXH22" s="66"/>
      <c r="QXI22" s="66"/>
      <c r="QXJ22" s="66"/>
      <c r="QXK22" s="66"/>
      <c r="QXL22" s="66"/>
      <c r="QXM22" s="66"/>
      <c r="QXN22" s="66"/>
      <c r="QXO22" s="66"/>
      <c r="QXP22" s="66"/>
      <c r="QXQ22" s="66"/>
      <c r="QXR22" s="66"/>
      <c r="QXS22" s="66"/>
      <c r="QXT22" s="66"/>
      <c r="QXU22" s="66"/>
      <c r="QXV22" s="66"/>
      <c r="QXW22" s="66"/>
      <c r="QXX22" s="66"/>
      <c r="QXY22" s="66"/>
      <c r="QXZ22" s="66"/>
      <c r="QYA22" s="66"/>
      <c r="QYB22" s="66"/>
      <c r="QYC22" s="66"/>
      <c r="QYD22" s="66"/>
      <c r="QYE22" s="66"/>
      <c r="QYF22" s="66"/>
      <c r="QYG22" s="66"/>
      <c r="QYH22" s="66"/>
      <c r="QYI22" s="66"/>
      <c r="QYJ22" s="66"/>
      <c r="QYK22" s="66"/>
      <c r="QYL22" s="66"/>
      <c r="QYM22" s="66"/>
      <c r="QYN22" s="66"/>
      <c r="QYO22" s="66"/>
      <c r="QYP22" s="66"/>
      <c r="QYQ22" s="66"/>
      <c r="QYR22" s="66"/>
      <c r="QYS22" s="66"/>
      <c r="QYT22" s="66"/>
      <c r="QYU22" s="66"/>
      <c r="QYV22" s="66"/>
      <c r="QYW22" s="66"/>
      <c r="QYX22" s="66"/>
      <c r="QYY22" s="66"/>
      <c r="QYZ22" s="66"/>
      <c r="QZA22" s="66"/>
      <c r="QZB22" s="66"/>
      <c r="QZC22" s="66"/>
      <c r="QZD22" s="66"/>
      <c r="QZE22" s="66"/>
      <c r="QZF22" s="66"/>
      <c r="QZG22" s="66"/>
      <c r="QZH22" s="66"/>
      <c r="QZI22" s="66"/>
      <c r="QZJ22" s="66"/>
      <c r="QZK22" s="66"/>
      <c r="QZL22" s="66"/>
      <c r="QZM22" s="66"/>
      <c r="QZN22" s="66"/>
      <c r="QZO22" s="66"/>
      <c r="QZP22" s="66"/>
      <c r="QZQ22" s="66"/>
      <c r="QZR22" s="66"/>
      <c r="QZS22" s="66"/>
      <c r="QZT22" s="66"/>
      <c r="QZU22" s="66"/>
      <c r="QZV22" s="66"/>
      <c r="QZW22" s="66"/>
      <c r="QZX22" s="66"/>
      <c r="QZY22" s="66"/>
      <c r="QZZ22" s="66"/>
      <c r="RAA22" s="66"/>
      <c r="RAB22" s="66"/>
      <c r="RAC22" s="66"/>
      <c r="RAD22" s="66"/>
      <c r="RAE22" s="66"/>
      <c r="RAF22" s="66"/>
      <c r="RAG22" s="66"/>
      <c r="RAH22" s="66"/>
      <c r="RAI22" s="66"/>
      <c r="RAJ22" s="66"/>
      <c r="RAK22" s="66"/>
      <c r="RAL22" s="66"/>
      <c r="RAM22" s="66"/>
      <c r="RAN22" s="66"/>
      <c r="RAO22" s="66"/>
      <c r="RAP22" s="66"/>
      <c r="RAQ22" s="66"/>
      <c r="RAR22" s="66"/>
      <c r="RAS22" s="66"/>
      <c r="RAT22" s="66"/>
      <c r="RAU22" s="66"/>
      <c r="RAV22" s="66"/>
      <c r="RAW22" s="66"/>
      <c r="RAX22" s="66"/>
      <c r="RAY22" s="66"/>
      <c r="RAZ22" s="66"/>
      <c r="RBA22" s="66"/>
      <c r="RBB22" s="66"/>
      <c r="RBC22" s="66"/>
      <c r="RBD22" s="66"/>
      <c r="RBE22" s="66"/>
      <c r="RBF22" s="66"/>
      <c r="RBG22" s="66"/>
      <c r="RBH22" s="66"/>
      <c r="RBI22" s="66"/>
      <c r="RBJ22" s="66"/>
      <c r="RBK22" s="66"/>
      <c r="RBL22" s="66"/>
      <c r="RBM22" s="66"/>
      <c r="RBN22" s="66"/>
      <c r="RBO22" s="66"/>
      <c r="RBP22" s="66"/>
      <c r="RBQ22" s="66"/>
      <c r="RBR22" s="66"/>
      <c r="RBS22" s="66"/>
      <c r="RBT22" s="66"/>
      <c r="RBU22" s="66"/>
      <c r="RBV22" s="66"/>
      <c r="RBW22" s="66"/>
      <c r="RBX22" s="66"/>
      <c r="RBY22" s="66"/>
      <c r="RBZ22" s="66"/>
      <c r="RCA22" s="66"/>
      <c r="RCB22" s="66"/>
      <c r="RCC22" s="66"/>
      <c r="RCD22" s="66"/>
      <c r="RCE22" s="66"/>
      <c r="RCF22" s="66"/>
      <c r="RCG22" s="66"/>
      <c r="RCH22" s="66"/>
      <c r="RCI22" s="66"/>
      <c r="RCJ22" s="66"/>
      <c r="RCK22" s="66"/>
      <c r="RCL22" s="66"/>
      <c r="RCM22" s="66"/>
      <c r="RCN22" s="66"/>
      <c r="RCO22" s="66"/>
      <c r="RCP22" s="66"/>
      <c r="RCQ22" s="66"/>
      <c r="RCR22" s="66"/>
      <c r="RCS22" s="66"/>
      <c r="RCT22" s="66"/>
      <c r="RCU22" s="66"/>
      <c r="RCV22" s="66"/>
      <c r="RCW22" s="66"/>
      <c r="RCX22" s="66"/>
      <c r="RCY22" s="66"/>
      <c r="RCZ22" s="66"/>
      <c r="RDA22" s="66"/>
      <c r="RDB22" s="66"/>
      <c r="RDC22" s="66"/>
      <c r="RDD22" s="66"/>
      <c r="RDE22" s="66"/>
      <c r="RDF22" s="66"/>
      <c r="RDG22" s="66"/>
      <c r="RDH22" s="66"/>
      <c r="RDI22" s="66"/>
      <c r="RDJ22" s="66"/>
      <c r="RDK22" s="66"/>
      <c r="RDL22" s="66"/>
      <c r="RDM22" s="66"/>
      <c r="RDN22" s="66"/>
      <c r="RDO22" s="66"/>
      <c r="RDP22" s="66"/>
      <c r="RDQ22" s="66"/>
      <c r="RDR22" s="66"/>
      <c r="RDS22" s="66"/>
      <c r="RDT22" s="66"/>
      <c r="RDU22" s="66"/>
      <c r="RDV22" s="66"/>
      <c r="RDW22" s="66"/>
      <c r="RDX22" s="66"/>
      <c r="RDY22" s="66"/>
      <c r="RDZ22" s="66"/>
      <c r="REA22" s="66"/>
      <c r="REB22" s="66"/>
      <c r="REC22" s="66"/>
      <c r="RED22" s="66"/>
      <c r="REE22" s="66"/>
      <c r="REF22" s="66"/>
      <c r="REG22" s="66"/>
      <c r="REH22" s="66"/>
      <c r="REI22" s="66"/>
      <c r="REJ22" s="66"/>
      <c r="REK22" s="66"/>
      <c r="REL22" s="66"/>
      <c r="REM22" s="66"/>
      <c r="REN22" s="66"/>
      <c r="REO22" s="66"/>
      <c r="REP22" s="66"/>
      <c r="REQ22" s="66"/>
      <c r="RER22" s="66"/>
      <c r="RES22" s="66"/>
      <c r="RET22" s="66"/>
      <c r="REU22" s="66"/>
      <c r="REV22" s="66"/>
      <c r="REW22" s="66"/>
      <c r="REX22" s="66"/>
      <c r="REY22" s="66"/>
      <c r="REZ22" s="66"/>
      <c r="RFA22" s="66"/>
      <c r="RFB22" s="66"/>
      <c r="RFC22" s="66"/>
      <c r="RFD22" s="66"/>
      <c r="RFE22" s="66"/>
      <c r="RFF22" s="66"/>
      <c r="RFG22" s="66"/>
      <c r="RFH22" s="66"/>
      <c r="RFI22" s="66"/>
      <c r="RFJ22" s="66"/>
      <c r="RFK22" s="66"/>
      <c r="RFL22" s="66"/>
      <c r="RFM22" s="66"/>
      <c r="RFN22" s="66"/>
      <c r="RFO22" s="66"/>
      <c r="RFP22" s="66"/>
      <c r="RFQ22" s="66"/>
      <c r="RFR22" s="66"/>
      <c r="RFS22" s="66"/>
      <c r="RFT22" s="66"/>
      <c r="RFU22" s="66"/>
      <c r="RFV22" s="66"/>
      <c r="RFW22" s="66"/>
      <c r="RFX22" s="66"/>
      <c r="RFY22" s="66"/>
      <c r="RFZ22" s="66"/>
      <c r="RGA22" s="66"/>
      <c r="RGB22" s="66"/>
      <c r="RGC22" s="66"/>
      <c r="RGD22" s="66"/>
      <c r="RGE22" s="66"/>
      <c r="RGF22" s="66"/>
      <c r="RGG22" s="66"/>
      <c r="RGH22" s="66"/>
      <c r="RGI22" s="66"/>
      <c r="RGJ22" s="66"/>
      <c r="RGK22" s="66"/>
      <c r="RGL22" s="66"/>
      <c r="RGM22" s="66"/>
      <c r="RGN22" s="66"/>
      <c r="RGO22" s="66"/>
      <c r="RGP22" s="66"/>
      <c r="RGQ22" s="66"/>
      <c r="RGR22" s="66"/>
      <c r="RGS22" s="66"/>
      <c r="RGT22" s="66"/>
      <c r="RGU22" s="66"/>
      <c r="RGV22" s="66"/>
      <c r="RGW22" s="66"/>
      <c r="RGX22" s="66"/>
      <c r="RGY22" s="66"/>
      <c r="RGZ22" s="66"/>
      <c r="RHA22" s="66"/>
      <c r="RHB22" s="66"/>
      <c r="RHC22" s="66"/>
      <c r="RHD22" s="66"/>
      <c r="RHE22" s="66"/>
      <c r="RHF22" s="66"/>
      <c r="RHG22" s="66"/>
      <c r="RHH22" s="66"/>
      <c r="RHI22" s="66"/>
      <c r="RHJ22" s="66"/>
      <c r="RHK22" s="66"/>
      <c r="RHL22" s="66"/>
      <c r="RHM22" s="66"/>
      <c r="RHN22" s="66"/>
      <c r="RHO22" s="66"/>
      <c r="RHP22" s="66"/>
      <c r="RHQ22" s="66"/>
      <c r="RHR22" s="66"/>
      <c r="RHS22" s="66"/>
      <c r="RHT22" s="66"/>
      <c r="RHU22" s="66"/>
      <c r="RHV22" s="66"/>
      <c r="RHW22" s="66"/>
      <c r="RHX22" s="66"/>
      <c r="RHY22" s="66"/>
      <c r="RHZ22" s="66"/>
      <c r="RIA22" s="66"/>
      <c r="RIB22" s="66"/>
      <c r="RIC22" s="66"/>
      <c r="RID22" s="66"/>
      <c r="RIE22" s="66"/>
      <c r="RIF22" s="66"/>
      <c r="RIG22" s="66"/>
      <c r="RIH22" s="66"/>
      <c r="RII22" s="66"/>
      <c r="RIJ22" s="66"/>
      <c r="RIK22" s="66"/>
      <c r="RIL22" s="66"/>
      <c r="RIM22" s="66"/>
      <c r="RIN22" s="66"/>
      <c r="RIO22" s="66"/>
      <c r="RIP22" s="66"/>
      <c r="RIQ22" s="66"/>
      <c r="RIR22" s="66"/>
      <c r="RIS22" s="66"/>
      <c r="RIT22" s="66"/>
      <c r="RIU22" s="66"/>
      <c r="RIV22" s="66"/>
      <c r="RIW22" s="66"/>
      <c r="RIX22" s="66"/>
      <c r="RIY22" s="66"/>
      <c r="RIZ22" s="66"/>
      <c r="RJA22" s="66"/>
      <c r="RJB22" s="66"/>
      <c r="RJC22" s="66"/>
      <c r="RJD22" s="66"/>
      <c r="RJE22" s="66"/>
      <c r="RJF22" s="66"/>
      <c r="RJG22" s="66"/>
      <c r="RJH22" s="66"/>
      <c r="RJI22" s="66"/>
      <c r="RJJ22" s="66"/>
      <c r="RJK22" s="66"/>
      <c r="RJL22" s="66"/>
      <c r="RJM22" s="66"/>
      <c r="RJN22" s="66"/>
      <c r="RJO22" s="66"/>
      <c r="RJP22" s="66"/>
      <c r="RJQ22" s="66"/>
      <c r="RJR22" s="66"/>
      <c r="RJS22" s="66"/>
      <c r="RJT22" s="66"/>
      <c r="RJU22" s="66"/>
      <c r="RJV22" s="66"/>
      <c r="RJW22" s="66"/>
      <c r="RJX22" s="66"/>
      <c r="RJY22" s="66"/>
      <c r="RJZ22" s="66"/>
      <c r="RKA22" s="66"/>
      <c r="RKB22" s="66"/>
      <c r="RKC22" s="66"/>
      <c r="RKD22" s="66"/>
      <c r="RKE22" s="66"/>
      <c r="RKF22" s="66"/>
      <c r="RKG22" s="66"/>
      <c r="RKH22" s="66"/>
      <c r="RKI22" s="66"/>
      <c r="RKJ22" s="66"/>
      <c r="RKK22" s="66"/>
      <c r="RKL22" s="66"/>
      <c r="RKM22" s="66"/>
      <c r="RKN22" s="66"/>
      <c r="RKO22" s="66"/>
      <c r="RKP22" s="66"/>
      <c r="RKQ22" s="66"/>
      <c r="RKR22" s="66"/>
      <c r="RKS22" s="66"/>
      <c r="RKT22" s="66"/>
      <c r="RKU22" s="66"/>
      <c r="RKV22" s="66"/>
      <c r="RKW22" s="66"/>
      <c r="RKX22" s="66"/>
      <c r="RKY22" s="66"/>
      <c r="RKZ22" s="66"/>
      <c r="RLA22" s="66"/>
      <c r="RLB22" s="66"/>
      <c r="RLC22" s="66"/>
      <c r="RLD22" s="66"/>
      <c r="RLE22" s="66"/>
      <c r="RLF22" s="66"/>
      <c r="RLG22" s="66"/>
      <c r="RLH22" s="66"/>
      <c r="RLI22" s="66"/>
      <c r="RLJ22" s="66"/>
      <c r="RLK22" s="66"/>
      <c r="RLL22" s="66"/>
      <c r="RLM22" s="66"/>
      <c r="RLN22" s="66"/>
      <c r="RLO22" s="66"/>
      <c r="RLP22" s="66"/>
      <c r="RLQ22" s="66"/>
      <c r="RLR22" s="66"/>
      <c r="RLS22" s="66"/>
      <c r="RLT22" s="66"/>
      <c r="RLU22" s="66"/>
      <c r="RLV22" s="66"/>
      <c r="RLW22" s="66"/>
      <c r="RLX22" s="66"/>
      <c r="RLY22" s="66"/>
      <c r="RLZ22" s="66"/>
      <c r="RMA22" s="66"/>
      <c r="RMB22" s="66"/>
      <c r="RMC22" s="66"/>
      <c r="RMD22" s="66"/>
      <c r="RME22" s="66"/>
      <c r="RMF22" s="66"/>
      <c r="RMG22" s="66"/>
      <c r="RMH22" s="66"/>
      <c r="RMI22" s="66"/>
      <c r="RMJ22" s="66"/>
      <c r="RMK22" s="66"/>
      <c r="RML22" s="66"/>
      <c r="RMM22" s="66"/>
      <c r="RMN22" s="66"/>
      <c r="RMO22" s="66"/>
      <c r="RMP22" s="66"/>
      <c r="RMQ22" s="66"/>
      <c r="RMR22" s="66"/>
      <c r="RMS22" s="66"/>
      <c r="RMT22" s="66"/>
      <c r="RMU22" s="66"/>
      <c r="RMV22" s="66"/>
      <c r="RMW22" s="66"/>
      <c r="RMX22" s="66"/>
      <c r="RMY22" s="66"/>
      <c r="RMZ22" s="66"/>
      <c r="RNA22" s="66"/>
      <c r="RNB22" s="66"/>
      <c r="RNC22" s="66"/>
      <c r="RND22" s="66"/>
      <c r="RNE22" s="66"/>
      <c r="RNF22" s="66"/>
      <c r="RNG22" s="66"/>
      <c r="RNH22" s="66"/>
      <c r="RNI22" s="66"/>
      <c r="RNJ22" s="66"/>
      <c r="RNK22" s="66"/>
      <c r="RNL22" s="66"/>
      <c r="RNM22" s="66"/>
      <c r="RNN22" s="66"/>
      <c r="RNO22" s="66"/>
      <c r="RNP22" s="66"/>
      <c r="RNQ22" s="66"/>
      <c r="RNR22" s="66"/>
      <c r="RNS22" s="66"/>
      <c r="RNT22" s="66"/>
      <c r="RNU22" s="66"/>
      <c r="RNV22" s="66"/>
      <c r="RNW22" s="66"/>
      <c r="RNX22" s="66"/>
      <c r="RNY22" s="66"/>
      <c r="RNZ22" s="66"/>
      <c r="ROA22" s="66"/>
      <c r="ROB22" s="66"/>
      <c r="ROC22" s="66"/>
      <c r="ROD22" s="66"/>
      <c r="ROE22" s="66"/>
      <c r="ROF22" s="66"/>
      <c r="ROG22" s="66"/>
      <c r="ROH22" s="66"/>
      <c r="ROI22" s="66"/>
      <c r="ROJ22" s="66"/>
      <c r="ROK22" s="66"/>
      <c r="ROL22" s="66"/>
      <c r="ROM22" s="66"/>
      <c r="RON22" s="66"/>
      <c r="ROO22" s="66"/>
      <c r="ROP22" s="66"/>
      <c r="ROQ22" s="66"/>
      <c r="ROR22" s="66"/>
      <c r="ROS22" s="66"/>
      <c r="ROT22" s="66"/>
      <c r="ROU22" s="66"/>
      <c r="ROV22" s="66"/>
      <c r="ROW22" s="66"/>
      <c r="ROX22" s="66"/>
      <c r="ROY22" s="66"/>
      <c r="ROZ22" s="66"/>
      <c r="RPA22" s="66"/>
      <c r="RPB22" s="66"/>
      <c r="RPC22" s="66"/>
      <c r="RPD22" s="66"/>
      <c r="RPE22" s="66"/>
      <c r="RPF22" s="66"/>
      <c r="RPG22" s="66"/>
      <c r="RPH22" s="66"/>
      <c r="RPI22" s="66"/>
      <c r="RPJ22" s="66"/>
      <c r="RPK22" s="66"/>
      <c r="RPL22" s="66"/>
      <c r="RPM22" s="66"/>
      <c r="RPN22" s="66"/>
      <c r="RPO22" s="66"/>
      <c r="RPP22" s="66"/>
      <c r="RPQ22" s="66"/>
      <c r="RPR22" s="66"/>
      <c r="RPS22" s="66"/>
      <c r="RPT22" s="66"/>
      <c r="RPU22" s="66"/>
      <c r="RPV22" s="66"/>
      <c r="RPW22" s="66"/>
      <c r="RPX22" s="66"/>
      <c r="RPY22" s="66"/>
      <c r="RPZ22" s="66"/>
      <c r="RQA22" s="66"/>
      <c r="RQB22" s="66"/>
      <c r="RQC22" s="66"/>
      <c r="RQD22" s="66"/>
      <c r="RQE22" s="66"/>
      <c r="RQF22" s="66"/>
      <c r="RQG22" s="66"/>
      <c r="RQH22" s="66"/>
      <c r="RQI22" s="66"/>
      <c r="RQJ22" s="66"/>
      <c r="RQK22" s="66"/>
      <c r="RQL22" s="66"/>
      <c r="RQM22" s="66"/>
      <c r="RQN22" s="66"/>
      <c r="RQO22" s="66"/>
      <c r="RQP22" s="66"/>
      <c r="RQQ22" s="66"/>
      <c r="RQR22" s="66"/>
      <c r="RQS22" s="66"/>
      <c r="RQT22" s="66"/>
      <c r="RQU22" s="66"/>
      <c r="RQV22" s="66"/>
      <c r="RQW22" s="66"/>
      <c r="RQX22" s="66"/>
      <c r="RQY22" s="66"/>
      <c r="RQZ22" s="66"/>
      <c r="RRA22" s="66"/>
      <c r="RRB22" s="66"/>
      <c r="RRC22" s="66"/>
      <c r="RRD22" s="66"/>
      <c r="RRE22" s="66"/>
      <c r="RRF22" s="66"/>
      <c r="RRG22" s="66"/>
      <c r="RRH22" s="66"/>
      <c r="RRI22" s="66"/>
      <c r="RRJ22" s="66"/>
      <c r="RRK22" s="66"/>
      <c r="RRL22" s="66"/>
      <c r="RRM22" s="66"/>
      <c r="RRN22" s="66"/>
      <c r="RRO22" s="66"/>
      <c r="RRP22" s="66"/>
      <c r="RRQ22" s="66"/>
      <c r="RRR22" s="66"/>
      <c r="RRS22" s="66"/>
      <c r="RRT22" s="66"/>
      <c r="RRU22" s="66"/>
      <c r="RRV22" s="66"/>
      <c r="RRW22" s="66"/>
      <c r="RRX22" s="66"/>
      <c r="RRY22" s="66"/>
      <c r="RRZ22" s="66"/>
      <c r="RSA22" s="66"/>
      <c r="RSB22" s="66"/>
      <c r="RSC22" s="66"/>
      <c r="RSD22" s="66"/>
      <c r="RSE22" s="66"/>
      <c r="RSF22" s="66"/>
      <c r="RSG22" s="66"/>
      <c r="RSH22" s="66"/>
      <c r="RSI22" s="66"/>
      <c r="RSJ22" s="66"/>
      <c r="RSK22" s="66"/>
      <c r="RSL22" s="66"/>
      <c r="RSM22" s="66"/>
      <c r="RSN22" s="66"/>
      <c r="RSO22" s="66"/>
      <c r="RSP22" s="66"/>
      <c r="RSQ22" s="66"/>
      <c r="RSR22" s="66"/>
      <c r="RSS22" s="66"/>
      <c r="RST22" s="66"/>
      <c r="RSU22" s="66"/>
      <c r="RSV22" s="66"/>
      <c r="RSW22" s="66"/>
      <c r="RSX22" s="66"/>
      <c r="RSY22" s="66"/>
      <c r="RSZ22" s="66"/>
      <c r="RTA22" s="66"/>
      <c r="RTB22" s="66"/>
      <c r="RTC22" s="66"/>
      <c r="RTD22" s="66"/>
      <c r="RTE22" s="66"/>
      <c r="RTF22" s="66"/>
      <c r="RTG22" s="66"/>
      <c r="RTH22" s="66"/>
      <c r="RTI22" s="66"/>
      <c r="RTJ22" s="66"/>
      <c r="RTK22" s="66"/>
      <c r="RTL22" s="66"/>
      <c r="RTM22" s="66"/>
      <c r="RTN22" s="66"/>
      <c r="RTO22" s="66"/>
      <c r="RTP22" s="66"/>
      <c r="RTQ22" s="66"/>
      <c r="RTR22" s="66"/>
      <c r="RTS22" s="66"/>
      <c r="RTT22" s="66"/>
      <c r="RTU22" s="66"/>
      <c r="RTV22" s="66"/>
      <c r="RTW22" s="66"/>
      <c r="RTX22" s="66"/>
      <c r="RTY22" s="66"/>
      <c r="RTZ22" s="66"/>
      <c r="RUA22" s="66"/>
      <c r="RUB22" s="66"/>
      <c r="RUC22" s="66"/>
      <c r="RUD22" s="66"/>
      <c r="RUE22" s="66"/>
      <c r="RUF22" s="66"/>
      <c r="RUG22" s="66"/>
      <c r="RUH22" s="66"/>
      <c r="RUI22" s="66"/>
      <c r="RUJ22" s="66"/>
      <c r="RUK22" s="66"/>
      <c r="RUL22" s="66"/>
      <c r="RUM22" s="66"/>
      <c r="RUN22" s="66"/>
      <c r="RUO22" s="66"/>
      <c r="RUP22" s="66"/>
      <c r="RUQ22" s="66"/>
      <c r="RUR22" s="66"/>
      <c r="RUS22" s="66"/>
      <c r="RUT22" s="66"/>
      <c r="RUU22" s="66"/>
      <c r="RUV22" s="66"/>
      <c r="RUW22" s="66"/>
      <c r="RUX22" s="66"/>
      <c r="RUY22" s="66"/>
      <c r="RUZ22" s="66"/>
      <c r="RVA22" s="66"/>
      <c r="RVB22" s="66"/>
      <c r="RVC22" s="66"/>
      <c r="RVD22" s="66"/>
      <c r="RVE22" s="66"/>
      <c r="RVF22" s="66"/>
      <c r="RVG22" s="66"/>
      <c r="RVH22" s="66"/>
      <c r="RVI22" s="66"/>
      <c r="RVJ22" s="66"/>
      <c r="RVK22" s="66"/>
      <c r="RVL22" s="66"/>
      <c r="RVM22" s="66"/>
      <c r="RVN22" s="66"/>
      <c r="RVO22" s="66"/>
      <c r="RVP22" s="66"/>
      <c r="RVQ22" s="66"/>
      <c r="RVR22" s="66"/>
      <c r="RVS22" s="66"/>
      <c r="RVT22" s="66"/>
      <c r="RVU22" s="66"/>
      <c r="RVV22" s="66"/>
      <c r="RVW22" s="66"/>
      <c r="RVX22" s="66"/>
      <c r="RVY22" s="66"/>
      <c r="RVZ22" s="66"/>
      <c r="RWA22" s="66"/>
      <c r="RWB22" s="66"/>
      <c r="RWC22" s="66"/>
      <c r="RWD22" s="66"/>
      <c r="RWE22" s="66"/>
      <c r="RWF22" s="66"/>
      <c r="RWG22" s="66"/>
      <c r="RWH22" s="66"/>
      <c r="RWI22" s="66"/>
      <c r="RWJ22" s="66"/>
      <c r="RWK22" s="66"/>
      <c r="RWL22" s="66"/>
      <c r="RWM22" s="66"/>
      <c r="RWN22" s="66"/>
      <c r="RWO22" s="66"/>
      <c r="RWP22" s="66"/>
      <c r="RWQ22" s="66"/>
      <c r="RWR22" s="66"/>
      <c r="RWS22" s="66"/>
      <c r="RWT22" s="66"/>
      <c r="RWU22" s="66"/>
      <c r="RWV22" s="66"/>
      <c r="RWW22" s="66"/>
      <c r="RWX22" s="66"/>
      <c r="RWY22" s="66"/>
      <c r="RWZ22" s="66"/>
      <c r="RXA22" s="66"/>
      <c r="RXB22" s="66"/>
      <c r="RXC22" s="66"/>
      <c r="RXD22" s="66"/>
      <c r="RXE22" s="66"/>
      <c r="RXF22" s="66"/>
      <c r="RXG22" s="66"/>
      <c r="RXH22" s="66"/>
      <c r="RXI22" s="66"/>
      <c r="RXJ22" s="66"/>
      <c r="RXK22" s="66"/>
      <c r="RXL22" s="66"/>
      <c r="RXM22" s="66"/>
      <c r="RXN22" s="66"/>
      <c r="RXO22" s="66"/>
      <c r="RXP22" s="66"/>
      <c r="RXQ22" s="66"/>
      <c r="RXR22" s="66"/>
      <c r="RXS22" s="66"/>
      <c r="RXT22" s="66"/>
      <c r="RXU22" s="66"/>
      <c r="RXV22" s="66"/>
      <c r="RXW22" s="66"/>
      <c r="RXX22" s="66"/>
      <c r="RXY22" s="66"/>
      <c r="RXZ22" s="66"/>
      <c r="RYA22" s="66"/>
      <c r="RYB22" s="66"/>
      <c r="RYC22" s="66"/>
      <c r="RYD22" s="66"/>
      <c r="RYE22" s="66"/>
      <c r="RYF22" s="66"/>
      <c r="RYG22" s="66"/>
      <c r="RYH22" s="66"/>
      <c r="RYI22" s="66"/>
      <c r="RYJ22" s="66"/>
      <c r="RYK22" s="66"/>
      <c r="RYL22" s="66"/>
      <c r="RYM22" s="66"/>
      <c r="RYN22" s="66"/>
      <c r="RYO22" s="66"/>
      <c r="RYP22" s="66"/>
      <c r="RYQ22" s="66"/>
      <c r="RYR22" s="66"/>
      <c r="RYS22" s="66"/>
      <c r="RYT22" s="66"/>
      <c r="RYU22" s="66"/>
      <c r="RYV22" s="66"/>
      <c r="RYW22" s="66"/>
      <c r="RYX22" s="66"/>
      <c r="RYY22" s="66"/>
      <c r="RYZ22" s="66"/>
      <c r="RZA22" s="66"/>
      <c r="RZB22" s="66"/>
      <c r="RZC22" s="66"/>
      <c r="RZD22" s="66"/>
      <c r="RZE22" s="66"/>
      <c r="RZF22" s="66"/>
      <c r="RZG22" s="66"/>
      <c r="RZH22" s="66"/>
      <c r="RZI22" s="66"/>
      <c r="RZJ22" s="66"/>
      <c r="RZK22" s="66"/>
      <c r="RZL22" s="66"/>
      <c r="RZM22" s="66"/>
      <c r="RZN22" s="66"/>
      <c r="RZO22" s="66"/>
      <c r="RZP22" s="66"/>
      <c r="RZQ22" s="66"/>
      <c r="RZR22" s="66"/>
      <c r="RZS22" s="66"/>
      <c r="RZT22" s="66"/>
      <c r="RZU22" s="66"/>
      <c r="RZV22" s="66"/>
      <c r="RZW22" s="66"/>
      <c r="RZX22" s="66"/>
      <c r="RZY22" s="66"/>
      <c r="RZZ22" s="66"/>
      <c r="SAA22" s="66"/>
      <c r="SAB22" s="66"/>
      <c r="SAC22" s="66"/>
      <c r="SAD22" s="66"/>
      <c r="SAE22" s="66"/>
      <c r="SAF22" s="66"/>
      <c r="SAG22" s="66"/>
      <c r="SAH22" s="66"/>
      <c r="SAI22" s="66"/>
      <c r="SAJ22" s="66"/>
      <c r="SAK22" s="66"/>
      <c r="SAL22" s="66"/>
      <c r="SAM22" s="66"/>
      <c r="SAN22" s="66"/>
      <c r="SAO22" s="66"/>
      <c r="SAP22" s="66"/>
      <c r="SAQ22" s="66"/>
      <c r="SAR22" s="66"/>
      <c r="SAS22" s="66"/>
      <c r="SAT22" s="66"/>
      <c r="SAU22" s="66"/>
      <c r="SAV22" s="66"/>
      <c r="SAW22" s="66"/>
      <c r="SAX22" s="66"/>
      <c r="SAY22" s="66"/>
      <c r="SAZ22" s="66"/>
      <c r="SBA22" s="66"/>
      <c r="SBB22" s="66"/>
      <c r="SBC22" s="66"/>
      <c r="SBD22" s="66"/>
      <c r="SBE22" s="66"/>
      <c r="SBF22" s="66"/>
      <c r="SBG22" s="66"/>
      <c r="SBH22" s="66"/>
      <c r="SBI22" s="66"/>
      <c r="SBJ22" s="66"/>
      <c r="SBK22" s="66"/>
      <c r="SBL22" s="66"/>
      <c r="SBM22" s="66"/>
      <c r="SBN22" s="66"/>
      <c r="SBO22" s="66"/>
      <c r="SBP22" s="66"/>
      <c r="SBQ22" s="66"/>
      <c r="SBR22" s="66"/>
      <c r="SBS22" s="66"/>
      <c r="SBT22" s="66"/>
      <c r="SBU22" s="66"/>
      <c r="SBV22" s="66"/>
      <c r="SBW22" s="66"/>
      <c r="SBX22" s="66"/>
      <c r="SBY22" s="66"/>
      <c r="SBZ22" s="66"/>
      <c r="SCA22" s="66"/>
      <c r="SCB22" s="66"/>
      <c r="SCC22" s="66"/>
      <c r="SCD22" s="66"/>
      <c r="SCE22" s="66"/>
      <c r="SCF22" s="66"/>
      <c r="SCG22" s="66"/>
      <c r="SCH22" s="66"/>
      <c r="SCI22" s="66"/>
      <c r="SCJ22" s="66"/>
      <c r="SCK22" s="66"/>
      <c r="SCL22" s="66"/>
      <c r="SCM22" s="66"/>
      <c r="SCN22" s="66"/>
      <c r="SCO22" s="66"/>
      <c r="SCP22" s="66"/>
      <c r="SCQ22" s="66"/>
      <c r="SCR22" s="66"/>
      <c r="SCS22" s="66"/>
      <c r="SCT22" s="66"/>
      <c r="SCU22" s="66"/>
      <c r="SCV22" s="66"/>
      <c r="SCW22" s="66"/>
      <c r="SCX22" s="66"/>
      <c r="SCY22" s="66"/>
      <c r="SCZ22" s="66"/>
      <c r="SDA22" s="66"/>
      <c r="SDB22" s="66"/>
      <c r="SDC22" s="66"/>
      <c r="SDD22" s="66"/>
      <c r="SDE22" s="66"/>
      <c r="SDF22" s="66"/>
      <c r="SDG22" s="66"/>
      <c r="SDH22" s="66"/>
      <c r="SDI22" s="66"/>
      <c r="SDJ22" s="66"/>
      <c r="SDK22" s="66"/>
      <c r="SDL22" s="66"/>
      <c r="SDM22" s="66"/>
      <c r="SDN22" s="66"/>
      <c r="SDO22" s="66"/>
      <c r="SDP22" s="66"/>
      <c r="SDQ22" s="66"/>
      <c r="SDR22" s="66"/>
      <c r="SDS22" s="66"/>
      <c r="SDT22" s="66"/>
      <c r="SDU22" s="66"/>
      <c r="SDV22" s="66"/>
      <c r="SDW22" s="66"/>
      <c r="SDX22" s="66"/>
      <c r="SDY22" s="66"/>
      <c r="SDZ22" s="66"/>
      <c r="SEA22" s="66"/>
      <c r="SEB22" s="66"/>
      <c r="SEC22" s="66"/>
      <c r="SED22" s="66"/>
      <c r="SEE22" s="66"/>
      <c r="SEF22" s="66"/>
      <c r="SEG22" s="66"/>
      <c r="SEH22" s="66"/>
      <c r="SEI22" s="66"/>
      <c r="SEJ22" s="66"/>
      <c r="SEK22" s="66"/>
      <c r="SEL22" s="66"/>
      <c r="SEM22" s="66"/>
      <c r="SEN22" s="66"/>
      <c r="SEO22" s="66"/>
      <c r="SEP22" s="66"/>
      <c r="SEQ22" s="66"/>
      <c r="SER22" s="66"/>
      <c r="SES22" s="66"/>
      <c r="SET22" s="66"/>
      <c r="SEU22" s="66"/>
      <c r="SEV22" s="66"/>
      <c r="SEW22" s="66"/>
      <c r="SEX22" s="66"/>
      <c r="SEY22" s="66"/>
      <c r="SEZ22" s="66"/>
      <c r="SFA22" s="66"/>
      <c r="SFB22" s="66"/>
      <c r="SFC22" s="66"/>
      <c r="SFD22" s="66"/>
      <c r="SFE22" s="66"/>
      <c r="SFF22" s="66"/>
      <c r="SFG22" s="66"/>
      <c r="SFH22" s="66"/>
      <c r="SFI22" s="66"/>
      <c r="SFJ22" s="66"/>
      <c r="SFK22" s="66"/>
      <c r="SFL22" s="66"/>
      <c r="SFM22" s="66"/>
      <c r="SFN22" s="66"/>
      <c r="SFO22" s="66"/>
      <c r="SFP22" s="66"/>
      <c r="SFQ22" s="66"/>
      <c r="SFR22" s="66"/>
      <c r="SFS22" s="66"/>
      <c r="SFT22" s="66"/>
      <c r="SFU22" s="66"/>
      <c r="SFV22" s="66"/>
      <c r="SFW22" s="66"/>
      <c r="SFX22" s="66"/>
      <c r="SFY22" s="66"/>
      <c r="SFZ22" s="66"/>
      <c r="SGA22" s="66"/>
      <c r="SGB22" s="66"/>
      <c r="SGC22" s="66"/>
      <c r="SGD22" s="66"/>
      <c r="SGE22" s="66"/>
      <c r="SGF22" s="66"/>
      <c r="SGG22" s="66"/>
      <c r="SGH22" s="66"/>
      <c r="SGI22" s="66"/>
      <c r="SGJ22" s="66"/>
      <c r="SGK22" s="66"/>
      <c r="SGL22" s="66"/>
      <c r="SGM22" s="66"/>
      <c r="SGN22" s="66"/>
      <c r="SGO22" s="66"/>
      <c r="SGP22" s="66"/>
      <c r="SGQ22" s="66"/>
      <c r="SGR22" s="66"/>
      <c r="SGS22" s="66"/>
      <c r="SGT22" s="66"/>
      <c r="SGU22" s="66"/>
      <c r="SGV22" s="66"/>
      <c r="SGW22" s="66"/>
      <c r="SGX22" s="66"/>
      <c r="SGY22" s="66"/>
      <c r="SGZ22" s="66"/>
      <c r="SHA22" s="66"/>
      <c r="SHB22" s="66"/>
      <c r="SHC22" s="66"/>
      <c r="SHD22" s="66"/>
      <c r="SHE22" s="66"/>
      <c r="SHF22" s="66"/>
      <c r="SHG22" s="66"/>
      <c r="SHH22" s="66"/>
      <c r="SHI22" s="66"/>
      <c r="SHJ22" s="66"/>
      <c r="SHK22" s="66"/>
      <c r="SHL22" s="66"/>
      <c r="SHM22" s="66"/>
      <c r="SHN22" s="66"/>
      <c r="SHO22" s="66"/>
      <c r="SHP22" s="66"/>
      <c r="SHQ22" s="66"/>
      <c r="SHR22" s="66"/>
      <c r="SHS22" s="66"/>
      <c r="SHT22" s="66"/>
      <c r="SHU22" s="66"/>
      <c r="SHV22" s="66"/>
      <c r="SHW22" s="66"/>
      <c r="SHX22" s="66"/>
      <c r="SHY22" s="66"/>
      <c r="SHZ22" s="66"/>
      <c r="SIA22" s="66"/>
      <c r="SIB22" s="66"/>
      <c r="SIC22" s="66"/>
      <c r="SID22" s="66"/>
      <c r="SIE22" s="66"/>
      <c r="SIF22" s="66"/>
      <c r="SIG22" s="66"/>
      <c r="SIH22" s="66"/>
      <c r="SII22" s="66"/>
      <c r="SIJ22" s="66"/>
      <c r="SIK22" s="66"/>
      <c r="SIL22" s="66"/>
      <c r="SIM22" s="66"/>
      <c r="SIN22" s="66"/>
      <c r="SIO22" s="66"/>
      <c r="SIP22" s="66"/>
      <c r="SIQ22" s="66"/>
      <c r="SIR22" s="66"/>
      <c r="SIS22" s="66"/>
      <c r="SIT22" s="66"/>
      <c r="SIU22" s="66"/>
      <c r="SIV22" s="66"/>
      <c r="SIW22" s="66"/>
      <c r="SIX22" s="66"/>
      <c r="SIY22" s="66"/>
      <c r="SIZ22" s="66"/>
      <c r="SJA22" s="66"/>
      <c r="SJB22" s="66"/>
      <c r="SJC22" s="66"/>
      <c r="SJD22" s="66"/>
      <c r="SJE22" s="66"/>
      <c r="SJF22" s="66"/>
      <c r="SJG22" s="66"/>
      <c r="SJH22" s="66"/>
      <c r="SJI22" s="66"/>
      <c r="SJJ22" s="66"/>
      <c r="SJK22" s="66"/>
      <c r="SJL22" s="66"/>
      <c r="SJM22" s="66"/>
      <c r="SJN22" s="66"/>
      <c r="SJO22" s="66"/>
      <c r="SJP22" s="66"/>
      <c r="SJQ22" s="66"/>
      <c r="SJR22" s="66"/>
      <c r="SJS22" s="66"/>
      <c r="SJT22" s="66"/>
      <c r="SJU22" s="66"/>
      <c r="SJV22" s="66"/>
      <c r="SJW22" s="66"/>
      <c r="SJX22" s="66"/>
      <c r="SJY22" s="66"/>
      <c r="SJZ22" s="66"/>
      <c r="SKA22" s="66"/>
      <c r="SKB22" s="66"/>
      <c r="SKC22" s="66"/>
      <c r="SKD22" s="66"/>
      <c r="SKE22" s="66"/>
      <c r="SKF22" s="66"/>
      <c r="SKG22" s="66"/>
      <c r="SKH22" s="66"/>
      <c r="SKI22" s="66"/>
      <c r="SKJ22" s="66"/>
      <c r="SKK22" s="66"/>
      <c r="SKL22" s="66"/>
      <c r="SKM22" s="66"/>
      <c r="SKN22" s="66"/>
      <c r="SKO22" s="66"/>
      <c r="SKP22" s="66"/>
      <c r="SKQ22" s="66"/>
      <c r="SKR22" s="66"/>
      <c r="SKS22" s="66"/>
      <c r="SKT22" s="66"/>
      <c r="SKU22" s="66"/>
      <c r="SKV22" s="66"/>
      <c r="SKW22" s="66"/>
      <c r="SKX22" s="66"/>
      <c r="SKY22" s="66"/>
      <c r="SKZ22" s="66"/>
      <c r="SLA22" s="66"/>
      <c r="SLB22" s="66"/>
      <c r="SLC22" s="66"/>
      <c r="SLD22" s="66"/>
      <c r="SLE22" s="66"/>
      <c r="SLF22" s="66"/>
      <c r="SLG22" s="66"/>
      <c r="SLH22" s="66"/>
      <c r="SLI22" s="66"/>
      <c r="SLJ22" s="66"/>
      <c r="SLK22" s="66"/>
      <c r="SLL22" s="66"/>
      <c r="SLM22" s="66"/>
      <c r="SLN22" s="66"/>
      <c r="SLO22" s="66"/>
      <c r="SLP22" s="66"/>
      <c r="SLQ22" s="66"/>
      <c r="SLR22" s="66"/>
      <c r="SLS22" s="66"/>
      <c r="SLT22" s="66"/>
      <c r="SLU22" s="66"/>
      <c r="SLV22" s="66"/>
      <c r="SLW22" s="66"/>
      <c r="SLX22" s="66"/>
      <c r="SLY22" s="66"/>
      <c r="SLZ22" s="66"/>
      <c r="SMA22" s="66"/>
      <c r="SMB22" s="66"/>
      <c r="SMC22" s="66"/>
      <c r="SMD22" s="66"/>
      <c r="SME22" s="66"/>
      <c r="SMF22" s="66"/>
      <c r="SMG22" s="66"/>
      <c r="SMH22" s="66"/>
      <c r="SMI22" s="66"/>
      <c r="SMJ22" s="66"/>
      <c r="SMK22" s="66"/>
      <c r="SML22" s="66"/>
      <c r="SMM22" s="66"/>
      <c r="SMN22" s="66"/>
      <c r="SMO22" s="66"/>
      <c r="SMP22" s="66"/>
      <c r="SMQ22" s="66"/>
      <c r="SMR22" s="66"/>
      <c r="SMS22" s="66"/>
      <c r="SMT22" s="66"/>
      <c r="SMU22" s="66"/>
      <c r="SMV22" s="66"/>
      <c r="SMW22" s="66"/>
      <c r="SMX22" s="66"/>
      <c r="SMY22" s="66"/>
      <c r="SMZ22" s="66"/>
      <c r="SNA22" s="66"/>
      <c r="SNB22" s="66"/>
      <c r="SNC22" s="66"/>
      <c r="SND22" s="66"/>
      <c r="SNE22" s="66"/>
      <c r="SNF22" s="66"/>
      <c r="SNG22" s="66"/>
      <c r="SNH22" s="66"/>
      <c r="SNI22" s="66"/>
      <c r="SNJ22" s="66"/>
      <c r="SNK22" s="66"/>
      <c r="SNL22" s="66"/>
      <c r="SNM22" s="66"/>
      <c r="SNN22" s="66"/>
      <c r="SNO22" s="66"/>
      <c r="SNP22" s="66"/>
      <c r="SNQ22" s="66"/>
      <c r="SNR22" s="66"/>
      <c r="SNS22" s="66"/>
      <c r="SNT22" s="66"/>
      <c r="SNU22" s="66"/>
      <c r="SNV22" s="66"/>
      <c r="SNW22" s="66"/>
      <c r="SNX22" s="66"/>
      <c r="SNY22" s="66"/>
      <c r="SNZ22" s="66"/>
      <c r="SOA22" s="66"/>
      <c r="SOB22" s="66"/>
      <c r="SOC22" s="66"/>
      <c r="SOD22" s="66"/>
      <c r="SOE22" s="66"/>
      <c r="SOF22" s="66"/>
      <c r="SOG22" s="66"/>
      <c r="SOH22" s="66"/>
      <c r="SOI22" s="66"/>
      <c r="SOJ22" s="66"/>
      <c r="SOK22" s="66"/>
      <c r="SOL22" s="66"/>
      <c r="SOM22" s="66"/>
      <c r="SON22" s="66"/>
      <c r="SOO22" s="66"/>
      <c r="SOP22" s="66"/>
      <c r="SOQ22" s="66"/>
      <c r="SOR22" s="66"/>
      <c r="SOS22" s="66"/>
      <c r="SOT22" s="66"/>
      <c r="SOU22" s="66"/>
      <c r="SOV22" s="66"/>
      <c r="SOW22" s="66"/>
      <c r="SOX22" s="66"/>
      <c r="SOY22" s="66"/>
      <c r="SOZ22" s="66"/>
      <c r="SPA22" s="66"/>
      <c r="SPB22" s="66"/>
      <c r="SPC22" s="66"/>
      <c r="SPD22" s="66"/>
      <c r="SPE22" s="66"/>
      <c r="SPF22" s="66"/>
      <c r="SPG22" s="66"/>
      <c r="SPH22" s="66"/>
      <c r="SPI22" s="66"/>
      <c r="SPJ22" s="66"/>
      <c r="SPK22" s="66"/>
      <c r="SPL22" s="66"/>
      <c r="SPM22" s="66"/>
      <c r="SPN22" s="66"/>
      <c r="SPO22" s="66"/>
      <c r="SPP22" s="66"/>
      <c r="SPQ22" s="66"/>
      <c r="SPR22" s="66"/>
      <c r="SPS22" s="66"/>
      <c r="SPT22" s="66"/>
      <c r="SPU22" s="66"/>
      <c r="SPV22" s="66"/>
      <c r="SPW22" s="66"/>
      <c r="SPX22" s="66"/>
      <c r="SPY22" s="66"/>
      <c r="SPZ22" s="66"/>
      <c r="SQA22" s="66"/>
      <c r="SQB22" s="66"/>
      <c r="SQC22" s="66"/>
      <c r="SQD22" s="66"/>
      <c r="SQE22" s="66"/>
      <c r="SQF22" s="66"/>
      <c r="SQG22" s="66"/>
      <c r="SQH22" s="66"/>
      <c r="SQI22" s="66"/>
      <c r="SQJ22" s="66"/>
      <c r="SQK22" s="66"/>
      <c r="SQL22" s="66"/>
      <c r="SQM22" s="66"/>
      <c r="SQN22" s="66"/>
      <c r="SQO22" s="66"/>
      <c r="SQP22" s="66"/>
      <c r="SQQ22" s="66"/>
      <c r="SQR22" s="66"/>
      <c r="SQS22" s="66"/>
      <c r="SQT22" s="66"/>
      <c r="SQU22" s="66"/>
      <c r="SQV22" s="66"/>
      <c r="SQW22" s="66"/>
      <c r="SQX22" s="66"/>
      <c r="SQY22" s="66"/>
      <c r="SQZ22" s="66"/>
      <c r="SRA22" s="66"/>
      <c r="SRB22" s="66"/>
      <c r="SRC22" s="66"/>
      <c r="SRD22" s="66"/>
      <c r="SRE22" s="66"/>
      <c r="SRF22" s="66"/>
      <c r="SRG22" s="66"/>
      <c r="SRH22" s="66"/>
      <c r="SRI22" s="66"/>
      <c r="SRJ22" s="66"/>
      <c r="SRK22" s="66"/>
      <c r="SRL22" s="66"/>
      <c r="SRM22" s="66"/>
      <c r="SRN22" s="66"/>
      <c r="SRO22" s="66"/>
      <c r="SRP22" s="66"/>
      <c r="SRQ22" s="66"/>
      <c r="SRR22" s="66"/>
      <c r="SRS22" s="66"/>
      <c r="SRT22" s="66"/>
      <c r="SRU22" s="66"/>
      <c r="SRV22" s="66"/>
      <c r="SRW22" s="66"/>
      <c r="SRX22" s="66"/>
      <c r="SRY22" s="66"/>
      <c r="SRZ22" s="66"/>
      <c r="SSA22" s="66"/>
      <c r="SSB22" s="66"/>
      <c r="SSC22" s="66"/>
      <c r="SSD22" s="66"/>
      <c r="SSE22" s="66"/>
      <c r="SSF22" s="66"/>
      <c r="SSG22" s="66"/>
      <c r="SSH22" s="66"/>
      <c r="SSI22" s="66"/>
      <c r="SSJ22" s="66"/>
      <c r="SSK22" s="66"/>
      <c r="SSL22" s="66"/>
      <c r="SSM22" s="66"/>
      <c r="SSN22" s="66"/>
      <c r="SSO22" s="66"/>
      <c r="SSP22" s="66"/>
      <c r="SSQ22" s="66"/>
      <c r="SSR22" s="66"/>
      <c r="SSS22" s="66"/>
      <c r="SST22" s="66"/>
      <c r="SSU22" s="66"/>
      <c r="SSV22" s="66"/>
      <c r="SSW22" s="66"/>
      <c r="SSX22" s="66"/>
      <c r="SSY22" s="66"/>
      <c r="SSZ22" s="66"/>
      <c r="STA22" s="66"/>
      <c r="STB22" s="66"/>
      <c r="STC22" s="66"/>
      <c r="STD22" s="66"/>
      <c r="STE22" s="66"/>
      <c r="STF22" s="66"/>
      <c r="STG22" s="66"/>
      <c r="STH22" s="66"/>
      <c r="STI22" s="66"/>
      <c r="STJ22" s="66"/>
      <c r="STK22" s="66"/>
      <c r="STL22" s="66"/>
      <c r="STM22" s="66"/>
      <c r="STN22" s="66"/>
      <c r="STO22" s="66"/>
      <c r="STP22" s="66"/>
      <c r="STQ22" s="66"/>
      <c r="STR22" s="66"/>
      <c r="STS22" s="66"/>
      <c r="STT22" s="66"/>
      <c r="STU22" s="66"/>
      <c r="STV22" s="66"/>
      <c r="STW22" s="66"/>
      <c r="STX22" s="66"/>
      <c r="STY22" s="66"/>
      <c r="STZ22" s="66"/>
      <c r="SUA22" s="66"/>
      <c r="SUB22" s="66"/>
      <c r="SUC22" s="66"/>
      <c r="SUD22" s="66"/>
      <c r="SUE22" s="66"/>
      <c r="SUF22" s="66"/>
      <c r="SUG22" s="66"/>
      <c r="SUH22" s="66"/>
      <c r="SUI22" s="66"/>
      <c r="SUJ22" s="66"/>
      <c r="SUK22" s="66"/>
      <c r="SUL22" s="66"/>
      <c r="SUM22" s="66"/>
      <c r="SUN22" s="66"/>
      <c r="SUO22" s="66"/>
      <c r="SUP22" s="66"/>
      <c r="SUQ22" s="66"/>
      <c r="SUR22" s="66"/>
      <c r="SUS22" s="66"/>
      <c r="SUT22" s="66"/>
      <c r="SUU22" s="66"/>
      <c r="SUV22" s="66"/>
      <c r="SUW22" s="66"/>
      <c r="SUX22" s="66"/>
      <c r="SUY22" s="66"/>
      <c r="SUZ22" s="66"/>
      <c r="SVA22" s="66"/>
      <c r="SVB22" s="66"/>
      <c r="SVC22" s="66"/>
      <c r="SVD22" s="66"/>
      <c r="SVE22" s="66"/>
      <c r="SVF22" s="66"/>
      <c r="SVG22" s="66"/>
      <c r="SVH22" s="66"/>
      <c r="SVI22" s="66"/>
      <c r="SVJ22" s="66"/>
      <c r="SVK22" s="66"/>
      <c r="SVL22" s="66"/>
      <c r="SVM22" s="66"/>
      <c r="SVN22" s="66"/>
      <c r="SVO22" s="66"/>
      <c r="SVP22" s="66"/>
      <c r="SVQ22" s="66"/>
      <c r="SVR22" s="66"/>
      <c r="SVS22" s="66"/>
      <c r="SVT22" s="66"/>
      <c r="SVU22" s="66"/>
      <c r="SVV22" s="66"/>
      <c r="SVW22" s="66"/>
      <c r="SVX22" s="66"/>
      <c r="SVY22" s="66"/>
      <c r="SVZ22" s="66"/>
      <c r="SWA22" s="66"/>
      <c r="SWB22" s="66"/>
      <c r="SWC22" s="66"/>
      <c r="SWD22" s="66"/>
      <c r="SWE22" s="66"/>
      <c r="SWF22" s="66"/>
      <c r="SWG22" s="66"/>
      <c r="SWH22" s="66"/>
      <c r="SWI22" s="66"/>
      <c r="SWJ22" s="66"/>
      <c r="SWK22" s="66"/>
      <c r="SWL22" s="66"/>
      <c r="SWM22" s="66"/>
      <c r="SWN22" s="66"/>
      <c r="SWO22" s="66"/>
      <c r="SWP22" s="66"/>
      <c r="SWQ22" s="66"/>
      <c r="SWR22" s="66"/>
      <c r="SWS22" s="66"/>
      <c r="SWT22" s="66"/>
      <c r="SWU22" s="66"/>
      <c r="SWV22" s="66"/>
      <c r="SWW22" s="66"/>
      <c r="SWX22" s="66"/>
      <c r="SWY22" s="66"/>
      <c r="SWZ22" s="66"/>
      <c r="SXA22" s="66"/>
      <c r="SXB22" s="66"/>
      <c r="SXC22" s="66"/>
      <c r="SXD22" s="66"/>
      <c r="SXE22" s="66"/>
      <c r="SXF22" s="66"/>
      <c r="SXG22" s="66"/>
      <c r="SXH22" s="66"/>
      <c r="SXI22" s="66"/>
      <c r="SXJ22" s="66"/>
      <c r="SXK22" s="66"/>
      <c r="SXL22" s="66"/>
      <c r="SXM22" s="66"/>
      <c r="SXN22" s="66"/>
      <c r="SXO22" s="66"/>
      <c r="SXP22" s="66"/>
      <c r="SXQ22" s="66"/>
      <c r="SXR22" s="66"/>
      <c r="SXS22" s="66"/>
      <c r="SXT22" s="66"/>
      <c r="SXU22" s="66"/>
      <c r="SXV22" s="66"/>
      <c r="SXW22" s="66"/>
      <c r="SXX22" s="66"/>
      <c r="SXY22" s="66"/>
      <c r="SXZ22" s="66"/>
      <c r="SYA22" s="66"/>
      <c r="SYB22" s="66"/>
      <c r="SYC22" s="66"/>
      <c r="SYD22" s="66"/>
      <c r="SYE22" s="66"/>
      <c r="SYF22" s="66"/>
      <c r="SYG22" s="66"/>
      <c r="SYH22" s="66"/>
      <c r="SYI22" s="66"/>
      <c r="SYJ22" s="66"/>
      <c r="SYK22" s="66"/>
      <c r="SYL22" s="66"/>
      <c r="SYM22" s="66"/>
      <c r="SYN22" s="66"/>
      <c r="SYO22" s="66"/>
      <c r="SYP22" s="66"/>
      <c r="SYQ22" s="66"/>
      <c r="SYR22" s="66"/>
      <c r="SYS22" s="66"/>
      <c r="SYT22" s="66"/>
      <c r="SYU22" s="66"/>
      <c r="SYV22" s="66"/>
      <c r="SYW22" s="66"/>
      <c r="SYX22" s="66"/>
      <c r="SYY22" s="66"/>
      <c r="SYZ22" s="66"/>
      <c r="SZA22" s="66"/>
      <c r="SZB22" s="66"/>
      <c r="SZC22" s="66"/>
      <c r="SZD22" s="66"/>
      <c r="SZE22" s="66"/>
      <c r="SZF22" s="66"/>
      <c r="SZG22" s="66"/>
      <c r="SZH22" s="66"/>
      <c r="SZI22" s="66"/>
      <c r="SZJ22" s="66"/>
      <c r="SZK22" s="66"/>
      <c r="SZL22" s="66"/>
      <c r="SZM22" s="66"/>
      <c r="SZN22" s="66"/>
      <c r="SZO22" s="66"/>
      <c r="SZP22" s="66"/>
      <c r="SZQ22" s="66"/>
      <c r="SZR22" s="66"/>
      <c r="SZS22" s="66"/>
      <c r="SZT22" s="66"/>
      <c r="SZU22" s="66"/>
      <c r="SZV22" s="66"/>
      <c r="SZW22" s="66"/>
      <c r="SZX22" s="66"/>
      <c r="SZY22" s="66"/>
      <c r="SZZ22" s="66"/>
      <c r="TAA22" s="66"/>
      <c r="TAB22" s="66"/>
      <c r="TAC22" s="66"/>
      <c r="TAD22" s="66"/>
      <c r="TAE22" s="66"/>
      <c r="TAF22" s="66"/>
      <c r="TAG22" s="66"/>
      <c r="TAH22" s="66"/>
      <c r="TAI22" s="66"/>
      <c r="TAJ22" s="66"/>
      <c r="TAK22" s="66"/>
      <c r="TAL22" s="66"/>
      <c r="TAM22" s="66"/>
      <c r="TAN22" s="66"/>
      <c r="TAO22" s="66"/>
      <c r="TAP22" s="66"/>
      <c r="TAQ22" s="66"/>
      <c r="TAR22" s="66"/>
      <c r="TAS22" s="66"/>
      <c r="TAT22" s="66"/>
      <c r="TAU22" s="66"/>
      <c r="TAV22" s="66"/>
      <c r="TAW22" s="66"/>
      <c r="TAX22" s="66"/>
      <c r="TAY22" s="66"/>
      <c r="TAZ22" s="66"/>
      <c r="TBA22" s="66"/>
      <c r="TBB22" s="66"/>
      <c r="TBC22" s="66"/>
      <c r="TBD22" s="66"/>
      <c r="TBE22" s="66"/>
      <c r="TBF22" s="66"/>
      <c r="TBG22" s="66"/>
      <c r="TBH22" s="66"/>
      <c r="TBI22" s="66"/>
      <c r="TBJ22" s="66"/>
      <c r="TBK22" s="66"/>
      <c r="TBL22" s="66"/>
      <c r="TBM22" s="66"/>
      <c r="TBN22" s="66"/>
      <c r="TBO22" s="66"/>
      <c r="TBP22" s="66"/>
      <c r="TBQ22" s="66"/>
      <c r="TBR22" s="66"/>
      <c r="TBS22" s="66"/>
      <c r="TBT22" s="66"/>
      <c r="TBU22" s="66"/>
      <c r="TBV22" s="66"/>
      <c r="TBW22" s="66"/>
      <c r="TBX22" s="66"/>
      <c r="TBY22" s="66"/>
      <c r="TBZ22" s="66"/>
      <c r="TCA22" s="66"/>
      <c r="TCB22" s="66"/>
      <c r="TCC22" s="66"/>
      <c r="TCD22" s="66"/>
      <c r="TCE22" s="66"/>
      <c r="TCF22" s="66"/>
      <c r="TCG22" s="66"/>
      <c r="TCH22" s="66"/>
      <c r="TCI22" s="66"/>
      <c r="TCJ22" s="66"/>
      <c r="TCK22" s="66"/>
      <c r="TCL22" s="66"/>
      <c r="TCM22" s="66"/>
      <c r="TCN22" s="66"/>
      <c r="TCO22" s="66"/>
      <c r="TCP22" s="66"/>
      <c r="TCQ22" s="66"/>
      <c r="TCR22" s="66"/>
      <c r="TCS22" s="66"/>
      <c r="TCT22" s="66"/>
      <c r="TCU22" s="66"/>
      <c r="TCV22" s="66"/>
      <c r="TCW22" s="66"/>
      <c r="TCX22" s="66"/>
      <c r="TCY22" s="66"/>
      <c r="TCZ22" s="66"/>
      <c r="TDA22" s="66"/>
      <c r="TDB22" s="66"/>
      <c r="TDC22" s="66"/>
      <c r="TDD22" s="66"/>
      <c r="TDE22" s="66"/>
      <c r="TDF22" s="66"/>
      <c r="TDG22" s="66"/>
      <c r="TDH22" s="66"/>
      <c r="TDI22" s="66"/>
      <c r="TDJ22" s="66"/>
      <c r="TDK22" s="66"/>
      <c r="TDL22" s="66"/>
      <c r="TDM22" s="66"/>
      <c r="TDN22" s="66"/>
      <c r="TDO22" s="66"/>
      <c r="TDP22" s="66"/>
      <c r="TDQ22" s="66"/>
      <c r="TDR22" s="66"/>
      <c r="TDS22" s="66"/>
      <c r="TDT22" s="66"/>
      <c r="TDU22" s="66"/>
      <c r="TDV22" s="66"/>
      <c r="TDW22" s="66"/>
      <c r="TDX22" s="66"/>
      <c r="TDY22" s="66"/>
      <c r="TDZ22" s="66"/>
      <c r="TEA22" s="66"/>
      <c r="TEB22" s="66"/>
      <c r="TEC22" s="66"/>
      <c r="TED22" s="66"/>
      <c r="TEE22" s="66"/>
      <c r="TEF22" s="66"/>
      <c r="TEG22" s="66"/>
      <c r="TEH22" s="66"/>
      <c r="TEI22" s="66"/>
      <c r="TEJ22" s="66"/>
      <c r="TEK22" s="66"/>
      <c r="TEL22" s="66"/>
      <c r="TEM22" s="66"/>
      <c r="TEN22" s="66"/>
      <c r="TEO22" s="66"/>
      <c r="TEP22" s="66"/>
      <c r="TEQ22" s="66"/>
      <c r="TER22" s="66"/>
      <c r="TES22" s="66"/>
      <c r="TET22" s="66"/>
      <c r="TEU22" s="66"/>
      <c r="TEV22" s="66"/>
      <c r="TEW22" s="66"/>
      <c r="TEX22" s="66"/>
      <c r="TEY22" s="66"/>
      <c r="TEZ22" s="66"/>
      <c r="TFA22" s="66"/>
      <c r="TFB22" s="66"/>
      <c r="TFC22" s="66"/>
      <c r="TFD22" s="66"/>
      <c r="TFE22" s="66"/>
      <c r="TFF22" s="66"/>
      <c r="TFG22" s="66"/>
      <c r="TFH22" s="66"/>
      <c r="TFI22" s="66"/>
      <c r="TFJ22" s="66"/>
      <c r="TFK22" s="66"/>
      <c r="TFL22" s="66"/>
      <c r="TFM22" s="66"/>
      <c r="TFN22" s="66"/>
      <c r="TFO22" s="66"/>
      <c r="TFP22" s="66"/>
      <c r="TFQ22" s="66"/>
      <c r="TFR22" s="66"/>
      <c r="TFS22" s="66"/>
      <c r="TFT22" s="66"/>
      <c r="TFU22" s="66"/>
      <c r="TFV22" s="66"/>
      <c r="TFW22" s="66"/>
      <c r="TFX22" s="66"/>
      <c r="TFY22" s="66"/>
      <c r="TFZ22" s="66"/>
      <c r="TGA22" s="66"/>
      <c r="TGB22" s="66"/>
      <c r="TGC22" s="66"/>
      <c r="TGD22" s="66"/>
      <c r="TGE22" s="66"/>
      <c r="TGF22" s="66"/>
      <c r="TGG22" s="66"/>
      <c r="TGH22" s="66"/>
      <c r="TGI22" s="66"/>
      <c r="TGJ22" s="66"/>
      <c r="TGK22" s="66"/>
      <c r="TGL22" s="66"/>
      <c r="TGM22" s="66"/>
      <c r="TGN22" s="66"/>
      <c r="TGO22" s="66"/>
      <c r="TGP22" s="66"/>
      <c r="TGQ22" s="66"/>
      <c r="TGR22" s="66"/>
      <c r="TGS22" s="66"/>
      <c r="TGT22" s="66"/>
      <c r="TGU22" s="66"/>
      <c r="TGV22" s="66"/>
      <c r="TGW22" s="66"/>
      <c r="TGX22" s="66"/>
      <c r="TGY22" s="66"/>
      <c r="TGZ22" s="66"/>
      <c r="THA22" s="66"/>
      <c r="THB22" s="66"/>
      <c r="THC22" s="66"/>
      <c r="THD22" s="66"/>
      <c r="THE22" s="66"/>
      <c r="THF22" s="66"/>
      <c r="THG22" s="66"/>
      <c r="THH22" s="66"/>
      <c r="THI22" s="66"/>
      <c r="THJ22" s="66"/>
      <c r="THK22" s="66"/>
      <c r="THL22" s="66"/>
      <c r="THM22" s="66"/>
      <c r="THN22" s="66"/>
      <c r="THO22" s="66"/>
      <c r="THP22" s="66"/>
      <c r="THQ22" s="66"/>
      <c r="THR22" s="66"/>
      <c r="THS22" s="66"/>
      <c r="THT22" s="66"/>
      <c r="THU22" s="66"/>
      <c r="THV22" s="66"/>
      <c r="THW22" s="66"/>
      <c r="THX22" s="66"/>
      <c r="THY22" s="66"/>
      <c r="THZ22" s="66"/>
      <c r="TIA22" s="66"/>
      <c r="TIB22" s="66"/>
      <c r="TIC22" s="66"/>
      <c r="TID22" s="66"/>
      <c r="TIE22" s="66"/>
      <c r="TIF22" s="66"/>
      <c r="TIG22" s="66"/>
      <c r="TIH22" s="66"/>
      <c r="TII22" s="66"/>
      <c r="TIJ22" s="66"/>
      <c r="TIK22" s="66"/>
      <c r="TIL22" s="66"/>
      <c r="TIM22" s="66"/>
      <c r="TIN22" s="66"/>
      <c r="TIO22" s="66"/>
      <c r="TIP22" s="66"/>
      <c r="TIQ22" s="66"/>
      <c r="TIR22" s="66"/>
      <c r="TIS22" s="66"/>
      <c r="TIT22" s="66"/>
      <c r="TIU22" s="66"/>
      <c r="TIV22" s="66"/>
      <c r="TIW22" s="66"/>
      <c r="TIX22" s="66"/>
      <c r="TIY22" s="66"/>
      <c r="TIZ22" s="66"/>
      <c r="TJA22" s="66"/>
      <c r="TJB22" s="66"/>
      <c r="TJC22" s="66"/>
      <c r="TJD22" s="66"/>
      <c r="TJE22" s="66"/>
      <c r="TJF22" s="66"/>
      <c r="TJG22" s="66"/>
      <c r="TJH22" s="66"/>
      <c r="TJI22" s="66"/>
      <c r="TJJ22" s="66"/>
      <c r="TJK22" s="66"/>
      <c r="TJL22" s="66"/>
      <c r="TJM22" s="66"/>
      <c r="TJN22" s="66"/>
      <c r="TJO22" s="66"/>
      <c r="TJP22" s="66"/>
      <c r="TJQ22" s="66"/>
      <c r="TJR22" s="66"/>
      <c r="TJS22" s="66"/>
      <c r="TJT22" s="66"/>
      <c r="TJU22" s="66"/>
      <c r="TJV22" s="66"/>
      <c r="TJW22" s="66"/>
      <c r="TJX22" s="66"/>
      <c r="TJY22" s="66"/>
      <c r="TJZ22" s="66"/>
      <c r="TKA22" s="66"/>
      <c r="TKB22" s="66"/>
      <c r="TKC22" s="66"/>
      <c r="TKD22" s="66"/>
      <c r="TKE22" s="66"/>
      <c r="TKF22" s="66"/>
      <c r="TKG22" s="66"/>
      <c r="TKH22" s="66"/>
      <c r="TKI22" s="66"/>
      <c r="TKJ22" s="66"/>
      <c r="TKK22" s="66"/>
      <c r="TKL22" s="66"/>
      <c r="TKM22" s="66"/>
      <c r="TKN22" s="66"/>
      <c r="TKO22" s="66"/>
      <c r="TKP22" s="66"/>
      <c r="TKQ22" s="66"/>
      <c r="TKR22" s="66"/>
      <c r="TKS22" s="66"/>
      <c r="TKT22" s="66"/>
      <c r="TKU22" s="66"/>
      <c r="TKV22" s="66"/>
      <c r="TKW22" s="66"/>
      <c r="TKX22" s="66"/>
      <c r="TKY22" s="66"/>
      <c r="TKZ22" s="66"/>
      <c r="TLA22" s="66"/>
      <c r="TLB22" s="66"/>
      <c r="TLC22" s="66"/>
      <c r="TLD22" s="66"/>
      <c r="TLE22" s="66"/>
      <c r="TLF22" s="66"/>
      <c r="TLG22" s="66"/>
      <c r="TLH22" s="66"/>
      <c r="TLI22" s="66"/>
      <c r="TLJ22" s="66"/>
      <c r="TLK22" s="66"/>
      <c r="TLL22" s="66"/>
      <c r="TLM22" s="66"/>
      <c r="TLN22" s="66"/>
      <c r="TLO22" s="66"/>
      <c r="TLP22" s="66"/>
      <c r="TLQ22" s="66"/>
      <c r="TLR22" s="66"/>
      <c r="TLS22" s="66"/>
      <c r="TLT22" s="66"/>
      <c r="TLU22" s="66"/>
      <c r="TLV22" s="66"/>
      <c r="TLW22" s="66"/>
      <c r="TLX22" s="66"/>
      <c r="TLY22" s="66"/>
      <c r="TLZ22" s="66"/>
      <c r="TMA22" s="66"/>
      <c r="TMB22" s="66"/>
      <c r="TMC22" s="66"/>
      <c r="TMD22" s="66"/>
      <c r="TME22" s="66"/>
      <c r="TMF22" s="66"/>
      <c r="TMG22" s="66"/>
      <c r="TMH22" s="66"/>
      <c r="TMI22" s="66"/>
      <c r="TMJ22" s="66"/>
      <c r="TMK22" s="66"/>
      <c r="TML22" s="66"/>
      <c r="TMM22" s="66"/>
      <c r="TMN22" s="66"/>
      <c r="TMO22" s="66"/>
      <c r="TMP22" s="66"/>
      <c r="TMQ22" s="66"/>
      <c r="TMR22" s="66"/>
      <c r="TMS22" s="66"/>
      <c r="TMT22" s="66"/>
      <c r="TMU22" s="66"/>
      <c r="TMV22" s="66"/>
      <c r="TMW22" s="66"/>
      <c r="TMX22" s="66"/>
      <c r="TMY22" s="66"/>
      <c r="TMZ22" s="66"/>
      <c r="TNA22" s="66"/>
      <c r="TNB22" s="66"/>
      <c r="TNC22" s="66"/>
      <c r="TND22" s="66"/>
      <c r="TNE22" s="66"/>
      <c r="TNF22" s="66"/>
      <c r="TNG22" s="66"/>
      <c r="TNH22" s="66"/>
      <c r="TNI22" s="66"/>
      <c r="TNJ22" s="66"/>
      <c r="TNK22" s="66"/>
      <c r="TNL22" s="66"/>
      <c r="TNM22" s="66"/>
      <c r="TNN22" s="66"/>
      <c r="TNO22" s="66"/>
      <c r="TNP22" s="66"/>
      <c r="TNQ22" s="66"/>
      <c r="TNR22" s="66"/>
      <c r="TNS22" s="66"/>
      <c r="TNT22" s="66"/>
      <c r="TNU22" s="66"/>
      <c r="TNV22" s="66"/>
      <c r="TNW22" s="66"/>
      <c r="TNX22" s="66"/>
      <c r="TNY22" s="66"/>
      <c r="TNZ22" s="66"/>
      <c r="TOA22" s="66"/>
      <c r="TOB22" s="66"/>
      <c r="TOC22" s="66"/>
      <c r="TOD22" s="66"/>
      <c r="TOE22" s="66"/>
      <c r="TOF22" s="66"/>
      <c r="TOG22" s="66"/>
      <c r="TOH22" s="66"/>
      <c r="TOI22" s="66"/>
      <c r="TOJ22" s="66"/>
      <c r="TOK22" s="66"/>
      <c r="TOL22" s="66"/>
      <c r="TOM22" s="66"/>
      <c r="TON22" s="66"/>
      <c r="TOO22" s="66"/>
      <c r="TOP22" s="66"/>
      <c r="TOQ22" s="66"/>
      <c r="TOR22" s="66"/>
      <c r="TOS22" s="66"/>
      <c r="TOT22" s="66"/>
      <c r="TOU22" s="66"/>
      <c r="TOV22" s="66"/>
      <c r="TOW22" s="66"/>
      <c r="TOX22" s="66"/>
      <c r="TOY22" s="66"/>
      <c r="TOZ22" s="66"/>
      <c r="TPA22" s="66"/>
      <c r="TPB22" s="66"/>
      <c r="TPC22" s="66"/>
      <c r="TPD22" s="66"/>
      <c r="TPE22" s="66"/>
      <c r="TPF22" s="66"/>
      <c r="TPG22" s="66"/>
      <c r="TPH22" s="66"/>
      <c r="TPI22" s="66"/>
      <c r="TPJ22" s="66"/>
      <c r="TPK22" s="66"/>
      <c r="TPL22" s="66"/>
      <c r="TPM22" s="66"/>
      <c r="TPN22" s="66"/>
      <c r="TPO22" s="66"/>
      <c r="TPP22" s="66"/>
      <c r="TPQ22" s="66"/>
      <c r="TPR22" s="66"/>
      <c r="TPS22" s="66"/>
      <c r="TPT22" s="66"/>
      <c r="TPU22" s="66"/>
      <c r="TPV22" s="66"/>
      <c r="TPW22" s="66"/>
      <c r="TPX22" s="66"/>
      <c r="TPY22" s="66"/>
      <c r="TPZ22" s="66"/>
      <c r="TQA22" s="66"/>
      <c r="TQB22" s="66"/>
      <c r="TQC22" s="66"/>
      <c r="TQD22" s="66"/>
      <c r="TQE22" s="66"/>
      <c r="TQF22" s="66"/>
      <c r="TQG22" s="66"/>
      <c r="TQH22" s="66"/>
      <c r="TQI22" s="66"/>
      <c r="TQJ22" s="66"/>
      <c r="TQK22" s="66"/>
      <c r="TQL22" s="66"/>
      <c r="TQM22" s="66"/>
      <c r="TQN22" s="66"/>
      <c r="TQO22" s="66"/>
      <c r="TQP22" s="66"/>
      <c r="TQQ22" s="66"/>
      <c r="TQR22" s="66"/>
      <c r="TQS22" s="66"/>
      <c r="TQT22" s="66"/>
      <c r="TQU22" s="66"/>
      <c r="TQV22" s="66"/>
      <c r="TQW22" s="66"/>
      <c r="TQX22" s="66"/>
      <c r="TQY22" s="66"/>
      <c r="TQZ22" s="66"/>
      <c r="TRA22" s="66"/>
      <c r="TRB22" s="66"/>
      <c r="TRC22" s="66"/>
      <c r="TRD22" s="66"/>
      <c r="TRE22" s="66"/>
      <c r="TRF22" s="66"/>
      <c r="TRG22" s="66"/>
      <c r="TRH22" s="66"/>
      <c r="TRI22" s="66"/>
      <c r="TRJ22" s="66"/>
      <c r="TRK22" s="66"/>
      <c r="TRL22" s="66"/>
      <c r="TRM22" s="66"/>
      <c r="TRN22" s="66"/>
      <c r="TRO22" s="66"/>
      <c r="TRP22" s="66"/>
      <c r="TRQ22" s="66"/>
      <c r="TRR22" s="66"/>
      <c r="TRS22" s="66"/>
      <c r="TRT22" s="66"/>
      <c r="TRU22" s="66"/>
      <c r="TRV22" s="66"/>
      <c r="TRW22" s="66"/>
      <c r="TRX22" s="66"/>
      <c r="TRY22" s="66"/>
      <c r="TRZ22" s="66"/>
      <c r="TSA22" s="66"/>
      <c r="TSB22" s="66"/>
      <c r="TSC22" s="66"/>
      <c r="TSD22" s="66"/>
      <c r="TSE22" s="66"/>
      <c r="TSF22" s="66"/>
      <c r="TSG22" s="66"/>
      <c r="TSH22" s="66"/>
      <c r="TSI22" s="66"/>
      <c r="TSJ22" s="66"/>
      <c r="TSK22" s="66"/>
      <c r="TSL22" s="66"/>
      <c r="TSM22" s="66"/>
      <c r="TSN22" s="66"/>
      <c r="TSO22" s="66"/>
      <c r="TSP22" s="66"/>
      <c r="TSQ22" s="66"/>
      <c r="TSR22" s="66"/>
      <c r="TSS22" s="66"/>
      <c r="TST22" s="66"/>
      <c r="TSU22" s="66"/>
      <c r="TSV22" s="66"/>
      <c r="TSW22" s="66"/>
      <c r="TSX22" s="66"/>
      <c r="TSY22" s="66"/>
      <c r="TSZ22" s="66"/>
      <c r="TTA22" s="66"/>
      <c r="TTB22" s="66"/>
      <c r="TTC22" s="66"/>
      <c r="TTD22" s="66"/>
      <c r="TTE22" s="66"/>
      <c r="TTF22" s="66"/>
      <c r="TTG22" s="66"/>
      <c r="TTH22" s="66"/>
      <c r="TTI22" s="66"/>
      <c r="TTJ22" s="66"/>
      <c r="TTK22" s="66"/>
      <c r="TTL22" s="66"/>
      <c r="TTM22" s="66"/>
      <c r="TTN22" s="66"/>
      <c r="TTO22" s="66"/>
      <c r="TTP22" s="66"/>
      <c r="TTQ22" s="66"/>
      <c r="TTR22" s="66"/>
      <c r="TTS22" s="66"/>
      <c r="TTT22" s="66"/>
      <c r="TTU22" s="66"/>
      <c r="TTV22" s="66"/>
      <c r="TTW22" s="66"/>
      <c r="TTX22" s="66"/>
      <c r="TTY22" s="66"/>
      <c r="TTZ22" s="66"/>
      <c r="TUA22" s="66"/>
      <c r="TUB22" s="66"/>
      <c r="TUC22" s="66"/>
      <c r="TUD22" s="66"/>
      <c r="TUE22" s="66"/>
      <c r="TUF22" s="66"/>
      <c r="TUG22" s="66"/>
      <c r="TUH22" s="66"/>
      <c r="TUI22" s="66"/>
      <c r="TUJ22" s="66"/>
      <c r="TUK22" s="66"/>
      <c r="TUL22" s="66"/>
      <c r="TUM22" s="66"/>
      <c r="TUN22" s="66"/>
      <c r="TUO22" s="66"/>
      <c r="TUP22" s="66"/>
      <c r="TUQ22" s="66"/>
      <c r="TUR22" s="66"/>
      <c r="TUS22" s="66"/>
      <c r="TUT22" s="66"/>
      <c r="TUU22" s="66"/>
      <c r="TUV22" s="66"/>
      <c r="TUW22" s="66"/>
      <c r="TUX22" s="66"/>
      <c r="TUY22" s="66"/>
      <c r="TUZ22" s="66"/>
      <c r="TVA22" s="66"/>
      <c r="TVB22" s="66"/>
      <c r="TVC22" s="66"/>
      <c r="TVD22" s="66"/>
      <c r="TVE22" s="66"/>
      <c r="TVF22" s="66"/>
      <c r="TVG22" s="66"/>
      <c r="TVH22" s="66"/>
      <c r="TVI22" s="66"/>
      <c r="TVJ22" s="66"/>
      <c r="TVK22" s="66"/>
      <c r="TVL22" s="66"/>
      <c r="TVM22" s="66"/>
      <c r="TVN22" s="66"/>
      <c r="TVO22" s="66"/>
      <c r="TVP22" s="66"/>
      <c r="TVQ22" s="66"/>
      <c r="TVR22" s="66"/>
      <c r="TVS22" s="66"/>
      <c r="TVT22" s="66"/>
      <c r="TVU22" s="66"/>
      <c r="TVV22" s="66"/>
      <c r="TVW22" s="66"/>
      <c r="TVX22" s="66"/>
      <c r="TVY22" s="66"/>
      <c r="TVZ22" s="66"/>
      <c r="TWA22" s="66"/>
      <c r="TWB22" s="66"/>
      <c r="TWC22" s="66"/>
      <c r="TWD22" s="66"/>
      <c r="TWE22" s="66"/>
      <c r="TWF22" s="66"/>
      <c r="TWG22" s="66"/>
      <c r="TWH22" s="66"/>
      <c r="TWI22" s="66"/>
      <c r="TWJ22" s="66"/>
      <c r="TWK22" s="66"/>
      <c r="TWL22" s="66"/>
      <c r="TWM22" s="66"/>
      <c r="TWN22" s="66"/>
      <c r="TWO22" s="66"/>
      <c r="TWP22" s="66"/>
      <c r="TWQ22" s="66"/>
      <c r="TWR22" s="66"/>
      <c r="TWS22" s="66"/>
      <c r="TWT22" s="66"/>
      <c r="TWU22" s="66"/>
      <c r="TWV22" s="66"/>
      <c r="TWW22" s="66"/>
      <c r="TWX22" s="66"/>
      <c r="TWY22" s="66"/>
      <c r="TWZ22" s="66"/>
      <c r="TXA22" s="66"/>
      <c r="TXB22" s="66"/>
      <c r="TXC22" s="66"/>
      <c r="TXD22" s="66"/>
      <c r="TXE22" s="66"/>
      <c r="TXF22" s="66"/>
      <c r="TXG22" s="66"/>
      <c r="TXH22" s="66"/>
      <c r="TXI22" s="66"/>
      <c r="TXJ22" s="66"/>
      <c r="TXK22" s="66"/>
      <c r="TXL22" s="66"/>
      <c r="TXM22" s="66"/>
      <c r="TXN22" s="66"/>
      <c r="TXO22" s="66"/>
      <c r="TXP22" s="66"/>
      <c r="TXQ22" s="66"/>
      <c r="TXR22" s="66"/>
      <c r="TXS22" s="66"/>
      <c r="TXT22" s="66"/>
      <c r="TXU22" s="66"/>
      <c r="TXV22" s="66"/>
      <c r="TXW22" s="66"/>
      <c r="TXX22" s="66"/>
      <c r="TXY22" s="66"/>
      <c r="TXZ22" s="66"/>
      <c r="TYA22" s="66"/>
      <c r="TYB22" s="66"/>
      <c r="TYC22" s="66"/>
      <c r="TYD22" s="66"/>
      <c r="TYE22" s="66"/>
      <c r="TYF22" s="66"/>
      <c r="TYG22" s="66"/>
      <c r="TYH22" s="66"/>
      <c r="TYI22" s="66"/>
      <c r="TYJ22" s="66"/>
      <c r="TYK22" s="66"/>
      <c r="TYL22" s="66"/>
      <c r="TYM22" s="66"/>
      <c r="TYN22" s="66"/>
      <c r="TYO22" s="66"/>
      <c r="TYP22" s="66"/>
      <c r="TYQ22" s="66"/>
      <c r="TYR22" s="66"/>
      <c r="TYS22" s="66"/>
      <c r="TYT22" s="66"/>
      <c r="TYU22" s="66"/>
      <c r="TYV22" s="66"/>
      <c r="TYW22" s="66"/>
      <c r="TYX22" s="66"/>
      <c r="TYY22" s="66"/>
      <c r="TYZ22" s="66"/>
      <c r="TZA22" s="66"/>
      <c r="TZB22" s="66"/>
      <c r="TZC22" s="66"/>
      <c r="TZD22" s="66"/>
      <c r="TZE22" s="66"/>
      <c r="TZF22" s="66"/>
      <c r="TZG22" s="66"/>
      <c r="TZH22" s="66"/>
      <c r="TZI22" s="66"/>
      <c r="TZJ22" s="66"/>
      <c r="TZK22" s="66"/>
      <c r="TZL22" s="66"/>
      <c r="TZM22" s="66"/>
      <c r="TZN22" s="66"/>
      <c r="TZO22" s="66"/>
      <c r="TZP22" s="66"/>
      <c r="TZQ22" s="66"/>
      <c r="TZR22" s="66"/>
      <c r="TZS22" s="66"/>
      <c r="TZT22" s="66"/>
      <c r="TZU22" s="66"/>
      <c r="TZV22" s="66"/>
      <c r="TZW22" s="66"/>
      <c r="TZX22" s="66"/>
      <c r="TZY22" s="66"/>
      <c r="TZZ22" s="66"/>
      <c r="UAA22" s="66"/>
      <c r="UAB22" s="66"/>
      <c r="UAC22" s="66"/>
      <c r="UAD22" s="66"/>
      <c r="UAE22" s="66"/>
      <c r="UAF22" s="66"/>
      <c r="UAG22" s="66"/>
      <c r="UAH22" s="66"/>
      <c r="UAI22" s="66"/>
      <c r="UAJ22" s="66"/>
      <c r="UAK22" s="66"/>
      <c r="UAL22" s="66"/>
      <c r="UAM22" s="66"/>
      <c r="UAN22" s="66"/>
      <c r="UAO22" s="66"/>
      <c r="UAP22" s="66"/>
      <c r="UAQ22" s="66"/>
      <c r="UAR22" s="66"/>
      <c r="UAS22" s="66"/>
      <c r="UAT22" s="66"/>
      <c r="UAU22" s="66"/>
      <c r="UAV22" s="66"/>
      <c r="UAW22" s="66"/>
      <c r="UAX22" s="66"/>
      <c r="UAY22" s="66"/>
      <c r="UAZ22" s="66"/>
      <c r="UBA22" s="66"/>
      <c r="UBB22" s="66"/>
      <c r="UBC22" s="66"/>
      <c r="UBD22" s="66"/>
      <c r="UBE22" s="66"/>
      <c r="UBF22" s="66"/>
      <c r="UBG22" s="66"/>
      <c r="UBH22" s="66"/>
      <c r="UBI22" s="66"/>
      <c r="UBJ22" s="66"/>
      <c r="UBK22" s="66"/>
      <c r="UBL22" s="66"/>
      <c r="UBM22" s="66"/>
      <c r="UBN22" s="66"/>
      <c r="UBO22" s="66"/>
      <c r="UBP22" s="66"/>
      <c r="UBQ22" s="66"/>
      <c r="UBR22" s="66"/>
      <c r="UBS22" s="66"/>
      <c r="UBT22" s="66"/>
      <c r="UBU22" s="66"/>
      <c r="UBV22" s="66"/>
      <c r="UBW22" s="66"/>
      <c r="UBX22" s="66"/>
      <c r="UBY22" s="66"/>
      <c r="UBZ22" s="66"/>
      <c r="UCA22" s="66"/>
      <c r="UCB22" s="66"/>
      <c r="UCC22" s="66"/>
      <c r="UCD22" s="66"/>
      <c r="UCE22" s="66"/>
      <c r="UCF22" s="66"/>
      <c r="UCG22" s="66"/>
      <c r="UCH22" s="66"/>
      <c r="UCI22" s="66"/>
      <c r="UCJ22" s="66"/>
      <c r="UCK22" s="66"/>
      <c r="UCL22" s="66"/>
      <c r="UCM22" s="66"/>
      <c r="UCN22" s="66"/>
      <c r="UCO22" s="66"/>
      <c r="UCP22" s="66"/>
      <c r="UCQ22" s="66"/>
      <c r="UCR22" s="66"/>
      <c r="UCS22" s="66"/>
      <c r="UCT22" s="66"/>
      <c r="UCU22" s="66"/>
      <c r="UCV22" s="66"/>
      <c r="UCW22" s="66"/>
      <c r="UCX22" s="66"/>
      <c r="UCY22" s="66"/>
      <c r="UCZ22" s="66"/>
      <c r="UDA22" s="66"/>
      <c r="UDB22" s="66"/>
      <c r="UDC22" s="66"/>
      <c r="UDD22" s="66"/>
      <c r="UDE22" s="66"/>
      <c r="UDF22" s="66"/>
      <c r="UDG22" s="66"/>
      <c r="UDH22" s="66"/>
      <c r="UDI22" s="66"/>
      <c r="UDJ22" s="66"/>
      <c r="UDK22" s="66"/>
      <c r="UDL22" s="66"/>
      <c r="UDM22" s="66"/>
      <c r="UDN22" s="66"/>
      <c r="UDO22" s="66"/>
      <c r="UDP22" s="66"/>
      <c r="UDQ22" s="66"/>
      <c r="UDR22" s="66"/>
      <c r="UDS22" s="66"/>
      <c r="UDT22" s="66"/>
      <c r="UDU22" s="66"/>
      <c r="UDV22" s="66"/>
      <c r="UDW22" s="66"/>
      <c r="UDX22" s="66"/>
      <c r="UDY22" s="66"/>
      <c r="UDZ22" s="66"/>
      <c r="UEA22" s="66"/>
      <c r="UEB22" s="66"/>
      <c r="UEC22" s="66"/>
      <c r="UED22" s="66"/>
      <c r="UEE22" s="66"/>
      <c r="UEF22" s="66"/>
      <c r="UEG22" s="66"/>
      <c r="UEH22" s="66"/>
      <c r="UEI22" s="66"/>
      <c r="UEJ22" s="66"/>
      <c r="UEK22" s="66"/>
      <c r="UEL22" s="66"/>
      <c r="UEM22" s="66"/>
      <c r="UEN22" s="66"/>
      <c r="UEO22" s="66"/>
      <c r="UEP22" s="66"/>
      <c r="UEQ22" s="66"/>
      <c r="UER22" s="66"/>
      <c r="UES22" s="66"/>
      <c r="UET22" s="66"/>
      <c r="UEU22" s="66"/>
      <c r="UEV22" s="66"/>
      <c r="UEW22" s="66"/>
      <c r="UEX22" s="66"/>
      <c r="UEY22" s="66"/>
      <c r="UEZ22" s="66"/>
      <c r="UFA22" s="66"/>
      <c r="UFB22" s="66"/>
      <c r="UFC22" s="66"/>
      <c r="UFD22" s="66"/>
      <c r="UFE22" s="66"/>
      <c r="UFF22" s="66"/>
      <c r="UFG22" s="66"/>
      <c r="UFH22" s="66"/>
      <c r="UFI22" s="66"/>
      <c r="UFJ22" s="66"/>
      <c r="UFK22" s="66"/>
      <c r="UFL22" s="66"/>
      <c r="UFM22" s="66"/>
      <c r="UFN22" s="66"/>
      <c r="UFO22" s="66"/>
      <c r="UFP22" s="66"/>
      <c r="UFQ22" s="66"/>
      <c r="UFR22" s="66"/>
      <c r="UFS22" s="66"/>
      <c r="UFT22" s="66"/>
      <c r="UFU22" s="66"/>
      <c r="UFV22" s="66"/>
      <c r="UFW22" s="66"/>
      <c r="UFX22" s="66"/>
      <c r="UFY22" s="66"/>
      <c r="UFZ22" s="66"/>
      <c r="UGA22" s="66"/>
      <c r="UGB22" s="66"/>
      <c r="UGC22" s="66"/>
      <c r="UGD22" s="66"/>
      <c r="UGE22" s="66"/>
      <c r="UGF22" s="66"/>
      <c r="UGG22" s="66"/>
      <c r="UGH22" s="66"/>
      <c r="UGI22" s="66"/>
      <c r="UGJ22" s="66"/>
      <c r="UGK22" s="66"/>
      <c r="UGL22" s="66"/>
      <c r="UGM22" s="66"/>
      <c r="UGN22" s="66"/>
      <c r="UGO22" s="66"/>
      <c r="UGP22" s="66"/>
      <c r="UGQ22" s="66"/>
      <c r="UGR22" s="66"/>
      <c r="UGS22" s="66"/>
      <c r="UGT22" s="66"/>
      <c r="UGU22" s="66"/>
      <c r="UGV22" s="66"/>
      <c r="UGW22" s="66"/>
      <c r="UGX22" s="66"/>
      <c r="UGY22" s="66"/>
      <c r="UGZ22" s="66"/>
      <c r="UHA22" s="66"/>
      <c r="UHB22" s="66"/>
      <c r="UHC22" s="66"/>
      <c r="UHD22" s="66"/>
      <c r="UHE22" s="66"/>
      <c r="UHF22" s="66"/>
      <c r="UHG22" s="66"/>
      <c r="UHH22" s="66"/>
      <c r="UHI22" s="66"/>
      <c r="UHJ22" s="66"/>
      <c r="UHK22" s="66"/>
      <c r="UHL22" s="66"/>
      <c r="UHM22" s="66"/>
      <c r="UHN22" s="66"/>
      <c r="UHO22" s="66"/>
      <c r="UHP22" s="66"/>
      <c r="UHQ22" s="66"/>
      <c r="UHR22" s="66"/>
      <c r="UHS22" s="66"/>
      <c r="UHT22" s="66"/>
      <c r="UHU22" s="66"/>
      <c r="UHV22" s="66"/>
      <c r="UHW22" s="66"/>
      <c r="UHX22" s="66"/>
      <c r="UHY22" s="66"/>
      <c r="UHZ22" s="66"/>
      <c r="UIA22" s="66"/>
      <c r="UIB22" s="66"/>
      <c r="UIC22" s="66"/>
      <c r="UID22" s="66"/>
      <c r="UIE22" s="66"/>
      <c r="UIF22" s="66"/>
      <c r="UIG22" s="66"/>
      <c r="UIH22" s="66"/>
      <c r="UII22" s="66"/>
      <c r="UIJ22" s="66"/>
      <c r="UIK22" s="66"/>
      <c r="UIL22" s="66"/>
      <c r="UIM22" s="66"/>
      <c r="UIN22" s="66"/>
      <c r="UIO22" s="66"/>
      <c r="UIP22" s="66"/>
      <c r="UIQ22" s="66"/>
      <c r="UIR22" s="66"/>
      <c r="UIS22" s="66"/>
      <c r="UIT22" s="66"/>
      <c r="UIU22" s="66"/>
      <c r="UIV22" s="66"/>
      <c r="UIW22" s="66"/>
      <c r="UIX22" s="66"/>
      <c r="UIY22" s="66"/>
      <c r="UIZ22" s="66"/>
      <c r="UJA22" s="66"/>
      <c r="UJB22" s="66"/>
      <c r="UJC22" s="66"/>
      <c r="UJD22" s="66"/>
      <c r="UJE22" s="66"/>
      <c r="UJF22" s="66"/>
      <c r="UJG22" s="66"/>
      <c r="UJH22" s="66"/>
      <c r="UJI22" s="66"/>
      <c r="UJJ22" s="66"/>
      <c r="UJK22" s="66"/>
      <c r="UJL22" s="66"/>
      <c r="UJM22" s="66"/>
      <c r="UJN22" s="66"/>
      <c r="UJO22" s="66"/>
      <c r="UJP22" s="66"/>
      <c r="UJQ22" s="66"/>
      <c r="UJR22" s="66"/>
      <c r="UJS22" s="66"/>
      <c r="UJT22" s="66"/>
      <c r="UJU22" s="66"/>
      <c r="UJV22" s="66"/>
      <c r="UJW22" s="66"/>
      <c r="UJX22" s="66"/>
      <c r="UJY22" s="66"/>
      <c r="UJZ22" s="66"/>
      <c r="UKA22" s="66"/>
      <c r="UKB22" s="66"/>
      <c r="UKC22" s="66"/>
      <c r="UKD22" s="66"/>
      <c r="UKE22" s="66"/>
      <c r="UKF22" s="66"/>
      <c r="UKG22" s="66"/>
      <c r="UKH22" s="66"/>
      <c r="UKI22" s="66"/>
      <c r="UKJ22" s="66"/>
      <c r="UKK22" s="66"/>
      <c r="UKL22" s="66"/>
      <c r="UKM22" s="66"/>
      <c r="UKN22" s="66"/>
      <c r="UKO22" s="66"/>
      <c r="UKP22" s="66"/>
      <c r="UKQ22" s="66"/>
      <c r="UKR22" s="66"/>
      <c r="UKS22" s="66"/>
      <c r="UKT22" s="66"/>
      <c r="UKU22" s="66"/>
      <c r="UKV22" s="66"/>
      <c r="UKW22" s="66"/>
      <c r="UKX22" s="66"/>
      <c r="UKY22" s="66"/>
      <c r="UKZ22" s="66"/>
      <c r="ULA22" s="66"/>
      <c r="ULB22" s="66"/>
      <c r="ULC22" s="66"/>
      <c r="ULD22" s="66"/>
      <c r="ULE22" s="66"/>
      <c r="ULF22" s="66"/>
      <c r="ULG22" s="66"/>
      <c r="ULH22" s="66"/>
      <c r="ULI22" s="66"/>
      <c r="ULJ22" s="66"/>
      <c r="ULK22" s="66"/>
      <c r="ULL22" s="66"/>
      <c r="ULM22" s="66"/>
      <c r="ULN22" s="66"/>
      <c r="ULO22" s="66"/>
      <c r="ULP22" s="66"/>
      <c r="ULQ22" s="66"/>
      <c r="ULR22" s="66"/>
      <c r="ULS22" s="66"/>
      <c r="ULT22" s="66"/>
      <c r="ULU22" s="66"/>
      <c r="ULV22" s="66"/>
      <c r="ULW22" s="66"/>
      <c r="ULX22" s="66"/>
      <c r="ULY22" s="66"/>
      <c r="ULZ22" s="66"/>
      <c r="UMA22" s="66"/>
      <c r="UMB22" s="66"/>
      <c r="UMC22" s="66"/>
      <c r="UMD22" s="66"/>
      <c r="UME22" s="66"/>
      <c r="UMF22" s="66"/>
      <c r="UMG22" s="66"/>
      <c r="UMH22" s="66"/>
      <c r="UMI22" s="66"/>
      <c r="UMJ22" s="66"/>
      <c r="UMK22" s="66"/>
      <c r="UML22" s="66"/>
      <c r="UMM22" s="66"/>
      <c r="UMN22" s="66"/>
      <c r="UMO22" s="66"/>
      <c r="UMP22" s="66"/>
      <c r="UMQ22" s="66"/>
      <c r="UMR22" s="66"/>
      <c r="UMS22" s="66"/>
      <c r="UMT22" s="66"/>
      <c r="UMU22" s="66"/>
      <c r="UMV22" s="66"/>
      <c r="UMW22" s="66"/>
      <c r="UMX22" s="66"/>
      <c r="UMY22" s="66"/>
      <c r="UMZ22" s="66"/>
      <c r="UNA22" s="66"/>
      <c r="UNB22" s="66"/>
      <c r="UNC22" s="66"/>
      <c r="UND22" s="66"/>
      <c r="UNE22" s="66"/>
      <c r="UNF22" s="66"/>
      <c r="UNG22" s="66"/>
      <c r="UNH22" s="66"/>
      <c r="UNI22" s="66"/>
      <c r="UNJ22" s="66"/>
      <c r="UNK22" s="66"/>
      <c r="UNL22" s="66"/>
      <c r="UNM22" s="66"/>
      <c r="UNN22" s="66"/>
      <c r="UNO22" s="66"/>
      <c r="UNP22" s="66"/>
      <c r="UNQ22" s="66"/>
      <c r="UNR22" s="66"/>
      <c r="UNS22" s="66"/>
      <c r="UNT22" s="66"/>
      <c r="UNU22" s="66"/>
      <c r="UNV22" s="66"/>
      <c r="UNW22" s="66"/>
      <c r="UNX22" s="66"/>
      <c r="UNY22" s="66"/>
      <c r="UNZ22" s="66"/>
      <c r="UOA22" s="66"/>
      <c r="UOB22" s="66"/>
      <c r="UOC22" s="66"/>
      <c r="UOD22" s="66"/>
      <c r="UOE22" s="66"/>
      <c r="UOF22" s="66"/>
      <c r="UOG22" s="66"/>
      <c r="UOH22" s="66"/>
      <c r="UOI22" s="66"/>
      <c r="UOJ22" s="66"/>
      <c r="UOK22" s="66"/>
      <c r="UOL22" s="66"/>
      <c r="UOM22" s="66"/>
      <c r="UON22" s="66"/>
      <c r="UOO22" s="66"/>
      <c r="UOP22" s="66"/>
      <c r="UOQ22" s="66"/>
      <c r="UOR22" s="66"/>
      <c r="UOS22" s="66"/>
      <c r="UOT22" s="66"/>
      <c r="UOU22" s="66"/>
      <c r="UOV22" s="66"/>
      <c r="UOW22" s="66"/>
      <c r="UOX22" s="66"/>
      <c r="UOY22" s="66"/>
      <c r="UOZ22" s="66"/>
      <c r="UPA22" s="66"/>
      <c r="UPB22" s="66"/>
      <c r="UPC22" s="66"/>
      <c r="UPD22" s="66"/>
      <c r="UPE22" s="66"/>
      <c r="UPF22" s="66"/>
      <c r="UPG22" s="66"/>
      <c r="UPH22" s="66"/>
      <c r="UPI22" s="66"/>
      <c r="UPJ22" s="66"/>
      <c r="UPK22" s="66"/>
      <c r="UPL22" s="66"/>
      <c r="UPM22" s="66"/>
      <c r="UPN22" s="66"/>
      <c r="UPO22" s="66"/>
      <c r="UPP22" s="66"/>
      <c r="UPQ22" s="66"/>
      <c r="UPR22" s="66"/>
      <c r="UPS22" s="66"/>
      <c r="UPT22" s="66"/>
      <c r="UPU22" s="66"/>
      <c r="UPV22" s="66"/>
      <c r="UPW22" s="66"/>
      <c r="UPX22" s="66"/>
      <c r="UPY22" s="66"/>
      <c r="UPZ22" s="66"/>
      <c r="UQA22" s="66"/>
      <c r="UQB22" s="66"/>
      <c r="UQC22" s="66"/>
      <c r="UQD22" s="66"/>
      <c r="UQE22" s="66"/>
      <c r="UQF22" s="66"/>
      <c r="UQG22" s="66"/>
      <c r="UQH22" s="66"/>
      <c r="UQI22" s="66"/>
      <c r="UQJ22" s="66"/>
      <c r="UQK22" s="66"/>
      <c r="UQL22" s="66"/>
      <c r="UQM22" s="66"/>
      <c r="UQN22" s="66"/>
      <c r="UQO22" s="66"/>
      <c r="UQP22" s="66"/>
      <c r="UQQ22" s="66"/>
      <c r="UQR22" s="66"/>
      <c r="UQS22" s="66"/>
      <c r="UQT22" s="66"/>
      <c r="UQU22" s="66"/>
      <c r="UQV22" s="66"/>
      <c r="UQW22" s="66"/>
      <c r="UQX22" s="66"/>
      <c r="UQY22" s="66"/>
      <c r="UQZ22" s="66"/>
      <c r="URA22" s="66"/>
      <c r="URB22" s="66"/>
      <c r="URC22" s="66"/>
      <c r="URD22" s="66"/>
      <c r="URE22" s="66"/>
      <c r="URF22" s="66"/>
      <c r="URG22" s="66"/>
      <c r="URH22" s="66"/>
      <c r="URI22" s="66"/>
      <c r="URJ22" s="66"/>
      <c r="URK22" s="66"/>
      <c r="URL22" s="66"/>
      <c r="URM22" s="66"/>
      <c r="URN22" s="66"/>
      <c r="URO22" s="66"/>
      <c r="URP22" s="66"/>
      <c r="URQ22" s="66"/>
      <c r="URR22" s="66"/>
      <c r="URS22" s="66"/>
      <c r="URT22" s="66"/>
      <c r="URU22" s="66"/>
      <c r="URV22" s="66"/>
      <c r="URW22" s="66"/>
      <c r="URX22" s="66"/>
      <c r="URY22" s="66"/>
      <c r="URZ22" s="66"/>
      <c r="USA22" s="66"/>
      <c r="USB22" s="66"/>
      <c r="USC22" s="66"/>
      <c r="USD22" s="66"/>
      <c r="USE22" s="66"/>
      <c r="USF22" s="66"/>
      <c r="USG22" s="66"/>
      <c r="USH22" s="66"/>
      <c r="USI22" s="66"/>
      <c r="USJ22" s="66"/>
      <c r="USK22" s="66"/>
      <c r="USL22" s="66"/>
      <c r="USM22" s="66"/>
      <c r="USN22" s="66"/>
      <c r="USO22" s="66"/>
      <c r="USP22" s="66"/>
      <c r="USQ22" s="66"/>
      <c r="USR22" s="66"/>
      <c r="USS22" s="66"/>
      <c r="UST22" s="66"/>
      <c r="USU22" s="66"/>
      <c r="USV22" s="66"/>
      <c r="USW22" s="66"/>
      <c r="USX22" s="66"/>
      <c r="USY22" s="66"/>
      <c r="USZ22" s="66"/>
      <c r="UTA22" s="66"/>
      <c r="UTB22" s="66"/>
      <c r="UTC22" s="66"/>
      <c r="UTD22" s="66"/>
      <c r="UTE22" s="66"/>
      <c r="UTF22" s="66"/>
      <c r="UTG22" s="66"/>
      <c r="UTH22" s="66"/>
      <c r="UTI22" s="66"/>
      <c r="UTJ22" s="66"/>
      <c r="UTK22" s="66"/>
      <c r="UTL22" s="66"/>
      <c r="UTM22" s="66"/>
      <c r="UTN22" s="66"/>
      <c r="UTO22" s="66"/>
      <c r="UTP22" s="66"/>
      <c r="UTQ22" s="66"/>
      <c r="UTR22" s="66"/>
      <c r="UTS22" s="66"/>
      <c r="UTT22" s="66"/>
      <c r="UTU22" s="66"/>
      <c r="UTV22" s="66"/>
      <c r="UTW22" s="66"/>
      <c r="UTX22" s="66"/>
      <c r="UTY22" s="66"/>
      <c r="UTZ22" s="66"/>
      <c r="UUA22" s="66"/>
      <c r="UUB22" s="66"/>
      <c r="UUC22" s="66"/>
      <c r="UUD22" s="66"/>
      <c r="UUE22" s="66"/>
      <c r="UUF22" s="66"/>
      <c r="UUG22" s="66"/>
      <c r="UUH22" s="66"/>
      <c r="UUI22" s="66"/>
      <c r="UUJ22" s="66"/>
      <c r="UUK22" s="66"/>
      <c r="UUL22" s="66"/>
      <c r="UUM22" s="66"/>
      <c r="UUN22" s="66"/>
      <c r="UUO22" s="66"/>
      <c r="UUP22" s="66"/>
      <c r="UUQ22" s="66"/>
      <c r="UUR22" s="66"/>
      <c r="UUS22" s="66"/>
      <c r="UUT22" s="66"/>
      <c r="UUU22" s="66"/>
      <c r="UUV22" s="66"/>
      <c r="UUW22" s="66"/>
      <c r="UUX22" s="66"/>
      <c r="UUY22" s="66"/>
      <c r="UUZ22" s="66"/>
      <c r="UVA22" s="66"/>
      <c r="UVB22" s="66"/>
      <c r="UVC22" s="66"/>
      <c r="UVD22" s="66"/>
      <c r="UVE22" s="66"/>
      <c r="UVF22" s="66"/>
      <c r="UVG22" s="66"/>
      <c r="UVH22" s="66"/>
      <c r="UVI22" s="66"/>
      <c r="UVJ22" s="66"/>
      <c r="UVK22" s="66"/>
      <c r="UVL22" s="66"/>
      <c r="UVM22" s="66"/>
      <c r="UVN22" s="66"/>
      <c r="UVO22" s="66"/>
      <c r="UVP22" s="66"/>
      <c r="UVQ22" s="66"/>
      <c r="UVR22" s="66"/>
      <c r="UVS22" s="66"/>
      <c r="UVT22" s="66"/>
      <c r="UVU22" s="66"/>
      <c r="UVV22" s="66"/>
      <c r="UVW22" s="66"/>
      <c r="UVX22" s="66"/>
      <c r="UVY22" s="66"/>
      <c r="UVZ22" s="66"/>
      <c r="UWA22" s="66"/>
      <c r="UWB22" s="66"/>
      <c r="UWC22" s="66"/>
      <c r="UWD22" s="66"/>
      <c r="UWE22" s="66"/>
      <c r="UWF22" s="66"/>
      <c r="UWG22" s="66"/>
      <c r="UWH22" s="66"/>
      <c r="UWI22" s="66"/>
      <c r="UWJ22" s="66"/>
      <c r="UWK22" s="66"/>
      <c r="UWL22" s="66"/>
      <c r="UWM22" s="66"/>
      <c r="UWN22" s="66"/>
      <c r="UWO22" s="66"/>
      <c r="UWP22" s="66"/>
      <c r="UWQ22" s="66"/>
      <c r="UWR22" s="66"/>
      <c r="UWS22" s="66"/>
      <c r="UWT22" s="66"/>
      <c r="UWU22" s="66"/>
      <c r="UWV22" s="66"/>
      <c r="UWW22" s="66"/>
      <c r="UWX22" s="66"/>
      <c r="UWY22" s="66"/>
      <c r="UWZ22" s="66"/>
      <c r="UXA22" s="66"/>
      <c r="UXB22" s="66"/>
      <c r="UXC22" s="66"/>
      <c r="UXD22" s="66"/>
      <c r="UXE22" s="66"/>
      <c r="UXF22" s="66"/>
      <c r="UXG22" s="66"/>
      <c r="UXH22" s="66"/>
      <c r="UXI22" s="66"/>
      <c r="UXJ22" s="66"/>
      <c r="UXK22" s="66"/>
      <c r="UXL22" s="66"/>
      <c r="UXM22" s="66"/>
      <c r="UXN22" s="66"/>
      <c r="UXO22" s="66"/>
      <c r="UXP22" s="66"/>
      <c r="UXQ22" s="66"/>
      <c r="UXR22" s="66"/>
      <c r="UXS22" s="66"/>
      <c r="UXT22" s="66"/>
      <c r="UXU22" s="66"/>
      <c r="UXV22" s="66"/>
      <c r="UXW22" s="66"/>
      <c r="UXX22" s="66"/>
      <c r="UXY22" s="66"/>
      <c r="UXZ22" s="66"/>
      <c r="UYA22" s="66"/>
      <c r="UYB22" s="66"/>
      <c r="UYC22" s="66"/>
      <c r="UYD22" s="66"/>
      <c r="UYE22" s="66"/>
      <c r="UYF22" s="66"/>
      <c r="UYG22" s="66"/>
      <c r="UYH22" s="66"/>
      <c r="UYI22" s="66"/>
      <c r="UYJ22" s="66"/>
      <c r="UYK22" s="66"/>
      <c r="UYL22" s="66"/>
      <c r="UYM22" s="66"/>
      <c r="UYN22" s="66"/>
      <c r="UYO22" s="66"/>
      <c r="UYP22" s="66"/>
      <c r="UYQ22" s="66"/>
      <c r="UYR22" s="66"/>
      <c r="UYS22" s="66"/>
      <c r="UYT22" s="66"/>
      <c r="UYU22" s="66"/>
      <c r="UYV22" s="66"/>
      <c r="UYW22" s="66"/>
      <c r="UYX22" s="66"/>
      <c r="UYY22" s="66"/>
      <c r="UYZ22" s="66"/>
      <c r="UZA22" s="66"/>
      <c r="UZB22" s="66"/>
      <c r="UZC22" s="66"/>
      <c r="UZD22" s="66"/>
      <c r="UZE22" s="66"/>
      <c r="UZF22" s="66"/>
      <c r="UZG22" s="66"/>
      <c r="UZH22" s="66"/>
      <c r="UZI22" s="66"/>
      <c r="UZJ22" s="66"/>
      <c r="UZK22" s="66"/>
      <c r="UZL22" s="66"/>
      <c r="UZM22" s="66"/>
      <c r="UZN22" s="66"/>
      <c r="UZO22" s="66"/>
      <c r="UZP22" s="66"/>
      <c r="UZQ22" s="66"/>
      <c r="UZR22" s="66"/>
      <c r="UZS22" s="66"/>
      <c r="UZT22" s="66"/>
      <c r="UZU22" s="66"/>
      <c r="UZV22" s="66"/>
      <c r="UZW22" s="66"/>
      <c r="UZX22" s="66"/>
      <c r="UZY22" s="66"/>
      <c r="UZZ22" s="66"/>
      <c r="VAA22" s="66"/>
      <c r="VAB22" s="66"/>
      <c r="VAC22" s="66"/>
      <c r="VAD22" s="66"/>
      <c r="VAE22" s="66"/>
      <c r="VAF22" s="66"/>
      <c r="VAG22" s="66"/>
      <c r="VAH22" s="66"/>
      <c r="VAI22" s="66"/>
      <c r="VAJ22" s="66"/>
      <c r="VAK22" s="66"/>
      <c r="VAL22" s="66"/>
      <c r="VAM22" s="66"/>
      <c r="VAN22" s="66"/>
      <c r="VAO22" s="66"/>
      <c r="VAP22" s="66"/>
      <c r="VAQ22" s="66"/>
      <c r="VAR22" s="66"/>
      <c r="VAS22" s="66"/>
      <c r="VAT22" s="66"/>
      <c r="VAU22" s="66"/>
      <c r="VAV22" s="66"/>
      <c r="VAW22" s="66"/>
      <c r="VAX22" s="66"/>
      <c r="VAY22" s="66"/>
      <c r="VAZ22" s="66"/>
      <c r="VBA22" s="66"/>
      <c r="VBB22" s="66"/>
      <c r="VBC22" s="66"/>
      <c r="VBD22" s="66"/>
      <c r="VBE22" s="66"/>
      <c r="VBF22" s="66"/>
      <c r="VBG22" s="66"/>
      <c r="VBH22" s="66"/>
      <c r="VBI22" s="66"/>
      <c r="VBJ22" s="66"/>
      <c r="VBK22" s="66"/>
      <c r="VBL22" s="66"/>
      <c r="VBM22" s="66"/>
      <c r="VBN22" s="66"/>
      <c r="VBO22" s="66"/>
      <c r="VBP22" s="66"/>
      <c r="VBQ22" s="66"/>
      <c r="VBR22" s="66"/>
      <c r="VBS22" s="66"/>
      <c r="VBT22" s="66"/>
      <c r="VBU22" s="66"/>
      <c r="VBV22" s="66"/>
      <c r="VBW22" s="66"/>
      <c r="VBX22" s="66"/>
      <c r="VBY22" s="66"/>
      <c r="VBZ22" s="66"/>
      <c r="VCA22" s="66"/>
      <c r="VCB22" s="66"/>
      <c r="VCC22" s="66"/>
      <c r="VCD22" s="66"/>
      <c r="VCE22" s="66"/>
      <c r="VCF22" s="66"/>
      <c r="VCG22" s="66"/>
      <c r="VCH22" s="66"/>
      <c r="VCI22" s="66"/>
      <c r="VCJ22" s="66"/>
      <c r="VCK22" s="66"/>
      <c r="VCL22" s="66"/>
      <c r="VCM22" s="66"/>
      <c r="VCN22" s="66"/>
      <c r="VCO22" s="66"/>
      <c r="VCP22" s="66"/>
      <c r="VCQ22" s="66"/>
      <c r="VCR22" s="66"/>
      <c r="VCS22" s="66"/>
      <c r="VCT22" s="66"/>
      <c r="VCU22" s="66"/>
      <c r="VCV22" s="66"/>
      <c r="VCW22" s="66"/>
      <c r="VCX22" s="66"/>
      <c r="VCY22" s="66"/>
      <c r="VCZ22" s="66"/>
      <c r="VDA22" s="66"/>
      <c r="VDB22" s="66"/>
      <c r="VDC22" s="66"/>
      <c r="VDD22" s="66"/>
      <c r="VDE22" s="66"/>
      <c r="VDF22" s="66"/>
      <c r="VDG22" s="66"/>
      <c r="VDH22" s="66"/>
      <c r="VDI22" s="66"/>
      <c r="VDJ22" s="66"/>
      <c r="VDK22" s="66"/>
      <c r="VDL22" s="66"/>
      <c r="VDM22" s="66"/>
      <c r="VDN22" s="66"/>
      <c r="VDO22" s="66"/>
      <c r="VDP22" s="66"/>
      <c r="VDQ22" s="66"/>
      <c r="VDR22" s="66"/>
      <c r="VDS22" s="66"/>
      <c r="VDT22" s="66"/>
      <c r="VDU22" s="66"/>
      <c r="VDV22" s="66"/>
      <c r="VDW22" s="66"/>
      <c r="VDX22" s="66"/>
      <c r="VDY22" s="66"/>
      <c r="VDZ22" s="66"/>
      <c r="VEA22" s="66"/>
      <c r="VEB22" s="66"/>
      <c r="VEC22" s="66"/>
      <c r="VED22" s="66"/>
      <c r="VEE22" s="66"/>
      <c r="VEF22" s="66"/>
      <c r="VEG22" s="66"/>
      <c r="VEH22" s="66"/>
      <c r="VEI22" s="66"/>
      <c r="VEJ22" s="66"/>
      <c r="VEK22" s="66"/>
      <c r="VEL22" s="66"/>
      <c r="VEM22" s="66"/>
      <c r="VEN22" s="66"/>
      <c r="VEO22" s="66"/>
      <c r="VEP22" s="66"/>
      <c r="VEQ22" s="66"/>
      <c r="VER22" s="66"/>
      <c r="VES22" s="66"/>
      <c r="VET22" s="66"/>
      <c r="VEU22" s="66"/>
      <c r="VEV22" s="66"/>
      <c r="VEW22" s="66"/>
      <c r="VEX22" s="66"/>
      <c r="VEY22" s="66"/>
      <c r="VEZ22" s="66"/>
      <c r="VFA22" s="66"/>
      <c r="VFB22" s="66"/>
      <c r="VFC22" s="66"/>
      <c r="VFD22" s="66"/>
      <c r="VFE22" s="66"/>
      <c r="VFF22" s="66"/>
      <c r="VFG22" s="66"/>
      <c r="VFH22" s="66"/>
      <c r="VFI22" s="66"/>
      <c r="VFJ22" s="66"/>
      <c r="VFK22" s="66"/>
      <c r="VFL22" s="66"/>
      <c r="VFM22" s="66"/>
      <c r="VFN22" s="66"/>
      <c r="VFO22" s="66"/>
      <c r="VFP22" s="66"/>
      <c r="VFQ22" s="66"/>
      <c r="VFR22" s="66"/>
      <c r="VFS22" s="66"/>
      <c r="VFT22" s="66"/>
      <c r="VFU22" s="66"/>
      <c r="VFV22" s="66"/>
      <c r="VFW22" s="66"/>
      <c r="VFX22" s="66"/>
      <c r="VFY22" s="66"/>
      <c r="VFZ22" s="66"/>
      <c r="VGA22" s="66"/>
      <c r="VGB22" s="66"/>
      <c r="VGC22" s="66"/>
      <c r="VGD22" s="66"/>
      <c r="VGE22" s="66"/>
      <c r="VGF22" s="66"/>
      <c r="VGG22" s="66"/>
      <c r="VGH22" s="66"/>
      <c r="VGI22" s="66"/>
      <c r="VGJ22" s="66"/>
      <c r="VGK22" s="66"/>
      <c r="VGL22" s="66"/>
      <c r="VGM22" s="66"/>
      <c r="VGN22" s="66"/>
      <c r="VGO22" s="66"/>
      <c r="VGP22" s="66"/>
      <c r="VGQ22" s="66"/>
      <c r="VGR22" s="66"/>
      <c r="VGS22" s="66"/>
      <c r="VGT22" s="66"/>
      <c r="VGU22" s="66"/>
      <c r="VGV22" s="66"/>
      <c r="VGW22" s="66"/>
      <c r="VGX22" s="66"/>
      <c r="VGY22" s="66"/>
      <c r="VGZ22" s="66"/>
      <c r="VHA22" s="66"/>
      <c r="VHB22" s="66"/>
      <c r="VHC22" s="66"/>
      <c r="VHD22" s="66"/>
      <c r="VHE22" s="66"/>
      <c r="VHF22" s="66"/>
      <c r="VHG22" s="66"/>
      <c r="VHH22" s="66"/>
      <c r="VHI22" s="66"/>
      <c r="VHJ22" s="66"/>
      <c r="VHK22" s="66"/>
      <c r="VHL22" s="66"/>
      <c r="VHM22" s="66"/>
      <c r="VHN22" s="66"/>
      <c r="VHO22" s="66"/>
      <c r="VHP22" s="66"/>
      <c r="VHQ22" s="66"/>
      <c r="VHR22" s="66"/>
      <c r="VHS22" s="66"/>
      <c r="VHT22" s="66"/>
      <c r="VHU22" s="66"/>
      <c r="VHV22" s="66"/>
      <c r="VHW22" s="66"/>
      <c r="VHX22" s="66"/>
      <c r="VHY22" s="66"/>
      <c r="VHZ22" s="66"/>
      <c r="VIA22" s="66"/>
      <c r="VIB22" s="66"/>
      <c r="VIC22" s="66"/>
      <c r="VID22" s="66"/>
      <c r="VIE22" s="66"/>
      <c r="VIF22" s="66"/>
      <c r="VIG22" s="66"/>
      <c r="VIH22" s="66"/>
      <c r="VII22" s="66"/>
      <c r="VIJ22" s="66"/>
      <c r="VIK22" s="66"/>
      <c r="VIL22" s="66"/>
      <c r="VIM22" s="66"/>
      <c r="VIN22" s="66"/>
      <c r="VIO22" s="66"/>
      <c r="VIP22" s="66"/>
      <c r="VIQ22" s="66"/>
      <c r="VIR22" s="66"/>
      <c r="VIS22" s="66"/>
      <c r="VIT22" s="66"/>
      <c r="VIU22" s="66"/>
      <c r="VIV22" s="66"/>
      <c r="VIW22" s="66"/>
      <c r="VIX22" s="66"/>
      <c r="VIY22" s="66"/>
      <c r="VIZ22" s="66"/>
      <c r="VJA22" s="66"/>
      <c r="VJB22" s="66"/>
      <c r="VJC22" s="66"/>
      <c r="VJD22" s="66"/>
      <c r="VJE22" s="66"/>
      <c r="VJF22" s="66"/>
      <c r="VJG22" s="66"/>
      <c r="VJH22" s="66"/>
      <c r="VJI22" s="66"/>
      <c r="VJJ22" s="66"/>
      <c r="VJK22" s="66"/>
      <c r="VJL22" s="66"/>
      <c r="VJM22" s="66"/>
      <c r="VJN22" s="66"/>
      <c r="VJO22" s="66"/>
      <c r="VJP22" s="66"/>
      <c r="VJQ22" s="66"/>
      <c r="VJR22" s="66"/>
      <c r="VJS22" s="66"/>
      <c r="VJT22" s="66"/>
      <c r="VJU22" s="66"/>
      <c r="VJV22" s="66"/>
      <c r="VJW22" s="66"/>
      <c r="VJX22" s="66"/>
      <c r="VJY22" s="66"/>
      <c r="VJZ22" s="66"/>
      <c r="VKA22" s="66"/>
      <c r="VKB22" s="66"/>
      <c r="VKC22" s="66"/>
      <c r="VKD22" s="66"/>
      <c r="VKE22" s="66"/>
      <c r="VKF22" s="66"/>
      <c r="VKG22" s="66"/>
      <c r="VKH22" s="66"/>
      <c r="VKI22" s="66"/>
      <c r="VKJ22" s="66"/>
      <c r="VKK22" s="66"/>
      <c r="VKL22" s="66"/>
      <c r="VKM22" s="66"/>
      <c r="VKN22" s="66"/>
      <c r="VKO22" s="66"/>
      <c r="VKP22" s="66"/>
      <c r="VKQ22" s="66"/>
      <c r="VKR22" s="66"/>
      <c r="VKS22" s="66"/>
      <c r="VKT22" s="66"/>
      <c r="VKU22" s="66"/>
      <c r="VKV22" s="66"/>
      <c r="VKW22" s="66"/>
      <c r="VKX22" s="66"/>
      <c r="VKY22" s="66"/>
      <c r="VKZ22" s="66"/>
      <c r="VLA22" s="66"/>
      <c r="VLB22" s="66"/>
      <c r="VLC22" s="66"/>
      <c r="VLD22" s="66"/>
      <c r="VLE22" s="66"/>
      <c r="VLF22" s="66"/>
      <c r="VLG22" s="66"/>
      <c r="VLH22" s="66"/>
      <c r="VLI22" s="66"/>
      <c r="VLJ22" s="66"/>
      <c r="VLK22" s="66"/>
      <c r="VLL22" s="66"/>
      <c r="VLM22" s="66"/>
      <c r="VLN22" s="66"/>
      <c r="VLO22" s="66"/>
      <c r="VLP22" s="66"/>
      <c r="VLQ22" s="66"/>
      <c r="VLR22" s="66"/>
      <c r="VLS22" s="66"/>
      <c r="VLT22" s="66"/>
      <c r="VLU22" s="66"/>
      <c r="VLV22" s="66"/>
      <c r="VLW22" s="66"/>
      <c r="VLX22" s="66"/>
      <c r="VLY22" s="66"/>
      <c r="VLZ22" s="66"/>
      <c r="VMA22" s="66"/>
      <c r="VMB22" s="66"/>
      <c r="VMC22" s="66"/>
      <c r="VMD22" s="66"/>
      <c r="VME22" s="66"/>
      <c r="VMF22" s="66"/>
      <c r="VMG22" s="66"/>
      <c r="VMH22" s="66"/>
      <c r="VMI22" s="66"/>
      <c r="VMJ22" s="66"/>
      <c r="VMK22" s="66"/>
      <c r="VML22" s="66"/>
      <c r="VMM22" s="66"/>
      <c r="VMN22" s="66"/>
      <c r="VMO22" s="66"/>
      <c r="VMP22" s="66"/>
      <c r="VMQ22" s="66"/>
      <c r="VMR22" s="66"/>
      <c r="VMS22" s="66"/>
      <c r="VMT22" s="66"/>
      <c r="VMU22" s="66"/>
      <c r="VMV22" s="66"/>
      <c r="VMW22" s="66"/>
      <c r="VMX22" s="66"/>
      <c r="VMY22" s="66"/>
      <c r="VMZ22" s="66"/>
      <c r="VNA22" s="66"/>
      <c r="VNB22" s="66"/>
      <c r="VNC22" s="66"/>
      <c r="VND22" s="66"/>
      <c r="VNE22" s="66"/>
      <c r="VNF22" s="66"/>
      <c r="VNG22" s="66"/>
      <c r="VNH22" s="66"/>
      <c r="VNI22" s="66"/>
      <c r="VNJ22" s="66"/>
      <c r="VNK22" s="66"/>
      <c r="VNL22" s="66"/>
      <c r="VNM22" s="66"/>
      <c r="VNN22" s="66"/>
      <c r="VNO22" s="66"/>
      <c r="VNP22" s="66"/>
      <c r="VNQ22" s="66"/>
      <c r="VNR22" s="66"/>
      <c r="VNS22" s="66"/>
      <c r="VNT22" s="66"/>
      <c r="VNU22" s="66"/>
      <c r="VNV22" s="66"/>
      <c r="VNW22" s="66"/>
      <c r="VNX22" s="66"/>
      <c r="VNY22" s="66"/>
      <c r="VNZ22" s="66"/>
      <c r="VOA22" s="66"/>
      <c r="VOB22" s="66"/>
      <c r="VOC22" s="66"/>
      <c r="VOD22" s="66"/>
      <c r="VOE22" s="66"/>
      <c r="VOF22" s="66"/>
      <c r="VOG22" s="66"/>
      <c r="VOH22" s="66"/>
      <c r="VOI22" s="66"/>
      <c r="VOJ22" s="66"/>
      <c r="VOK22" s="66"/>
      <c r="VOL22" s="66"/>
      <c r="VOM22" s="66"/>
      <c r="VON22" s="66"/>
      <c r="VOO22" s="66"/>
      <c r="VOP22" s="66"/>
      <c r="VOQ22" s="66"/>
      <c r="VOR22" s="66"/>
      <c r="VOS22" s="66"/>
      <c r="VOT22" s="66"/>
      <c r="VOU22" s="66"/>
      <c r="VOV22" s="66"/>
      <c r="VOW22" s="66"/>
      <c r="VOX22" s="66"/>
      <c r="VOY22" s="66"/>
      <c r="VOZ22" s="66"/>
      <c r="VPA22" s="66"/>
      <c r="VPB22" s="66"/>
      <c r="VPC22" s="66"/>
      <c r="VPD22" s="66"/>
      <c r="VPE22" s="66"/>
      <c r="VPF22" s="66"/>
      <c r="VPG22" s="66"/>
      <c r="VPH22" s="66"/>
      <c r="VPI22" s="66"/>
      <c r="VPJ22" s="66"/>
      <c r="VPK22" s="66"/>
      <c r="VPL22" s="66"/>
      <c r="VPM22" s="66"/>
      <c r="VPN22" s="66"/>
      <c r="VPO22" s="66"/>
      <c r="VPP22" s="66"/>
      <c r="VPQ22" s="66"/>
      <c r="VPR22" s="66"/>
      <c r="VPS22" s="66"/>
      <c r="VPT22" s="66"/>
      <c r="VPU22" s="66"/>
      <c r="VPV22" s="66"/>
      <c r="VPW22" s="66"/>
      <c r="VPX22" s="66"/>
      <c r="VPY22" s="66"/>
      <c r="VPZ22" s="66"/>
      <c r="VQA22" s="66"/>
      <c r="VQB22" s="66"/>
      <c r="VQC22" s="66"/>
      <c r="VQD22" s="66"/>
      <c r="VQE22" s="66"/>
      <c r="VQF22" s="66"/>
      <c r="VQG22" s="66"/>
      <c r="VQH22" s="66"/>
      <c r="VQI22" s="66"/>
      <c r="VQJ22" s="66"/>
      <c r="VQK22" s="66"/>
      <c r="VQL22" s="66"/>
      <c r="VQM22" s="66"/>
      <c r="VQN22" s="66"/>
      <c r="VQO22" s="66"/>
      <c r="VQP22" s="66"/>
      <c r="VQQ22" s="66"/>
      <c r="VQR22" s="66"/>
      <c r="VQS22" s="66"/>
      <c r="VQT22" s="66"/>
      <c r="VQU22" s="66"/>
      <c r="VQV22" s="66"/>
      <c r="VQW22" s="66"/>
      <c r="VQX22" s="66"/>
      <c r="VQY22" s="66"/>
      <c r="VQZ22" s="66"/>
      <c r="VRA22" s="66"/>
      <c r="VRB22" s="66"/>
      <c r="VRC22" s="66"/>
      <c r="VRD22" s="66"/>
      <c r="VRE22" s="66"/>
      <c r="VRF22" s="66"/>
      <c r="VRG22" s="66"/>
      <c r="VRH22" s="66"/>
      <c r="VRI22" s="66"/>
      <c r="VRJ22" s="66"/>
      <c r="VRK22" s="66"/>
      <c r="VRL22" s="66"/>
      <c r="VRM22" s="66"/>
      <c r="VRN22" s="66"/>
      <c r="VRO22" s="66"/>
      <c r="VRP22" s="66"/>
      <c r="VRQ22" s="66"/>
      <c r="VRR22" s="66"/>
      <c r="VRS22" s="66"/>
      <c r="VRT22" s="66"/>
      <c r="VRU22" s="66"/>
      <c r="VRV22" s="66"/>
      <c r="VRW22" s="66"/>
      <c r="VRX22" s="66"/>
      <c r="VRY22" s="66"/>
      <c r="VRZ22" s="66"/>
      <c r="VSA22" s="66"/>
      <c r="VSB22" s="66"/>
      <c r="VSC22" s="66"/>
      <c r="VSD22" s="66"/>
      <c r="VSE22" s="66"/>
      <c r="VSF22" s="66"/>
      <c r="VSG22" s="66"/>
      <c r="VSH22" s="66"/>
      <c r="VSI22" s="66"/>
      <c r="VSJ22" s="66"/>
      <c r="VSK22" s="66"/>
      <c r="VSL22" s="66"/>
      <c r="VSM22" s="66"/>
      <c r="VSN22" s="66"/>
      <c r="VSO22" s="66"/>
      <c r="VSP22" s="66"/>
      <c r="VSQ22" s="66"/>
      <c r="VSR22" s="66"/>
      <c r="VSS22" s="66"/>
      <c r="VST22" s="66"/>
      <c r="VSU22" s="66"/>
      <c r="VSV22" s="66"/>
      <c r="VSW22" s="66"/>
      <c r="VSX22" s="66"/>
      <c r="VSY22" s="66"/>
      <c r="VSZ22" s="66"/>
      <c r="VTA22" s="66"/>
      <c r="VTB22" s="66"/>
      <c r="VTC22" s="66"/>
      <c r="VTD22" s="66"/>
      <c r="VTE22" s="66"/>
      <c r="VTF22" s="66"/>
      <c r="VTG22" s="66"/>
      <c r="VTH22" s="66"/>
      <c r="VTI22" s="66"/>
      <c r="VTJ22" s="66"/>
      <c r="VTK22" s="66"/>
      <c r="VTL22" s="66"/>
      <c r="VTM22" s="66"/>
      <c r="VTN22" s="66"/>
      <c r="VTO22" s="66"/>
      <c r="VTP22" s="66"/>
      <c r="VTQ22" s="66"/>
      <c r="VTR22" s="66"/>
      <c r="VTS22" s="66"/>
      <c r="VTT22" s="66"/>
      <c r="VTU22" s="66"/>
      <c r="VTV22" s="66"/>
      <c r="VTW22" s="66"/>
      <c r="VTX22" s="66"/>
      <c r="VTY22" s="66"/>
      <c r="VTZ22" s="66"/>
      <c r="VUA22" s="66"/>
      <c r="VUB22" s="66"/>
      <c r="VUC22" s="66"/>
      <c r="VUD22" s="66"/>
      <c r="VUE22" s="66"/>
      <c r="VUF22" s="66"/>
      <c r="VUG22" s="66"/>
      <c r="VUH22" s="66"/>
      <c r="VUI22" s="66"/>
      <c r="VUJ22" s="66"/>
      <c r="VUK22" s="66"/>
      <c r="VUL22" s="66"/>
      <c r="VUM22" s="66"/>
      <c r="VUN22" s="66"/>
      <c r="VUO22" s="66"/>
      <c r="VUP22" s="66"/>
      <c r="VUQ22" s="66"/>
      <c r="VUR22" s="66"/>
      <c r="VUS22" s="66"/>
      <c r="VUT22" s="66"/>
      <c r="VUU22" s="66"/>
      <c r="VUV22" s="66"/>
      <c r="VUW22" s="66"/>
      <c r="VUX22" s="66"/>
      <c r="VUY22" s="66"/>
      <c r="VUZ22" s="66"/>
      <c r="VVA22" s="66"/>
      <c r="VVB22" s="66"/>
      <c r="VVC22" s="66"/>
      <c r="VVD22" s="66"/>
      <c r="VVE22" s="66"/>
      <c r="VVF22" s="66"/>
      <c r="VVG22" s="66"/>
      <c r="VVH22" s="66"/>
      <c r="VVI22" s="66"/>
      <c r="VVJ22" s="66"/>
      <c r="VVK22" s="66"/>
      <c r="VVL22" s="66"/>
      <c r="VVM22" s="66"/>
      <c r="VVN22" s="66"/>
      <c r="VVO22" s="66"/>
      <c r="VVP22" s="66"/>
      <c r="VVQ22" s="66"/>
      <c r="VVR22" s="66"/>
      <c r="VVS22" s="66"/>
      <c r="VVT22" s="66"/>
      <c r="VVU22" s="66"/>
      <c r="VVV22" s="66"/>
      <c r="VVW22" s="66"/>
      <c r="VVX22" s="66"/>
      <c r="VVY22" s="66"/>
      <c r="VVZ22" s="66"/>
      <c r="VWA22" s="66"/>
      <c r="VWB22" s="66"/>
      <c r="VWC22" s="66"/>
      <c r="VWD22" s="66"/>
      <c r="VWE22" s="66"/>
      <c r="VWF22" s="66"/>
      <c r="VWG22" s="66"/>
      <c r="VWH22" s="66"/>
      <c r="VWI22" s="66"/>
      <c r="VWJ22" s="66"/>
      <c r="VWK22" s="66"/>
      <c r="VWL22" s="66"/>
      <c r="VWM22" s="66"/>
      <c r="VWN22" s="66"/>
      <c r="VWO22" s="66"/>
      <c r="VWP22" s="66"/>
      <c r="VWQ22" s="66"/>
      <c r="VWR22" s="66"/>
      <c r="VWS22" s="66"/>
      <c r="VWT22" s="66"/>
      <c r="VWU22" s="66"/>
      <c r="VWV22" s="66"/>
      <c r="VWW22" s="66"/>
      <c r="VWX22" s="66"/>
      <c r="VWY22" s="66"/>
      <c r="VWZ22" s="66"/>
      <c r="VXA22" s="66"/>
      <c r="VXB22" s="66"/>
      <c r="VXC22" s="66"/>
      <c r="VXD22" s="66"/>
      <c r="VXE22" s="66"/>
      <c r="VXF22" s="66"/>
      <c r="VXG22" s="66"/>
      <c r="VXH22" s="66"/>
      <c r="VXI22" s="66"/>
      <c r="VXJ22" s="66"/>
      <c r="VXK22" s="66"/>
      <c r="VXL22" s="66"/>
      <c r="VXM22" s="66"/>
      <c r="VXN22" s="66"/>
      <c r="VXO22" s="66"/>
      <c r="VXP22" s="66"/>
      <c r="VXQ22" s="66"/>
      <c r="VXR22" s="66"/>
      <c r="VXS22" s="66"/>
      <c r="VXT22" s="66"/>
      <c r="VXU22" s="66"/>
      <c r="VXV22" s="66"/>
      <c r="VXW22" s="66"/>
      <c r="VXX22" s="66"/>
      <c r="VXY22" s="66"/>
      <c r="VXZ22" s="66"/>
      <c r="VYA22" s="66"/>
      <c r="VYB22" s="66"/>
      <c r="VYC22" s="66"/>
      <c r="VYD22" s="66"/>
      <c r="VYE22" s="66"/>
      <c r="VYF22" s="66"/>
      <c r="VYG22" s="66"/>
      <c r="VYH22" s="66"/>
      <c r="VYI22" s="66"/>
      <c r="VYJ22" s="66"/>
      <c r="VYK22" s="66"/>
      <c r="VYL22" s="66"/>
      <c r="VYM22" s="66"/>
      <c r="VYN22" s="66"/>
      <c r="VYO22" s="66"/>
      <c r="VYP22" s="66"/>
      <c r="VYQ22" s="66"/>
      <c r="VYR22" s="66"/>
      <c r="VYS22" s="66"/>
      <c r="VYT22" s="66"/>
      <c r="VYU22" s="66"/>
      <c r="VYV22" s="66"/>
      <c r="VYW22" s="66"/>
      <c r="VYX22" s="66"/>
      <c r="VYY22" s="66"/>
      <c r="VYZ22" s="66"/>
      <c r="VZA22" s="66"/>
      <c r="VZB22" s="66"/>
      <c r="VZC22" s="66"/>
      <c r="VZD22" s="66"/>
      <c r="VZE22" s="66"/>
      <c r="VZF22" s="66"/>
      <c r="VZG22" s="66"/>
      <c r="VZH22" s="66"/>
      <c r="VZI22" s="66"/>
      <c r="VZJ22" s="66"/>
      <c r="VZK22" s="66"/>
      <c r="VZL22" s="66"/>
      <c r="VZM22" s="66"/>
      <c r="VZN22" s="66"/>
      <c r="VZO22" s="66"/>
      <c r="VZP22" s="66"/>
      <c r="VZQ22" s="66"/>
      <c r="VZR22" s="66"/>
      <c r="VZS22" s="66"/>
      <c r="VZT22" s="66"/>
      <c r="VZU22" s="66"/>
      <c r="VZV22" s="66"/>
      <c r="VZW22" s="66"/>
      <c r="VZX22" s="66"/>
      <c r="VZY22" s="66"/>
      <c r="VZZ22" s="66"/>
      <c r="WAA22" s="66"/>
      <c r="WAB22" s="66"/>
      <c r="WAC22" s="66"/>
      <c r="WAD22" s="66"/>
      <c r="WAE22" s="66"/>
      <c r="WAF22" s="66"/>
      <c r="WAG22" s="66"/>
      <c r="WAH22" s="66"/>
      <c r="WAI22" s="66"/>
      <c r="WAJ22" s="66"/>
      <c r="WAK22" s="66"/>
      <c r="WAL22" s="66"/>
      <c r="WAM22" s="66"/>
      <c r="WAN22" s="66"/>
      <c r="WAO22" s="66"/>
      <c r="WAP22" s="66"/>
      <c r="WAQ22" s="66"/>
      <c r="WAR22" s="66"/>
      <c r="WAS22" s="66"/>
      <c r="WAT22" s="66"/>
      <c r="WAU22" s="66"/>
      <c r="WAV22" s="66"/>
      <c r="WAW22" s="66"/>
      <c r="WAX22" s="66"/>
      <c r="WAY22" s="66"/>
      <c r="WAZ22" s="66"/>
      <c r="WBA22" s="66"/>
      <c r="WBB22" s="66"/>
      <c r="WBC22" s="66"/>
      <c r="WBD22" s="66"/>
      <c r="WBE22" s="66"/>
      <c r="WBF22" s="66"/>
      <c r="WBG22" s="66"/>
      <c r="WBH22" s="66"/>
      <c r="WBI22" s="66"/>
      <c r="WBJ22" s="66"/>
      <c r="WBK22" s="66"/>
      <c r="WBL22" s="66"/>
      <c r="WBM22" s="66"/>
      <c r="WBN22" s="66"/>
      <c r="WBO22" s="66"/>
      <c r="WBP22" s="66"/>
      <c r="WBQ22" s="66"/>
      <c r="WBR22" s="66"/>
      <c r="WBS22" s="66"/>
      <c r="WBT22" s="66"/>
      <c r="WBU22" s="66"/>
      <c r="WBV22" s="66"/>
      <c r="WBW22" s="66"/>
      <c r="WBX22" s="66"/>
      <c r="WBY22" s="66"/>
      <c r="WBZ22" s="66"/>
      <c r="WCA22" s="66"/>
      <c r="WCB22" s="66"/>
      <c r="WCC22" s="66"/>
      <c r="WCD22" s="66"/>
      <c r="WCE22" s="66"/>
      <c r="WCF22" s="66"/>
      <c r="WCG22" s="66"/>
      <c r="WCH22" s="66"/>
      <c r="WCI22" s="66"/>
      <c r="WCJ22" s="66"/>
      <c r="WCK22" s="66"/>
      <c r="WCL22" s="66"/>
      <c r="WCM22" s="66"/>
      <c r="WCN22" s="66"/>
      <c r="WCO22" s="66"/>
      <c r="WCP22" s="66"/>
      <c r="WCQ22" s="66"/>
      <c r="WCR22" s="66"/>
      <c r="WCS22" s="66"/>
      <c r="WCT22" s="66"/>
      <c r="WCU22" s="66"/>
      <c r="WCV22" s="66"/>
      <c r="WCW22" s="66"/>
      <c r="WCX22" s="66"/>
      <c r="WCY22" s="66"/>
      <c r="WCZ22" s="66"/>
      <c r="WDA22" s="66"/>
      <c r="WDB22" s="66"/>
      <c r="WDC22" s="66"/>
      <c r="WDD22" s="66"/>
      <c r="WDE22" s="66"/>
      <c r="WDF22" s="66"/>
      <c r="WDG22" s="66"/>
      <c r="WDH22" s="66"/>
      <c r="WDI22" s="66"/>
      <c r="WDJ22" s="66"/>
      <c r="WDK22" s="66"/>
      <c r="WDL22" s="66"/>
      <c r="WDM22" s="66"/>
      <c r="WDN22" s="66"/>
      <c r="WDO22" s="66"/>
      <c r="WDP22" s="66"/>
      <c r="WDQ22" s="66"/>
      <c r="WDR22" s="66"/>
      <c r="WDS22" s="66"/>
      <c r="WDT22" s="66"/>
      <c r="WDU22" s="66"/>
      <c r="WDV22" s="66"/>
      <c r="WDW22" s="66"/>
      <c r="WDX22" s="66"/>
      <c r="WDY22" s="66"/>
      <c r="WDZ22" s="66"/>
      <c r="WEA22" s="66"/>
      <c r="WEB22" s="66"/>
      <c r="WEC22" s="66"/>
      <c r="WED22" s="66"/>
      <c r="WEE22" s="66"/>
      <c r="WEF22" s="66"/>
      <c r="WEG22" s="66"/>
      <c r="WEH22" s="66"/>
      <c r="WEI22" s="66"/>
      <c r="WEJ22" s="66"/>
      <c r="WEK22" s="66"/>
      <c r="WEL22" s="66"/>
      <c r="WEM22" s="66"/>
      <c r="WEN22" s="66"/>
      <c r="WEO22" s="66"/>
      <c r="WEP22" s="66"/>
      <c r="WEQ22" s="66"/>
      <c r="WER22" s="66"/>
      <c r="WES22" s="66"/>
      <c r="WET22" s="66"/>
      <c r="WEU22" s="66"/>
      <c r="WEV22" s="66"/>
      <c r="WEW22" s="66"/>
      <c r="WEX22" s="66"/>
      <c r="WEY22" s="66"/>
      <c r="WEZ22" s="66"/>
      <c r="WFA22" s="66"/>
      <c r="WFB22" s="66"/>
      <c r="WFC22" s="66"/>
      <c r="WFD22" s="66"/>
      <c r="WFE22" s="66"/>
      <c r="WFF22" s="66"/>
      <c r="WFG22" s="66"/>
      <c r="WFH22" s="66"/>
      <c r="WFI22" s="66"/>
      <c r="WFJ22" s="66"/>
      <c r="WFK22" s="66"/>
      <c r="WFL22" s="66"/>
      <c r="WFM22" s="66"/>
      <c r="WFN22" s="66"/>
      <c r="WFO22" s="66"/>
      <c r="WFP22" s="66"/>
      <c r="WFQ22" s="66"/>
      <c r="WFR22" s="66"/>
      <c r="WFS22" s="66"/>
      <c r="WFT22" s="66"/>
      <c r="WFU22" s="66"/>
      <c r="WFV22" s="66"/>
      <c r="WFW22" s="66"/>
      <c r="WFX22" s="66"/>
      <c r="WFY22" s="66"/>
      <c r="WFZ22" s="66"/>
      <c r="WGA22" s="66"/>
      <c r="WGB22" s="66"/>
      <c r="WGC22" s="66"/>
      <c r="WGD22" s="66"/>
      <c r="WGE22" s="66"/>
      <c r="WGF22" s="66"/>
      <c r="WGG22" s="66"/>
      <c r="WGH22" s="66"/>
      <c r="WGI22" s="66"/>
      <c r="WGJ22" s="66"/>
      <c r="WGK22" s="66"/>
      <c r="WGL22" s="66"/>
      <c r="WGM22" s="66"/>
      <c r="WGN22" s="66"/>
      <c r="WGO22" s="66"/>
      <c r="WGP22" s="66"/>
      <c r="WGQ22" s="66"/>
      <c r="WGR22" s="66"/>
      <c r="WGS22" s="66"/>
      <c r="WGT22" s="66"/>
      <c r="WGU22" s="66"/>
      <c r="WGV22" s="66"/>
      <c r="WGW22" s="66"/>
      <c r="WGX22" s="66"/>
      <c r="WGY22" s="66"/>
      <c r="WGZ22" s="66"/>
      <c r="WHA22" s="66"/>
      <c r="WHB22" s="66"/>
      <c r="WHC22" s="66"/>
      <c r="WHD22" s="66"/>
      <c r="WHE22" s="66"/>
      <c r="WHF22" s="66"/>
      <c r="WHG22" s="66"/>
      <c r="WHH22" s="66"/>
      <c r="WHI22" s="66"/>
      <c r="WHJ22" s="66"/>
      <c r="WHK22" s="66"/>
      <c r="WHL22" s="66"/>
      <c r="WHM22" s="66"/>
      <c r="WHN22" s="66"/>
      <c r="WHO22" s="66"/>
      <c r="WHP22" s="66"/>
      <c r="WHQ22" s="66"/>
      <c r="WHR22" s="66"/>
      <c r="WHS22" s="66"/>
      <c r="WHT22" s="66"/>
      <c r="WHU22" s="66"/>
      <c r="WHV22" s="66"/>
      <c r="WHW22" s="66"/>
      <c r="WHX22" s="66"/>
      <c r="WHY22" s="66"/>
      <c r="WHZ22" s="66"/>
      <c r="WIA22" s="66"/>
      <c r="WIB22" s="66"/>
      <c r="WIC22" s="66"/>
      <c r="WID22" s="66"/>
      <c r="WIE22" s="66"/>
      <c r="WIF22" s="66"/>
      <c r="WIG22" s="66"/>
      <c r="WIH22" s="66"/>
      <c r="WII22" s="66"/>
      <c r="WIJ22" s="66"/>
      <c r="WIK22" s="66"/>
      <c r="WIL22" s="66"/>
      <c r="WIM22" s="66"/>
      <c r="WIN22" s="66"/>
      <c r="WIO22" s="66"/>
      <c r="WIP22" s="66"/>
      <c r="WIQ22" s="66"/>
      <c r="WIR22" s="66"/>
      <c r="WIS22" s="66"/>
      <c r="WIT22" s="66"/>
      <c r="WIU22" s="66"/>
      <c r="WIV22" s="66"/>
      <c r="WIW22" s="66"/>
      <c r="WIX22" s="66"/>
      <c r="WIY22" s="66"/>
      <c r="WIZ22" s="66"/>
      <c r="WJA22" s="66"/>
      <c r="WJB22" s="66"/>
      <c r="WJC22" s="66"/>
      <c r="WJD22" s="66"/>
      <c r="WJE22" s="66"/>
      <c r="WJF22" s="66"/>
      <c r="WJG22" s="66"/>
      <c r="WJH22" s="66"/>
      <c r="WJI22" s="66"/>
      <c r="WJJ22" s="66"/>
      <c r="WJK22" s="66"/>
      <c r="WJL22" s="66"/>
      <c r="WJM22" s="66"/>
      <c r="WJN22" s="66"/>
      <c r="WJO22" s="66"/>
      <c r="WJP22" s="66"/>
      <c r="WJQ22" s="66"/>
      <c r="WJR22" s="66"/>
      <c r="WJS22" s="66"/>
      <c r="WJT22" s="66"/>
      <c r="WJU22" s="66"/>
      <c r="WJV22" s="66"/>
      <c r="WJW22" s="66"/>
      <c r="WJX22" s="66"/>
      <c r="WJY22" s="66"/>
      <c r="WJZ22" s="66"/>
      <c r="WKA22" s="66"/>
      <c r="WKB22" s="66"/>
      <c r="WKC22" s="66"/>
      <c r="WKD22" s="66"/>
      <c r="WKE22" s="66"/>
      <c r="WKF22" s="66"/>
      <c r="WKG22" s="66"/>
      <c r="WKH22" s="66"/>
      <c r="WKI22" s="66"/>
      <c r="WKJ22" s="66"/>
      <c r="WKK22" s="66"/>
      <c r="WKL22" s="66"/>
      <c r="WKM22" s="66"/>
      <c r="WKN22" s="66"/>
      <c r="WKO22" s="66"/>
      <c r="WKP22" s="66"/>
      <c r="WKQ22" s="66"/>
      <c r="WKR22" s="66"/>
      <c r="WKS22" s="66"/>
      <c r="WKT22" s="66"/>
      <c r="WKU22" s="66"/>
      <c r="WKV22" s="66"/>
      <c r="WKW22" s="66"/>
      <c r="WKX22" s="66"/>
      <c r="WKY22" s="66"/>
      <c r="WKZ22" s="66"/>
      <c r="WLA22" s="66"/>
      <c r="WLB22" s="66"/>
      <c r="WLC22" s="66"/>
      <c r="WLD22" s="66"/>
      <c r="WLE22" s="66"/>
      <c r="WLF22" s="66"/>
      <c r="WLG22" s="66"/>
      <c r="WLH22" s="66"/>
      <c r="WLI22" s="66"/>
      <c r="WLJ22" s="66"/>
      <c r="WLK22" s="66"/>
      <c r="WLL22" s="66"/>
      <c r="WLM22" s="66"/>
      <c r="WLN22" s="66"/>
      <c r="WLO22" s="66"/>
      <c r="WLP22" s="66"/>
      <c r="WLQ22" s="66"/>
      <c r="WLR22" s="66"/>
      <c r="WLS22" s="66"/>
      <c r="WLT22" s="66"/>
      <c r="WLU22" s="66"/>
      <c r="WLV22" s="66"/>
      <c r="WLW22" s="66"/>
      <c r="WLX22" s="66"/>
      <c r="WLY22" s="66"/>
      <c r="WLZ22" s="66"/>
      <c r="WMA22" s="66"/>
      <c r="WMB22" s="66"/>
      <c r="WMC22" s="66"/>
      <c r="WMD22" s="66"/>
      <c r="WME22" s="66"/>
      <c r="WMF22" s="66"/>
      <c r="WMG22" s="66"/>
      <c r="WMH22" s="66"/>
      <c r="WMI22" s="66"/>
      <c r="WMJ22" s="66"/>
      <c r="WMK22" s="66"/>
      <c r="WML22" s="66"/>
      <c r="WMM22" s="66"/>
      <c r="WMN22" s="66"/>
      <c r="WMO22" s="66"/>
      <c r="WMP22" s="66"/>
      <c r="WMQ22" s="66"/>
      <c r="WMR22" s="66"/>
      <c r="WMS22" s="66"/>
      <c r="WMT22" s="66"/>
      <c r="WMU22" s="66"/>
      <c r="WMV22" s="66"/>
      <c r="WMW22" s="66"/>
      <c r="WMX22" s="66"/>
      <c r="WMY22" s="66"/>
      <c r="WMZ22" s="66"/>
      <c r="WNA22" s="66"/>
      <c r="WNB22" s="66"/>
      <c r="WNC22" s="66"/>
      <c r="WND22" s="66"/>
      <c r="WNE22" s="66"/>
      <c r="WNF22" s="66"/>
      <c r="WNG22" s="66"/>
      <c r="WNH22" s="66"/>
      <c r="WNI22" s="66"/>
      <c r="WNJ22" s="66"/>
      <c r="WNK22" s="66"/>
      <c r="WNL22" s="66"/>
      <c r="WNM22" s="66"/>
      <c r="WNN22" s="66"/>
      <c r="WNO22" s="66"/>
      <c r="WNP22" s="66"/>
      <c r="WNQ22" s="66"/>
      <c r="WNR22" s="66"/>
      <c r="WNS22" s="66"/>
      <c r="WNT22" s="66"/>
      <c r="WNU22" s="66"/>
      <c r="WNV22" s="66"/>
      <c r="WNW22" s="66"/>
      <c r="WNX22" s="66"/>
      <c r="WNY22" s="66"/>
      <c r="WNZ22" s="66"/>
      <c r="WOA22" s="66"/>
      <c r="WOB22" s="66"/>
      <c r="WOC22" s="66"/>
      <c r="WOD22" s="66"/>
      <c r="WOE22" s="66"/>
      <c r="WOF22" s="66"/>
      <c r="WOG22" s="66"/>
      <c r="WOH22" s="66"/>
      <c r="WOI22" s="66"/>
      <c r="WOJ22" s="66"/>
      <c r="WOK22" s="66"/>
      <c r="WOL22" s="66"/>
      <c r="WOM22" s="66"/>
      <c r="WON22" s="66"/>
      <c r="WOO22" s="66"/>
      <c r="WOP22" s="66"/>
      <c r="WOQ22" s="66"/>
      <c r="WOR22" s="66"/>
      <c r="WOS22" s="66"/>
      <c r="WOT22" s="66"/>
      <c r="WOU22" s="66"/>
      <c r="WOV22" s="66"/>
      <c r="WOW22" s="66"/>
      <c r="WOX22" s="66"/>
      <c r="WOY22" s="66"/>
      <c r="WOZ22" s="66"/>
      <c r="WPA22" s="66"/>
      <c r="WPB22" s="66"/>
      <c r="WPC22" s="66"/>
      <c r="WPD22" s="66"/>
      <c r="WPE22" s="66"/>
      <c r="WPF22" s="66"/>
      <c r="WPG22" s="66"/>
      <c r="WPH22" s="66"/>
      <c r="WPI22" s="66"/>
      <c r="WPJ22" s="66"/>
      <c r="WPK22" s="66"/>
      <c r="WPL22" s="66"/>
      <c r="WPM22" s="66"/>
      <c r="WPN22" s="66"/>
      <c r="WPO22" s="66"/>
      <c r="WPP22" s="66"/>
      <c r="WPQ22" s="66"/>
      <c r="WPR22" s="66"/>
      <c r="WPS22" s="66"/>
      <c r="WPT22" s="66"/>
      <c r="WPU22" s="66"/>
      <c r="WPV22" s="66"/>
      <c r="WPW22" s="66"/>
      <c r="WPX22" s="66"/>
      <c r="WPY22" s="66"/>
      <c r="WPZ22" s="66"/>
      <c r="WQA22" s="66"/>
      <c r="WQB22" s="66"/>
      <c r="WQC22" s="66"/>
      <c r="WQD22" s="66"/>
      <c r="WQE22" s="66"/>
      <c r="WQF22" s="66"/>
      <c r="WQG22" s="66"/>
      <c r="WQH22" s="66"/>
      <c r="WQI22" s="66"/>
      <c r="WQJ22" s="66"/>
      <c r="WQK22" s="66"/>
      <c r="WQL22" s="66"/>
      <c r="WQM22" s="66"/>
      <c r="WQN22" s="66"/>
      <c r="WQO22" s="66"/>
      <c r="WQP22" s="66"/>
      <c r="WQQ22" s="66"/>
      <c r="WQR22" s="66"/>
      <c r="WQS22" s="66"/>
      <c r="WQT22" s="66"/>
      <c r="WQU22" s="66"/>
      <c r="WQV22" s="66"/>
      <c r="WQW22" s="66"/>
      <c r="WQX22" s="66"/>
      <c r="WQY22" s="66"/>
      <c r="WQZ22" s="66"/>
      <c r="WRA22" s="66"/>
      <c r="WRB22" s="66"/>
      <c r="WRC22" s="66"/>
      <c r="WRD22" s="66"/>
      <c r="WRE22" s="66"/>
      <c r="WRF22" s="66"/>
      <c r="WRG22" s="66"/>
      <c r="WRH22" s="66"/>
      <c r="WRI22" s="66"/>
      <c r="WRJ22" s="66"/>
      <c r="WRK22" s="66"/>
      <c r="WRL22" s="66"/>
      <c r="WRM22" s="66"/>
      <c r="WRN22" s="66"/>
      <c r="WRO22" s="66"/>
      <c r="WRP22" s="66"/>
      <c r="WRQ22" s="66"/>
      <c r="WRR22" s="66"/>
      <c r="WRS22" s="66"/>
      <c r="WRT22" s="66"/>
      <c r="WRU22" s="66"/>
      <c r="WRV22" s="66"/>
      <c r="WRW22" s="66"/>
      <c r="WRX22" s="66"/>
      <c r="WRY22" s="66"/>
      <c r="WRZ22" s="66"/>
      <c r="WSA22" s="66"/>
      <c r="WSB22" s="66"/>
      <c r="WSC22" s="66"/>
      <c r="WSD22" s="66"/>
      <c r="WSE22" s="66"/>
      <c r="WSF22" s="66"/>
      <c r="WSG22" s="66"/>
      <c r="WSH22" s="66"/>
      <c r="WSI22" s="66"/>
      <c r="WSJ22" s="66"/>
      <c r="WSK22" s="66"/>
      <c r="WSL22" s="66"/>
      <c r="WSM22" s="66"/>
      <c r="WSN22" s="66"/>
      <c r="WSO22" s="66"/>
      <c r="WSP22" s="66"/>
      <c r="WSQ22" s="66"/>
      <c r="WSR22" s="66"/>
      <c r="WSS22" s="66"/>
      <c r="WST22" s="66"/>
      <c r="WSU22" s="66"/>
      <c r="WSV22" s="66"/>
      <c r="WSW22" s="66"/>
      <c r="WSX22" s="66"/>
      <c r="WSY22" s="66"/>
      <c r="WSZ22" s="66"/>
      <c r="WTA22" s="66"/>
      <c r="WTB22" s="66"/>
      <c r="WTC22" s="66"/>
      <c r="WTD22" s="66"/>
      <c r="WTE22" s="66"/>
      <c r="WTF22" s="66"/>
      <c r="WTG22" s="66"/>
      <c r="WTH22" s="66"/>
      <c r="WTI22" s="66"/>
      <c r="WTJ22" s="66"/>
      <c r="WTK22" s="66"/>
      <c r="WTL22" s="66"/>
      <c r="WTM22" s="66"/>
      <c r="WTN22" s="66"/>
      <c r="WTO22" s="66"/>
      <c r="WTP22" s="66"/>
      <c r="WTQ22" s="66"/>
      <c r="WTR22" s="66"/>
      <c r="WTS22" s="66"/>
      <c r="WTT22" s="66"/>
      <c r="WTU22" s="66"/>
      <c r="WTV22" s="66"/>
      <c r="WTW22" s="66"/>
      <c r="WTX22" s="66"/>
      <c r="WTY22" s="66"/>
      <c r="WTZ22" s="66"/>
      <c r="WUA22" s="66"/>
      <c r="WUB22" s="66"/>
      <c r="WUC22" s="66"/>
      <c r="WUD22" s="66"/>
      <c r="WUE22" s="66"/>
      <c r="WUF22" s="66"/>
      <c r="WUG22" s="66"/>
      <c r="WUH22" s="66"/>
      <c r="WUI22" s="66"/>
      <c r="WUJ22" s="66"/>
      <c r="WUK22" s="66"/>
      <c r="WUL22" s="66"/>
      <c r="WUM22" s="66"/>
      <c r="WUN22" s="66"/>
      <c r="WUO22" s="66"/>
      <c r="WUP22" s="66"/>
      <c r="WUQ22" s="66"/>
      <c r="WUR22" s="66"/>
      <c r="WUS22" s="66"/>
      <c r="WUT22" s="66"/>
      <c r="WUU22" s="66"/>
      <c r="WUV22" s="66"/>
      <c r="WUW22" s="66"/>
      <c r="WUX22" s="66"/>
      <c r="WUY22" s="66"/>
      <c r="WUZ22" s="66"/>
      <c r="WVA22" s="66"/>
      <c r="WVB22" s="66"/>
      <c r="WVC22" s="66"/>
      <c r="WVD22" s="66"/>
      <c r="WVE22" s="66"/>
      <c r="WVF22" s="66"/>
      <c r="WVG22" s="66"/>
      <c r="WVH22" s="66"/>
      <c r="WVI22" s="66"/>
      <c r="WVJ22" s="66"/>
      <c r="WVK22" s="66"/>
      <c r="WVL22" s="66"/>
      <c r="WVM22" s="66"/>
      <c r="WVN22" s="66"/>
      <c r="WVO22" s="66"/>
      <c r="WVP22" s="66"/>
      <c r="WVQ22" s="66"/>
      <c r="WVR22" s="66"/>
      <c r="WVS22" s="66"/>
      <c r="WVT22" s="66"/>
      <c r="WVU22" s="66"/>
      <c r="WVV22" s="66"/>
      <c r="WVW22" s="66"/>
      <c r="WVX22" s="66"/>
      <c r="WVY22" s="66"/>
      <c r="WVZ22" s="66"/>
      <c r="WWA22" s="66"/>
      <c r="WWB22" s="66"/>
      <c r="WWC22" s="66"/>
      <c r="WWD22" s="66"/>
      <c r="WWE22" s="66"/>
      <c r="WWF22" s="66"/>
      <c r="WWG22" s="66"/>
      <c r="WWH22" s="66"/>
      <c r="WWI22" s="66"/>
      <c r="WWJ22" s="66"/>
      <c r="WWK22" s="66"/>
      <c r="WWL22" s="66"/>
      <c r="WWM22" s="66"/>
      <c r="WWN22" s="66"/>
      <c r="WWO22" s="66"/>
      <c r="WWP22" s="66"/>
      <c r="WWQ22" s="66"/>
      <c r="WWR22" s="66"/>
      <c r="WWS22" s="66"/>
      <c r="WWT22" s="66"/>
      <c r="WWU22" s="66"/>
      <c r="WWV22" s="66"/>
      <c r="WWW22" s="66"/>
      <c r="WWX22" s="66"/>
      <c r="WWY22" s="66"/>
      <c r="WWZ22" s="66"/>
      <c r="WXA22" s="66"/>
      <c r="WXB22" s="66"/>
      <c r="WXC22" s="66"/>
      <c r="WXD22" s="66"/>
      <c r="WXE22" s="66"/>
      <c r="WXF22" s="66"/>
      <c r="WXG22" s="66"/>
      <c r="WXH22" s="66"/>
      <c r="WXI22" s="66"/>
      <c r="WXJ22" s="66"/>
      <c r="WXK22" s="66"/>
      <c r="WXL22" s="66"/>
      <c r="WXM22" s="66"/>
      <c r="WXN22" s="66"/>
      <c r="WXO22" s="66"/>
      <c r="WXP22" s="66"/>
      <c r="WXQ22" s="66"/>
      <c r="WXR22" s="66"/>
      <c r="WXS22" s="66"/>
      <c r="WXT22" s="66"/>
      <c r="WXU22" s="66"/>
      <c r="WXV22" s="66"/>
      <c r="WXW22" s="66"/>
      <c r="WXX22" s="66"/>
      <c r="WXY22" s="66"/>
      <c r="WXZ22" s="66"/>
      <c r="WYA22" s="66"/>
      <c r="WYB22" s="66"/>
      <c r="WYC22" s="66"/>
      <c r="WYD22" s="66"/>
      <c r="WYE22" s="66"/>
      <c r="WYF22" s="66"/>
      <c r="WYG22" s="66"/>
      <c r="WYH22" s="66"/>
      <c r="WYI22" s="66"/>
      <c r="WYJ22" s="66"/>
      <c r="WYK22" s="66"/>
      <c r="WYL22" s="66"/>
      <c r="WYM22" s="66"/>
      <c r="WYN22" s="66"/>
      <c r="WYO22" s="66"/>
      <c r="WYP22" s="66"/>
      <c r="WYQ22" s="66"/>
      <c r="WYR22" s="66"/>
      <c r="WYS22" s="66"/>
      <c r="WYT22" s="66"/>
      <c r="WYU22" s="66"/>
      <c r="WYV22" s="66"/>
      <c r="WYW22" s="66"/>
      <c r="WYX22" s="66"/>
      <c r="WYY22" s="66"/>
      <c r="WYZ22" s="66"/>
      <c r="WZA22" s="66"/>
      <c r="WZB22" s="66"/>
      <c r="WZC22" s="66"/>
      <c r="WZD22" s="66"/>
      <c r="WZE22" s="66"/>
      <c r="WZF22" s="66"/>
      <c r="WZG22" s="66"/>
      <c r="WZH22" s="66"/>
      <c r="WZI22" s="66"/>
      <c r="WZJ22" s="66"/>
      <c r="WZK22" s="66"/>
      <c r="WZL22" s="66"/>
      <c r="WZM22" s="66"/>
      <c r="WZN22" s="66"/>
      <c r="WZO22" s="66"/>
      <c r="WZP22" s="66"/>
      <c r="WZQ22" s="66"/>
      <c r="WZR22" s="66"/>
      <c r="WZS22" s="66"/>
      <c r="WZT22" s="66"/>
      <c r="WZU22" s="66"/>
      <c r="WZV22" s="66"/>
      <c r="WZW22" s="66"/>
      <c r="WZX22" s="66"/>
      <c r="WZY22" s="66"/>
      <c r="WZZ22" s="66"/>
      <c r="XAA22" s="66"/>
      <c r="XAB22" s="66"/>
      <c r="XAC22" s="66"/>
      <c r="XAD22" s="66"/>
      <c r="XAE22" s="66"/>
      <c r="XAF22" s="66"/>
      <c r="XAG22" s="66"/>
      <c r="XAH22" s="66"/>
      <c r="XAI22" s="66"/>
      <c r="XAJ22" s="66"/>
      <c r="XAK22" s="66"/>
      <c r="XAL22" s="66"/>
      <c r="XAM22" s="66"/>
      <c r="XAN22" s="66"/>
      <c r="XAO22" s="66"/>
      <c r="XAP22" s="66"/>
      <c r="XAQ22" s="66"/>
      <c r="XAR22" s="66"/>
      <c r="XAS22" s="66"/>
      <c r="XAT22" s="66"/>
      <c r="XAU22" s="66"/>
      <c r="XAV22" s="66"/>
      <c r="XAW22" s="66"/>
    </row>
    <row r="23" spans="1:16273" ht="15.95" customHeight="1">
      <c r="A23" s="68" t="s">
        <v>6842</v>
      </c>
      <c r="B23" s="122"/>
      <c r="C23" s="122"/>
      <c r="D23" s="65"/>
      <c r="E23" s="8"/>
      <c r="F23" s="40" t="s">
        <v>851</v>
      </c>
      <c r="G23" s="40" t="s">
        <v>852</v>
      </c>
      <c r="H23" s="40" t="s">
        <v>564</v>
      </c>
      <c r="I23" s="40" t="s">
        <v>6851</v>
      </c>
      <c r="J23" s="41" t="s">
        <v>854</v>
      </c>
      <c r="K23" s="41">
        <v>3300001422</v>
      </c>
      <c r="L23" s="42">
        <v>5051830</v>
      </c>
      <c r="M23" s="42">
        <v>3300006725</v>
      </c>
      <c r="T23" s="42" t="s">
        <v>855</v>
      </c>
      <c r="V23" s="43" t="s">
        <v>585</v>
      </c>
      <c r="AF23" s="42">
        <v>1781365</v>
      </c>
      <c r="AG23" s="42" t="s">
        <v>6674</v>
      </c>
    </row>
    <row r="24" spans="1:16273" ht="15.95" customHeight="1" thickBot="1">
      <c r="A24" s="68"/>
      <c r="B24" s="123"/>
      <c r="C24" s="65"/>
      <c r="D24" s="65"/>
      <c r="E24" s="8"/>
      <c r="F24" s="40" t="s">
        <v>5369</v>
      </c>
      <c r="G24" s="40" t="s">
        <v>5370</v>
      </c>
      <c r="H24" s="40" t="s">
        <v>761</v>
      </c>
      <c r="I24" s="40" t="s">
        <v>6848</v>
      </c>
      <c r="J24" s="41">
        <v>2119283</v>
      </c>
      <c r="K24" s="41" t="s">
        <v>7516</v>
      </c>
      <c r="L24" s="42">
        <v>41784</v>
      </c>
      <c r="T24" s="42" t="s">
        <v>5372</v>
      </c>
      <c r="V24" s="43" t="s">
        <v>681</v>
      </c>
      <c r="AF24" s="42">
        <v>1907397</v>
      </c>
      <c r="AG24" s="42" t="s">
        <v>6673</v>
      </c>
    </row>
    <row r="25" spans="1:16273" ht="15.95" customHeight="1" thickBot="1">
      <c r="A25" s="232" t="s">
        <v>6505</v>
      </c>
      <c r="B25" s="233"/>
      <c r="C25" s="233"/>
      <c r="D25" s="234"/>
      <c r="E25" s="8"/>
      <c r="F25" s="40" t="s">
        <v>5161</v>
      </c>
      <c r="G25" s="40" t="s">
        <v>5162</v>
      </c>
      <c r="H25" s="40" t="s">
        <v>761</v>
      </c>
      <c r="I25" s="40" t="s">
        <v>6848</v>
      </c>
      <c r="J25" s="41">
        <v>2117088</v>
      </c>
      <c r="K25" s="41">
        <v>5031834</v>
      </c>
      <c r="L25" s="42" t="s">
        <v>5165</v>
      </c>
      <c r="M25" s="42">
        <v>3300009545</v>
      </c>
      <c r="N25" s="42">
        <v>3300012671</v>
      </c>
      <c r="T25" s="42" t="s">
        <v>5166</v>
      </c>
      <c r="V25" s="36" t="s">
        <v>697</v>
      </c>
      <c r="AF25" s="42">
        <v>2045309</v>
      </c>
      <c r="AG25" s="42" t="s">
        <v>6673</v>
      </c>
    </row>
    <row r="26" spans="1:16273" ht="15.95" customHeight="1">
      <c r="A26" s="124" t="s">
        <v>6506</v>
      </c>
      <c r="B26" s="125" t="s">
        <v>6507</v>
      </c>
      <c r="C26" s="125" t="s">
        <v>6508</v>
      </c>
      <c r="D26" s="126" t="s">
        <v>6509</v>
      </c>
      <c r="E26" s="8"/>
      <c r="F26" s="40" t="s">
        <v>5707</v>
      </c>
      <c r="G26" s="40" t="s">
        <v>5708</v>
      </c>
      <c r="H26" s="40" t="s">
        <v>761</v>
      </c>
      <c r="I26" s="40" t="s">
        <v>6848</v>
      </c>
      <c r="J26" s="41">
        <v>2183511</v>
      </c>
      <c r="K26" s="41" t="s">
        <v>6657</v>
      </c>
      <c r="L26" s="42">
        <v>3300011789</v>
      </c>
      <c r="M26" s="42">
        <v>2183520</v>
      </c>
      <c r="N26" s="42" t="s">
        <v>5710</v>
      </c>
      <c r="T26" s="42" t="s">
        <v>5711</v>
      </c>
      <c r="V26" s="43" t="s">
        <v>720</v>
      </c>
      <c r="AF26" s="42">
        <v>2049798</v>
      </c>
      <c r="AG26" s="42" t="s">
        <v>6673</v>
      </c>
    </row>
    <row r="27" spans="1:16273" ht="15.95" customHeight="1">
      <c r="A27" s="127"/>
      <c r="B27" s="128"/>
      <c r="C27" s="129"/>
      <c r="D27" s="130"/>
      <c r="E27" s="8"/>
      <c r="F27" s="40" t="s">
        <v>5707</v>
      </c>
      <c r="G27" s="40" t="s">
        <v>7810</v>
      </c>
      <c r="H27" s="40" t="s">
        <v>8208</v>
      </c>
      <c r="I27" s="40" t="s">
        <v>6850</v>
      </c>
      <c r="J27" s="138">
        <v>2082973</v>
      </c>
      <c r="K27" s="139">
        <v>2081885</v>
      </c>
      <c r="L27" s="139">
        <v>3300005767</v>
      </c>
      <c r="M27" s="42" t="s">
        <v>7967</v>
      </c>
      <c r="N27" s="42" t="s">
        <v>7968</v>
      </c>
      <c r="T27" s="139">
        <v>31300134</v>
      </c>
      <c r="V27" s="43" t="s">
        <v>747</v>
      </c>
      <c r="AF27" s="42">
        <v>2049799</v>
      </c>
      <c r="AG27" s="42" t="s">
        <v>6673</v>
      </c>
    </row>
    <row r="28" spans="1:16273" ht="15.95" customHeight="1">
      <c r="A28" s="230"/>
      <c r="B28" s="230"/>
      <c r="C28" s="231"/>
      <c r="D28" s="231"/>
      <c r="E28" s="8"/>
      <c r="F28" s="40" t="s">
        <v>2911</v>
      </c>
      <c r="G28" s="40" t="s">
        <v>2912</v>
      </c>
      <c r="H28" s="43" t="s">
        <v>595</v>
      </c>
      <c r="I28" s="40" t="s">
        <v>6847</v>
      </c>
      <c r="J28" s="140"/>
      <c r="K28" s="141">
        <v>2119193</v>
      </c>
      <c r="L28" s="141" t="s">
        <v>2914</v>
      </c>
      <c r="M28" s="141"/>
      <c r="N28" s="141"/>
      <c r="O28" s="142"/>
      <c r="P28" s="142"/>
      <c r="Q28" s="142"/>
      <c r="R28" s="142"/>
      <c r="S28" s="142"/>
      <c r="T28" s="141" t="s">
        <v>2915</v>
      </c>
      <c r="V28" s="43" t="s">
        <v>562</v>
      </c>
      <c r="AF28" s="42">
        <v>2054584</v>
      </c>
      <c r="AG28" s="42" t="s">
        <v>6673</v>
      </c>
    </row>
    <row r="29" spans="1:16273" ht="15.95" customHeight="1">
      <c r="A29" s="230"/>
      <c r="B29" s="230"/>
      <c r="C29" s="231"/>
      <c r="D29" s="231"/>
      <c r="E29" s="8"/>
      <c r="F29" s="40" t="s">
        <v>7435</v>
      </c>
      <c r="G29" s="40" t="s">
        <v>7436</v>
      </c>
      <c r="H29" s="40" t="s">
        <v>670</v>
      </c>
      <c r="I29" s="40" t="s">
        <v>6849</v>
      </c>
      <c r="J29" s="140">
        <v>2110305</v>
      </c>
      <c r="K29" s="141">
        <v>3300016395</v>
      </c>
      <c r="L29" s="141" t="s">
        <v>1494</v>
      </c>
      <c r="M29" s="141"/>
      <c r="N29" s="141"/>
      <c r="O29" s="142"/>
      <c r="P29" s="142"/>
      <c r="Q29" s="142"/>
      <c r="R29" s="142"/>
      <c r="S29" s="142"/>
      <c r="T29" s="141" t="s">
        <v>7561</v>
      </c>
      <c r="V29" s="43" t="s">
        <v>7590</v>
      </c>
      <c r="AF29" s="42">
        <v>2054585</v>
      </c>
      <c r="AG29" s="42" t="s">
        <v>6673</v>
      </c>
    </row>
    <row r="30" spans="1:16273" ht="15.95" customHeight="1">
      <c r="A30" s="230"/>
      <c r="B30" s="230"/>
      <c r="C30" s="231"/>
      <c r="D30" s="231"/>
      <c r="E30" s="8"/>
      <c r="F30" s="40" t="s">
        <v>7643</v>
      </c>
      <c r="G30" s="40" t="s">
        <v>7811</v>
      </c>
      <c r="H30" s="40" t="s">
        <v>8208</v>
      </c>
      <c r="I30" s="40" t="s">
        <v>6850</v>
      </c>
      <c r="J30" s="138">
        <v>5053810</v>
      </c>
      <c r="K30" s="139">
        <v>3300011198</v>
      </c>
      <c r="L30" s="141"/>
      <c r="M30" s="141"/>
      <c r="N30" s="141"/>
      <c r="O30" s="142"/>
      <c r="P30" s="142"/>
      <c r="Q30" s="142"/>
      <c r="R30" s="142"/>
      <c r="S30" s="142"/>
      <c r="T30" s="139">
        <v>111400002</v>
      </c>
      <c r="V30" s="43" t="s">
        <v>6448</v>
      </c>
      <c r="AF30" s="42">
        <v>2055905</v>
      </c>
      <c r="AG30" s="42" t="s">
        <v>6673</v>
      </c>
    </row>
    <row r="31" spans="1:16273" ht="15.95" customHeight="1">
      <c r="A31" s="230"/>
      <c r="B31" s="230"/>
      <c r="C31" s="231"/>
      <c r="D31" s="231"/>
      <c r="E31" s="8"/>
      <c r="F31" s="40" t="s">
        <v>5751</v>
      </c>
      <c r="G31" s="40" t="s">
        <v>5752</v>
      </c>
      <c r="H31" s="40" t="s">
        <v>761</v>
      </c>
      <c r="I31" s="40" t="s">
        <v>6848</v>
      </c>
      <c r="J31" s="140">
        <v>2114729</v>
      </c>
      <c r="K31" s="141" t="s">
        <v>5754</v>
      </c>
      <c r="L31" s="141" t="s">
        <v>5755</v>
      </c>
      <c r="M31" s="141">
        <v>2228719</v>
      </c>
      <c r="N31" s="141">
        <v>2114749</v>
      </c>
      <c r="O31" s="142"/>
      <c r="P31" s="142"/>
      <c r="Q31" s="142"/>
      <c r="R31" s="142"/>
      <c r="S31" s="142"/>
      <c r="T31" s="141" t="s">
        <v>5757</v>
      </c>
      <c r="V31" s="43" t="s">
        <v>588</v>
      </c>
      <c r="AF31" s="42">
        <v>2058241</v>
      </c>
      <c r="AG31" s="42" t="s">
        <v>6673</v>
      </c>
    </row>
    <row r="32" spans="1:16273" ht="15.95" customHeight="1">
      <c r="A32" s="230"/>
      <c r="B32" s="230"/>
      <c r="C32" s="231"/>
      <c r="D32" s="231"/>
      <c r="E32" s="8"/>
      <c r="F32" s="40" t="s">
        <v>6925</v>
      </c>
      <c r="G32" s="40" t="s">
        <v>6926</v>
      </c>
      <c r="H32" s="40" t="s">
        <v>564</v>
      </c>
      <c r="I32" s="40" t="s">
        <v>6851</v>
      </c>
      <c r="J32" s="140" t="s">
        <v>6655</v>
      </c>
      <c r="K32" s="141">
        <v>2119264</v>
      </c>
      <c r="L32" s="141">
        <v>3300012491</v>
      </c>
      <c r="M32" s="141" t="s">
        <v>7225</v>
      </c>
      <c r="N32" s="141"/>
      <c r="O32" s="142"/>
      <c r="P32" s="142"/>
      <c r="Q32" s="142"/>
      <c r="R32" s="142"/>
      <c r="S32" s="142"/>
      <c r="T32" s="141" t="s">
        <v>6543</v>
      </c>
      <c r="V32" s="43" t="s">
        <v>570</v>
      </c>
      <c r="AF32" s="42">
        <v>2061309</v>
      </c>
      <c r="AG32" s="42" t="s">
        <v>6673</v>
      </c>
    </row>
    <row r="33" spans="1:33" ht="15.95" customHeight="1">
      <c r="A33" s="230"/>
      <c r="B33" s="230"/>
      <c r="C33" s="231"/>
      <c r="D33" s="231"/>
      <c r="E33" s="8"/>
      <c r="F33" s="40" t="s">
        <v>1725</v>
      </c>
      <c r="G33" s="40" t="s">
        <v>1726</v>
      </c>
      <c r="H33" s="40" t="s">
        <v>564</v>
      </c>
      <c r="I33" s="40" t="s">
        <v>6851</v>
      </c>
      <c r="J33" s="140" t="s">
        <v>7110</v>
      </c>
      <c r="K33" s="141">
        <v>3300009748</v>
      </c>
      <c r="L33" s="141">
        <v>2171882</v>
      </c>
      <c r="M33" s="141">
        <v>5050424</v>
      </c>
      <c r="N33" s="141" t="s">
        <v>1729</v>
      </c>
      <c r="O33" s="142"/>
      <c r="P33" s="142"/>
      <c r="Q33" s="142"/>
      <c r="R33" s="142"/>
      <c r="S33" s="142"/>
      <c r="T33" s="141" t="s">
        <v>1730</v>
      </c>
      <c r="V33" s="43" t="s">
        <v>784</v>
      </c>
      <c r="AF33" s="42">
        <v>2062644</v>
      </c>
      <c r="AG33" s="42" t="s">
        <v>6673</v>
      </c>
    </row>
    <row r="34" spans="1:33" ht="15.95" customHeight="1">
      <c r="A34" s="230"/>
      <c r="B34" s="230"/>
      <c r="C34" s="231"/>
      <c r="D34" s="231"/>
      <c r="E34" s="8"/>
      <c r="F34" s="40" t="s">
        <v>8421</v>
      </c>
      <c r="G34" s="40" t="s">
        <v>3009</v>
      </c>
      <c r="H34" s="40" t="s">
        <v>595</v>
      </c>
      <c r="I34" s="40" t="s">
        <v>6847</v>
      </c>
      <c r="J34" s="140">
        <v>3300016524</v>
      </c>
      <c r="K34" s="141">
        <v>2103500</v>
      </c>
      <c r="L34" s="141">
        <v>3300004117</v>
      </c>
      <c r="M34" s="141"/>
      <c r="N34" s="141"/>
      <c r="O34" s="142"/>
      <c r="P34" s="142"/>
      <c r="Q34" s="142"/>
      <c r="R34" s="142"/>
      <c r="S34" s="142"/>
      <c r="T34" s="141" t="s">
        <v>3010</v>
      </c>
      <c r="V34" s="43" t="s">
        <v>652</v>
      </c>
      <c r="AF34" s="42">
        <v>2062645</v>
      </c>
      <c r="AG34" s="42" t="s">
        <v>6673</v>
      </c>
    </row>
    <row r="35" spans="1:33" ht="15.95" customHeight="1">
      <c r="A35" s="230"/>
      <c r="B35" s="230"/>
      <c r="C35" s="231"/>
      <c r="D35" s="231"/>
      <c r="E35" s="8"/>
      <c r="F35" s="40" t="s">
        <v>3308</v>
      </c>
      <c r="G35" s="40" t="s">
        <v>3309</v>
      </c>
      <c r="H35" s="40" t="s">
        <v>6841</v>
      </c>
      <c r="I35" s="40" t="s">
        <v>6852</v>
      </c>
      <c r="J35" s="140">
        <v>5031852</v>
      </c>
      <c r="K35" s="141">
        <v>2119256</v>
      </c>
      <c r="L35" s="141" t="s">
        <v>3311</v>
      </c>
      <c r="M35" s="141">
        <v>3300004127</v>
      </c>
      <c r="N35" s="141">
        <v>5031862</v>
      </c>
      <c r="O35" s="142"/>
      <c r="P35" s="142"/>
      <c r="Q35" s="142"/>
      <c r="R35" s="142"/>
      <c r="S35" s="142"/>
      <c r="T35" s="141" t="s">
        <v>3312</v>
      </c>
      <c r="V35" s="43" t="s">
        <v>598</v>
      </c>
      <c r="AF35" s="42">
        <v>2066109</v>
      </c>
      <c r="AG35" s="42" t="s">
        <v>6671</v>
      </c>
    </row>
    <row r="36" spans="1:33" ht="15.95" customHeight="1">
      <c r="A36" s="230"/>
      <c r="B36" s="230"/>
      <c r="C36" s="231"/>
      <c r="D36" s="231"/>
      <c r="E36" s="8"/>
      <c r="F36" s="40" t="s">
        <v>5841</v>
      </c>
      <c r="G36" s="40" t="s">
        <v>5842</v>
      </c>
      <c r="H36" s="40" t="s">
        <v>8208</v>
      </c>
      <c r="I36" s="40" t="s">
        <v>6850</v>
      </c>
      <c r="J36" s="140"/>
      <c r="K36" s="141">
        <v>5014460</v>
      </c>
      <c r="L36" s="141">
        <v>3300005173</v>
      </c>
      <c r="M36" s="141"/>
      <c r="N36" s="141"/>
      <c r="O36" s="142"/>
      <c r="P36" s="142"/>
      <c r="Q36" s="142"/>
      <c r="R36" s="142"/>
      <c r="S36" s="142"/>
      <c r="T36" s="141" t="s">
        <v>5844</v>
      </c>
      <c r="V36" s="43" t="s">
        <v>648</v>
      </c>
      <c r="AF36" s="42">
        <v>2066796</v>
      </c>
      <c r="AG36" s="42" t="s">
        <v>6673</v>
      </c>
    </row>
    <row r="37" spans="1:33" ht="15.95" customHeight="1">
      <c r="A37" s="230"/>
      <c r="B37" s="230"/>
      <c r="C37" s="231"/>
      <c r="D37" s="231"/>
      <c r="E37" s="8"/>
      <c r="F37" s="40" t="s">
        <v>6319</v>
      </c>
      <c r="G37" s="40" t="s">
        <v>6320</v>
      </c>
      <c r="H37" s="40" t="s">
        <v>8208</v>
      </c>
      <c r="I37" s="40" t="s">
        <v>6850</v>
      </c>
      <c r="J37" s="140">
        <v>2096476</v>
      </c>
      <c r="K37" s="141" t="s">
        <v>6321</v>
      </c>
      <c r="L37" s="141" t="s">
        <v>6322</v>
      </c>
      <c r="M37" s="141">
        <v>5059341</v>
      </c>
      <c r="N37" s="141"/>
      <c r="O37" s="142"/>
      <c r="P37" s="142"/>
      <c r="Q37" s="142"/>
      <c r="R37" s="142"/>
      <c r="S37" s="142"/>
      <c r="T37" s="141" t="s">
        <v>6323</v>
      </c>
      <c r="V37" s="43" t="s">
        <v>610</v>
      </c>
      <c r="AF37" s="42">
        <v>2075123</v>
      </c>
      <c r="AG37" s="42" t="s">
        <v>6673</v>
      </c>
    </row>
    <row r="38" spans="1:33" ht="15.95" customHeight="1">
      <c r="A38" s="230"/>
      <c r="B38" s="230"/>
      <c r="C38" s="231"/>
      <c r="D38" s="231"/>
      <c r="E38" s="8"/>
      <c r="F38" s="40" t="s">
        <v>8422</v>
      </c>
      <c r="G38" s="40" t="s">
        <v>2805</v>
      </c>
      <c r="H38" s="40" t="s">
        <v>670</v>
      </c>
      <c r="I38" s="40" t="s">
        <v>6849</v>
      </c>
      <c r="J38" s="140">
        <v>5031873</v>
      </c>
      <c r="K38" s="141" t="s">
        <v>2807</v>
      </c>
      <c r="L38" s="141">
        <v>2119275</v>
      </c>
      <c r="M38" s="141">
        <v>3300001219</v>
      </c>
      <c r="N38" s="141">
        <v>5031884</v>
      </c>
      <c r="O38" s="142"/>
      <c r="P38" s="142"/>
      <c r="Q38" s="142"/>
      <c r="R38" s="142"/>
      <c r="S38" s="142"/>
      <c r="T38" s="141" t="s">
        <v>3992</v>
      </c>
      <c r="V38" s="43" t="s">
        <v>690</v>
      </c>
      <c r="AF38" s="42">
        <v>2076417</v>
      </c>
      <c r="AG38" s="42" t="s">
        <v>6673</v>
      </c>
    </row>
    <row r="39" spans="1:33" ht="15.95" customHeight="1">
      <c r="A39" s="230"/>
      <c r="B39" s="230"/>
      <c r="C39" s="231"/>
      <c r="D39" s="231"/>
      <c r="E39" s="8"/>
      <c r="F39" s="40" t="s">
        <v>5813</v>
      </c>
      <c r="G39" s="40" t="s">
        <v>5814</v>
      </c>
      <c r="H39" s="40" t="s">
        <v>761</v>
      </c>
      <c r="I39" s="40" t="s">
        <v>6848</v>
      </c>
      <c r="J39" s="140">
        <v>2081888</v>
      </c>
      <c r="K39" s="141" t="s">
        <v>5817</v>
      </c>
      <c r="L39" s="141">
        <v>3300009548</v>
      </c>
      <c r="M39" s="141"/>
      <c r="N39" s="141"/>
      <c r="O39" s="142"/>
      <c r="P39" s="142"/>
      <c r="Q39" s="142"/>
      <c r="R39" s="142"/>
      <c r="S39" s="142"/>
      <c r="T39" s="141" t="s">
        <v>5818</v>
      </c>
      <c r="V39" s="43" t="s">
        <v>5816</v>
      </c>
      <c r="AF39" s="42">
        <v>2078581</v>
      </c>
      <c r="AG39" s="42" t="s">
        <v>6673</v>
      </c>
    </row>
    <row r="40" spans="1:33" ht="15.95" customHeight="1" thickBot="1">
      <c r="A40" s="68"/>
      <c r="B40" s="123"/>
      <c r="C40" s="65"/>
      <c r="D40" s="65"/>
      <c r="E40" s="8"/>
      <c r="F40" s="40" t="s">
        <v>1228</v>
      </c>
      <c r="G40" s="40" t="s">
        <v>1229</v>
      </c>
      <c r="H40" s="40" t="s">
        <v>564</v>
      </c>
      <c r="I40" s="40" t="s">
        <v>6851</v>
      </c>
      <c r="J40" s="140">
        <v>2183471</v>
      </c>
      <c r="K40" s="141" t="s">
        <v>1230</v>
      </c>
      <c r="L40" s="141">
        <v>3300006801</v>
      </c>
      <c r="M40" s="141">
        <v>5059311</v>
      </c>
      <c r="N40" s="141"/>
      <c r="O40" s="142"/>
      <c r="P40" s="142"/>
      <c r="Q40" s="142"/>
      <c r="R40" s="142"/>
      <c r="S40" s="142"/>
      <c r="T40" s="141" t="s">
        <v>1231</v>
      </c>
      <c r="V40" s="43" t="s">
        <v>703</v>
      </c>
      <c r="AF40" s="42">
        <v>2081328</v>
      </c>
      <c r="AG40" s="42" t="s">
        <v>6528</v>
      </c>
    </row>
    <row r="41" spans="1:33" ht="15.95" customHeight="1" thickBot="1">
      <c r="A41" s="232" t="s">
        <v>6504</v>
      </c>
      <c r="B41" s="233"/>
      <c r="C41" s="233"/>
      <c r="D41" s="234"/>
      <c r="E41" s="8"/>
      <c r="F41" s="40" t="s">
        <v>7022</v>
      </c>
      <c r="G41" s="40" t="s">
        <v>7026</v>
      </c>
      <c r="H41" s="40" t="s">
        <v>761</v>
      </c>
      <c r="I41" s="40" t="s">
        <v>6848</v>
      </c>
      <c r="J41" s="140">
        <v>2087254</v>
      </c>
      <c r="K41" s="141" t="s">
        <v>7031</v>
      </c>
      <c r="L41" s="141" t="s">
        <v>2163</v>
      </c>
      <c r="M41" s="141">
        <v>3300009774</v>
      </c>
      <c r="N41" s="141"/>
      <c r="O41" s="142"/>
      <c r="P41" s="142"/>
      <c r="Q41" s="142"/>
      <c r="R41" s="142"/>
      <c r="S41" s="142"/>
      <c r="T41" s="141" t="s">
        <v>6564</v>
      </c>
      <c r="V41" s="43" t="s">
        <v>628</v>
      </c>
      <c r="AF41" s="42">
        <v>2081341</v>
      </c>
      <c r="AG41" s="42" t="s">
        <v>6528</v>
      </c>
    </row>
    <row r="42" spans="1:33" ht="15.95" customHeight="1">
      <c r="A42" s="235"/>
      <c r="B42" s="236"/>
      <c r="C42" s="236"/>
      <c r="D42" s="237"/>
      <c r="E42" s="8"/>
      <c r="F42" s="40" t="s">
        <v>2144</v>
      </c>
      <c r="G42" s="40" t="s">
        <v>2145</v>
      </c>
      <c r="H42" s="40" t="s">
        <v>564</v>
      </c>
      <c r="I42" s="40" t="s">
        <v>6851</v>
      </c>
      <c r="J42" s="140" t="s">
        <v>2148</v>
      </c>
      <c r="K42" s="141">
        <v>2116010</v>
      </c>
      <c r="L42" s="141" t="s">
        <v>2149</v>
      </c>
      <c r="M42" s="141">
        <v>5036911</v>
      </c>
      <c r="N42" s="141">
        <v>3300001286</v>
      </c>
      <c r="O42" s="142"/>
      <c r="P42" s="142"/>
      <c r="Q42" s="142"/>
      <c r="R42" s="142"/>
      <c r="S42" s="142"/>
      <c r="T42" s="141" t="s">
        <v>2150</v>
      </c>
      <c r="V42" s="43" t="s">
        <v>2147</v>
      </c>
      <c r="AF42" s="42">
        <v>2081344</v>
      </c>
      <c r="AG42" s="42" t="s">
        <v>6528</v>
      </c>
    </row>
    <row r="43" spans="1:33" ht="15.95" customHeight="1">
      <c r="A43" s="238"/>
      <c r="B43" s="239"/>
      <c r="C43" s="239"/>
      <c r="D43" s="240"/>
      <c r="E43" s="8"/>
      <c r="F43" s="40" t="s">
        <v>7644</v>
      </c>
      <c r="G43" s="40" t="s">
        <v>7812</v>
      </c>
      <c r="H43" s="40" t="s">
        <v>8208</v>
      </c>
      <c r="I43" s="40" t="s">
        <v>6850</v>
      </c>
      <c r="J43" s="138">
        <v>2191166</v>
      </c>
      <c r="K43" s="139">
        <v>2081812</v>
      </c>
      <c r="L43" s="139">
        <v>5077357</v>
      </c>
      <c r="M43" s="139">
        <v>3300012670</v>
      </c>
      <c r="N43" s="141" t="s">
        <v>7969</v>
      </c>
      <c r="O43" s="142"/>
      <c r="P43" s="142"/>
      <c r="Q43" s="142"/>
      <c r="R43" s="142"/>
      <c r="S43" s="142"/>
      <c r="T43" s="139">
        <v>11400025</v>
      </c>
      <c r="V43" s="43" t="s">
        <v>5606</v>
      </c>
      <c r="AF43" s="42">
        <v>2081371</v>
      </c>
      <c r="AG43" s="42" t="s">
        <v>6673</v>
      </c>
    </row>
    <row r="44" spans="1:33" ht="15.95" customHeight="1">
      <c r="A44" s="238"/>
      <c r="B44" s="239"/>
      <c r="C44" s="239"/>
      <c r="D44" s="240"/>
      <c r="E44" s="8"/>
      <c r="F44" s="40" t="s">
        <v>3822</v>
      </c>
      <c r="G44" s="40" t="s">
        <v>7437</v>
      </c>
      <c r="H44" s="40" t="s">
        <v>553</v>
      </c>
      <c r="I44" s="40" t="s">
        <v>6853</v>
      </c>
      <c r="J44" s="140" t="s">
        <v>3824</v>
      </c>
      <c r="K44" s="141">
        <v>5050437</v>
      </c>
      <c r="L44" s="141" t="s">
        <v>7108</v>
      </c>
      <c r="M44" s="141">
        <v>3300012267</v>
      </c>
      <c r="N44" s="141">
        <v>2183499</v>
      </c>
      <c r="O44" s="142"/>
      <c r="P44" s="142"/>
      <c r="Q44" s="142"/>
      <c r="R44" s="142"/>
      <c r="S44" s="142"/>
      <c r="T44" s="141" t="s">
        <v>3825</v>
      </c>
      <c r="V44" s="43" t="s">
        <v>549</v>
      </c>
      <c r="AF44" s="42">
        <v>2081812</v>
      </c>
      <c r="AG44" s="42" t="s">
        <v>6528</v>
      </c>
    </row>
    <row r="45" spans="1:33" ht="15.95" customHeight="1" thickBot="1">
      <c r="A45" s="241"/>
      <c r="B45" s="242"/>
      <c r="C45" s="242"/>
      <c r="D45" s="243"/>
      <c r="E45" s="8"/>
      <c r="F45" s="40" t="s">
        <v>1006</v>
      </c>
      <c r="G45" s="40" t="s">
        <v>1007</v>
      </c>
      <c r="H45" s="40" t="s">
        <v>564</v>
      </c>
      <c r="I45" s="40" t="s">
        <v>6851</v>
      </c>
      <c r="J45" s="140">
        <v>3300001227</v>
      </c>
      <c r="K45" s="141" t="s">
        <v>1008</v>
      </c>
      <c r="L45" s="141">
        <v>3300001228</v>
      </c>
      <c r="M45" s="141">
        <v>2119254</v>
      </c>
      <c r="N45" s="141">
        <v>5031886</v>
      </c>
      <c r="O45" s="142"/>
      <c r="P45" s="142"/>
      <c r="Q45" s="142"/>
      <c r="R45" s="142"/>
      <c r="S45" s="142"/>
      <c r="T45" s="141" t="s">
        <v>1009</v>
      </c>
      <c r="V45" s="43" t="s">
        <v>727</v>
      </c>
      <c r="AF45" s="42">
        <v>2081814</v>
      </c>
      <c r="AG45" s="42" t="s">
        <v>6528</v>
      </c>
    </row>
    <row r="46" spans="1:33" ht="15.95" customHeight="1" thickBot="1">
      <c r="A46" s="123"/>
      <c r="B46" s="123"/>
      <c r="C46" s="123"/>
      <c r="D46" s="123"/>
      <c r="E46" s="8"/>
      <c r="F46" s="40" t="s">
        <v>883</v>
      </c>
      <c r="G46" s="40" t="s">
        <v>884</v>
      </c>
      <c r="H46" s="40" t="s">
        <v>564</v>
      </c>
      <c r="I46" s="40" t="s">
        <v>6851</v>
      </c>
      <c r="J46" s="140">
        <v>2183528</v>
      </c>
      <c r="K46" s="141">
        <v>3300009155</v>
      </c>
      <c r="L46" s="141" t="s">
        <v>885</v>
      </c>
      <c r="M46" s="141">
        <v>5047877</v>
      </c>
      <c r="N46" s="141" t="s">
        <v>7517</v>
      </c>
      <c r="O46" s="142"/>
      <c r="P46" s="142"/>
      <c r="Q46" s="142"/>
      <c r="R46" s="142"/>
      <c r="S46" s="142"/>
      <c r="T46" s="141" t="s">
        <v>886</v>
      </c>
      <c r="V46" s="43" t="s">
        <v>547</v>
      </c>
      <c r="AF46" s="42">
        <v>2081816</v>
      </c>
      <c r="AG46" s="42" t="s">
        <v>6528</v>
      </c>
    </row>
    <row r="47" spans="1:33" ht="15.95" customHeight="1" thickBot="1">
      <c r="A47" s="204" t="s">
        <v>6843</v>
      </c>
      <c r="B47" s="205"/>
      <c r="C47" s="205"/>
      <c r="D47" s="206"/>
      <c r="E47" s="8"/>
      <c r="F47" s="40" t="s">
        <v>5504</v>
      </c>
      <c r="G47" s="40" t="s">
        <v>5505</v>
      </c>
      <c r="H47" s="40" t="s">
        <v>761</v>
      </c>
      <c r="I47" s="40" t="s">
        <v>6848</v>
      </c>
      <c r="J47" s="138">
        <v>3300009544</v>
      </c>
      <c r="K47" s="141" t="s">
        <v>5506</v>
      </c>
      <c r="L47" s="141">
        <v>2116285</v>
      </c>
      <c r="M47" s="141">
        <v>5050451</v>
      </c>
      <c r="N47" s="141">
        <v>3300009552</v>
      </c>
      <c r="O47" s="142"/>
      <c r="P47" s="142"/>
      <c r="Q47" s="142"/>
      <c r="R47" s="142"/>
      <c r="S47" s="142"/>
      <c r="T47" s="139" t="s">
        <v>6821</v>
      </c>
      <c r="V47" s="43" t="s">
        <v>787</v>
      </c>
      <c r="AF47" s="42">
        <v>2081818</v>
      </c>
      <c r="AG47" s="42" t="s">
        <v>6528</v>
      </c>
    </row>
    <row r="48" spans="1:33" ht="15.95" customHeight="1" thickBot="1">
      <c r="B48" s="131"/>
      <c r="C48" s="132"/>
      <c r="D48" s="131"/>
      <c r="E48" s="8"/>
      <c r="F48" s="40" t="s">
        <v>4358</v>
      </c>
      <c r="G48" s="40" t="s">
        <v>4359</v>
      </c>
      <c r="H48" s="40" t="s">
        <v>553</v>
      </c>
      <c r="I48" s="40" t="s">
        <v>6853</v>
      </c>
      <c r="J48" s="140">
        <v>5059305</v>
      </c>
      <c r="K48" s="141" t="s">
        <v>4361</v>
      </c>
      <c r="L48" s="141">
        <v>2183524</v>
      </c>
      <c r="M48" s="141">
        <v>3300004158</v>
      </c>
      <c r="N48" s="141">
        <v>5059331</v>
      </c>
      <c r="O48" s="142"/>
      <c r="P48" s="142"/>
      <c r="Q48" s="142"/>
      <c r="R48" s="142"/>
      <c r="S48" s="142"/>
      <c r="T48" s="141" t="s">
        <v>4362</v>
      </c>
      <c r="V48" s="43" t="s">
        <v>791</v>
      </c>
      <c r="AF48" s="42">
        <v>2081819</v>
      </c>
      <c r="AG48" s="42" t="s">
        <v>6528</v>
      </c>
    </row>
    <row r="49" spans="1:33" ht="15.95" customHeight="1">
      <c r="A49" s="222" t="s">
        <v>6481</v>
      </c>
      <c r="B49" s="244"/>
      <c r="C49" s="245"/>
      <c r="D49" s="246"/>
      <c r="E49" s="8"/>
      <c r="F49" s="40" t="s">
        <v>5884</v>
      </c>
      <c r="G49" s="40" t="s">
        <v>3378</v>
      </c>
      <c r="H49" s="40" t="s">
        <v>8208</v>
      </c>
      <c r="I49" s="40" t="s">
        <v>6850</v>
      </c>
      <c r="J49" s="140">
        <v>3300009538</v>
      </c>
      <c r="K49" s="141" t="s">
        <v>5885</v>
      </c>
      <c r="L49" s="141">
        <v>5049700</v>
      </c>
      <c r="M49" s="141">
        <v>2171987</v>
      </c>
      <c r="N49" s="141">
        <v>3300009708</v>
      </c>
      <c r="O49" s="142"/>
      <c r="P49" s="142"/>
      <c r="Q49" s="142"/>
      <c r="R49" s="142"/>
      <c r="S49" s="142"/>
      <c r="T49" s="141" t="s">
        <v>5886</v>
      </c>
      <c r="V49" s="43" t="s">
        <v>785</v>
      </c>
      <c r="AF49" s="42">
        <v>2081820</v>
      </c>
      <c r="AG49" s="42" t="s">
        <v>6528</v>
      </c>
    </row>
    <row r="50" spans="1:33" ht="15.95" customHeight="1" thickBot="1">
      <c r="A50" s="223"/>
      <c r="B50" s="247"/>
      <c r="C50" s="248"/>
      <c r="D50" s="249"/>
      <c r="E50" s="8"/>
      <c r="F50" s="40" t="s">
        <v>1553</v>
      </c>
      <c r="G50" s="40" t="s">
        <v>1554</v>
      </c>
      <c r="H50" s="40" t="s">
        <v>564</v>
      </c>
      <c r="I50" s="40" t="s">
        <v>6851</v>
      </c>
      <c r="J50" s="140">
        <v>5050420</v>
      </c>
      <c r="K50" s="141">
        <v>3300001662</v>
      </c>
      <c r="L50" s="141">
        <v>2172020</v>
      </c>
      <c r="M50" s="141">
        <v>3300001694</v>
      </c>
      <c r="N50" s="141" t="s">
        <v>7126</v>
      </c>
      <c r="O50" s="142"/>
      <c r="P50" s="142"/>
      <c r="Q50" s="142"/>
      <c r="R50" s="142"/>
      <c r="S50" s="142"/>
      <c r="T50" s="141" t="s">
        <v>1556</v>
      </c>
      <c r="V50" s="43" t="s">
        <v>580</v>
      </c>
      <c r="AF50" s="42">
        <v>2081821</v>
      </c>
      <c r="AG50" s="42" t="s">
        <v>6528</v>
      </c>
    </row>
    <row r="51" spans="1:33" ht="15.95" customHeight="1" thickBot="1">
      <c r="A51" s="123"/>
      <c r="B51" s="123"/>
      <c r="C51" s="123"/>
      <c r="D51" s="123"/>
      <c r="E51" s="8"/>
      <c r="F51" s="40" t="s">
        <v>7355</v>
      </c>
      <c r="G51" s="40" t="s">
        <v>7367</v>
      </c>
      <c r="H51" s="40" t="s">
        <v>595</v>
      </c>
      <c r="I51" s="40" t="s">
        <v>6847</v>
      </c>
      <c r="J51" s="140">
        <v>3300004140</v>
      </c>
      <c r="K51" s="141" t="s">
        <v>2961</v>
      </c>
      <c r="L51" s="141">
        <v>2110129</v>
      </c>
      <c r="M51" s="141" t="s">
        <v>7346</v>
      </c>
      <c r="N51" s="141">
        <v>2228726</v>
      </c>
      <c r="O51" s="142"/>
      <c r="P51" s="142"/>
      <c r="Q51" s="142"/>
      <c r="R51" s="142"/>
      <c r="S51" s="142"/>
      <c r="T51" s="141" t="s">
        <v>7311</v>
      </c>
      <c r="V51" s="43" t="s">
        <v>2990</v>
      </c>
      <c r="AF51" s="42">
        <v>2081823</v>
      </c>
      <c r="AG51" s="42" t="s">
        <v>6528</v>
      </c>
    </row>
    <row r="52" spans="1:33" ht="15.95" customHeight="1">
      <c r="A52" s="226" t="s">
        <v>6524</v>
      </c>
      <c r="B52" s="224"/>
      <c r="C52" s="123"/>
      <c r="D52" s="123"/>
      <c r="E52" s="8"/>
      <c r="F52" s="40" t="s">
        <v>7438</v>
      </c>
      <c r="G52" s="40" t="s">
        <v>7439</v>
      </c>
      <c r="H52" s="40" t="s">
        <v>6841</v>
      </c>
      <c r="I52" s="40" t="s">
        <v>6852</v>
      </c>
      <c r="J52" s="140">
        <v>3300009768</v>
      </c>
      <c r="K52" s="141" t="s">
        <v>7518</v>
      </c>
      <c r="L52" s="141">
        <v>2176448</v>
      </c>
      <c r="M52" s="141"/>
      <c r="N52" s="141"/>
      <c r="O52" s="142"/>
      <c r="P52" s="142"/>
      <c r="Q52" s="142"/>
      <c r="R52" s="142"/>
      <c r="S52" s="142"/>
      <c r="T52" s="141" t="s">
        <v>7562</v>
      </c>
      <c r="V52" s="43" t="s">
        <v>660</v>
      </c>
      <c r="AF52" s="42">
        <v>2081824</v>
      </c>
      <c r="AG52" s="42" t="s">
        <v>6528</v>
      </c>
    </row>
    <row r="53" spans="1:33" ht="15.95" customHeight="1">
      <c r="A53" s="227"/>
      <c r="B53" s="229"/>
      <c r="C53" s="123"/>
      <c r="D53" s="123"/>
      <c r="E53" s="8"/>
      <c r="F53" s="40" t="s">
        <v>3113</v>
      </c>
      <c r="G53" s="40" t="s">
        <v>3114</v>
      </c>
      <c r="H53" s="40" t="s">
        <v>6841</v>
      </c>
      <c r="I53" s="40" t="s">
        <v>6852</v>
      </c>
      <c r="J53" s="140">
        <v>2114746</v>
      </c>
      <c r="K53" s="141" t="s">
        <v>3115</v>
      </c>
      <c r="L53" s="141"/>
      <c r="M53" s="141"/>
      <c r="N53" s="141"/>
      <c r="O53" s="142"/>
      <c r="P53" s="142"/>
      <c r="Q53" s="142"/>
      <c r="R53" s="142"/>
      <c r="S53" s="142"/>
      <c r="T53" s="141" t="s">
        <v>3116</v>
      </c>
      <c r="V53" s="43" t="s">
        <v>777</v>
      </c>
      <c r="AF53" s="42">
        <v>2081826</v>
      </c>
      <c r="AG53" s="42" t="s">
        <v>6528</v>
      </c>
    </row>
    <row r="54" spans="1:33" ht="15.95" customHeight="1">
      <c r="A54" s="227"/>
      <c r="B54" s="229"/>
      <c r="C54" s="133"/>
      <c r="D54" s="123"/>
      <c r="E54" s="8"/>
      <c r="F54" s="40" t="s">
        <v>874</v>
      </c>
      <c r="G54" s="40" t="s">
        <v>875</v>
      </c>
      <c r="H54" s="40" t="s">
        <v>564</v>
      </c>
      <c r="I54" s="40" t="s">
        <v>6851</v>
      </c>
      <c r="J54" s="140">
        <v>2103873</v>
      </c>
      <c r="K54" s="141" t="s">
        <v>877</v>
      </c>
      <c r="L54" s="141">
        <v>2103931</v>
      </c>
      <c r="M54" s="141">
        <v>3300003614</v>
      </c>
      <c r="N54" s="141" t="s">
        <v>7433</v>
      </c>
      <c r="O54" s="142"/>
      <c r="P54" s="142"/>
      <c r="Q54" s="142"/>
      <c r="R54" s="142"/>
      <c r="S54" s="142"/>
      <c r="T54" s="141" t="s">
        <v>878</v>
      </c>
      <c r="V54" s="43" t="s">
        <v>876</v>
      </c>
      <c r="AF54" s="42">
        <v>2081828</v>
      </c>
      <c r="AG54" s="42" t="s">
        <v>6528</v>
      </c>
    </row>
    <row r="55" spans="1:33" ht="15.95" customHeight="1" thickBot="1">
      <c r="A55" s="228"/>
      <c r="B55" s="225"/>
      <c r="C55" s="123"/>
      <c r="D55" s="123"/>
      <c r="E55" s="8"/>
      <c r="F55" s="40" t="s">
        <v>7645</v>
      </c>
      <c r="G55" s="40" t="s">
        <v>7645</v>
      </c>
      <c r="H55" s="40" t="s">
        <v>8208</v>
      </c>
      <c r="I55" s="40" t="s">
        <v>6850</v>
      </c>
      <c r="J55" s="140">
        <v>2081874</v>
      </c>
      <c r="K55" s="141" t="s">
        <v>7971</v>
      </c>
      <c r="L55" s="141"/>
      <c r="M55" s="141"/>
      <c r="N55" s="141"/>
      <c r="O55" s="142"/>
      <c r="P55" s="142"/>
      <c r="Q55" s="142"/>
      <c r="R55" s="142"/>
      <c r="S55" s="142"/>
      <c r="T55" s="141">
        <v>61500012</v>
      </c>
      <c r="V55" s="43" t="s">
        <v>8169</v>
      </c>
      <c r="AF55" s="42">
        <v>2081829</v>
      </c>
      <c r="AG55" s="42" t="s">
        <v>6528</v>
      </c>
    </row>
    <row r="56" spans="1:33" ht="15.95" customHeight="1" thickBot="1">
      <c r="B56" s="131"/>
      <c r="C56" s="132"/>
      <c r="D56" s="131"/>
      <c r="E56" s="8"/>
      <c r="F56" s="40" t="s">
        <v>8423</v>
      </c>
      <c r="G56" s="40" t="s">
        <v>8472</v>
      </c>
      <c r="H56" s="40" t="s">
        <v>6841</v>
      </c>
      <c r="I56" s="40" t="s">
        <v>6852</v>
      </c>
      <c r="J56" s="138">
        <v>2045309</v>
      </c>
      <c r="K56" s="141">
        <v>2149676</v>
      </c>
      <c r="L56" s="141">
        <v>5103075</v>
      </c>
      <c r="M56" s="141" t="s">
        <v>8415</v>
      </c>
      <c r="N56" s="141">
        <v>2201195</v>
      </c>
      <c r="O56" s="142"/>
      <c r="P56" s="142"/>
      <c r="Q56" s="142"/>
      <c r="R56" s="142"/>
      <c r="S56" s="142"/>
      <c r="T56" s="139">
        <v>61500009</v>
      </c>
      <c r="V56" s="43" t="s">
        <v>534</v>
      </c>
      <c r="AF56" s="42">
        <v>2081830</v>
      </c>
      <c r="AG56" s="42" t="s">
        <v>6528</v>
      </c>
    </row>
    <row r="57" spans="1:33" ht="15.95" customHeight="1">
      <c r="A57" s="222" t="s">
        <v>6844</v>
      </c>
      <c r="B57" s="224"/>
      <c r="C57" s="132"/>
      <c r="D57" s="131"/>
      <c r="E57" s="8"/>
      <c r="F57" s="40" t="s">
        <v>8292</v>
      </c>
      <c r="G57" s="40" t="s">
        <v>8309</v>
      </c>
      <c r="H57" s="40" t="s">
        <v>564</v>
      </c>
      <c r="I57" s="40" t="s">
        <v>6851</v>
      </c>
      <c r="J57" s="140" t="s">
        <v>8236</v>
      </c>
      <c r="K57" s="141">
        <v>3300001240</v>
      </c>
      <c r="L57" s="141" t="s">
        <v>8275</v>
      </c>
      <c r="M57" s="141" t="s">
        <v>2497</v>
      </c>
      <c r="N57" s="141"/>
      <c r="O57" s="142"/>
      <c r="P57" s="142"/>
      <c r="Q57" s="142"/>
      <c r="R57" s="142"/>
      <c r="S57" s="142"/>
      <c r="T57" s="141" t="s">
        <v>8221</v>
      </c>
      <c r="V57" s="43" t="s">
        <v>8328</v>
      </c>
      <c r="AF57" s="42">
        <v>2081833</v>
      </c>
      <c r="AG57" s="42" t="s">
        <v>6528</v>
      </c>
    </row>
    <row r="58" spans="1:33" ht="15.95" customHeight="1" thickBot="1">
      <c r="A58" s="223"/>
      <c r="B58" s="225"/>
      <c r="C58" s="132"/>
      <c r="D58" s="131"/>
      <c r="E58" s="8"/>
      <c r="F58" s="40" t="s">
        <v>6927</v>
      </c>
      <c r="G58" s="40" t="s">
        <v>6928</v>
      </c>
      <c r="H58" s="40" t="s">
        <v>761</v>
      </c>
      <c r="I58" s="40" t="s">
        <v>6848</v>
      </c>
      <c r="J58" s="140" t="s">
        <v>7972</v>
      </c>
      <c r="K58" s="141">
        <v>3300016118</v>
      </c>
      <c r="L58" s="141">
        <v>2103574</v>
      </c>
      <c r="M58" s="141"/>
      <c r="N58" s="141"/>
      <c r="O58" s="142"/>
      <c r="P58" s="142"/>
      <c r="Q58" s="142"/>
      <c r="R58" s="142"/>
      <c r="S58" s="142"/>
      <c r="T58" s="141" t="s">
        <v>5194</v>
      </c>
      <c r="V58" s="43" t="s">
        <v>697</v>
      </c>
      <c r="AF58" s="42">
        <v>2081843</v>
      </c>
      <c r="AG58" s="42" t="s">
        <v>6528</v>
      </c>
    </row>
    <row r="59" spans="1:33" ht="15.95" customHeight="1" thickBot="1">
      <c r="B59" s="131"/>
      <c r="C59" s="132"/>
      <c r="D59" s="131"/>
      <c r="E59" s="8"/>
      <c r="F59" s="40" t="s">
        <v>6338</v>
      </c>
      <c r="G59" s="40" t="s">
        <v>6339</v>
      </c>
      <c r="H59" s="40" t="s">
        <v>8208</v>
      </c>
      <c r="I59" s="40" t="s">
        <v>6850</v>
      </c>
      <c r="J59" s="140">
        <v>5100178</v>
      </c>
      <c r="K59" s="141">
        <v>3300008152</v>
      </c>
      <c r="L59" s="141" t="s">
        <v>1016</v>
      </c>
      <c r="M59" s="141" t="s">
        <v>6342</v>
      </c>
      <c r="N59" s="141">
        <v>2103953</v>
      </c>
      <c r="O59" s="142"/>
      <c r="P59" s="142"/>
      <c r="Q59" s="142"/>
      <c r="R59" s="142"/>
      <c r="S59" s="142"/>
      <c r="T59" s="141" t="s">
        <v>6823</v>
      </c>
      <c r="V59" s="43" t="s">
        <v>687</v>
      </c>
      <c r="AF59" s="42">
        <v>2081845</v>
      </c>
      <c r="AG59" s="42" t="s">
        <v>6528</v>
      </c>
    </row>
    <row r="60" spans="1:33" ht="15.95" customHeight="1">
      <c r="A60" s="222" t="s">
        <v>6845</v>
      </c>
      <c r="B60" s="224"/>
      <c r="C60" s="68"/>
      <c r="D60" s="65"/>
      <c r="E60" s="8"/>
      <c r="F60" s="40" t="s">
        <v>891</v>
      </c>
      <c r="G60" s="40" t="s">
        <v>892</v>
      </c>
      <c r="H60" s="40" t="s">
        <v>564</v>
      </c>
      <c r="I60" s="40" t="s">
        <v>6851</v>
      </c>
      <c r="J60" s="140">
        <v>2166986</v>
      </c>
      <c r="K60" s="141">
        <v>3300010658</v>
      </c>
      <c r="L60" s="141" t="s">
        <v>894</v>
      </c>
      <c r="M60" s="141"/>
      <c r="N60" s="141"/>
      <c r="O60" s="142"/>
      <c r="P60" s="142"/>
      <c r="Q60" s="142"/>
      <c r="R60" s="142"/>
      <c r="S60" s="142"/>
      <c r="T60" s="141" t="s">
        <v>895</v>
      </c>
      <c r="V60" s="43" t="s">
        <v>547</v>
      </c>
      <c r="AF60" s="42">
        <v>2081860</v>
      </c>
      <c r="AG60" s="42" t="s">
        <v>6528</v>
      </c>
    </row>
    <row r="61" spans="1:33" ht="15.95" customHeight="1" thickBot="1">
      <c r="A61" s="223"/>
      <c r="B61" s="225"/>
      <c r="C61" s="68"/>
      <c r="D61" s="67"/>
      <c r="E61" s="8"/>
      <c r="F61" s="40" t="s">
        <v>907</v>
      </c>
      <c r="G61" s="40" t="s">
        <v>908</v>
      </c>
      <c r="H61" s="40" t="s">
        <v>564</v>
      </c>
      <c r="I61" s="40" t="s">
        <v>6851</v>
      </c>
      <c r="J61" s="140">
        <v>3300009470</v>
      </c>
      <c r="K61" s="141">
        <v>5003023</v>
      </c>
      <c r="L61" s="141" t="s">
        <v>910</v>
      </c>
      <c r="M61" s="141">
        <v>2084831</v>
      </c>
      <c r="N61" s="141" t="s">
        <v>6972</v>
      </c>
      <c r="O61" s="142"/>
      <c r="P61" s="142"/>
      <c r="Q61" s="142"/>
      <c r="R61" s="142"/>
      <c r="S61" s="142"/>
      <c r="T61" s="141" t="s">
        <v>912</v>
      </c>
      <c r="V61" s="43" t="s">
        <v>547</v>
      </c>
      <c r="AF61" s="42">
        <v>2081874</v>
      </c>
      <c r="AG61" s="42" t="s">
        <v>6528</v>
      </c>
    </row>
    <row r="62" spans="1:33" ht="15.95" customHeight="1" thickBot="1">
      <c r="A62" s="68"/>
      <c r="B62" s="68"/>
      <c r="C62" s="68"/>
      <c r="D62" s="67"/>
      <c r="E62" s="8"/>
      <c r="F62" s="40" t="s">
        <v>3632</v>
      </c>
      <c r="G62" s="40" t="s">
        <v>3633</v>
      </c>
      <c r="H62" s="40" t="s">
        <v>8513</v>
      </c>
      <c r="I62" s="40" t="s">
        <v>6853</v>
      </c>
      <c r="J62" s="140" t="s">
        <v>3635</v>
      </c>
      <c r="K62" s="141">
        <v>3300016071</v>
      </c>
      <c r="L62" s="141">
        <v>5031871</v>
      </c>
      <c r="M62" s="141"/>
      <c r="N62" s="141"/>
      <c r="O62" s="142"/>
      <c r="P62" s="142"/>
      <c r="Q62" s="142"/>
      <c r="R62" s="142"/>
      <c r="S62" s="142"/>
      <c r="T62" s="141" t="s">
        <v>3636</v>
      </c>
      <c r="V62" s="43" t="s">
        <v>560</v>
      </c>
      <c r="AF62" s="42">
        <v>2081878</v>
      </c>
      <c r="AG62" s="42" t="s">
        <v>6528</v>
      </c>
    </row>
    <row r="63" spans="1:33" ht="15.95" customHeight="1">
      <c r="A63" s="222" t="s">
        <v>6483</v>
      </c>
      <c r="B63" s="224"/>
      <c r="C63" s="68"/>
      <c r="D63" s="63"/>
      <c r="E63" s="8"/>
      <c r="F63" s="40" t="s">
        <v>7414</v>
      </c>
      <c r="G63" s="40" t="s">
        <v>7422</v>
      </c>
      <c r="H63" s="40" t="s">
        <v>553</v>
      </c>
      <c r="I63" s="40" t="s">
        <v>6853</v>
      </c>
      <c r="J63" s="140">
        <v>2116292</v>
      </c>
      <c r="K63" s="141" t="s">
        <v>1555</v>
      </c>
      <c r="L63" s="141" t="s">
        <v>6702</v>
      </c>
      <c r="M63" s="141">
        <v>3300012524</v>
      </c>
      <c r="N63" s="141"/>
      <c r="O63" s="142"/>
      <c r="P63" s="142"/>
      <c r="Q63" s="142"/>
      <c r="R63" s="142"/>
      <c r="S63" s="142"/>
      <c r="T63" s="141" t="s">
        <v>4140</v>
      </c>
      <c r="V63" s="43" t="s">
        <v>633</v>
      </c>
      <c r="AF63" s="42">
        <v>2081879</v>
      </c>
      <c r="AG63" s="42" t="s">
        <v>6528</v>
      </c>
    </row>
    <row r="64" spans="1:33" ht="15.95" customHeight="1" thickBot="1">
      <c r="A64" s="223"/>
      <c r="B64" s="225"/>
      <c r="C64" s="68"/>
      <c r="D64" s="68"/>
      <c r="E64" s="8"/>
      <c r="F64" s="40" t="s">
        <v>4656</v>
      </c>
      <c r="G64" s="40" t="s">
        <v>4657</v>
      </c>
      <c r="H64" s="40" t="s">
        <v>761</v>
      </c>
      <c r="I64" s="40" t="s">
        <v>6848</v>
      </c>
      <c r="J64" s="140">
        <v>2116254</v>
      </c>
      <c r="K64" s="141" t="s">
        <v>6652</v>
      </c>
      <c r="L64" s="141">
        <v>2116275</v>
      </c>
      <c r="M64" s="141">
        <v>3300008162</v>
      </c>
      <c r="N64" s="141">
        <v>2116255</v>
      </c>
      <c r="O64" s="142"/>
      <c r="P64" s="142"/>
      <c r="Q64" s="142"/>
      <c r="R64" s="142"/>
      <c r="S64" s="142"/>
      <c r="T64" s="141" t="s">
        <v>4660</v>
      </c>
      <c r="V64" s="43" t="s">
        <v>582</v>
      </c>
      <c r="AF64" s="42">
        <v>2081882</v>
      </c>
      <c r="AG64" s="42" t="s">
        <v>6528</v>
      </c>
    </row>
    <row r="65" spans="1:33" ht="15.95" customHeight="1">
      <c r="A65" s="68"/>
      <c r="B65" s="68"/>
      <c r="C65" s="68"/>
      <c r="D65" s="68"/>
      <c r="E65" s="8"/>
      <c r="F65" s="40" t="s">
        <v>8424</v>
      </c>
      <c r="G65" s="40" t="s">
        <v>8473</v>
      </c>
      <c r="H65" s="40" t="s">
        <v>8513</v>
      </c>
      <c r="I65" s="40" t="s">
        <v>6853</v>
      </c>
      <c r="J65" s="140" t="s">
        <v>1251</v>
      </c>
      <c r="K65" s="141">
        <v>5045669</v>
      </c>
      <c r="L65" s="141">
        <v>2235693</v>
      </c>
      <c r="M65" s="141">
        <v>2115653</v>
      </c>
      <c r="N65" s="141"/>
      <c r="O65" s="142"/>
      <c r="P65" s="142"/>
      <c r="Q65" s="142"/>
      <c r="R65" s="142"/>
      <c r="S65" s="142"/>
      <c r="T65" s="141" t="s">
        <v>8581</v>
      </c>
      <c r="V65" s="43" t="s">
        <v>657</v>
      </c>
      <c r="AF65" s="42">
        <v>2081883</v>
      </c>
      <c r="AG65" s="42" t="s">
        <v>6528</v>
      </c>
    </row>
    <row r="66" spans="1:33" ht="15.95" customHeight="1">
      <c r="E66" s="8"/>
      <c r="F66" s="40" t="s">
        <v>7646</v>
      </c>
      <c r="G66" s="40" t="s">
        <v>7813</v>
      </c>
      <c r="H66" s="40" t="s">
        <v>761</v>
      </c>
      <c r="I66" s="40" t="s">
        <v>6848</v>
      </c>
      <c r="J66" s="140">
        <v>2180482</v>
      </c>
      <c r="K66" s="141">
        <v>2143303</v>
      </c>
      <c r="L66" s="141" t="s">
        <v>7973</v>
      </c>
      <c r="M66" s="141">
        <v>5059360</v>
      </c>
      <c r="N66" s="141">
        <v>2096168</v>
      </c>
      <c r="O66" s="142"/>
      <c r="P66" s="142"/>
      <c r="Q66" s="142"/>
      <c r="R66" s="142"/>
      <c r="S66" s="142"/>
      <c r="T66" s="141" t="s">
        <v>8145</v>
      </c>
      <c r="V66" s="43" t="s">
        <v>8170</v>
      </c>
      <c r="AF66" s="42">
        <v>2081885</v>
      </c>
      <c r="AG66" s="42" t="s">
        <v>6528</v>
      </c>
    </row>
    <row r="67" spans="1:33" ht="15.95" customHeight="1">
      <c r="E67" s="8"/>
      <c r="F67" s="40" t="s">
        <v>8425</v>
      </c>
      <c r="G67" s="40" t="s">
        <v>8474</v>
      </c>
      <c r="H67" s="40" t="s">
        <v>761</v>
      </c>
      <c r="I67" s="40" t="s">
        <v>6848</v>
      </c>
      <c r="J67" s="140">
        <v>5053804</v>
      </c>
      <c r="K67" s="141">
        <v>2083296</v>
      </c>
      <c r="L67" s="141">
        <v>2235685</v>
      </c>
      <c r="M67" s="141" t="s">
        <v>8514</v>
      </c>
      <c r="N67" s="141">
        <v>5001843</v>
      </c>
      <c r="O67" s="142"/>
      <c r="P67" s="142"/>
      <c r="Q67" s="142"/>
      <c r="R67" s="142"/>
      <c r="S67" s="142"/>
      <c r="T67" s="141" t="s">
        <v>8582</v>
      </c>
      <c r="V67" s="43" t="s">
        <v>776</v>
      </c>
      <c r="AF67" s="42">
        <v>2081887</v>
      </c>
      <c r="AG67" s="42" t="s">
        <v>6528</v>
      </c>
    </row>
    <row r="68" spans="1:33" ht="15.95" customHeight="1">
      <c r="C68" s="68"/>
      <c r="D68" s="68"/>
      <c r="E68" s="8"/>
      <c r="F68" s="40" t="s">
        <v>4607</v>
      </c>
      <c r="G68" s="40" t="s">
        <v>4608</v>
      </c>
      <c r="H68" s="40" t="s">
        <v>761</v>
      </c>
      <c r="I68" s="40" t="s">
        <v>6848</v>
      </c>
      <c r="J68" s="140">
        <v>5045661</v>
      </c>
      <c r="K68" s="141" t="s">
        <v>4609</v>
      </c>
      <c r="L68" s="141">
        <v>2171949</v>
      </c>
      <c r="M68" s="141">
        <v>3300011488</v>
      </c>
      <c r="N68" s="141">
        <v>5045692</v>
      </c>
      <c r="O68" s="142"/>
      <c r="P68" s="142"/>
      <c r="Q68" s="142"/>
      <c r="R68" s="142"/>
      <c r="S68" s="142"/>
      <c r="T68" s="141" t="s">
        <v>6779</v>
      </c>
      <c r="V68" s="43" t="s">
        <v>728</v>
      </c>
      <c r="AF68" s="42">
        <v>2081888</v>
      </c>
      <c r="AG68" s="42" t="s">
        <v>6528</v>
      </c>
    </row>
    <row r="69" spans="1:33" ht="15.95" customHeight="1">
      <c r="C69" s="68"/>
      <c r="D69" s="68"/>
      <c r="E69" s="8"/>
      <c r="F69" s="40" t="s">
        <v>1930</v>
      </c>
      <c r="G69" s="40" t="s">
        <v>1931</v>
      </c>
      <c r="H69" s="40" t="s">
        <v>564</v>
      </c>
      <c r="I69" s="40" t="s">
        <v>6851</v>
      </c>
      <c r="J69" s="140">
        <v>3300001700</v>
      </c>
      <c r="K69" s="141">
        <v>2171904</v>
      </c>
      <c r="L69" s="141">
        <v>5031867</v>
      </c>
      <c r="M69" s="141" t="s">
        <v>1932</v>
      </c>
      <c r="N69" s="141" t="s">
        <v>1933</v>
      </c>
      <c r="O69" s="142"/>
      <c r="P69" s="142"/>
      <c r="Q69" s="142"/>
      <c r="R69" s="142"/>
      <c r="S69" s="142"/>
      <c r="T69" s="141" t="s">
        <v>1934</v>
      </c>
      <c r="V69" s="43" t="s">
        <v>601</v>
      </c>
      <c r="AF69" s="42">
        <v>2081889</v>
      </c>
      <c r="AG69" s="42" t="s">
        <v>6528</v>
      </c>
    </row>
    <row r="70" spans="1:33" ht="15.95" customHeight="1">
      <c r="C70" s="68"/>
      <c r="D70" s="68"/>
      <c r="E70" s="8"/>
      <c r="F70" s="40" t="s">
        <v>1847</v>
      </c>
      <c r="G70" s="40" t="s">
        <v>1848</v>
      </c>
      <c r="H70" s="40" t="s">
        <v>564</v>
      </c>
      <c r="I70" s="40" t="s">
        <v>6851</v>
      </c>
      <c r="J70" s="140" t="s">
        <v>1851</v>
      </c>
      <c r="K70" s="141" t="s">
        <v>1852</v>
      </c>
      <c r="L70" s="141">
        <v>2116265</v>
      </c>
      <c r="M70" s="141"/>
      <c r="N70" s="141"/>
      <c r="O70" s="142"/>
      <c r="P70" s="142"/>
      <c r="Q70" s="142"/>
      <c r="R70" s="142"/>
      <c r="S70" s="142"/>
      <c r="T70" s="141" t="s">
        <v>1853</v>
      </c>
      <c r="V70" s="43" t="s">
        <v>1850</v>
      </c>
      <c r="AF70" s="42">
        <v>2081891</v>
      </c>
      <c r="AG70" s="42" t="s">
        <v>6528</v>
      </c>
    </row>
    <row r="71" spans="1:33" ht="15.95" customHeight="1">
      <c r="C71" s="68"/>
      <c r="D71" s="68"/>
      <c r="E71" s="8"/>
      <c r="F71" s="40" t="s">
        <v>1918</v>
      </c>
      <c r="G71" s="40" t="s">
        <v>11</v>
      </c>
      <c r="H71" s="40" t="s">
        <v>564</v>
      </c>
      <c r="I71" s="40" t="s">
        <v>6851</v>
      </c>
      <c r="J71" s="140">
        <v>2116284</v>
      </c>
      <c r="K71" s="141">
        <v>5105535</v>
      </c>
      <c r="L71" s="141" t="s">
        <v>7089</v>
      </c>
      <c r="M71" s="141">
        <v>5045677</v>
      </c>
      <c r="N71" s="141">
        <v>3300002817</v>
      </c>
      <c r="O71" s="142"/>
      <c r="P71" s="142"/>
      <c r="Q71" s="142"/>
      <c r="R71" s="142"/>
      <c r="S71" s="142"/>
      <c r="T71" s="141" t="s">
        <v>1920</v>
      </c>
      <c r="V71" s="43" t="s">
        <v>570</v>
      </c>
      <c r="AF71" s="42">
        <v>2081895</v>
      </c>
      <c r="AG71" s="42" t="s">
        <v>6528</v>
      </c>
    </row>
    <row r="72" spans="1:33" ht="15.95" customHeight="1">
      <c r="A72" s="68"/>
      <c r="B72" s="68"/>
      <c r="C72" s="68"/>
      <c r="D72" s="68"/>
      <c r="E72" s="8"/>
      <c r="F72" s="40" t="s">
        <v>8426</v>
      </c>
      <c r="G72" s="40" t="s">
        <v>8475</v>
      </c>
      <c r="H72" s="40" t="s">
        <v>8513</v>
      </c>
      <c r="I72" s="40" t="s">
        <v>6853</v>
      </c>
      <c r="J72" s="140">
        <v>2177147</v>
      </c>
      <c r="K72" s="141" t="s">
        <v>5557</v>
      </c>
      <c r="L72" s="141">
        <v>2114792</v>
      </c>
      <c r="M72" s="141" t="s">
        <v>1365</v>
      </c>
      <c r="N72" s="141"/>
      <c r="O72" s="142"/>
      <c r="P72" s="142"/>
      <c r="Q72" s="142"/>
      <c r="R72" s="142"/>
      <c r="S72" s="142"/>
      <c r="T72" s="141" t="s">
        <v>7286</v>
      </c>
      <c r="V72" s="43" t="s">
        <v>544</v>
      </c>
      <c r="AF72" s="42">
        <v>2081898</v>
      </c>
      <c r="AG72" s="42" t="s">
        <v>6528</v>
      </c>
    </row>
    <row r="73" spans="1:33" ht="15.95" customHeight="1">
      <c r="A73" s="68"/>
      <c r="B73" s="68"/>
      <c r="C73" s="68"/>
      <c r="D73" s="68"/>
      <c r="E73" s="8"/>
      <c r="F73" s="40" t="s">
        <v>5399</v>
      </c>
      <c r="G73" s="40" t="s">
        <v>5400</v>
      </c>
      <c r="H73" s="40" t="s">
        <v>761</v>
      </c>
      <c r="I73" s="40" t="s">
        <v>6848</v>
      </c>
      <c r="J73" s="140">
        <v>2103944</v>
      </c>
      <c r="K73" s="141">
        <v>5031907</v>
      </c>
      <c r="L73" s="141">
        <v>3300009550</v>
      </c>
      <c r="M73" s="141"/>
      <c r="N73" s="141"/>
      <c r="O73" s="142"/>
      <c r="P73" s="142"/>
      <c r="Q73" s="142"/>
      <c r="R73" s="142"/>
      <c r="S73" s="142"/>
      <c r="T73" s="141" t="s">
        <v>5402</v>
      </c>
      <c r="V73" s="43" t="s">
        <v>778</v>
      </c>
      <c r="AF73" s="42">
        <v>2081902</v>
      </c>
      <c r="AG73" s="42" t="s">
        <v>6528</v>
      </c>
    </row>
    <row r="74" spans="1:33" ht="15.95" customHeight="1">
      <c r="A74" s="68"/>
      <c r="B74" s="68"/>
      <c r="C74" s="68"/>
      <c r="D74" s="68"/>
      <c r="E74" s="8"/>
      <c r="F74" s="40" t="s">
        <v>5425</v>
      </c>
      <c r="G74" s="40" t="s">
        <v>5426</v>
      </c>
      <c r="H74" s="40" t="s">
        <v>761</v>
      </c>
      <c r="I74" s="40" t="s">
        <v>6848</v>
      </c>
      <c r="J74" s="140">
        <v>2114713</v>
      </c>
      <c r="K74" s="141" t="s">
        <v>5427</v>
      </c>
      <c r="L74" s="141">
        <v>3300001268</v>
      </c>
      <c r="M74" s="141">
        <v>2183516</v>
      </c>
      <c r="N74" s="141">
        <v>3300001263</v>
      </c>
      <c r="O74" s="142"/>
      <c r="P74" s="142"/>
      <c r="Q74" s="142"/>
      <c r="R74" s="142"/>
      <c r="S74" s="142"/>
      <c r="T74" s="141" t="s">
        <v>5428</v>
      </c>
      <c r="V74" s="43" t="s">
        <v>576</v>
      </c>
      <c r="AF74" s="42">
        <v>2081905</v>
      </c>
      <c r="AG74" s="42" t="s">
        <v>6528</v>
      </c>
    </row>
    <row r="75" spans="1:33" ht="15.95" customHeight="1">
      <c r="A75" s="68"/>
      <c r="B75" s="68"/>
      <c r="C75" s="68"/>
      <c r="D75" s="68"/>
      <c r="E75" s="8"/>
      <c r="F75" s="40" t="s">
        <v>6149</v>
      </c>
      <c r="G75" s="40" t="s">
        <v>6150</v>
      </c>
      <c r="H75" s="40" t="s">
        <v>8208</v>
      </c>
      <c r="I75" s="40" t="s">
        <v>6850</v>
      </c>
      <c r="J75" s="138" t="s">
        <v>6152</v>
      </c>
      <c r="K75" s="141" t="s">
        <v>6153</v>
      </c>
      <c r="L75" s="139">
        <v>5049717</v>
      </c>
      <c r="M75" s="141">
        <v>2084871</v>
      </c>
      <c r="N75" s="141">
        <v>2226044</v>
      </c>
      <c r="O75" s="142"/>
      <c r="P75" s="142"/>
      <c r="Q75" s="142"/>
      <c r="R75" s="142"/>
      <c r="S75" s="142"/>
      <c r="T75" s="139" t="s">
        <v>6155</v>
      </c>
      <c r="V75" s="43" t="s">
        <v>747</v>
      </c>
      <c r="AF75" s="42">
        <v>2081918</v>
      </c>
      <c r="AG75" s="42" t="s">
        <v>6528</v>
      </c>
    </row>
    <row r="76" spans="1:33" ht="15.95" customHeight="1">
      <c r="A76" s="68"/>
      <c r="B76" s="68"/>
      <c r="C76" s="68"/>
      <c r="D76" s="68"/>
      <c r="E76" s="8"/>
      <c r="F76" s="40" t="s">
        <v>7647</v>
      </c>
      <c r="G76" s="40" t="s">
        <v>7815</v>
      </c>
      <c r="H76" s="40" t="s">
        <v>8208</v>
      </c>
      <c r="I76" s="40" t="s">
        <v>6850</v>
      </c>
      <c r="J76" s="140">
        <v>3300016088</v>
      </c>
      <c r="K76" s="141" t="s">
        <v>7975</v>
      </c>
      <c r="L76" s="141">
        <v>2103906</v>
      </c>
      <c r="M76" s="141" t="s">
        <v>7976</v>
      </c>
      <c r="N76" s="141"/>
      <c r="O76" s="142"/>
      <c r="P76" s="142"/>
      <c r="Q76" s="142"/>
      <c r="R76" s="142"/>
      <c r="S76" s="142"/>
      <c r="T76" s="141">
        <v>11300013</v>
      </c>
      <c r="V76" s="43" t="s">
        <v>687</v>
      </c>
      <c r="AF76" s="42">
        <v>2081931</v>
      </c>
      <c r="AG76" s="42" t="s">
        <v>6528</v>
      </c>
    </row>
    <row r="77" spans="1:33" ht="15.95" customHeight="1">
      <c r="A77" s="68"/>
      <c r="B77" s="68"/>
      <c r="C77" s="68"/>
      <c r="D77" s="68"/>
      <c r="E77" s="8"/>
      <c r="F77" s="40" t="s">
        <v>5340</v>
      </c>
      <c r="G77" s="40" t="s">
        <v>5341</v>
      </c>
      <c r="H77" s="40" t="s">
        <v>761</v>
      </c>
      <c r="I77" s="40" t="s">
        <v>6848</v>
      </c>
      <c r="J77" s="140" t="s">
        <v>5343</v>
      </c>
      <c r="K77" s="141">
        <v>5033024</v>
      </c>
      <c r="L77" s="141"/>
      <c r="M77" s="141"/>
      <c r="N77" s="141"/>
      <c r="O77" s="142"/>
      <c r="P77" s="142"/>
      <c r="Q77" s="142"/>
      <c r="R77" s="142"/>
      <c r="S77" s="142"/>
      <c r="T77" s="141" t="s">
        <v>5344</v>
      </c>
      <c r="V77" s="43" t="s">
        <v>668</v>
      </c>
      <c r="AF77" s="42">
        <v>2081933</v>
      </c>
      <c r="AG77" s="42" t="s">
        <v>6528</v>
      </c>
    </row>
    <row r="78" spans="1:33" ht="15.95" customHeight="1">
      <c r="A78" s="68"/>
      <c r="B78" s="68"/>
      <c r="C78" s="68"/>
      <c r="D78" s="68"/>
      <c r="E78" s="8"/>
      <c r="F78" s="40" t="s">
        <v>4475</v>
      </c>
      <c r="G78" s="40" t="s">
        <v>4476</v>
      </c>
      <c r="H78" s="40" t="s">
        <v>761</v>
      </c>
      <c r="I78" s="40" t="s">
        <v>6848</v>
      </c>
      <c r="J78" s="140">
        <v>3400003781</v>
      </c>
      <c r="K78" s="141">
        <v>2183587</v>
      </c>
      <c r="L78" s="141">
        <v>5097600</v>
      </c>
      <c r="M78" s="141" t="s">
        <v>2270</v>
      </c>
      <c r="N78" s="141">
        <v>3400003764</v>
      </c>
      <c r="O78" s="142"/>
      <c r="P78" s="142"/>
      <c r="Q78" s="142"/>
      <c r="R78" s="142"/>
      <c r="S78" s="142"/>
      <c r="T78" s="141" t="s">
        <v>4479</v>
      </c>
      <c r="V78" s="43" t="s">
        <v>599</v>
      </c>
      <c r="AF78" s="42">
        <v>2081940</v>
      </c>
      <c r="AG78" s="42" t="s">
        <v>6528</v>
      </c>
    </row>
    <row r="79" spans="1:33" ht="15.95" customHeight="1">
      <c r="A79" s="68"/>
      <c r="B79" s="68"/>
      <c r="C79" s="68"/>
      <c r="D79" s="68"/>
      <c r="E79" s="8"/>
      <c r="F79" s="40" t="s">
        <v>2835</v>
      </c>
      <c r="G79" s="40" t="s">
        <v>2836</v>
      </c>
      <c r="H79" s="40" t="s">
        <v>595</v>
      </c>
      <c r="I79" s="40" t="s">
        <v>6847</v>
      </c>
      <c r="J79" s="140">
        <v>2114731</v>
      </c>
      <c r="K79" s="141">
        <v>3300002942</v>
      </c>
      <c r="L79" s="141">
        <v>2103891</v>
      </c>
      <c r="M79" s="141" t="s">
        <v>2838</v>
      </c>
      <c r="N79" s="141">
        <v>5008452</v>
      </c>
      <c r="O79" s="142"/>
      <c r="P79" s="142"/>
      <c r="Q79" s="142"/>
      <c r="R79" s="142"/>
      <c r="S79" s="142"/>
      <c r="T79" s="141" t="s">
        <v>2839</v>
      </c>
      <c r="V79" s="43" t="s">
        <v>674</v>
      </c>
      <c r="AF79" s="42">
        <v>2081947</v>
      </c>
      <c r="AG79" s="42" t="s">
        <v>6528</v>
      </c>
    </row>
    <row r="80" spans="1:33" ht="15.95" customHeight="1">
      <c r="A80" s="68"/>
      <c r="B80" s="68"/>
      <c r="C80" s="68"/>
      <c r="D80" s="68"/>
      <c r="E80" s="8"/>
      <c r="F80" s="40" t="s">
        <v>3253</v>
      </c>
      <c r="G80" s="40" t="s">
        <v>3254</v>
      </c>
      <c r="H80" s="40" t="s">
        <v>6841</v>
      </c>
      <c r="I80" s="40" t="s">
        <v>6852</v>
      </c>
      <c r="J80" s="140">
        <v>2183597</v>
      </c>
      <c r="K80" s="141">
        <v>3300002988</v>
      </c>
      <c r="L80" s="141" t="s">
        <v>3255</v>
      </c>
      <c r="M80" s="141">
        <v>5047870</v>
      </c>
      <c r="N80" s="141">
        <v>2183497</v>
      </c>
      <c r="O80" s="142"/>
      <c r="P80" s="142"/>
      <c r="Q80" s="142"/>
      <c r="R80" s="142"/>
      <c r="S80" s="142"/>
      <c r="T80" s="141" t="s">
        <v>6819</v>
      </c>
      <c r="V80" s="43" t="s">
        <v>724</v>
      </c>
      <c r="AF80" s="42">
        <v>2081951</v>
      </c>
      <c r="AG80" s="42" t="s">
        <v>6528</v>
      </c>
    </row>
    <row r="81" spans="1:33" ht="15.95" customHeight="1">
      <c r="A81" s="68"/>
      <c r="B81" s="68"/>
      <c r="C81" s="68"/>
      <c r="D81" s="68"/>
      <c r="E81" s="8"/>
      <c r="F81" s="40" t="s">
        <v>3254</v>
      </c>
      <c r="G81" s="40" t="s">
        <v>3254</v>
      </c>
      <c r="H81" s="40" t="s">
        <v>6841</v>
      </c>
      <c r="I81" s="40" t="s">
        <v>6852</v>
      </c>
      <c r="J81" s="138" t="s">
        <v>3388</v>
      </c>
      <c r="K81" s="139">
        <v>3300012812</v>
      </c>
      <c r="L81" s="141" t="s">
        <v>3389</v>
      </c>
      <c r="M81" s="141">
        <v>2199630</v>
      </c>
      <c r="N81" s="141">
        <v>2183533</v>
      </c>
      <c r="O81" s="142"/>
      <c r="P81" s="142"/>
      <c r="Q81" s="142"/>
      <c r="R81" s="142"/>
      <c r="S81" s="142"/>
      <c r="T81" s="139" t="s">
        <v>3390</v>
      </c>
      <c r="V81" s="43" t="s">
        <v>673</v>
      </c>
      <c r="AF81" s="42">
        <v>2081968</v>
      </c>
      <c r="AG81" s="42" t="s">
        <v>6528</v>
      </c>
    </row>
    <row r="82" spans="1:33" ht="15.95" customHeight="1">
      <c r="A82" s="68"/>
      <c r="B82" s="68"/>
      <c r="C82" s="68"/>
      <c r="D82" s="68"/>
      <c r="E82" s="8"/>
      <c r="F82" s="40" t="s">
        <v>7648</v>
      </c>
      <c r="G82" s="40" t="s">
        <v>7816</v>
      </c>
      <c r="H82" s="40" t="s">
        <v>8208</v>
      </c>
      <c r="I82" s="40" t="s">
        <v>6850</v>
      </c>
      <c r="J82" s="138">
        <v>2191148</v>
      </c>
      <c r="K82" s="139">
        <v>3300011520</v>
      </c>
      <c r="L82" s="139" t="s">
        <v>7977</v>
      </c>
      <c r="M82" s="141"/>
      <c r="N82" s="141"/>
      <c r="O82" s="142"/>
      <c r="P82" s="142"/>
      <c r="Q82" s="142"/>
      <c r="R82" s="142"/>
      <c r="S82" s="142"/>
      <c r="T82" s="139">
        <v>101200100</v>
      </c>
      <c r="V82" s="43" t="s">
        <v>687</v>
      </c>
      <c r="AF82" s="42">
        <v>2081970</v>
      </c>
      <c r="AG82" s="42" t="s">
        <v>6528</v>
      </c>
    </row>
    <row r="83" spans="1:33" ht="15.95" customHeight="1">
      <c r="A83" s="68"/>
      <c r="B83" s="68"/>
      <c r="C83" s="68"/>
      <c r="D83" s="68"/>
      <c r="F83" s="40" t="s">
        <v>7649</v>
      </c>
      <c r="G83" s="40" t="s">
        <v>7817</v>
      </c>
      <c r="H83" s="40" t="s">
        <v>8208</v>
      </c>
      <c r="I83" s="40" t="s">
        <v>6850</v>
      </c>
      <c r="J83" s="138">
        <v>5048936</v>
      </c>
      <c r="K83" s="139">
        <v>3300006832</v>
      </c>
      <c r="L83" s="139">
        <v>2087384</v>
      </c>
      <c r="M83" s="139"/>
      <c r="N83" s="141"/>
      <c r="O83" s="142"/>
      <c r="P83" s="142"/>
      <c r="Q83" s="142"/>
      <c r="R83" s="142"/>
      <c r="S83" s="142"/>
      <c r="T83" s="139">
        <v>101300090</v>
      </c>
      <c r="V83" s="43" t="s">
        <v>687</v>
      </c>
      <c r="AF83" s="42">
        <v>2081987</v>
      </c>
      <c r="AG83" s="42" t="s">
        <v>6528</v>
      </c>
    </row>
    <row r="84" spans="1:33" ht="15.95" customHeight="1">
      <c r="A84" s="68"/>
      <c r="B84" s="68"/>
      <c r="C84" s="68"/>
      <c r="D84" s="68"/>
      <c r="F84" s="40" t="s">
        <v>7650</v>
      </c>
      <c r="G84" s="40" t="s">
        <v>7818</v>
      </c>
      <c r="H84" s="40" t="s">
        <v>8208</v>
      </c>
      <c r="I84" s="40" t="s">
        <v>6850</v>
      </c>
      <c r="J84" s="140">
        <v>2119287</v>
      </c>
      <c r="K84" s="141">
        <v>2117380</v>
      </c>
      <c r="L84" s="141">
        <v>5036850</v>
      </c>
      <c r="M84" s="141">
        <v>3300002195</v>
      </c>
      <c r="N84" s="141" t="s">
        <v>7978</v>
      </c>
      <c r="O84" s="142"/>
      <c r="P84" s="142"/>
      <c r="Q84" s="142"/>
      <c r="R84" s="142"/>
      <c r="S84" s="142"/>
      <c r="T84" s="141">
        <v>51300102</v>
      </c>
      <c r="V84" s="43" t="s">
        <v>781</v>
      </c>
      <c r="AF84" s="42">
        <v>2082656</v>
      </c>
      <c r="AG84" s="42" t="s">
        <v>6673</v>
      </c>
    </row>
    <row r="85" spans="1:33" ht="15.95" customHeight="1">
      <c r="A85" s="68"/>
      <c r="B85" s="68"/>
      <c r="C85" s="68"/>
      <c r="D85" s="68"/>
      <c r="F85" s="40" t="s">
        <v>7128</v>
      </c>
      <c r="G85" s="40" t="s">
        <v>7143</v>
      </c>
      <c r="H85" s="40" t="s">
        <v>564</v>
      </c>
      <c r="I85" s="40" t="s">
        <v>6851</v>
      </c>
      <c r="J85" s="140">
        <v>2081931</v>
      </c>
      <c r="K85" s="141">
        <v>5100179</v>
      </c>
      <c r="L85" s="141" t="s">
        <v>7109</v>
      </c>
      <c r="M85" s="141">
        <v>3300009536</v>
      </c>
      <c r="N85" s="141">
        <v>5008436</v>
      </c>
      <c r="O85" s="142"/>
      <c r="P85" s="142"/>
      <c r="Q85" s="142"/>
      <c r="R85" s="142"/>
      <c r="S85" s="142"/>
      <c r="T85" s="141" t="s">
        <v>8147</v>
      </c>
      <c r="V85" s="43" t="s">
        <v>550</v>
      </c>
      <c r="AF85" s="42">
        <v>2082680</v>
      </c>
      <c r="AG85" s="42" t="s">
        <v>6673</v>
      </c>
    </row>
    <row r="86" spans="1:33" ht="15.95" customHeight="1">
      <c r="A86" s="68"/>
      <c r="B86" s="68"/>
      <c r="C86" s="68"/>
      <c r="D86" s="68"/>
      <c r="F86" s="40" t="s">
        <v>2307</v>
      </c>
      <c r="G86" s="40" t="s">
        <v>2308</v>
      </c>
      <c r="H86" s="40" t="s">
        <v>564</v>
      </c>
      <c r="I86" s="40" t="s">
        <v>6851</v>
      </c>
      <c r="J86" s="140">
        <v>2116294</v>
      </c>
      <c r="K86" s="141" t="s">
        <v>8515</v>
      </c>
      <c r="L86" s="141">
        <v>3300003013</v>
      </c>
      <c r="M86" s="141">
        <v>3400002455</v>
      </c>
      <c r="N86" s="141" t="s">
        <v>7222</v>
      </c>
      <c r="O86" s="142"/>
      <c r="P86" s="142"/>
      <c r="Q86" s="142"/>
      <c r="R86" s="142"/>
      <c r="S86" s="142"/>
      <c r="T86" s="141" t="s">
        <v>2309</v>
      </c>
      <c r="V86" s="43" t="s">
        <v>713</v>
      </c>
      <c r="AF86" s="42">
        <v>2082937</v>
      </c>
      <c r="AG86" s="42" t="s">
        <v>6528</v>
      </c>
    </row>
    <row r="87" spans="1:33" ht="15.95" customHeight="1">
      <c r="A87" s="68"/>
      <c r="B87" s="68"/>
      <c r="C87" s="68"/>
      <c r="D87" s="68"/>
      <c r="F87" s="40" t="s">
        <v>0</v>
      </c>
      <c r="G87" s="40" t="s">
        <v>0</v>
      </c>
      <c r="H87" s="40" t="s">
        <v>553</v>
      </c>
      <c r="I87" s="40" t="s">
        <v>6853</v>
      </c>
      <c r="J87" s="140">
        <v>2115866</v>
      </c>
      <c r="K87" s="141" t="s">
        <v>7519</v>
      </c>
      <c r="L87" s="141">
        <v>5042644</v>
      </c>
      <c r="M87" s="141">
        <v>2177332</v>
      </c>
      <c r="N87" s="141"/>
      <c r="O87" s="142"/>
      <c r="P87" s="142"/>
      <c r="Q87" s="142"/>
      <c r="R87" s="142"/>
      <c r="S87" s="142"/>
      <c r="T87" s="141" t="s">
        <v>3775</v>
      </c>
      <c r="V87" s="43" t="s">
        <v>716</v>
      </c>
      <c r="AF87" s="42">
        <v>2082940</v>
      </c>
      <c r="AG87" s="42" t="s">
        <v>6528</v>
      </c>
    </row>
    <row r="88" spans="1:33" ht="15.95" customHeight="1">
      <c r="A88" s="68"/>
      <c r="B88" s="68"/>
      <c r="C88" s="68"/>
      <c r="D88" s="68"/>
      <c r="F88" s="40" t="s">
        <v>8427</v>
      </c>
      <c r="G88" s="40" t="s">
        <v>8476</v>
      </c>
      <c r="H88" s="40" t="s">
        <v>8208</v>
      </c>
      <c r="I88" s="40" t="s">
        <v>6850</v>
      </c>
      <c r="J88" s="140" t="s">
        <v>6374</v>
      </c>
      <c r="K88" s="141" t="s">
        <v>8516</v>
      </c>
      <c r="L88" s="141">
        <v>5105531</v>
      </c>
      <c r="M88" s="141">
        <v>2239810</v>
      </c>
      <c r="N88" s="141">
        <v>2252492</v>
      </c>
      <c r="O88" s="142"/>
      <c r="P88" s="142"/>
      <c r="Q88" s="142"/>
      <c r="R88" s="142"/>
      <c r="S88" s="142"/>
      <c r="T88" s="141" t="s">
        <v>8583</v>
      </c>
      <c r="V88" s="43" t="s">
        <v>8179</v>
      </c>
      <c r="AF88" s="42">
        <v>2082945</v>
      </c>
      <c r="AG88" s="42" t="s">
        <v>6528</v>
      </c>
    </row>
    <row r="89" spans="1:33" ht="15.95" customHeight="1">
      <c r="A89" s="68"/>
      <c r="B89" s="68"/>
      <c r="C89" s="68"/>
      <c r="D89" s="68"/>
      <c r="F89" s="40" t="s">
        <v>8428</v>
      </c>
      <c r="G89" s="40" t="s">
        <v>8477</v>
      </c>
      <c r="H89" s="40" t="s">
        <v>8208</v>
      </c>
      <c r="I89" s="40" t="s">
        <v>6850</v>
      </c>
      <c r="J89" s="140">
        <v>2152258</v>
      </c>
      <c r="K89" s="141">
        <v>2152254</v>
      </c>
      <c r="L89" s="141">
        <v>2114635</v>
      </c>
      <c r="M89" s="141">
        <v>5104331</v>
      </c>
      <c r="N89" s="141" t="s">
        <v>8419</v>
      </c>
      <c r="O89" s="142"/>
      <c r="P89" s="142"/>
      <c r="Q89" s="142"/>
      <c r="R89" s="142"/>
      <c r="S89" s="142"/>
      <c r="T89" s="141" t="s">
        <v>8584</v>
      </c>
      <c r="V89" s="43" t="s">
        <v>8183</v>
      </c>
      <c r="AF89" s="42">
        <v>2082946</v>
      </c>
      <c r="AG89" s="42" t="s">
        <v>6528</v>
      </c>
    </row>
    <row r="90" spans="1:33" ht="15.95" customHeight="1">
      <c r="A90" s="68"/>
      <c r="B90" s="68"/>
      <c r="C90" s="68"/>
      <c r="D90" s="68"/>
      <c r="F90" s="40" t="s">
        <v>3467</v>
      </c>
      <c r="G90" s="40" t="s">
        <v>3467</v>
      </c>
      <c r="H90" s="40" t="s">
        <v>6841</v>
      </c>
      <c r="I90" s="40" t="s">
        <v>6852</v>
      </c>
      <c r="J90" s="140">
        <v>2117093</v>
      </c>
      <c r="K90" s="141">
        <v>5031908</v>
      </c>
      <c r="L90" s="141" t="s">
        <v>6745</v>
      </c>
      <c r="M90" s="141"/>
      <c r="N90" s="141"/>
      <c r="O90" s="142"/>
      <c r="P90" s="142"/>
      <c r="Q90" s="142"/>
      <c r="R90" s="142"/>
      <c r="S90" s="142"/>
      <c r="T90" s="141" t="s">
        <v>3470</v>
      </c>
      <c r="V90" s="43" t="s">
        <v>3469</v>
      </c>
      <c r="AF90" s="42">
        <v>2082953</v>
      </c>
      <c r="AG90" s="42" t="s">
        <v>6528</v>
      </c>
    </row>
    <row r="91" spans="1:33" ht="15.95" customHeight="1">
      <c r="A91" s="68"/>
      <c r="B91" s="68"/>
      <c r="C91" s="68"/>
      <c r="D91" s="68"/>
      <c r="F91" s="40" t="s">
        <v>1013</v>
      </c>
      <c r="G91" s="40" t="s">
        <v>1014</v>
      </c>
      <c r="H91" s="40" t="s">
        <v>564</v>
      </c>
      <c r="I91" s="40" t="s">
        <v>6851</v>
      </c>
      <c r="J91" s="138">
        <v>3300011492</v>
      </c>
      <c r="K91" s="139" t="s">
        <v>6681</v>
      </c>
      <c r="L91" s="139">
        <v>2171885</v>
      </c>
      <c r="M91" s="141">
        <v>3300002976</v>
      </c>
      <c r="N91" s="141"/>
      <c r="O91" s="142"/>
      <c r="P91" s="142"/>
      <c r="Q91" s="142"/>
      <c r="R91" s="142"/>
      <c r="S91" s="142"/>
      <c r="T91" s="139" t="s">
        <v>6783</v>
      </c>
      <c r="V91" s="43" t="s">
        <v>730</v>
      </c>
      <c r="AF91" s="42">
        <v>2082964</v>
      </c>
      <c r="AG91" s="42" t="s">
        <v>6528</v>
      </c>
    </row>
    <row r="92" spans="1:33" ht="15.95" customHeight="1">
      <c r="A92" s="68"/>
      <c r="B92" s="68"/>
      <c r="C92" s="68"/>
      <c r="D92" s="68"/>
      <c r="F92" s="40" t="s">
        <v>3829</v>
      </c>
      <c r="G92" s="40" t="s">
        <v>3830</v>
      </c>
      <c r="H92" s="40" t="s">
        <v>553</v>
      </c>
      <c r="I92" s="40" t="s">
        <v>6853</v>
      </c>
      <c r="J92" s="138">
        <v>5070889</v>
      </c>
      <c r="K92" s="141">
        <v>3300012820</v>
      </c>
      <c r="L92" s="141" t="s">
        <v>3832</v>
      </c>
      <c r="M92" s="141">
        <v>2171944</v>
      </c>
      <c r="N92" s="141" t="s">
        <v>3833</v>
      </c>
      <c r="O92" s="142"/>
      <c r="P92" s="142"/>
      <c r="Q92" s="142"/>
      <c r="R92" s="142"/>
      <c r="S92" s="142"/>
      <c r="T92" s="139" t="s">
        <v>3834</v>
      </c>
      <c r="V92" s="43" t="s">
        <v>549</v>
      </c>
      <c r="AF92" s="42">
        <v>2082965</v>
      </c>
      <c r="AG92" s="42" t="s">
        <v>6528</v>
      </c>
    </row>
    <row r="93" spans="1:33" ht="15.95" customHeight="1">
      <c r="A93" s="68"/>
      <c r="B93" s="68"/>
      <c r="C93" s="68"/>
      <c r="D93" s="68"/>
      <c r="F93" s="40" t="s">
        <v>1856</v>
      </c>
      <c r="G93" s="40" t="s">
        <v>1857</v>
      </c>
      <c r="H93" s="40" t="s">
        <v>564</v>
      </c>
      <c r="I93" s="40" t="s">
        <v>6851</v>
      </c>
      <c r="J93" s="140">
        <v>2171972</v>
      </c>
      <c r="K93" s="141">
        <v>5049680</v>
      </c>
      <c r="L93" s="141" t="s">
        <v>1858</v>
      </c>
      <c r="M93" s="141">
        <v>3300001686</v>
      </c>
      <c r="N93" s="141">
        <v>2171942</v>
      </c>
      <c r="O93" s="142"/>
      <c r="P93" s="142"/>
      <c r="Q93" s="142"/>
      <c r="R93" s="142"/>
      <c r="S93" s="142"/>
      <c r="T93" s="141" t="s">
        <v>1859</v>
      </c>
      <c r="V93" s="43" t="s">
        <v>738</v>
      </c>
      <c r="AF93" s="42">
        <v>2082970</v>
      </c>
      <c r="AG93" s="42" t="s">
        <v>6528</v>
      </c>
    </row>
    <row r="94" spans="1:33" ht="15.95" customHeight="1">
      <c r="A94" s="68"/>
      <c r="B94" s="68"/>
      <c r="C94" s="68"/>
      <c r="D94" s="68"/>
      <c r="F94" s="40" t="s">
        <v>7651</v>
      </c>
      <c r="G94" s="40" t="s">
        <v>7651</v>
      </c>
      <c r="H94" s="40" t="s">
        <v>8208</v>
      </c>
      <c r="I94" s="40" t="s">
        <v>6850</v>
      </c>
      <c r="J94" s="140">
        <v>2191142</v>
      </c>
      <c r="K94" s="141">
        <v>5053822</v>
      </c>
      <c r="L94" s="141">
        <v>3300011186</v>
      </c>
      <c r="M94" s="141"/>
      <c r="N94" s="141"/>
      <c r="O94" s="142"/>
      <c r="P94" s="142"/>
      <c r="Q94" s="142"/>
      <c r="R94" s="142"/>
      <c r="S94" s="142"/>
      <c r="T94" s="141">
        <v>11500027</v>
      </c>
      <c r="V94" s="43" t="s">
        <v>774</v>
      </c>
      <c r="AF94" s="42">
        <v>2082971</v>
      </c>
      <c r="AG94" s="42" t="s">
        <v>6528</v>
      </c>
    </row>
    <row r="95" spans="1:33" ht="15.95" customHeight="1">
      <c r="A95" s="68"/>
      <c r="B95" s="68"/>
      <c r="C95" s="68"/>
      <c r="D95" s="68"/>
      <c r="F95" s="40" t="s">
        <v>7652</v>
      </c>
      <c r="G95" s="40" t="s">
        <v>7819</v>
      </c>
      <c r="H95" s="40" t="s">
        <v>8208</v>
      </c>
      <c r="I95" s="40" t="s">
        <v>6850</v>
      </c>
      <c r="J95" s="140">
        <v>2081821</v>
      </c>
      <c r="K95" s="141" t="s">
        <v>7979</v>
      </c>
      <c r="L95" s="141"/>
      <c r="M95" s="141"/>
      <c r="N95" s="141"/>
      <c r="O95" s="142"/>
      <c r="P95" s="142"/>
      <c r="Q95" s="142"/>
      <c r="R95" s="142"/>
      <c r="S95" s="142"/>
      <c r="T95" s="141">
        <v>11400026</v>
      </c>
      <c r="V95" s="43" t="s">
        <v>6448</v>
      </c>
      <c r="AF95" s="42">
        <v>2082972</v>
      </c>
      <c r="AG95" s="42" t="s">
        <v>6528</v>
      </c>
    </row>
    <row r="96" spans="1:33" ht="15.95" customHeight="1">
      <c r="A96" s="68"/>
      <c r="B96" s="68"/>
      <c r="C96" s="68"/>
      <c r="D96" s="68"/>
      <c r="F96" s="40" t="s">
        <v>4535</v>
      </c>
      <c r="G96" s="40" t="s">
        <v>4536</v>
      </c>
      <c r="H96" s="40" t="s">
        <v>761</v>
      </c>
      <c r="I96" s="40" t="s">
        <v>6848</v>
      </c>
      <c r="J96" s="138">
        <v>5031847</v>
      </c>
      <c r="K96" s="139" t="s">
        <v>4539</v>
      </c>
      <c r="L96" s="141">
        <v>3300006798</v>
      </c>
      <c r="M96" s="141" t="s">
        <v>7216</v>
      </c>
      <c r="N96" s="141">
        <v>2191200</v>
      </c>
      <c r="O96" s="142"/>
      <c r="P96" s="142"/>
      <c r="Q96" s="142"/>
      <c r="R96" s="142"/>
      <c r="S96" s="142"/>
      <c r="T96" s="139" t="s">
        <v>4541</v>
      </c>
      <c r="V96" s="43" t="s">
        <v>4538</v>
      </c>
      <c r="AF96" s="42">
        <v>2082973</v>
      </c>
      <c r="AG96" s="42" t="s">
        <v>6528</v>
      </c>
    </row>
    <row r="97" spans="1:33" ht="15.95" customHeight="1">
      <c r="A97" s="68"/>
      <c r="B97" s="68"/>
      <c r="C97" s="68"/>
      <c r="D97" s="68"/>
      <c r="F97" s="40" t="s">
        <v>5611</v>
      </c>
      <c r="G97" s="40" t="s">
        <v>5612</v>
      </c>
      <c r="H97" s="43" t="s">
        <v>761</v>
      </c>
      <c r="I97" s="40" t="s">
        <v>6848</v>
      </c>
      <c r="J97" s="140">
        <v>2103487</v>
      </c>
      <c r="K97" s="141" t="s">
        <v>5614</v>
      </c>
      <c r="L97" s="141">
        <v>2096478</v>
      </c>
      <c r="M97" s="141">
        <v>3300001292</v>
      </c>
      <c r="N97" s="141">
        <v>3300001296</v>
      </c>
      <c r="O97" s="142"/>
      <c r="P97" s="142"/>
      <c r="Q97" s="142"/>
      <c r="R97" s="142"/>
      <c r="S97" s="142"/>
      <c r="T97" s="141" t="s">
        <v>5615</v>
      </c>
      <c r="V97" s="43" t="s">
        <v>718</v>
      </c>
      <c r="AF97" s="42">
        <v>2082975</v>
      </c>
      <c r="AG97" s="42" t="s">
        <v>6528</v>
      </c>
    </row>
    <row r="98" spans="1:33" ht="15.95" customHeight="1">
      <c r="A98" s="68"/>
      <c r="B98" s="68"/>
      <c r="C98" s="68"/>
      <c r="D98" s="68"/>
      <c r="F98" s="40" t="s">
        <v>6071</v>
      </c>
      <c r="G98" s="40" t="s">
        <v>6072</v>
      </c>
      <c r="H98" s="40" t="s">
        <v>8208</v>
      </c>
      <c r="I98" s="40" t="s">
        <v>6850</v>
      </c>
      <c r="J98" s="140">
        <v>2116250</v>
      </c>
      <c r="K98" s="141">
        <v>3300008127</v>
      </c>
      <c r="L98" s="141">
        <v>2116307</v>
      </c>
      <c r="M98" s="141"/>
      <c r="N98" s="141"/>
      <c r="O98" s="142"/>
      <c r="P98" s="142"/>
      <c r="Q98" s="142"/>
      <c r="R98" s="142"/>
      <c r="S98" s="142"/>
      <c r="T98" s="141" t="s">
        <v>6074</v>
      </c>
      <c r="V98" s="43" t="s">
        <v>532</v>
      </c>
      <c r="AF98" s="42">
        <v>2082985</v>
      </c>
      <c r="AG98" s="42" t="s">
        <v>6528</v>
      </c>
    </row>
    <row r="99" spans="1:33" ht="15.95" customHeight="1">
      <c r="A99" s="68"/>
      <c r="B99" s="68"/>
      <c r="C99" s="68"/>
      <c r="D99" s="68"/>
      <c r="F99" s="40" t="s">
        <v>7653</v>
      </c>
      <c r="G99" s="40" t="s">
        <v>7820</v>
      </c>
      <c r="H99" s="40" t="s">
        <v>8208</v>
      </c>
      <c r="I99" s="40" t="s">
        <v>6850</v>
      </c>
      <c r="J99" s="140">
        <v>5045639</v>
      </c>
      <c r="K99" s="141">
        <v>3300002902</v>
      </c>
      <c r="L99" s="141"/>
      <c r="M99" s="141"/>
      <c r="N99" s="141"/>
      <c r="O99" s="142"/>
      <c r="P99" s="142"/>
      <c r="Q99" s="142"/>
      <c r="R99" s="142"/>
      <c r="S99" s="142"/>
      <c r="T99" s="141">
        <v>121200064</v>
      </c>
      <c r="V99" s="43" t="s">
        <v>8171</v>
      </c>
      <c r="AF99" s="42">
        <v>2082994</v>
      </c>
      <c r="AG99" s="42" t="s">
        <v>6528</v>
      </c>
    </row>
    <row r="100" spans="1:33" ht="15.95" customHeight="1">
      <c r="A100" s="68"/>
      <c r="B100" s="68"/>
      <c r="C100" s="68"/>
      <c r="D100" s="68"/>
      <c r="F100" s="40" t="s">
        <v>7165</v>
      </c>
      <c r="G100" s="40" t="s">
        <v>7166</v>
      </c>
      <c r="H100" s="40" t="s">
        <v>8208</v>
      </c>
      <c r="I100" s="40" t="s">
        <v>6850</v>
      </c>
      <c r="J100" s="140">
        <v>2119274</v>
      </c>
      <c r="K100" s="141">
        <v>3300008144</v>
      </c>
      <c r="L100" s="141">
        <v>5059367</v>
      </c>
      <c r="M100" s="141" t="s">
        <v>7195</v>
      </c>
      <c r="N100" s="141"/>
      <c r="O100" s="142"/>
      <c r="P100" s="142"/>
      <c r="Q100" s="142"/>
      <c r="R100" s="142"/>
      <c r="S100" s="142"/>
      <c r="T100" s="141" t="s">
        <v>1192</v>
      </c>
      <c r="V100" s="43" t="s">
        <v>6188</v>
      </c>
      <c r="AF100" s="42">
        <v>2083217</v>
      </c>
      <c r="AG100" s="42" t="s">
        <v>6528</v>
      </c>
    </row>
    <row r="101" spans="1:33" ht="15.95" customHeight="1">
      <c r="A101" s="68"/>
      <c r="B101" s="68"/>
      <c r="C101" s="68"/>
      <c r="D101" s="68"/>
      <c r="F101" s="40" t="s">
        <v>4911</v>
      </c>
      <c r="G101" s="40" t="s">
        <v>4912</v>
      </c>
      <c r="H101" s="40" t="s">
        <v>761</v>
      </c>
      <c r="I101" s="40" t="s">
        <v>6848</v>
      </c>
      <c r="J101" s="140" t="s">
        <v>1543</v>
      </c>
      <c r="K101" s="141">
        <v>3300008161</v>
      </c>
      <c r="L101" s="141">
        <v>5104313</v>
      </c>
      <c r="M101" s="141">
        <v>5040885</v>
      </c>
      <c r="N101" s="141">
        <v>2228736</v>
      </c>
      <c r="O101" s="142"/>
      <c r="P101" s="142"/>
      <c r="Q101" s="142"/>
      <c r="R101" s="142"/>
      <c r="S101" s="142"/>
      <c r="T101" s="141" t="s">
        <v>4916</v>
      </c>
      <c r="V101" s="43" t="s">
        <v>588</v>
      </c>
      <c r="AF101" s="42">
        <v>2083231</v>
      </c>
      <c r="AG101" s="42" t="s">
        <v>6528</v>
      </c>
    </row>
    <row r="102" spans="1:33" ht="15.95" customHeight="1">
      <c r="A102" s="68"/>
      <c r="B102" s="68"/>
      <c r="C102" s="68"/>
      <c r="D102" s="68"/>
      <c r="F102" s="40" t="s">
        <v>8335</v>
      </c>
      <c r="G102" s="40" t="s">
        <v>3431</v>
      </c>
      <c r="H102" s="40" t="s">
        <v>6841</v>
      </c>
      <c r="I102" s="40" t="s">
        <v>6852</v>
      </c>
      <c r="J102" s="140">
        <v>5103083</v>
      </c>
      <c r="K102" s="141" t="s">
        <v>8286</v>
      </c>
      <c r="L102" s="141" t="s">
        <v>1270</v>
      </c>
      <c r="M102" s="141">
        <v>2141285</v>
      </c>
      <c r="N102" s="141">
        <v>2159893</v>
      </c>
      <c r="O102" s="142"/>
      <c r="P102" s="142"/>
      <c r="Q102" s="142"/>
      <c r="R102" s="142"/>
      <c r="S102" s="142"/>
      <c r="T102" s="141" t="s">
        <v>8397</v>
      </c>
      <c r="V102" s="43" t="s">
        <v>603</v>
      </c>
      <c r="AF102" s="42">
        <v>2083241</v>
      </c>
      <c r="AG102" s="42" t="s">
        <v>6528</v>
      </c>
    </row>
    <row r="103" spans="1:33" ht="15.95" customHeight="1">
      <c r="A103" s="68"/>
      <c r="B103" s="68"/>
      <c r="C103" s="68"/>
      <c r="D103" s="68"/>
      <c r="F103" s="40" t="s">
        <v>4130</v>
      </c>
      <c r="G103" s="40" t="s">
        <v>25</v>
      </c>
      <c r="H103" s="40" t="s">
        <v>553</v>
      </c>
      <c r="I103" s="40" t="s">
        <v>6853</v>
      </c>
      <c r="J103" s="140">
        <v>2114756</v>
      </c>
      <c r="K103" s="141" t="s">
        <v>6720</v>
      </c>
      <c r="L103" s="141" t="s">
        <v>2346</v>
      </c>
      <c r="M103" s="141">
        <v>2228728</v>
      </c>
      <c r="N103" s="141">
        <v>2116261</v>
      </c>
      <c r="O103" s="142"/>
      <c r="P103" s="142"/>
      <c r="Q103" s="142"/>
      <c r="R103" s="142"/>
      <c r="S103" s="142"/>
      <c r="T103" s="141" t="s">
        <v>4133</v>
      </c>
      <c r="V103" s="43" t="s">
        <v>553</v>
      </c>
      <c r="AF103" s="42">
        <v>2083276</v>
      </c>
      <c r="AG103" s="42" t="s">
        <v>6528</v>
      </c>
    </row>
    <row r="104" spans="1:33" ht="15.95" customHeight="1">
      <c r="A104" s="68"/>
      <c r="B104" s="68"/>
      <c r="C104" s="68"/>
      <c r="D104" s="68"/>
      <c r="F104" s="40" t="s">
        <v>7380</v>
      </c>
      <c r="G104" s="40" t="s">
        <v>7396</v>
      </c>
      <c r="H104" s="40" t="s">
        <v>670</v>
      </c>
      <c r="I104" s="40" t="s">
        <v>6849</v>
      </c>
      <c r="J104" s="140">
        <v>2183580</v>
      </c>
      <c r="K104" s="141" t="s">
        <v>2598</v>
      </c>
      <c r="L104" s="141" t="s">
        <v>2599</v>
      </c>
      <c r="M104" s="141" t="s">
        <v>7336</v>
      </c>
      <c r="N104" s="141">
        <v>3300004115</v>
      </c>
      <c r="O104" s="142"/>
      <c r="P104" s="142"/>
      <c r="Q104" s="142"/>
      <c r="R104" s="142"/>
      <c r="S104" s="142"/>
      <c r="T104" s="141" t="s">
        <v>2600</v>
      </c>
      <c r="V104" s="43" t="s">
        <v>640</v>
      </c>
      <c r="AF104" s="42">
        <v>2083282</v>
      </c>
      <c r="AG104" s="42" t="s">
        <v>6528</v>
      </c>
    </row>
    <row r="105" spans="1:33" ht="15.95" customHeight="1">
      <c r="A105" s="68"/>
      <c r="B105" s="68"/>
      <c r="C105" s="68"/>
      <c r="D105" s="68"/>
      <c r="F105" s="40" t="s">
        <v>3171</v>
      </c>
      <c r="G105" s="40" t="s">
        <v>3172</v>
      </c>
      <c r="H105" s="40" t="s">
        <v>6841</v>
      </c>
      <c r="I105" s="40" t="s">
        <v>6852</v>
      </c>
      <c r="J105" s="140">
        <v>3300009798</v>
      </c>
      <c r="K105" s="141" t="s">
        <v>3173</v>
      </c>
      <c r="L105" s="141" t="s">
        <v>6668</v>
      </c>
      <c r="M105" s="141"/>
      <c r="N105" s="141"/>
      <c r="O105" s="142"/>
      <c r="P105" s="142"/>
      <c r="Q105" s="142"/>
      <c r="R105" s="142"/>
      <c r="S105" s="142"/>
      <c r="T105" s="141" t="s">
        <v>3174</v>
      </c>
      <c r="V105" s="43" t="s">
        <v>669</v>
      </c>
      <c r="AF105" s="42">
        <v>2083289</v>
      </c>
      <c r="AG105" s="42" t="s">
        <v>6528</v>
      </c>
    </row>
    <row r="106" spans="1:33" ht="15.95" customHeight="1">
      <c r="A106" s="68"/>
      <c r="B106" s="68"/>
      <c r="C106" s="68"/>
      <c r="D106" s="68"/>
      <c r="F106" s="40" t="s">
        <v>6243</v>
      </c>
      <c r="G106" s="40" t="s">
        <v>6244</v>
      </c>
      <c r="H106" s="40" t="s">
        <v>8208</v>
      </c>
      <c r="I106" s="40" t="s">
        <v>6850</v>
      </c>
      <c r="J106" s="140">
        <v>2103875</v>
      </c>
      <c r="K106" s="141" t="s">
        <v>6245</v>
      </c>
      <c r="L106" s="141">
        <v>3300002989</v>
      </c>
      <c r="M106" s="141">
        <v>5045681</v>
      </c>
      <c r="N106" s="141">
        <v>2226097</v>
      </c>
      <c r="O106" s="142"/>
      <c r="P106" s="142"/>
      <c r="Q106" s="142"/>
      <c r="R106" s="142"/>
      <c r="S106" s="142"/>
      <c r="T106" s="141" t="s">
        <v>5224</v>
      </c>
      <c r="V106" s="43" t="s">
        <v>650</v>
      </c>
      <c r="AF106" s="42">
        <v>2083295</v>
      </c>
      <c r="AG106" s="42" t="s">
        <v>6528</v>
      </c>
    </row>
    <row r="107" spans="1:33" ht="15.95" customHeight="1">
      <c r="A107" s="68"/>
      <c r="B107" s="68"/>
      <c r="C107" s="68"/>
      <c r="D107" s="68"/>
      <c r="F107" s="40" t="s">
        <v>2712</v>
      </c>
      <c r="G107" s="40" t="s">
        <v>2713</v>
      </c>
      <c r="H107" s="40" t="s">
        <v>670</v>
      </c>
      <c r="I107" s="40" t="s">
        <v>6849</v>
      </c>
      <c r="J107" s="140">
        <v>2117101</v>
      </c>
      <c r="K107" s="141" t="s">
        <v>2716</v>
      </c>
      <c r="L107" s="141">
        <v>3300008154</v>
      </c>
      <c r="M107" s="141">
        <v>2117071</v>
      </c>
      <c r="N107" s="141">
        <v>5100183</v>
      </c>
      <c r="O107" s="142"/>
      <c r="P107" s="142"/>
      <c r="Q107" s="142"/>
      <c r="R107" s="142"/>
      <c r="S107" s="142"/>
      <c r="T107" s="141" t="s">
        <v>2718</v>
      </c>
      <c r="V107" s="43" t="s">
        <v>2715</v>
      </c>
      <c r="AF107" s="42">
        <v>2083296</v>
      </c>
      <c r="AG107" s="42" t="s">
        <v>6528</v>
      </c>
    </row>
    <row r="108" spans="1:33" ht="15.95" customHeight="1">
      <c r="A108" s="68"/>
      <c r="B108" s="68"/>
      <c r="C108" s="68"/>
      <c r="D108" s="68"/>
      <c r="F108" s="40" t="s">
        <v>5956</v>
      </c>
      <c r="G108" s="40" t="s">
        <v>5956</v>
      </c>
      <c r="H108" s="40" t="s">
        <v>8208</v>
      </c>
      <c r="I108" s="40" t="s">
        <v>6850</v>
      </c>
      <c r="J108" s="140" t="s">
        <v>5957</v>
      </c>
      <c r="K108" s="141">
        <v>3300001689</v>
      </c>
      <c r="L108" s="141">
        <v>2171899</v>
      </c>
      <c r="M108" s="141" t="s">
        <v>5958</v>
      </c>
      <c r="N108" s="141"/>
      <c r="O108" s="142"/>
      <c r="P108" s="142"/>
      <c r="Q108" s="142"/>
      <c r="R108" s="142"/>
      <c r="S108" s="142"/>
      <c r="T108" s="141" t="s">
        <v>5959</v>
      </c>
      <c r="V108" s="43" t="s">
        <v>611</v>
      </c>
      <c r="AF108" s="42">
        <v>2083299</v>
      </c>
      <c r="AG108" s="42" t="s">
        <v>6528</v>
      </c>
    </row>
    <row r="109" spans="1:33" ht="15.95" customHeight="1">
      <c r="A109" s="68"/>
      <c r="B109" s="68"/>
      <c r="C109" s="68"/>
      <c r="D109" s="68"/>
      <c r="F109" s="40" t="s">
        <v>7654</v>
      </c>
      <c r="G109" s="40" t="s">
        <v>7821</v>
      </c>
      <c r="H109" s="40" t="s">
        <v>8208</v>
      </c>
      <c r="I109" s="40" t="s">
        <v>6850</v>
      </c>
      <c r="J109" s="140">
        <v>2143308</v>
      </c>
      <c r="K109" s="141" t="s">
        <v>7980</v>
      </c>
      <c r="L109" s="141" t="s">
        <v>7635</v>
      </c>
      <c r="M109" s="141">
        <v>2117430</v>
      </c>
      <c r="N109" s="141">
        <v>2143296</v>
      </c>
      <c r="O109" s="142"/>
      <c r="P109" s="142"/>
      <c r="Q109" s="142"/>
      <c r="R109" s="142"/>
      <c r="S109" s="142"/>
      <c r="T109" s="141" t="s">
        <v>8148</v>
      </c>
      <c r="V109" s="43" t="s">
        <v>611</v>
      </c>
      <c r="AF109" s="42">
        <v>2083301</v>
      </c>
      <c r="AG109" s="42" t="s">
        <v>6528</v>
      </c>
    </row>
    <row r="110" spans="1:33" ht="15.95" customHeight="1">
      <c r="A110" s="68"/>
      <c r="B110" s="68"/>
      <c r="C110" s="68"/>
      <c r="D110" s="68"/>
      <c r="F110" s="40" t="s">
        <v>7654</v>
      </c>
      <c r="G110" s="40" t="s">
        <v>8361</v>
      </c>
      <c r="H110" s="40" t="s">
        <v>8208</v>
      </c>
      <c r="I110" s="40" t="s">
        <v>6850</v>
      </c>
      <c r="J110" s="140">
        <v>2141289</v>
      </c>
      <c r="K110" s="141">
        <v>2141270</v>
      </c>
      <c r="L110" s="141">
        <v>2177149</v>
      </c>
      <c r="M110" s="141" t="s">
        <v>5904</v>
      </c>
      <c r="N110" s="141" t="s">
        <v>4234</v>
      </c>
      <c r="O110" s="142"/>
      <c r="P110" s="142"/>
      <c r="Q110" s="142"/>
      <c r="R110" s="142"/>
      <c r="S110" s="142"/>
      <c r="T110" s="141" t="s">
        <v>8210</v>
      </c>
      <c r="V110" s="43" t="s">
        <v>610</v>
      </c>
      <c r="AF110" s="42">
        <v>2083303</v>
      </c>
      <c r="AG110" s="42" t="s">
        <v>6528</v>
      </c>
    </row>
    <row r="111" spans="1:33" ht="15.95" customHeight="1">
      <c r="A111" s="68"/>
      <c r="B111" s="68"/>
      <c r="C111" s="68"/>
      <c r="D111" s="68"/>
      <c r="F111" s="40" t="s">
        <v>7440</v>
      </c>
      <c r="G111" s="40" t="s">
        <v>7440</v>
      </c>
      <c r="H111" s="40" t="s">
        <v>761</v>
      </c>
      <c r="I111" s="40" t="s">
        <v>6848</v>
      </c>
      <c r="J111" s="140">
        <v>3400001161</v>
      </c>
      <c r="K111" s="141">
        <v>2183593</v>
      </c>
      <c r="L111" s="141" t="s">
        <v>4081</v>
      </c>
      <c r="M111" s="141" t="s">
        <v>6208</v>
      </c>
      <c r="N111" s="141">
        <v>3300009541</v>
      </c>
      <c r="O111" s="142"/>
      <c r="P111" s="142"/>
      <c r="Q111" s="142"/>
      <c r="R111" s="142"/>
      <c r="S111" s="142"/>
      <c r="T111" s="141" t="s">
        <v>7563</v>
      </c>
      <c r="V111" s="43" t="s">
        <v>7591</v>
      </c>
      <c r="AF111" s="42">
        <v>2084077</v>
      </c>
      <c r="AG111" s="42" t="s">
        <v>6528</v>
      </c>
    </row>
    <row r="112" spans="1:33" ht="15.95" customHeight="1">
      <c r="A112" s="68"/>
      <c r="B112" s="68"/>
      <c r="C112" s="68"/>
      <c r="D112" s="68"/>
      <c r="F112" s="40" t="s">
        <v>2495</v>
      </c>
      <c r="G112" s="40" t="s">
        <v>7167</v>
      </c>
      <c r="H112" s="40" t="s">
        <v>670</v>
      </c>
      <c r="I112" s="40" t="s">
        <v>6849</v>
      </c>
      <c r="J112" s="140" t="s">
        <v>1810</v>
      </c>
      <c r="K112" s="141">
        <v>3300004131</v>
      </c>
      <c r="L112" s="141">
        <v>2096457</v>
      </c>
      <c r="M112" s="141" t="s">
        <v>2498</v>
      </c>
      <c r="N112" s="141">
        <v>5031892</v>
      </c>
      <c r="O112" s="142"/>
      <c r="P112" s="142"/>
      <c r="Q112" s="142"/>
      <c r="R112" s="142"/>
      <c r="S112" s="142"/>
      <c r="T112" s="141" t="s">
        <v>6536</v>
      </c>
      <c r="V112" s="43" t="s">
        <v>640</v>
      </c>
      <c r="AF112" s="42">
        <v>2084087</v>
      </c>
      <c r="AG112" s="42" t="s">
        <v>6528</v>
      </c>
    </row>
    <row r="113" spans="1:34" ht="15.95" customHeight="1">
      <c r="A113" s="68"/>
      <c r="B113" s="68"/>
      <c r="C113" s="68"/>
      <c r="D113" s="68"/>
      <c r="F113" s="40" t="s">
        <v>915</v>
      </c>
      <c r="G113" s="40" t="s">
        <v>916</v>
      </c>
      <c r="H113" s="40" t="s">
        <v>564</v>
      </c>
      <c r="I113" s="40" t="s">
        <v>6851</v>
      </c>
      <c r="J113" s="140" t="s">
        <v>918</v>
      </c>
      <c r="K113" s="141">
        <v>3300004120</v>
      </c>
      <c r="L113" s="141">
        <v>2087175</v>
      </c>
      <c r="M113" s="141">
        <v>3300006813</v>
      </c>
      <c r="N113" s="141" t="s">
        <v>919</v>
      </c>
      <c r="O113" s="142"/>
      <c r="P113" s="142"/>
      <c r="Q113" s="142"/>
      <c r="R113" s="142"/>
      <c r="S113" s="142"/>
      <c r="T113" s="141" t="s">
        <v>920</v>
      </c>
      <c r="V113" s="43" t="s">
        <v>547</v>
      </c>
      <c r="AF113" s="42">
        <v>2084092</v>
      </c>
      <c r="AG113" s="42" t="s">
        <v>6528</v>
      </c>
    </row>
    <row r="114" spans="1:34" ht="15.95" customHeight="1">
      <c r="A114" s="68"/>
      <c r="B114" s="68"/>
      <c r="C114" s="68"/>
      <c r="D114" s="68"/>
      <c r="F114" s="40" t="s">
        <v>1303</v>
      </c>
      <c r="G114" s="40" t="s">
        <v>1304</v>
      </c>
      <c r="H114" s="40" t="s">
        <v>564</v>
      </c>
      <c r="I114" s="40" t="s">
        <v>6851</v>
      </c>
      <c r="J114" s="140">
        <v>2082994</v>
      </c>
      <c r="K114" s="139" t="s">
        <v>1306</v>
      </c>
      <c r="L114" s="139" t="s">
        <v>1307</v>
      </c>
      <c r="M114" s="141">
        <v>3300010102</v>
      </c>
      <c r="N114" s="141">
        <v>5053842</v>
      </c>
      <c r="O114" s="142"/>
      <c r="P114" s="142"/>
      <c r="Q114" s="142"/>
      <c r="R114" s="142"/>
      <c r="S114" s="142"/>
      <c r="T114" s="141" t="s">
        <v>1308</v>
      </c>
      <c r="V114" s="43" t="s">
        <v>561</v>
      </c>
      <c r="AF114" s="42">
        <v>2084094</v>
      </c>
      <c r="AG114" s="42" t="s">
        <v>6528</v>
      </c>
    </row>
    <row r="115" spans="1:34" ht="15.95" customHeight="1">
      <c r="A115" s="68"/>
      <c r="B115" s="68"/>
      <c r="C115" s="68"/>
      <c r="D115" s="68"/>
      <c r="F115" s="40" t="s">
        <v>3316</v>
      </c>
      <c r="G115" s="40" t="s">
        <v>20</v>
      </c>
      <c r="H115" s="40" t="s">
        <v>6841</v>
      </c>
      <c r="I115" s="40" t="s">
        <v>6852</v>
      </c>
      <c r="J115" s="140">
        <v>5031848</v>
      </c>
      <c r="K115" s="141" t="s">
        <v>3317</v>
      </c>
      <c r="L115" s="141">
        <v>2119268</v>
      </c>
      <c r="M115" s="141">
        <v>3300011800</v>
      </c>
      <c r="N115" s="141"/>
      <c r="O115" s="142"/>
      <c r="P115" s="142"/>
      <c r="Q115" s="142"/>
      <c r="R115" s="142"/>
      <c r="S115" s="142"/>
      <c r="T115" s="141" t="s">
        <v>3318</v>
      </c>
      <c r="V115" s="43" t="s">
        <v>598</v>
      </c>
      <c r="AF115" s="42">
        <v>2084108</v>
      </c>
      <c r="AG115" s="42" t="s">
        <v>6528</v>
      </c>
    </row>
    <row r="116" spans="1:34" ht="15.95" customHeight="1">
      <c r="A116" s="68"/>
      <c r="B116" s="68"/>
      <c r="C116" s="68"/>
      <c r="D116" s="68"/>
      <c r="F116" s="40" t="s">
        <v>2857</v>
      </c>
      <c r="G116" s="40" t="s">
        <v>8</v>
      </c>
      <c r="H116" s="40" t="s">
        <v>595</v>
      </c>
      <c r="I116" s="40" t="s">
        <v>6847</v>
      </c>
      <c r="J116" s="140">
        <v>5059336</v>
      </c>
      <c r="K116" s="141">
        <v>2114773</v>
      </c>
      <c r="L116" s="141">
        <v>3300012270</v>
      </c>
      <c r="M116" s="141"/>
      <c r="N116" s="141"/>
      <c r="O116" s="142"/>
      <c r="P116" s="142"/>
      <c r="Q116" s="142"/>
      <c r="R116" s="142"/>
      <c r="S116" s="142"/>
      <c r="T116" s="141" t="s">
        <v>2859</v>
      </c>
      <c r="V116" s="43" t="s">
        <v>672</v>
      </c>
      <c r="AF116" s="42">
        <v>2084109</v>
      </c>
      <c r="AG116" s="42" t="s">
        <v>6528</v>
      </c>
    </row>
    <row r="117" spans="1:34" ht="15.95" customHeight="1">
      <c r="A117" s="68"/>
      <c r="B117" s="68"/>
      <c r="C117" s="68"/>
      <c r="D117" s="68"/>
      <c r="F117" s="40" t="s">
        <v>2857</v>
      </c>
      <c r="G117" s="40" t="s">
        <v>7814</v>
      </c>
      <c r="H117" s="40" t="s">
        <v>8208</v>
      </c>
      <c r="I117" s="40" t="s">
        <v>6850</v>
      </c>
      <c r="J117" s="140" t="s">
        <v>7974</v>
      </c>
      <c r="K117" s="141">
        <v>2081824</v>
      </c>
      <c r="L117" s="141">
        <v>3300001230</v>
      </c>
      <c r="M117" s="141">
        <v>5049698</v>
      </c>
      <c r="N117" s="141"/>
      <c r="O117" s="142"/>
      <c r="P117" s="142"/>
      <c r="Q117" s="142"/>
      <c r="R117" s="142"/>
      <c r="S117" s="142"/>
      <c r="T117" s="141" t="s">
        <v>8146</v>
      </c>
      <c r="V117" s="43" t="s">
        <v>687</v>
      </c>
      <c r="AF117" s="42">
        <v>2084110</v>
      </c>
      <c r="AG117" s="42" t="s">
        <v>6528</v>
      </c>
    </row>
    <row r="118" spans="1:34" ht="15.95" customHeight="1">
      <c r="A118" s="68"/>
      <c r="B118" s="68"/>
      <c r="C118" s="68"/>
      <c r="D118" s="68"/>
      <c r="F118" s="40" t="s">
        <v>2218</v>
      </c>
      <c r="G118" s="40" t="s">
        <v>2219</v>
      </c>
      <c r="H118" s="40" t="s">
        <v>564</v>
      </c>
      <c r="I118" s="40" t="s">
        <v>6851</v>
      </c>
      <c r="J118" s="138">
        <v>3300004161</v>
      </c>
      <c r="K118" s="139">
        <v>5006427</v>
      </c>
      <c r="L118" s="141">
        <v>2177330</v>
      </c>
      <c r="M118" s="139" t="s">
        <v>7520</v>
      </c>
      <c r="N118" s="139" t="s">
        <v>1501</v>
      </c>
      <c r="O118" s="142"/>
      <c r="P118" s="142"/>
      <c r="Q118" s="142"/>
      <c r="R118" s="142"/>
      <c r="S118" s="142"/>
      <c r="T118" s="139" t="s">
        <v>2220</v>
      </c>
      <c r="V118" s="43" t="s">
        <v>627</v>
      </c>
      <c r="AF118" s="42">
        <v>2084128</v>
      </c>
      <c r="AG118" s="42" t="s">
        <v>6528</v>
      </c>
    </row>
    <row r="119" spans="1:34" ht="15.95" customHeight="1">
      <c r="A119" s="68"/>
      <c r="B119" s="68"/>
      <c r="C119" s="68"/>
      <c r="D119" s="68"/>
      <c r="F119" s="40" t="s">
        <v>4441</v>
      </c>
      <c r="G119" s="40" t="s">
        <v>4441</v>
      </c>
      <c r="H119" s="40" t="s">
        <v>761</v>
      </c>
      <c r="I119" s="40" t="s">
        <v>6848</v>
      </c>
      <c r="J119" s="140" t="s">
        <v>4442</v>
      </c>
      <c r="K119" s="141">
        <v>5050428</v>
      </c>
      <c r="L119" s="141">
        <v>2172015</v>
      </c>
      <c r="M119" s="141">
        <v>3300009562</v>
      </c>
      <c r="N119" s="141" t="s">
        <v>4443</v>
      </c>
      <c r="O119" s="142"/>
      <c r="P119" s="142"/>
      <c r="Q119" s="142"/>
      <c r="R119" s="142"/>
      <c r="S119" s="142"/>
      <c r="T119" s="141" t="s">
        <v>4444</v>
      </c>
      <c r="V119" s="43" t="s">
        <v>734</v>
      </c>
      <c r="AF119" s="42">
        <v>2084131</v>
      </c>
      <c r="AG119" s="42" t="s">
        <v>6528</v>
      </c>
    </row>
    <row r="120" spans="1:34" ht="15.95" customHeight="1">
      <c r="A120" s="68"/>
      <c r="B120" s="68"/>
      <c r="C120" s="68"/>
      <c r="D120" s="68"/>
      <c r="F120" s="40" t="s">
        <v>5662</v>
      </c>
      <c r="G120" s="40" t="s">
        <v>5663</v>
      </c>
      <c r="H120" s="40" t="s">
        <v>761</v>
      </c>
      <c r="I120" s="40" t="s">
        <v>6848</v>
      </c>
      <c r="J120" s="140">
        <v>2226045</v>
      </c>
      <c r="K120" s="141" t="s">
        <v>5666</v>
      </c>
      <c r="L120" s="141" t="s">
        <v>5667</v>
      </c>
      <c r="M120" s="141" t="s">
        <v>5668</v>
      </c>
      <c r="N120" s="141" t="s">
        <v>7614</v>
      </c>
      <c r="O120" s="142"/>
      <c r="P120" s="142"/>
      <c r="Q120" s="142"/>
      <c r="R120" s="142"/>
      <c r="S120" s="142"/>
      <c r="T120" s="141" t="s">
        <v>5669</v>
      </c>
      <c r="V120" s="43" t="s">
        <v>688</v>
      </c>
      <c r="AF120" s="42">
        <v>2084132</v>
      </c>
      <c r="AG120" s="42" t="s">
        <v>6528</v>
      </c>
    </row>
    <row r="121" spans="1:34" ht="15.95" customHeight="1">
      <c r="A121" s="68"/>
      <c r="B121" s="68"/>
      <c r="C121" s="68"/>
      <c r="D121" s="68"/>
      <c r="F121" s="40" t="s">
        <v>8293</v>
      </c>
      <c r="G121" s="40" t="s">
        <v>8310</v>
      </c>
      <c r="H121" s="40" t="s">
        <v>8208</v>
      </c>
      <c r="I121" s="40" t="s">
        <v>6850</v>
      </c>
      <c r="J121" s="140">
        <v>3300001211</v>
      </c>
      <c r="K121" s="141" t="s">
        <v>4421</v>
      </c>
      <c r="L121" s="141">
        <v>2114730</v>
      </c>
      <c r="M121" s="141" t="s">
        <v>8234</v>
      </c>
      <c r="N121" s="141">
        <v>3300010898</v>
      </c>
      <c r="O121" s="142"/>
      <c r="P121" s="142"/>
      <c r="Q121" s="142"/>
      <c r="R121" s="142"/>
      <c r="S121" s="142"/>
      <c r="T121" s="141" t="s">
        <v>2543</v>
      </c>
      <c r="V121" s="43" t="s">
        <v>610</v>
      </c>
      <c r="AF121" s="42">
        <v>2084135</v>
      </c>
      <c r="AG121" s="42" t="s">
        <v>6528</v>
      </c>
    </row>
    <row r="122" spans="1:34" ht="15.95" customHeight="1">
      <c r="A122" s="68"/>
      <c r="B122" s="68"/>
      <c r="C122" s="68"/>
      <c r="D122" s="68"/>
      <c r="F122" s="40" t="s">
        <v>7655</v>
      </c>
      <c r="G122" s="40" t="s">
        <v>7822</v>
      </c>
      <c r="H122" s="40" t="s">
        <v>6841</v>
      </c>
      <c r="I122" s="40" t="s">
        <v>6852</v>
      </c>
      <c r="J122" s="140">
        <v>2119285</v>
      </c>
      <c r="K122" s="141" t="s">
        <v>7625</v>
      </c>
      <c r="L122" s="141">
        <v>41786</v>
      </c>
      <c r="M122" s="141"/>
      <c r="N122" s="141"/>
      <c r="O122" s="142"/>
      <c r="P122" s="142"/>
      <c r="Q122" s="142"/>
      <c r="R122" s="142"/>
      <c r="S122" s="142"/>
      <c r="T122" s="141" t="s">
        <v>6604</v>
      </c>
      <c r="V122" s="43" t="s">
        <v>683</v>
      </c>
      <c r="AF122" s="42">
        <v>2084136</v>
      </c>
      <c r="AG122" s="42" t="s">
        <v>6528</v>
      </c>
    </row>
    <row r="123" spans="1:34" ht="15.95" customHeight="1">
      <c r="D123" s="68"/>
      <c r="F123" s="40" t="s">
        <v>2651</v>
      </c>
      <c r="G123" s="40" t="s">
        <v>16</v>
      </c>
      <c r="H123" s="40" t="s">
        <v>670</v>
      </c>
      <c r="I123" s="40" t="s">
        <v>6849</v>
      </c>
      <c r="J123" s="140">
        <v>2119183</v>
      </c>
      <c r="K123" s="141" t="s">
        <v>2653</v>
      </c>
      <c r="L123" s="141">
        <v>5040904</v>
      </c>
      <c r="M123" s="141">
        <v>3300002974</v>
      </c>
      <c r="N123" s="141" t="s">
        <v>7521</v>
      </c>
      <c r="O123" s="142"/>
      <c r="P123" s="142"/>
      <c r="Q123" s="142"/>
      <c r="R123" s="142"/>
      <c r="S123" s="142"/>
      <c r="T123" s="141" t="s">
        <v>6763</v>
      </c>
      <c r="V123" s="43" t="s">
        <v>694</v>
      </c>
      <c r="AF123" s="42">
        <v>2084653</v>
      </c>
      <c r="AG123" s="42" t="s">
        <v>6528</v>
      </c>
    </row>
    <row r="124" spans="1:34" ht="15.95" customHeight="1">
      <c r="F124" s="40" t="s">
        <v>7656</v>
      </c>
      <c r="G124" s="40" t="s">
        <v>7823</v>
      </c>
      <c r="H124" s="40" t="s">
        <v>8208</v>
      </c>
      <c r="I124" s="40" t="s">
        <v>6850</v>
      </c>
      <c r="J124" s="140">
        <v>2141097</v>
      </c>
      <c r="K124" s="141">
        <v>2081891</v>
      </c>
      <c r="L124" s="141" t="s">
        <v>8517</v>
      </c>
      <c r="M124" s="141">
        <v>5050602</v>
      </c>
      <c r="N124" s="141">
        <v>3300002204</v>
      </c>
      <c r="O124" s="142"/>
      <c r="P124" s="142"/>
      <c r="Q124" s="142"/>
      <c r="R124" s="142"/>
      <c r="S124" s="142"/>
      <c r="T124" s="141">
        <v>101200074</v>
      </c>
      <c r="V124" s="43" t="s">
        <v>687</v>
      </c>
      <c r="AF124" s="42">
        <v>2084655</v>
      </c>
      <c r="AG124" s="42" t="s">
        <v>6528</v>
      </c>
    </row>
    <row r="125" spans="1:34" ht="15.95" customHeight="1">
      <c r="F125" s="40" t="s">
        <v>8336</v>
      </c>
      <c r="G125" s="40" t="s">
        <v>8362</v>
      </c>
      <c r="H125" s="43" t="s">
        <v>8208</v>
      </c>
      <c r="I125" s="40" t="s">
        <v>6850</v>
      </c>
      <c r="J125" s="140">
        <v>2119217</v>
      </c>
      <c r="K125" s="141">
        <v>2141274</v>
      </c>
      <c r="L125" s="141">
        <v>5103015</v>
      </c>
      <c r="M125" s="141" t="s">
        <v>8382</v>
      </c>
      <c r="N125" s="141"/>
      <c r="O125" s="142"/>
      <c r="P125" s="142"/>
      <c r="Q125" s="142"/>
      <c r="R125" s="142"/>
      <c r="S125" s="142"/>
      <c r="T125" s="141" t="s">
        <v>8398</v>
      </c>
      <c r="V125" s="43" t="s">
        <v>747</v>
      </c>
      <c r="AF125" s="42">
        <v>2084662</v>
      </c>
      <c r="AG125" s="42" t="s">
        <v>6528</v>
      </c>
      <c r="AH125" s="66"/>
    </row>
    <row r="126" spans="1:34" ht="15.95" customHeight="1">
      <c r="F126" s="40" t="s">
        <v>4427</v>
      </c>
      <c r="G126" s="40" t="s">
        <v>4428</v>
      </c>
      <c r="H126" s="40" t="s">
        <v>761</v>
      </c>
      <c r="I126" s="40" t="s">
        <v>6848</v>
      </c>
      <c r="J126" s="138">
        <v>5042654</v>
      </c>
      <c r="K126" s="139" t="s">
        <v>4430</v>
      </c>
      <c r="L126" s="141">
        <v>3300006810</v>
      </c>
      <c r="M126" s="141">
        <v>5042657</v>
      </c>
      <c r="N126" s="141">
        <v>2183486</v>
      </c>
      <c r="O126" s="142"/>
      <c r="P126" s="142"/>
      <c r="Q126" s="142"/>
      <c r="R126" s="142"/>
      <c r="S126" s="142"/>
      <c r="T126" s="139" t="s">
        <v>4431</v>
      </c>
      <c r="V126" s="43" t="s">
        <v>756</v>
      </c>
      <c r="AF126" s="42">
        <v>2084682</v>
      </c>
      <c r="AG126" s="42" t="s">
        <v>6528</v>
      </c>
    </row>
    <row r="127" spans="1:34" ht="15.95" customHeight="1">
      <c r="F127" s="40" t="s">
        <v>2028</v>
      </c>
      <c r="G127" s="40" t="s">
        <v>2029</v>
      </c>
      <c r="H127" s="40" t="s">
        <v>564</v>
      </c>
      <c r="I127" s="40" t="s">
        <v>6851</v>
      </c>
      <c r="J127" s="140">
        <v>3300011505</v>
      </c>
      <c r="K127" s="141" t="s">
        <v>2030</v>
      </c>
      <c r="L127" s="141">
        <v>3300011507</v>
      </c>
      <c r="M127" s="141">
        <v>2103714</v>
      </c>
      <c r="N127" s="141"/>
      <c r="O127" s="142"/>
      <c r="P127" s="142"/>
      <c r="Q127" s="142"/>
      <c r="R127" s="142"/>
      <c r="S127" s="142"/>
      <c r="T127" s="141" t="s">
        <v>2031</v>
      </c>
      <c r="V127" s="43" t="s">
        <v>618</v>
      </c>
      <c r="AF127" s="42">
        <v>2084686</v>
      </c>
      <c r="AG127" s="42" t="s">
        <v>6528</v>
      </c>
    </row>
    <row r="128" spans="1:34" ht="15.95" customHeight="1">
      <c r="F128" s="40" t="s">
        <v>4136</v>
      </c>
      <c r="G128" s="40" t="s">
        <v>4137</v>
      </c>
      <c r="H128" s="40" t="s">
        <v>553</v>
      </c>
      <c r="I128" s="40" t="s">
        <v>6853</v>
      </c>
      <c r="J128" s="140">
        <v>2103488</v>
      </c>
      <c r="K128" s="141" t="s">
        <v>4138</v>
      </c>
      <c r="L128" s="141">
        <v>3300002920</v>
      </c>
      <c r="M128" s="141">
        <v>5104315</v>
      </c>
      <c r="N128" s="141">
        <v>5039011</v>
      </c>
      <c r="O128" s="142"/>
      <c r="P128" s="142"/>
      <c r="Q128" s="142"/>
      <c r="R128" s="142"/>
      <c r="S128" s="142"/>
      <c r="T128" s="141" t="s">
        <v>6755</v>
      </c>
      <c r="V128" s="43" t="s">
        <v>553</v>
      </c>
      <c r="AF128" s="42">
        <v>2084705</v>
      </c>
      <c r="AG128" s="42" t="s">
        <v>6528</v>
      </c>
    </row>
    <row r="129" spans="6:33" ht="15.95" customHeight="1">
      <c r="F129" s="40" t="s">
        <v>2888</v>
      </c>
      <c r="G129" s="40" t="s">
        <v>2889</v>
      </c>
      <c r="H129" s="40" t="s">
        <v>595</v>
      </c>
      <c r="I129" s="40" t="s">
        <v>6847</v>
      </c>
      <c r="J129" s="140" t="s">
        <v>7230</v>
      </c>
      <c r="K129" s="141">
        <v>5049686</v>
      </c>
      <c r="L129" s="141" t="s">
        <v>2891</v>
      </c>
      <c r="M129" s="141"/>
      <c r="N129" s="141"/>
      <c r="O129" s="142"/>
      <c r="P129" s="142"/>
      <c r="Q129" s="142"/>
      <c r="R129" s="142"/>
      <c r="S129" s="142"/>
      <c r="T129" s="141" t="s">
        <v>2892</v>
      </c>
      <c r="V129" s="43" t="s">
        <v>593</v>
      </c>
      <c r="AF129" s="42">
        <v>2084736</v>
      </c>
      <c r="AG129" s="42" t="s">
        <v>6528</v>
      </c>
    </row>
    <row r="130" spans="6:33" ht="15.95" customHeight="1">
      <c r="F130" s="40" t="s">
        <v>3000</v>
      </c>
      <c r="G130" s="40" t="s">
        <v>3001</v>
      </c>
      <c r="H130" s="40" t="s">
        <v>595</v>
      </c>
      <c r="I130" s="40" t="s">
        <v>6847</v>
      </c>
      <c r="J130" s="140">
        <v>5014465</v>
      </c>
      <c r="K130" s="141" t="s">
        <v>3004</v>
      </c>
      <c r="L130" s="141">
        <v>3300005176</v>
      </c>
      <c r="M130" s="141"/>
      <c r="N130" s="141"/>
      <c r="O130" s="142"/>
      <c r="P130" s="142"/>
      <c r="Q130" s="142"/>
      <c r="R130" s="142"/>
      <c r="S130" s="142"/>
      <c r="T130" s="141" t="s">
        <v>3005</v>
      </c>
      <c r="V130" s="43" t="s">
        <v>3003</v>
      </c>
      <c r="AF130" s="42">
        <v>2084739</v>
      </c>
      <c r="AG130" s="42" t="s">
        <v>6528</v>
      </c>
    </row>
    <row r="131" spans="6:33" ht="15.95" customHeight="1">
      <c r="F131" s="40" t="s">
        <v>1672</v>
      </c>
      <c r="G131" s="40" t="s">
        <v>1673</v>
      </c>
      <c r="H131" s="40" t="s">
        <v>564</v>
      </c>
      <c r="I131" s="40" t="s">
        <v>6851</v>
      </c>
      <c r="J131" s="140">
        <v>2103937</v>
      </c>
      <c r="K131" s="141">
        <v>3300003017</v>
      </c>
      <c r="L131" s="141">
        <v>2103887</v>
      </c>
      <c r="M131" s="141" t="s">
        <v>1675</v>
      </c>
      <c r="N131" s="141" t="s">
        <v>6664</v>
      </c>
      <c r="O131" s="142"/>
      <c r="P131" s="142"/>
      <c r="Q131" s="142"/>
      <c r="R131" s="142"/>
      <c r="S131" s="142"/>
      <c r="T131" s="141" t="s">
        <v>1676</v>
      </c>
      <c r="V131" s="43" t="s">
        <v>605</v>
      </c>
      <c r="AF131" s="42">
        <v>2084749</v>
      </c>
      <c r="AG131" s="42" t="s">
        <v>6528</v>
      </c>
    </row>
    <row r="132" spans="6:33" ht="15.95" customHeight="1">
      <c r="F132" s="40" t="s">
        <v>7657</v>
      </c>
      <c r="G132" s="40" t="s">
        <v>7824</v>
      </c>
      <c r="H132" s="40" t="s">
        <v>8208</v>
      </c>
      <c r="I132" s="40" t="s">
        <v>6850</v>
      </c>
      <c r="J132" s="138">
        <v>2160277</v>
      </c>
      <c r="K132" s="139">
        <v>3300012676</v>
      </c>
      <c r="L132" s="141" t="s">
        <v>7982</v>
      </c>
      <c r="M132" s="141"/>
      <c r="N132" s="141"/>
      <c r="O132" s="142"/>
      <c r="P132" s="142"/>
      <c r="Q132" s="142"/>
      <c r="R132" s="142"/>
      <c r="S132" s="142"/>
      <c r="T132" s="139">
        <v>51500011</v>
      </c>
      <c r="V132" s="43" t="s">
        <v>642</v>
      </c>
      <c r="AF132" s="42">
        <v>2084772</v>
      </c>
      <c r="AG132" s="42" t="s">
        <v>6528</v>
      </c>
    </row>
    <row r="133" spans="6:33" ht="15.95" customHeight="1">
      <c r="F133" s="40" t="s">
        <v>7441</v>
      </c>
      <c r="G133" s="40" t="s">
        <v>7442</v>
      </c>
      <c r="H133" s="40" t="s">
        <v>761</v>
      </c>
      <c r="I133" s="40" t="s">
        <v>6848</v>
      </c>
      <c r="J133" s="138">
        <v>2150984</v>
      </c>
      <c r="K133" s="139" t="s">
        <v>7522</v>
      </c>
      <c r="L133" s="139">
        <v>2116042</v>
      </c>
      <c r="M133" s="141"/>
      <c r="N133" s="139"/>
      <c r="O133" s="142"/>
      <c r="P133" s="142"/>
      <c r="Q133" s="142"/>
      <c r="R133" s="142"/>
      <c r="S133" s="142"/>
      <c r="T133" s="139" t="s">
        <v>4318</v>
      </c>
      <c r="V133" s="43" t="s">
        <v>588</v>
      </c>
      <c r="AF133" s="42">
        <v>2084810</v>
      </c>
      <c r="AG133" s="42" t="s">
        <v>6528</v>
      </c>
    </row>
    <row r="134" spans="6:33" ht="15.95" customHeight="1">
      <c r="F134" s="40" t="s">
        <v>7381</v>
      </c>
      <c r="G134" s="40" t="s">
        <v>3323</v>
      </c>
      <c r="H134" s="40" t="s">
        <v>6841</v>
      </c>
      <c r="I134" s="40" t="s">
        <v>6852</v>
      </c>
      <c r="J134" s="140">
        <v>2103925</v>
      </c>
      <c r="K134" s="141">
        <v>3300001669</v>
      </c>
      <c r="L134" s="141">
        <v>5012467</v>
      </c>
      <c r="M134" s="141" t="s">
        <v>7334</v>
      </c>
      <c r="N134" s="141">
        <v>2103717</v>
      </c>
      <c r="O134" s="142"/>
      <c r="P134" s="142"/>
      <c r="Q134" s="142"/>
      <c r="R134" s="142"/>
      <c r="S134" s="142"/>
      <c r="T134" s="141" t="s">
        <v>7303</v>
      </c>
      <c r="V134" s="43" t="s">
        <v>596</v>
      </c>
      <c r="AF134" s="42">
        <v>2084812</v>
      </c>
      <c r="AG134" s="42" t="s">
        <v>6528</v>
      </c>
    </row>
    <row r="135" spans="6:33" ht="15.95" customHeight="1">
      <c r="F135" s="40" t="s">
        <v>4831</v>
      </c>
      <c r="G135" s="40" t="s">
        <v>4832</v>
      </c>
      <c r="H135" s="40" t="s">
        <v>761</v>
      </c>
      <c r="I135" s="40" t="s">
        <v>6848</v>
      </c>
      <c r="J135" s="140"/>
      <c r="K135" s="141"/>
      <c r="L135" s="141" t="s">
        <v>4835</v>
      </c>
      <c r="M135" s="141">
        <v>5042663</v>
      </c>
      <c r="N135" s="141">
        <v>2114765</v>
      </c>
      <c r="O135" s="142"/>
      <c r="P135" s="142"/>
      <c r="Q135" s="142"/>
      <c r="R135" s="142"/>
      <c r="S135" s="142"/>
      <c r="T135" s="141" t="s">
        <v>4836</v>
      </c>
      <c r="V135" s="43" t="s">
        <v>4834</v>
      </c>
      <c r="AF135" s="42">
        <v>2084814</v>
      </c>
      <c r="AG135" s="42" t="s">
        <v>6528</v>
      </c>
    </row>
    <row r="136" spans="6:33" ht="15.95" customHeight="1">
      <c r="F136" s="40" t="s">
        <v>4753</v>
      </c>
      <c r="G136" s="40" t="s">
        <v>4754</v>
      </c>
      <c r="H136" s="40" t="s">
        <v>761</v>
      </c>
      <c r="I136" s="40" t="s">
        <v>6848</v>
      </c>
      <c r="J136" s="138"/>
      <c r="K136" s="139">
        <v>3300009797</v>
      </c>
      <c r="L136" s="141" t="s">
        <v>4757</v>
      </c>
      <c r="M136" s="141">
        <v>2103722</v>
      </c>
      <c r="N136" s="141">
        <v>5031887</v>
      </c>
      <c r="O136" s="142"/>
      <c r="P136" s="142"/>
      <c r="Q136" s="142"/>
      <c r="R136" s="142"/>
      <c r="S136" s="142"/>
      <c r="T136" s="139" t="s">
        <v>6775</v>
      </c>
      <c r="V136" s="43" t="s">
        <v>4756</v>
      </c>
      <c r="AF136" s="42">
        <v>2084815</v>
      </c>
      <c r="AG136" s="42" t="s">
        <v>6528</v>
      </c>
    </row>
    <row r="137" spans="6:33" ht="15.95" customHeight="1">
      <c r="F137" s="40" t="s">
        <v>3064</v>
      </c>
      <c r="G137" s="40" t="s">
        <v>3065</v>
      </c>
      <c r="H137" s="40" t="s">
        <v>595</v>
      </c>
      <c r="I137" s="40" t="s">
        <v>6847</v>
      </c>
      <c r="J137" s="140">
        <v>2235800</v>
      </c>
      <c r="K137" s="141" t="s">
        <v>3067</v>
      </c>
      <c r="L137" s="141" t="s">
        <v>3068</v>
      </c>
      <c r="M137" s="141">
        <v>2171970</v>
      </c>
      <c r="N137" s="141"/>
      <c r="O137" s="142"/>
      <c r="P137" s="142"/>
      <c r="Q137" s="142"/>
      <c r="R137" s="142"/>
      <c r="S137" s="142"/>
      <c r="T137" s="141" t="s">
        <v>3069</v>
      </c>
      <c r="V137" s="43" t="s">
        <v>595</v>
      </c>
      <c r="AF137" s="42">
        <v>2084831</v>
      </c>
      <c r="AG137" s="42" t="s">
        <v>6528</v>
      </c>
    </row>
    <row r="138" spans="6:33" ht="15.95" customHeight="1">
      <c r="F138" s="40" t="s">
        <v>7658</v>
      </c>
      <c r="G138" s="40" t="s">
        <v>7825</v>
      </c>
      <c r="H138" s="40" t="s">
        <v>8208</v>
      </c>
      <c r="I138" s="40" t="s">
        <v>6850</v>
      </c>
      <c r="J138" s="140">
        <v>2096124</v>
      </c>
      <c r="K138" s="141">
        <v>3300002898</v>
      </c>
      <c r="L138" s="141" t="s">
        <v>7983</v>
      </c>
      <c r="M138" s="141" t="s">
        <v>7984</v>
      </c>
      <c r="N138" s="141"/>
      <c r="O138" s="142"/>
      <c r="P138" s="142"/>
      <c r="Q138" s="142"/>
      <c r="R138" s="142"/>
      <c r="S138" s="142"/>
      <c r="T138" s="141">
        <v>111300133</v>
      </c>
      <c r="V138" s="43" t="s">
        <v>687</v>
      </c>
      <c r="AF138" s="42">
        <v>2084871</v>
      </c>
      <c r="AG138" s="42" t="s">
        <v>6528</v>
      </c>
    </row>
    <row r="139" spans="6:33" ht="15.95" customHeight="1">
      <c r="F139" s="40" t="s">
        <v>7659</v>
      </c>
      <c r="G139" s="40" t="s">
        <v>7826</v>
      </c>
      <c r="H139" s="40" t="s">
        <v>8208</v>
      </c>
      <c r="I139" s="40" t="s">
        <v>6850</v>
      </c>
      <c r="J139" s="138">
        <v>3300002915</v>
      </c>
      <c r="K139" s="139">
        <v>5045633</v>
      </c>
      <c r="L139" s="141">
        <v>3300002200</v>
      </c>
      <c r="M139" s="141" t="s">
        <v>7985</v>
      </c>
      <c r="N139" s="141">
        <v>2082953</v>
      </c>
      <c r="O139" s="142"/>
      <c r="P139" s="142"/>
      <c r="Q139" s="142"/>
      <c r="R139" s="142"/>
      <c r="S139" s="142"/>
      <c r="T139" s="139">
        <v>91300090</v>
      </c>
      <c r="V139" s="43" t="s">
        <v>642</v>
      </c>
      <c r="AF139" s="42">
        <v>2085777</v>
      </c>
      <c r="AG139" s="42" t="s">
        <v>6673</v>
      </c>
    </row>
    <row r="140" spans="6:33" ht="15.95" customHeight="1">
      <c r="F140" s="40" t="s">
        <v>7356</v>
      </c>
      <c r="G140" s="40" t="s">
        <v>7368</v>
      </c>
      <c r="H140" s="40" t="s">
        <v>761</v>
      </c>
      <c r="I140" s="40" t="s">
        <v>6848</v>
      </c>
      <c r="J140" s="140" t="s">
        <v>7350</v>
      </c>
      <c r="K140" s="141">
        <v>2180551</v>
      </c>
      <c r="L140" s="141">
        <v>5059333</v>
      </c>
      <c r="M140" s="141"/>
      <c r="N140" s="141"/>
      <c r="O140" s="142"/>
      <c r="P140" s="142"/>
      <c r="Q140" s="142"/>
      <c r="R140" s="142"/>
      <c r="S140" s="142"/>
      <c r="T140" s="141" t="s">
        <v>7312</v>
      </c>
      <c r="V140" s="43" t="s">
        <v>4650</v>
      </c>
      <c r="AF140" s="42">
        <v>2086984</v>
      </c>
      <c r="AG140" s="42" t="s">
        <v>6528</v>
      </c>
    </row>
    <row r="141" spans="6:33" ht="15.95" customHeight="1">
      <c r="F141" s="40" t="s">
        <v>4085</v>
      </c>
      <c r="G141" s="40" t="s">
        <v>4086</v>
      </c>
      <c r="H141" s="40" t="s">
        <v>553</v>
      </c>
      <c r="I141" s="40" t="s">
        <v>6853</v>
      </c>
      <c r="J141" s="140" t="s">
        <v>1068</v>
      </c>
      <c r="K141" s="141">
        <v>3300004151</v>
      </c>
      <c r="L141" s="141" t="s">
        <v>3972</v>
      </c>
      <c r="M141" s="141" t="s">
        <v>4087</v>
      </c>
      <c r="N141" s="141">
        <v>2116071</v>
      </c>
      <c r="O141" s="142"/>
      <c r="P141" s="142"/>
      <c r="Q141" s="142"/>
      <c r="R141" s="142"/>
      <c r="S141" s="142"/>
      <c r="T141" s="141" t="s">
        <v>4088</v>
      </c>
      <c r="V141" s="43" t="s">
        <v>529</v>
      </c>
      <c r="AF141" s="42">
        <v>2086992</v>
      </c>
      <c r="AG141" s="42" t="s">
        <v>6528</v>
      </c>
    </row>
    <row r="142" spans="6:33" ht="15.95" customHeight="1">
      <c r="F142" s="40" t="s">
        <v>7660</v>
      </c>
      <c r="G142" s="40" t="s">
        <v>7827</v>
      </c>
      <c r="H142" s="40" t="s">
        <v>8208</v>
      </c>
      <c r="I142" s="40" t="s">
        <v>6850</v>
      </c>
      <c r="J142" s="140">
        <v>2160283</v>
      </c>
      <c r="K142" s="141">
        <v>3300005769</v>
      </c>
      <c r="L142" s="141" t="s">
        <v>7986</v>
      </c>
      <c r="M142" s="141"/>
      <c r="N142" s="141"/>
      <c r="O142" s="142"/>
      <c r="P142" s="142"/>
      <c r="Q142" s="142"/>
      <c r="R142" s="142"/>
      <c r="S142" s="142"/>
      <c r="T142" s="141">
        <v>31300135</v>
      </c>
      <c r="V142" s="43" t="s">
        <v>610</v>
      </c>
      <c r="AF142" s="42">
        <v>2087130</v>
      </c>
      <c r="AG142" s="42" t="s">
        <v>6528</v>
      </c>
    </row>
    <row r="143" spans="6:33" ht="15.95" customHeight="1">
      <c r="F143" s="40" t="s">
        <v>7661</v>
      </c>
      <c r="G143" s="40" t="s">
        <v>7828</v>
      </c>
      <c r="H143" s="40" t="s">
        <v>6841</v>
      </c>
      <c r="I143" s="40" t="s">
        <v>6852</v>
      </c>
      <c r="J143" s="140">
        <v>2096083</v>
      </c>
      <c r="K143" s="141" t="s">
        <v>7987</v>
      </c>
      <c r="L143" s="141">
        <v>2149681</v>
      </c>
      <c r="M143" s="141"/>
      <c r="N143" s="141"/>
      <c r="O143" s="142"/>
      <c r="P143" s="142"/>
      <c r="Q143" s="142"/>
      <c r="R143" s="142"/>
      <c r="S143" s="142"/>
      <c r="T143" s="141" t="s">
        <v>6590</v>
      </c>
      <c r="V143" s="43" t="s">
        <v>8172</v>
      </c>
      <c r="AF143" s="42">
        <v>2087133</v>
      </c>
      <c r="AG143" s="42" t="s">
        <v>6528</v>
      </c>
    </row>
    <row r="144" spans="6:33" ht="15.95" customHeight="1">
      <c r="F144" s="40" t="s">
        <v>1687</v>
      </c>
      <c r="G144" s="40" t="s">
        <v>1688</v>
      </c>
      <c r="H144" s="40" t="s">
        <v>564</v>
      </c>
      <c r="I144" s="40" t="s">
        <v>6851</v>
      </c>
      <c r="J144" s="138">
        <v>3300004136</v>
      </c>
      <c r="K144" s="139">
        <v>2103450</v>
      </c>
      <c r="L144" s="139">
        <v>3300002953</v>
      </c>
      <c r="M144" s="141">
        <v>5031846</v>
      </c>
      <c r="N144" s="141" t="s">
        <v>1689</v>
      </c>
      <c r="O144" s="142"/>
      <c r="P144" s="142"/>
      <c r="Q144" s="142"/>
      <c r="R144" s="142"/>
      <c r="S144" s="142"/>
      <c r="T144" s="139" t="s">
        <v>1690</v>
      </c>
      <c r="V144" s="43" t="s">
        <v>615</v>
      </c>
      <c r="AF144" s="42">
        <v>2087175</v>
      </c>
      <c r="AG144" s="42" t="s">
        <v>6528</v>
      </c>
    </row>
    <row r="145" spans="1:33" ht="15.95" customHeight="1">
      <c r="F145" s="40" t="s">
        <v>7662</v>
      </c>
      <c r="G145" s="40" t="s">
        <v>7829</v>
      </c>
      <c r="H145" s="40" t="s">
        <v>8208</v>
      </c>
      <c r="I145" s="40" t="s">
        <v>6850</v>
      </c>
      <c r="J145" s="140">
        <v>2119230</v>
      </c>
      <c r="K145" s="141">
        <v>5045649</v>
      </c>
      <c r="L145" s="141" t="s">
        <v>7988</v>
      </c>
      <c r="M145" s="141"/>
      <c r="N145" s="141"/>
      <c r="O145" s="142"/>
      <c r="P145" s="142"/>
      <c r="Q145" s="142"/>
      <c r="R145" s="142"/>
      <c r="S145" s="142"/>
      <c r="T145" s="141">
        <v>101300017</v>
      </c>
      <c r="V145" s="43" t="s">
        <v>8173</v>
      </c>
      <c r="AF145" s="42">
        <v>2087179</v>
      </c>
      <c r="AG145" s="42" t="s">
        <v>6528</v>
      </c>
    </row>
    <row r="146" spans="1:33" ht="15.95" customHeight="1">
      <c r="F146" s="40" t="s">
        <v>8429</v>
      </c>
      <c r="G146" s="40" t="s">
        <v>8478</v>
      </c>
      <c r="H146" s="40" t="s">
        <v>8208</v>
      </c>
      <c r="I146" s="40" t="s">
        <v>6850</v>
      </c>
      <c r="J146" s="140">
        <v>2081878</v>
      </c>
      <c r="K146" s="141" t="s">
        <v>1654</v>
      </c>
      <c r="L146" s="141">
        <v>3300016498</v>
      </c>
      <c r="M146" s="141" t="s">
        <v>8518</v>
      </c>
      <c r="N146" s="141"/>
      <c r="O146" s="142"/>
      <c r="P146" s="142"/>
      <c r="Q146" s="142"/>
      <c r="R146" s="142"/>
      <c r="S146" s="142"/>
      <c r="T146" s="141" t="s">
        <v>8585</v>
      </c>
      <c r="V146" s="43" t="s">
        <v>747</v>
      </c>
      <c r="AF146" s="42">
        <v>2087203</v>
      </c>
      <c r="AG146" s="42" t="s">
        <v>6528</v>
      </c>
    </row>
    <row r="147" spans="1:33" ht="15.95" customHeight="1">
      <c r="F147" s="40" t="s">
        <v>6977</v>
      </c>
      <c r="G147" s="40" t="s">
        <v>6978</v>
      </c>
      <c r="H147" s="40" t="s">
        <v>564</v>
      </c>
      <c r="I147" s="40" t="s">
        <v>6851</v>
      </c>
      <c r="J147" s="140">
        <v>2199631</v>
      </c>
      <c r="K147" s="141">
        <v>3400003018</v>
      </c>
      <c r="L147" s="141" t="s">
        <v>6979</v>
      </c>
      <c r="M147" s="141" t="s">
        <v>3732</v>
      </c>
      <c r="N147" s="141">
        <v>5100161</v>
      </c>
      <c r="O147" s="142"/>
      <c r="P147" s="142"/>
      <c r="Q147" s="142"/>
      <c r="R147" s="142"/>
      <c r="S147" s="142"/>
      <c r="T147" s="141" t="s">
        <v>6572</v>
      </c>
      <c r="V147" s="43" t="s">
        <v>6981</v>
      </c>
      <c r="AF147" s="42">
        <v>2087208</v>
      </c>
      <c r="AG147" s="42" t="s">
        <v>6528</v>
      </c>
    </row>
    <row r="148" spans="1:33" ht="15.95" customHeight="1">
      <c r="F148" s="40" t="s">
        <v>2811</v>
      </c>
      <c r="G148" s="40" t="s">
        <v>2812</v>
      </c>
      <c r="H148" s="40" t="s">
        <v>670</v>
      </c>
      <c r="I148" s="40" t="s">
        <v>6849</v>
      </c>
      <c r="J148" s="140">
        <v>3300002824</v>
      </c>
      <c r="K148" s="141" t="s">
        <v>2814</v>
      </c>
      <c r="L148" s="141">
        <v>1761756</v>
      </c>
      <c r="M148" s="141" t="s">
        <v>7102</v>
      </c>
      <c r="N148" s="141" t="s">
        <v>2816</v>
      </c>
      <c r="O148" s="142"/>
      <c r="P148" s="142"/>
      <c r="Q148" s="142"/>
      <c r="R148" s="142"/>
      <c r="S148" s="142"/>
      <c r="T148" s="141" t="s">
        <v>2817</v>
      </c>
      <c r="V148" s="43" t="s">
        <v>690</v>
      </c>
      <c r="AF148" s="42">
        <v>2087254</v>
      </c>
      <c r="AG148" s="42" t="s">
        <v>6528</v>
      </c>
    </row>
    <row r="149" spans="1:33" ht="15.95" customHeight="1">
      <c r="F149" s="40" t="s">
        <v>1395</v>
      </c>
      <c r="G149" s="40" t="s">
        <v>1396</v>
      </c>
      <c r="H149" s="40" t="s">
        <v>564</v>
      </c>
      <c r="I149" s="40" t="s">
        <v>6851</v>
      </c>
      <c r="J149" s="140">
        <v>5043112</v>
      </c>
      <c r="K149" s="141">
        <v>2114735</v>
      </c>
      <c r="L149" s="141">
        <v>3300004153</v>
      </c>
      <c r="M149" s="141" t="s">
        <v>5519</v>
      </c>
      <c r="N149" s="141"/>
      <c r="O149" s="142"/>
      <c r="P149" s="142"/>
      <c r="Q149" s="142"/>
      <c r="R149" s="142"/>
      <c r="S149" s="142"/>
      <c r="T149" s="141" t="s">
        <v>1397</v>
      </c>
      <c r="V149" s="43" t="s">
        <v>616</v>
      </c>
      <c r="AF149" s="42">
        <v>2087259</v>
      </c>
      <c r="AG149" s="42" t="s">
        <v>6528</v>
      </c>
    </row>
    <row r="150" spans="1:33" ht="15.95" customHeight="1">
      <c r="F150" s="40" t="s">
        <v>7663</v>
      </c>
      <c r="G150" s="40" t="s">
        <v>7830</v>
      </c>
      <c r="H150" s="40" t="s">
        <v>8208</v>
      </c>
      <c r="I150" s="40" t="s">
        <v>6850</v>
      </c>
      <c r="J150" s="140">
        <v>2096078</v>
      </c>
      <c r="K150" s="141">
        <v>5045631</v>
      </c>
      <c r="L150" s="141">
        <v>3300002897</v>
      </c>
      <c r="M150" s="141"/>
      <c r="N150" s="141"/>
      <c r="O150" s="142"/>
      <c r="P150" s="142"/>
      <c r="Q150" s="142"/>
      <c r="R150" s="142"/>
      <c r="S150" s="142"/>
      <c r="T150" s="141">
        <v>101300016</v>
      </c>
      <c r="V150" s="43" t="s">
        <v>8174</v>
      </c>
      <c r="AF150" s="42">
        <v>2087267</v>
      </c>
      <c r="AG150" s="42" t="s">
        <v>6528</v>
      </c>
    </row>
    <row r="151" spans="1:33" ht="15.95" customHeight="1">
      <c r="F151" s="40" t="s">
        <v>3013</v>
      </c>
      <c r="G151" s="40" t="s">
        <v>3014</v>
      </c>
      <c r="H151" s="40" t="s">
        <v>595</v>
      </c>
      <c r="I151" s="40" t="s">
        <v>6847</v>
      </c>
      <c r="J151" s="140">
        <v>5045668</v>
      </c>
      <c r="K151" s="141" t="s">
        <v>3015</v>
      </c>
      <c r="L151" s="141">
        <v>2183602</v>
      </c>
      <c r="M151" s="141">
        <v>2171954</v>
      </c>
      <c r="N151" s="141">
        <v>3300011511</v>
      </c>
      <c r="O151" s="142"/>
      <c r="P151" s="142"/>
      <c r="Q151" s="142"/>
      <c r="R151" s="142"/>
      <c r="S151" s="142"/>
      <c r="T151" s="141" t="s">
        <v>3016</v>
      </c>
      <c r="V151" s="43" t="s">
        <v>652</v>
      </c>
      <c r="AF151" s="42">
        <v>2087281</v>
      </c>
      <c r="AG151" s="42" t="s">
        <v>6528</v>
      </c>
    </row>
    <row r="152" spans="1:33" ht="15.95" customHeight="1">
      <c r="A152" s="68" t="s">
        <v>6486</v>
      </c>
      <c r="B152" s="68" t="s">
        <v>6491</v>
      </c>
      <c r="F152" s="40" t="s">
        <v>1133</v>
      </c>
      <c r="G152" s="40" t="s">
        <v>1134</v>
      </c>
      <c r="H152" s="40" t="s">
        <v>564</v>
      </c>
      <c r="I152" s="40" t="s">
        <v>6851</v>
      </c>
      <c r="J152" s="140">
        <v>2082985</v>
      </c>
      <c r="K152" s="141" t="s">
        <v>5756</v>
      </c>
      <c r="L152" s="141">
        <v>3300001411</v>
      </c>
      <c r="M152" s="141">
        <v>3300001425</v>
      </c>
      <c r="N152" s="141"/>
      <c r="O152" s="142"/>
      <c r="P152" s="142"/>
      <c r="Q152" s="142"/>
      <c r="R152" s="142"/>
      <c r="S152" s="142"/>
      <c r="T152" s="141" t="s">
        <v>1137</v>
      </c>
      <c r="V152" s="43" t="s">
        <v>1136</v>
      </c>
      <c r="AF152" s="42">
        <v>2087286</v>
      </c>
      <c r="AG152" s="42" t="s">
        <v>6528</v>
      </c>
    </row>
    <row r="153" spans="1:33" ht="15.95" customHeight="1">
      <c r="A153" s="68" t="s">
        <v>6487</v>
      </c>
      <c r="B153" s="68" t="s">
        <v>6495</v>
      </c>
      <c r="F153" s="40" t="s">
        <v>5228</v>
      </c>
      <c r="G153" s="40" t="s">
        <v>5229</v>
      </c>
      <c r="H153" s="40" t="s">
        <v>761</v>
      </c>
      <c r="I153" s="40" t="s">
        <v>6848</v>
      </c>
      <c r="J153" s="138" t="s">
        <v>5230</v>
      </c>
      <c r="K153" s="139">
        <v>3300009724</v>
      </c>
      <c r="L153" s="139">
        <v>5050460</v>
      </c>
      <c r="M153" s="141">
        <v>2172025</v>
      </c>
      <c r="N153" s="141" t="s">
        <v>5231</v>
      </c>
      <c r="O153" s="142"/>
      <c r="P153" s="142"/>
      <c r="Q153" s="142"/>
      <c r="R153" s="142"/>
      <c r="S153" s="142"/>
      <c r="T153" s="139" t="s">
        <v>5232</v>
      </c>
      <c r="V153" s="43" t="s">
        <v>758</v>
      </c>
      <c r="AF153" s="42">
        <v>2087289</v>
      </c>
      <c r="AG153" s="42" t="s">
        <v>6528</v>
      </c>
    </row>
    <row r="154" spans="1:33" ht="15.95" customHeight="1">
      <c r="A154" s="68" t="s">
        <v>6488</v>
      </c>
      <c r="B154" s="68" t="s">
        <v>6496</v>
      </c>
      <c r="F154" s="40" t="s">
        <v>6016</v>
      </c>
      <c r="G154" s="40" t="s">
        <v>6017</v>
      </c>
      <c r="H154" s="40" t="s">
        <v>8208</v>
      </c>
      <c r="I154" s="40" t="s">
        <v>6850</v>
      </c>
      <c r="J154" s="140">
        <v>2117084</v>
      </c>
      <c r="K154" s="141" t="s">
        <v>6019</v>
      </c>
      <c r="L154" s="141"/>
      <c r="M154" s="141"/>
      <c r="N154" s="141"/>
      <c r="O154" s="142"/>
      <c r="P154" s="142"/>
      <c r="Q154" s="142"/>
      <c r="R154" s="142"/>
      <c r="S154" s="142"/>
      <c r="T154" s="141" t="s">
        <v>6020</v>
      </c>
      <c r="V154" s="43" t="s">
        <v>642</v>
      </c>
      <c r="AF154" s="42">
        <v>2087290</v>
      </c>
      <c r="AG154" s="42" t="s">
        <v>6528</v>
      </c>
    </row>
    <row r="155" spans="1:33" ht="15.95" customHeight="1">
      <c r="A155" s="68" t="s">
        <v>6489</v>
      </c>
      <c r="B155" s="68" t="s">
        <v>6490</v>
      </c>
      <c r="F155" s="40" t="s">
        <v>6024</v>
      </c>
      <c r="G155" s="40" t="s">
        <v>6017</v>
      </c>
      <c r="H155" s="40" t="s">
        <v>8208</v>
      </c>
      <c r="I155" s="40" t="s">
        <v>6850</v>
      </c>
      <c r="J155" s="140" t="s">
        <v>6025</v>
      </c>
      <c r="K155" s="141">
        <v>3300009717</v>
      </c>
      <c r="L155" s="141">
        <v>5049713</v>
      </c>
      <c r="M155" s="141">
        <v>2171950</v>
      </c>
      <c r="N155" s="141"/>
      <c r="O155" s="142"/>
      <c r="P155" s="142"/>
      <c r="Q155" s="142"/>
      <c r="R155" s="142"/>
      <c r="S155" s="142"/>
      <c r="T155" s="141" t="s">
        <v>6026</v>
      </c>
      <c r="V155" s="43" t="s">
        <v>642</v>
      </c>
      <c r="AF155" s="42">
        <v>2087293</v>
      </c>
      <c r="AG155" s="42" t="s">
        <v>6528</v>
      </c>
    </row>
    <row r="156" spans="1:33" ht="15.95" customHeight="1">
      <c r="A156" s="68" t="s">
        <v>6492</v>
      </c>
      <c r="B156" s="134">
        <v>417</v>
      </c>
      <c r="F156" s="40" t="s">
        <v>5943</v>
      </c>
      <c r="G156" s="40" t="s">
        <v>5944</v>
      </c>
      <c r="H156" s="40" t="s">
        <v>8208</v>
      </c>
      <c r="I156" s="40" t="s">
        <v>6850</v>
      </c>
      <c r="J156" s="140">
        <v>2103508</v>
      </c>
      <c r="K156" s="139">
        <v>3300011792</v>
      </c>
      <c r="L156" s="141">
        <v>2103721</v>
      </c>
      <c r="M156" s="141" t="s">
        <v>5945</v>
      </c>
      <c r="N156" s="141" t="s">
        <v>4257</v>
      </c>
      <c r="O156" s="142"/>
      <c r="P156" s="142"/>
      <c r="Q156" s="142"/>
      <c r="R156" s="142"/>
      <c r="S156" s="142"/>
      <c r="T156" s="139" t="s">
        <v>5946</v>
      </c>
      <c r="V156" s="43" t="s">
        <v>541</v>
      </c>
      <c r="AF156" s="42">
        <v>2087315</v>
      </c>
      <c r="AG156" s="42" t="s">
        <v>6528</v>
      </c>
    </row>
    <row r="157" spans="1:33" ht="15.95" customHeight="1">
      <c r="A157" s="68" t="s">
        <v>6494</v>
      </c>
      <c r="B157" s="68" t="s">
        <v>6493</v>
      </c>
      <c r="F157" s="40" t="s">
        <v>2413</v>
      </c>
      <c r="G157" s="40" t="s">
        <v>2414</v>
      </c>
      <c r="H157" s="40" t="s">
        <v>564</v>
      </c>
      <c r="I157" s="40" t="s">
        <v>6851</v>
      </c>
      <c r="J157" s="140" t="s">
        <v>2416</v>
      </c>
      <c r="K157" s="141" t="s">
        <v>2417</v>
      </c>
      <c r="L157" s="141"/>
      <c r="M157" s="141">
        <v>5042668</v>
      </c>
      <c r="N157" s="141"/>
      <c r="O157" s="142"/>
      <c r="P157" s="142"/>
      <c r="Q157" s="142"/>
      <c r="R157" s="142"/>
      <c r="S157" s="142"/>
      <c r="T157" s="141" t="s">
        <v>2418</v>
      </c>
      <c r="V157" s="43" t="s">
        <v>767</v>
      </c>
      <c r="AF157" s="42">
        <v>2087316</v>
      </c>
      <c r="AG157" s="42" t="s">
        <v>6528</v>
      </c>
    </row>
    <row r="158" spans="1:33" ht="15.95" customHeight="1">
      <c r="F158" s="40" t="s">
        <v>4936</v>
      </c>
      <c r="G158" s="40" t="s">
        <v>4937</v>
      </c>
      <c r="H158" s="40" t="s">
        <v>761</v>
      </c>
      <c r="I158" s="40" t="s">
        <v>6848</v>
      </c>
      <c r="J158" s="140">
        <v>2183527</v>
      </c>
      <c r="K158" s="141" t="s">
        <v>4938</v>
      </c>
      <c r="L158" s="141">
        <v>3300004156</v>
      </c>
      <c r="M158" s="141"/>
      <c r="N158" s="141"/>
      <c r="O158" s="142"/>
      <c r="P158" s="142"/>
      <c r="Q158" s="142"/>
      <c r="R158" s="142"/>
      <c r="S158" s="142"/>
      <c r="T158" s="141" t="s">
        <v>4939</v>
      </c>
      <c r="V158" s="43" t="s">
        <v>583</v>
      </c>
      <c r="AF158" s="42">
        <v>2087317</v>
      </c>
      <c r="AG158" s="42" t="s">
        <v>6528</v>
      </c>
    </row>
    <row r="159" spans="1:33" ht="15.95" customHeight="1">
      <c r="F159" s="40" t="s">
        <v>7664</v>
      </c>
      <c r="G159" s="40" t="s">
        <v>7831</v>
      </c>
      <c r="H159" s="40" t="s">
        <v>8208</v>
      </c>
      <c r="I159" s="40" t="s">
        <v>6850</v>
      </c>
      <c r="J159" s="140">
        <v>2191125</v>
      </c>
      <c r="K159" s="141">
        <v>5053817</v>
      </c>
      <c r="L159" s="141">
        <v>3300010905</v>
      </c>
      <c r="M159" s="141"/>
      <c r="N159" s="141"/>
      <c r="O159" s="142"/>
      <c r="P159" s="142"/>
      <c r="Q159" s="142"/>
      <c r="R159" s="142"/>
      <c r="S159" s="142"/>
      <c r="T159" s="141">
        <v>21400122</v>
      </c>
      <c r="V159" s="43" t="s">
        <v>8175</v>
      </c>
      <c r="AF159" s="42">
        <v>2087319</v>
      </c>
      <c r="AG159" s="42" t="s">
        <v>6528</v>
      </c>
    </row>
    <row r="160" spans="1:33" ht="15.95" customHeight="1">
      <c r="F160" s="40" t="s">
        <v>7443</v>
      </c>
      <c r="G160" s="40" t="s">
        <v>7443</v>
      </c>
      <c r="H160" s="40" t="s">
        <v>6841</v>
      </c>
      <c r="I160" s="40" t="s">
        <v>6852</v>
      </c>
      <c r="J160" s="140">
        <v>2119564</v>
      </c>
      <c r="K160" s="141">
        <v>3300016203</v>
      </c>
      <c r="L160" s="141" t="s">
        <v>1244</v>
      </c>
      <c r="M160" s="141">
        <v>5050458</v>
      </c>
      <c r="N160" s="141">
        <v>2110327</v>
      </c>
      <c r="O160" s="142"/>
      <c r="P160" s="142"/>
      <c r="Q160" s="142"/>
      <c r="R160" s="142"/>
      <c r="S160" s="142"/>
      <c r="T160" s="141" t="s">
        <v>7564</v>
      </c>
      <c r="V160" s="43" t="s">
        <v>545</v>
      </c>
      <c r="AF160" s="42">
        <v>2087320</v>
      </c>
      <c r="AG160" s="42" t="s">
        <v>6528</v>
      </c>
    </row>
    <row r="161" spans="6:33" ht="15.95" customHeight="1">
      <c r="F161" s="40" t="s">
        <v>6929</v>
      </c>
      <c r="G161" s="40" t="s">
        <v>6930</v>
      </c>
      <c r="H161" s="40" t="s">
        <v>553</v>
      </c>
      <c r="I161" s="40" t="s">
        <v>6853</v>
      </c>
      <c r="J161" s="140">
        <v>2087203</v>
      </c>
      <c r="K161" s="141">
        <v>3300013093</v>
      </c>
      <c r="L161" s="141">
        <v>2116253</v>
      </c>
      <c r="M161" s="141" t="s">
        <v>4962</v>
      </c>
      <c r="N161" s="141"/>
      <c r="O161" s="142"/>
      <c r="P161" s="142"/>
      <c r="Q161" s="142"/>
      <c r="R161" s="142"/>
      <c r="S161" s="142"/>
      <c r="T161" s="141" t="s">
        <v>6558</v>
      </c>
      <c r="V161" s="43" t="s">
        <v>742</v>
      </c>
      <c r="AF161" s="42">
        <v>2087325</v>
      </c>
      <c r="AG161" s="42" t="s">
        <v>6528</v>
      </c>
    </row>
    <row r="162" spans="6:33" ht="15.95" customHeight="1">
      <c r="F162" s="40" t="s">
        <v>7665</v>
      </c>
      <c r="G162" s="40" t="s">
        <v>7832</v>
      </c>
      <c r="H162" s="40" t="s">
        <v>8208</v>
      </c>
      <c r="I162" s="40" t="s">
        <v>6850</v>
      </c>
      <c r="J162" s="140"/>
      <c r="K162" s="141">
        <v>2081947</v>
      </c>
      <c r="L162" s="141" t="s">
        <v>7989</v>
      </c>
      <c r="M162" s="141" t="s">
        <v>7990</v>
      </c>
      <c r="N162" s="141" t="s">
        <v>7991</v>
      </c>
      <c r="O162" s="142"/>
      <c r="P162" s="142"/>
      <c r="Q162" s="142"/>
      <c r="R162" s="142"/>
      <c r="S162" s="142"/>
      <c r="T162" s="141">
        <v>101200105</v>
      </c>
      <c r="V162" s="43" t="s">
        <v>8176</v>
      </c>
      <c r="AF162" s="42">
        <v>2087328</v>
      </c>
      <c r="AG162" s="42" t="s">
        <v>6528</v>
      </c>
    </row>
    <row r="163" spans="6:33" ht="15.95" customHeight="1">
      <c r="F163" s="40" t="s">
        <v>6931</v>
      </c>
      <c r="G163" s="40" t="s">
        <v>6932</v>
      </c>
      <c r="H163" s="40" t="s">
        <v>761</v>
      </c>
      <c r="I163" s="40" t="s">
        <v>6848</v>
      </c>
      <c r="J163" s="140" t="s">
        <v>6710</v>
      </c>
      <c r="K163" s="141" t="s">
        <v>8259</v>
      </c>
      <c r="L163" s="141">
        <v>2096067</v>
      </c>
      <c r="M163" s="141" t="s">
        <v>7630</v>
      </c>
      <c r="N163" s="141"/>
      <c r="O163" s="142"/>
      <c r="P163" s="142"/>
      <c r="Q163" s="142"/>
      <c r="R163" s="142"/>
      <c r="S163" s="142"/>
      <c r="T163" s="141" t="s">
        <v>6686</v>
      </c>
      <c r="V163" s="43" t="s">
        <v>653</v>
      </c>
      <c r="AF163" s="42">
        <v>2087329</v>
      </c>
      <c r="AG163" s="42" t="s">
        <v>6528</v>
      </c>
    </row>
    <row r="164" spans="6:33" ht="15.95" customHeight="1">
      <c r="F164" s="40" t="s">
        <v>5411</v>
      </c>
      <c r="G164" s="40" t="s">
        <v>5412</v>
      </c>
      <c r="H164" s="40" t="s">
        <v>761</v>
      </c>
      <c r="I164" s="40" t="s">
        <v>6848</v>
      </c>
      <c r="J164" s="140">
        <v>2103715</v>
      </c>
      <c r="K164" s="141" t="s">
        <v>5414</v>
      </c>
      <c r="L164" s="141">
        <v>3300001216</v>
      </c>
      <c r="M164" s="141">
        <v>5070887</v>
      </c>
      <c r="N164" s="141">
        <v>2150983</v>
      </c>
      <c r="O164" s="142"/>
      <c r="P164" s="142"/>
      <c r="Q164" s="142"/>
      <c r="R164" s="142"/>
      <c r="S164" s="142"/>
      <c r="T164" s="141" t="s">
        <v>5415</v>
      </c>
      <c r="V164" s="43" t="s">
        <v>812</v>
      </c>
      <c r="AF164" s="42">
        <v>2087336</v>
      </c>
      <c r="AG164" s="42" t="s">
        <v>6528</v>
      </c>
    </row>
    <row r="165" spans="6:33" ht="15.95" customHeight="1">
      <c r="F165" s="40" t="s">
        <v>3165</v>
      </c>
      <c r="G165" s="40" t="s">
        <v>15</v>
      </c>
      <c r="H165" s="40" t="s">
        <v>6841</v>
      </c>
      <c r="I165" s="40" t="s">
        <v>6852</v>
      </c>
      <c r="J165" s="140">
        <v>2116264</v>
      </c>
      <c r="K165" s="141" t="s">
        <v>3167</v>
      </c>
      <c r="L165" s="141" t="s">
        <v>7033</v>
      </c>
      <c r="M165" s="141">
        <v>3300008160</v>
      </c>
      <c r="N165" s="141">
        <v>2116258</v>
      </c>
      <c r="O165" s="142"/>
      <c r="P165" s="142"/>
      <c r="Q165" s="142"/>
      <c r="R165" s="142"/>
      <c r="S165" s="142"/>
      <c r="T165" s="141" t="s">
        <v>3168</v>
      </c>
      <c r="V165" s="43" t="s">
        <v>691</v>
      </c>
      <c r="AF165" s="42">
        <v>2087341</v>
      </c>
      <c r="AG165" s="42" t="s">
        <v>6528</v>
      </c>
    </row>
    <row r="166" spans="6:33" ht="15.95" customHeight="1">
      <c r="F166" s="40" t="s">
        <v>6077</v>
      </c>
      <c r="G166" s="40" t="s">
        <v>6078</v>
      </c>
      <c r="H166" s="40" t="s">
        <v>8208</v>
      </c>
      <c r="I166" s="40" t="s">
        <v>6850</v>
      </c>
      <c r="J166" s="140">
        <v>2117076</v>
      </c>
      <c r="K166" s="141">
        <v>5031906</v>
      </c>
      <c r="L166" s="141">
        <v>3300002975</v>
      </c>
      <c r="M166" s="141">
        <v>2119196</v>
      </c>
      <c r="N166" s="141" t="s">
        <v>6080</v>
      </c>
      <c r="O166" s="142"/>
      <c r="P166" s="142"/>
      <c r="Q166" s="142"/>
      <c r="R166" s="142"/>
      <c r="S166" s="142"/>
      <c r="T166" s="141" t="s">
        <v>6081</v>
      </c>
      <c r="V166" s="43" t="s">
        <v>532</v>
      </c>
      <c r="AF166" s="42">
        <v>2087344</v>
      </c>
      <c r="AG166" s="42" t="s">
        <v>6528</v>
      </c>
    </row>
    <row r="167" spans="6:33" ht="15.95" customHeight="1">
      <c r="F167" s="40" t="s">
        <v>4481</v>
      </c>
      <c r="G167" s="40" t="s">
        <v>4482</v>
      </c>
      <c r="H167" s="40" t="s">
        <v>761</v>
      </c>
      <c r="I167" s="40" t="s">
        <v>6848</v>
      </c>
      <c r="J167" s="140">
        <v>5045687</v>
      </c>
      <c r="K167" s="141" t="s">
        <v>4483</v>
      </c>
      <c r="L167" s="141">
        <v>3300001224</v>
      </c>
      <c r="M167" s="141">
        <v>2183523</v>
      </c>
      <c r="N167" s="141">
        <v>3300001226</v>
      </c>
      <c r="O167" s="142"/>
      <c r="P167" s="142"/>
      <c r="Q167" s="142"/>
      <c r="R167" s="142"/>
      <c r="S167" s="142"/>
      <c r="T167" s="141" t="s">
        <v>4484</v>
      </c>
      <c r="V167" s="43" t="s">
        <v>599</v>
      </c>
      <c r="AF167" s="42">
        <v>2087359</v>
      </c>
      <c r="AG167" s="42" t="s">
        <v>6528</v>
      </c>
    </row>
    <row r="168" spans="6:33" ht="15.95" customHeight="1">
      <c r="F168" s="40" t="s">
        <v>5603</v>
      </c>
      <c r="G168" s="40" t="s">
        <v>5604</v>
      </c>
      <c r="H168" s="40" t="s">
        <v>761</v>
      </c>
      <c r="I168" s="40" t="s">
        <v>6848</v>
      </c>
      <c r="J168" s="140">
        <v>2183509</v>
      </c>
      <c r="K168" s="141" t="s">
        <v>5607</v>
      </c>
      <c r="L168" s="141"/>
      <c r="M168" s="141"/>
      <c r="N168" s="141"/>
      <c r="O168" s="142"/>
      <c r="P168" s="142"/>
      <c r="Q168" s="142"/>
      <c r="R168" s="142"/>
      <c r="S168" s="142"/>
      <c r="T168" s="141" t="s">
        <v>5608</v>
      </c>
      <c r="V168" s="43" t="s">
        <v>5606</v>
      </c>
      <c r="AF168" s="42">
        <v>2087384</v>
      </c>
      <c r="AG168" s="42" t="s">
        <v>6528</v>
      </c>
    </row>
    <row r="169" spans="6:33" ht="15.95" customHeight="1">
      <c r="F169" s="40" t="s">
        <v>7415</v>
      </c>
      <c r="G169" s="40" t="s">
        <v>7423</v>
      </c>
      <c r="H169" s="40" t="s">
        <v>670</v>
      </c>
      <c r="I169" s="40" t="s">
        <v>6849</v>
      </c>
      <c r="J169" s="140">
        <v>2087320</v>
      </c>
      <c r="K169" s="141">
        <v>3300004133</v>
      </c>
      <c r="L169" s="141" t="s">
        <v>4777</v>
      </c>
      <c r="M169" s="141">
        <v>3300015846</v>
      </c>
      <c r="N169" s="141">
        <v>5004784</v>
      </c>
      <c r="O169" s="142"/>
      <c r="P169" s="142"/>
      <c r="Q169" s="142"/>
      <c r="R169" s="142"/>
      <c r="S169" s="142"/>
      <c r="T169" s="141" t="s">
        <v>7302</v>
      </c>
      <c r="V169" s="43" t="s">
        <v>640</v>
      </c>
      <c r="AF169" s="42">
        <v>2087387</v>
      </c>
      <c r="AG169" s="42" t="s">
        <v>6528</v>
      </c>
    </row>
    <row r="170" spans="6:33" ht="15.95" customHeight="1">
      <c r="F170" s="40" t="s">
        <v>8430</v>
      </c>
      <c r="G170" s="40" t="s">
        <v>8479</v>
      </c>
      <c r="H170" s="40" t="s">
        <v>595</v>
      </c>
      <c r="I170" s="40" t="s">
        <v>6847</v>
      </c>
      <c r="J170" s="140" t="s">
        <v>8519</v>
      </c>
      <c r="K170" s="141">
        <v>2141096</v>
      </c>
      <c r="L170" s="141" t="s">
        <v>8520</v>
      </c>
      <c r="M170" s="141"/>
      <c r="N170" s="141"/>
      <c r="O170" s="142"/>
      <c r="P170" s="142"/>
      <c r="Q170" s="142"/>
      <c r="R170" s="142"/>
      <c r="S170" s="142"/>
      <c r="T170" s="141" t="s">
        <v>8586</v>
      </c>
      <c r="V170" s="43" t="s">
        <v>7599</v>
      </c>
      <c r="AF170" s="42">
        <v>2087388</v>
      </c>
      <c r="AG170" s="42" t="s">
        <v>6528</v>
      </c>
    </row>
    <row r="171" spans="6:33" ht="15.95" customHeight="1">
      <c r="F171" s="40" t="s">
        <v>4942</v>
      </c>
      <c r="G171" s="40" t="s">
        <v>4943</v>
      </c>
      <c r="H171" s="40" t="s">
        <v>761</v>
      </c>
      <c r="I171" s="40" t="s">
        <v>6848</v>
      </c>
      <c r="J171" s="140">
        <v>2183538</v>
      </c>
      <c r="K171" s="139">
        <v>5045682</v>
      </c>
      <c r="L171" s="139" t="s">
        <v>4944</v>
      </c>
      <c r="M171" s="141">
        <v>3300004114</v>
      </c>
      <c r="N171" s="141">
        <v>2183601</v>
      </c>
      <c r="O171" s="142"/>
      <c r="P171" s="142"/>
      <c r="Q171" s="142"/>
      <c r="R171" s="142"/>
      <c r="S171" s="142"/>
      <c r="T171" s="141" t="s">
        <v>6815</v>
      </c>
      <c r="V171" s="43" t="s">
        <v>583</v>
      </c>
      <c r="AF171" s="42">
        <v>2087392</v>
      </c>
      <c r="AG171" s="42" t="s">
        <v>6528</v>
      </c>
    </row>
    <row r="172" spans="6:33" ht="15.95" customHeight="1">
      <c r="F172" s="40" t="s">
        <v>1951</v>
      </c>
      <c r="G172" s="40" t="s">
        <v>1952</v>
      </c>
      <c r="H172" s="40" t="s">
        <v>564</v>
      </c>
      <c r="I172" s="40" t="s">
        <v>6851</v>
      </c>
      <c r="J172" s="140">
        <v>5010075</v>
      </c>
      <c r="K172" s="141" t="s">
        <v>1955</v>
      </c>
      <c r="L172" s="141">
        <v>2228737</v>
      </c>
      <c r="M172" s="141" t="s">
        <v>1956</v>
      </c>
      <c r="N172" s="141">
        <v>2103827</v>
      </c>
      <c r="O172" s="142"/>
      <c r="P172" s="142"/>
      <c r="Q172" s="142"/>
      <c r="R172" s="142"/>
      <c r="S172" s="142"/>
      <c r="T172" s="141" t="s">
        <v>1957</v>
      </c>
      <c r="V172" s="43" t="s">
        <v>1954</v>
      </c>
      <c r="AF172" s="42">
        <v>2087394</v>
      </c>
      <c r="AG172" s="42" t="s">
        <v>6528</v>
      </c>
    </row>
    <row r="173" spans="6:33" ht="15.95" customHeight="1">
      <c r="F173" s="40" t="s">
        <v>4989</v>
      </c>
      <c r="G173" s="40" t="s">
        <v>4990</v>
      </c>
      <c r="H173" s="40" t="s">
        <v>761</v>
      </c>
      <c r="I173" s="40" t="s">
        <v>6848</v>
      </c>
      <c r="J173" s="138">
        <v>3300011802</v>
      </c>
      <c r="K173" s="139" t="s">
        <v>4991</v>
      </c>
      <c r="L173" s="141">
        <v>3300009763</v>
      </c>
      <c r="M173" s="141">
        <v>2183561</v>
      </c>
      <c r="N173" s="141">
        <v>2183186</v>
      </c>
      <c r="O173" s="142"/>
      <c r="P173" s="142"/>
      <c r="Q173" s="142"/>
      <c r="R173" s="142"/>
      <c r="S173" s="142"/>
      <c r="T173" s="139" t="s">
        <v>6803</v>
      </c>
      <c r="V173" s="43" t="s">
        <v>761</v>
      </c>
      <c r="AF173" s="42">
        <v>2087402</v>
      </c>
      <c r="AG173" s="42" t="s">
        <v>6528</v>
      </c>
    </row>
    <row r="174" spans="6:33" ht="15.75" customHeight="1">
      <c r="F174" s="40" t="s">
        <v>1767</v>
      </c>
      <c r="G174" s="40" t="s">
        <v>1768</v>
      </c>
      <c r="H174" s="40" t="s">
        <v>564</v>
      </c>
      <c r="I174" s="40" t="s">
        <v>6851</v>
      </c>
      <c r="J174" s="140">
        <v>3300010100</v>
      </c>
      <c r="K174" s="141">
        <v>2168584</v>
      </c>
      <c r="L174" s="141" t="s">
        <v>1769</v>
      </c>
      <c r="M174" s="141">
        <v>5048921</v>
      </c>
      <c r="N174" s="141" t="s">
        <v>1770</v>
      </c>
      <c r="O174" s="142"/>
      <c r="P174" s="142"/>
      <c r="Q174" s="142"/>
      <c r="R174" s="142"/>
      <c r="S174" s="142"/>
      <c r="T174" s="141" t="s">
        <v>1771</v>
      </c>
      <c r="V174" s="43" t="s">
        <v>620</v>
      </c>
      <c r="AF174" s="42">
        <v>2087981</v>
      </c>
      <c r="AG174" s="42" t="s">
        <v>6673</v>
      </c>
    </row>
    <row r="175" spans="6:33" ht="15.75" customHeight="1">
      <c r="F175" s="40" t="s">
        <v>5963</v>
      </c>
      <c r="G175" s="40" t="s">
        <v>5964</v>
      </c>
      <c r="H175" s="40" t="s">
        <v>8208</v>
      </c>
      <c r="I175" s="40" t="s">
        <v>6850</v>
      </c>
      <c r="J175" s="140">
        <v>2114793</v>
      </c>
      <c r="K175" s="141" t="s">
        <v>5966</v>
      </c>
      <c r="L175" s="141">
        <v>2114747</v>
      </c>
      <c r="M175" s="141">
        <v>3300002957</v>
      </c>
      <c r="N175" s="141"/>
      <c r="O175" s="142"/>
      <c r="P175" s="142"/>
      <c r="Q175" s="142"/>
      <c r="R175" s="142"/>
      <c r="S175" s="142"/>
      <c r="T175" s="141" t="s">
        <v>5967</v>
      </c>
      <c r="V175" s="43" t="s">
        <v>611</v>
      </c>
      <c r="AF175" s="42">
        <v>2096011</v>
      </c>
      <c r="AG175" s="42" t="s">
        <v>6528</v>
      </c>
    </row>
    <row r="176" spans="6:33" ht="15.75" customHeight="1">
      <c r="F176" s="40" t="s">
        <v>6923</v>
      </c>
      <c r="G176" s="40" t="s">
        <v>6924</v>
      </c>
      <c r="H176" s="40" t="s">
        <v>6841</v>
      </c>
      <c r="I176" s="40" t="s">
        <v>6852</v>
      </c>
      <c r="J176" s="140">
        <v>2180501</v>
      </c>
      <c r="K176" s="141">
        <v>5045695</v>
      </c>
      <c r="L176" s="141"/>
      <c r="M176" s="141"/>
      <c r="N176" s="141"/>
      <c r="O176" s="142"/>
      <c r="P176" s="142"/>
      <c r="Q176" s="142"/>
      <c r="R176" s="142"/>
      <c r="S176" s="142"/>
      <c r="T176" s="141" t="s">
        <v>6765</v>
      </c>
      <c r="V176" s="43" t="s">
        <v>598</v>
      </c>
      <c r="AF176" s="42">
        <v>2096023</v>
      </c>
      <c r="AG176" s="42" t="s">
        <v>6528</v>
      </c>
    </row>
    <row r="177" spans="6:33" ht="15.75" customHeight="1">
      <c r="F177" s="40" t="s">
        <v>7666</v>
      </c>
      <c r="G177" s="40" t="s">
        <v>8311</v>
      </c>
      <c r="H177" s="40" t="s">
        <v>8208</v>
      </c>
      <c r="I177" s="40" t="s">
        <v>6850</v>
      </c>
      <c r="J177" s="140"/>
      <c r="K177" s="141">
        <v>2096096</v>
      </c>
      <c r="L177" s="141">
        <v>5010205</v>
      </c>
      <c r="M177" s="141" t="s">
        <v>7992</v>
      </c>
      <c r="N177" s="141"/>
      <c r="O177" s="142"/>
      <c r="P177" s="142"/>
      <c r="Q177" s="142"/>
      <c r="R177" s="142"/>
      <c r="S177" s="142"/>
      <c r="T177" s="141" t="s">
        <v>4018</v>
      </c>
      <c r="V177" s="43" t="s">
        <v>663</v>
      </c>
      <c r="AF177" s="42">
        <v>2096029</v>
      </c>
      <c r="AG177" s="42" t="s">
        <v>6528</v>
      </c>
    </row>
    <row r="178" spans="6:33" ht="15.75" customHeight="1">
      <c r="F178" s="40" t="s">
        <v>7667</v>
      </c>
      <c r="G178" s="40" t="s">
        <v>7833</v>
      </c>
      <c r="H178" s="40" t="s">
        <v>564</v>
      </c>
      <c r="I178" s="40" t="s">
        <v>6851</v>
      </c>
      <c r="J178" s="138">
        <v>3300002995</v>
      </c>
      <c r="K178" s="139">
        <v>2103879</v>
      </c>
      <c r="L178" s="141">
        <v>5042667</v>
      </c>
      <c r="M178" s="141" t="s">
        <v>5689</v>
      </c>
      <c r="N178" s="141"/>
      <c r="O178" s="142"/>
      <c r="P178" s="142"/>
      <c r="Q178" s="142"/>
      <c r="R178" s="142"/>
      <c r="S178" s="142"/>
      <c r="T178" s="139" t="s">
        <v>8149</v>
      </c>
      <c r="V178" s="43" t="s">
        <v>843</v>
      </c>
      <c r="AF178" s="42">
        <v>2096030</v>
      </c>
      <c r="AG178" s="42" t="s">
        <v>6528</v>
      </c>
    </row>
    <row r="179" spans="6:33" ht="15.75" customHeight="1">
      <c r="F179" s="40" t="s">
        <v>7668</v>
      </c>
      <c r="G179" s="40" t="s">
        <v>7834</v>
      </c>
      <c r="H179" s="40" t="s">
        <v>8208</v>
      </c>
      <c r="I179" s="40" t="s">
        <v>6850</v>
      </c>
      <c r="J179" s="140">
        <v>3300016506</v>
      </c>
      <c r="K179" s="141">
        <v>2082965</v>
      </c>
      <c r="L179" s="141" t="s">
        <v>7993</v>
      </c>
      <c r="M179" s="141" t="s">
        <v>7994</v>
      </c>
      <c r="N179" s="141" t="s">
        <v>7995</v>
      </c>
      <c r="O179" s="142"/>
      <c r="P179" s="142"/>
      <c r="Q179" s="142"/>
      <c r="R179" s="142"/>
      <c r="S179" s="142"/>
      <c r="T179" s="141">
        <v>11300016</v>
      </c>
      <c r="V179" s="43" t="s">
        <v>642</v>
      </c>
      <c r="AF179" s="42">
        <v>2096032</v>
      </c>
      <c r="AG179" s="42" t="s">
        <v>6528</v>
      </c>
    </row>
    <row r="180" spans="6:33" ht="15.75" customHeight="1">
      <c r="F180" s="40" t="s">
        <v>2034</v>
      </c>
      <c r="G180" s="40" t="s">
        <v>2035</v>
      </c>
      <c r="H180" s="40" t="s">
        <v>564</v>
      </c>
      <c r="I180" s="40" t="s">
        <v>6851</v>
      </c>
      <c r="J180" s="140">
        <v>2159903</v>
      </c>
      <c r="K180" s="141">
        <v>3400001171</v>
      </c>
      <c r="L180" s="141" t="s">
        <v>2037</v>
      </c>
      <c r="M180" s="141" t="s">
        <v>2038</v>
      </c>
      <c r="N180" s="141" t="s">
        <v>2039</v>
      </c>
      <c r="O180" s="142"/>
      <c r="P180" s="142"/>
      <c r="Q180" s="142"/>
      <c r="R180" s="142"/>
      <c r="S180" s="142"/>
      <c r="T180" s="141" t="s">
        <v>2040</v>
      </c>
      <c r="V180" s="43" t="s">
        <v>577</v>
      </c>
      <c r="AF180" s="42">
        <v>2096034</v>
      </c>
      <c r="AG180" s="42" t="s">
        <v>6528</v>
      </c>
    </row>
    <row r="181" spans="6:33" ht="15.75" customHeight="1">
      <c r="F181" s="40" t="s">
        <v>4959</v>
      </c>
      <c r="G181" s="40" t="s">
        <v>4960</v>
      </c>
      <c r="H181" s="40" t="s">
        <v>761</v>
      </c>
      <c r="I181" s="40" t="s">
        <v>6848</v>
      </c>
      <c r="J181" s="140" t="s">
        <v>4961</v>
      </c>
      <c r="K181" s="141">
        <v>3300003618</v>
      </c>
      <c r="L181" s="141">
        <v>2172273</v>
      </c>
      <c r="M181" s="141">
        <v>3300003631</v>
      </c>
      <c r="N181" s="141" t="s">
        <v>6995</v>
      </c>
      <c r="O181" s="142"/>
      <c r="P181" s="142"/>
      <c r="Q181" s="142"/>
      <c r="R181" s="142"/>
      <c r="S181" s="142"/>
      <c r="T181" s="141" t="s">
        <v>4963</v>
      </c>
      <c r="V181" s="43" t="s">
        <v>726</v>
      </c>
      <c r="AF181" s="42">
        <v>2096037</v>
      </c>
      <c r="AG181" s="42" t="s">
        <v>6528</v>
      </c>
    </row>
    <row r="182" spans="6:33" ht="15.75" customHeight="1">
      <c r="F182" s="40" t="s">
        <v>4965</v>
      </c>
      <c r="G182" s="40" t="s">
        <v>4966</v>
      </c>
      <c r="H182" s="40" t="s">
        <v>761</v>
      </c>
      <c r="I182" s="40" t="s">
        <v>6848</v>
      </c>
      <c r="J182" s="140" t="s">
        <v>5058</v>
      </c>
      <c r="K182" s="141">
        <v>2235798</v>
      </c>
      <c r="L182" s="141"/>
      <c r="M182" s="141">
        <v>2117080</v>
      </c>
      <c r="N182" s="141">
        <v>5031918</v>
      </c>
      <c r="O182" s="142"/>
      <c r="P182" s="142"/>
      <c r="Q182" s="142"/>
      <c r="R182" s="142"/>
      <c r="S182" s="142"/>
      <c r="T182" s="141" t="s">
        <v>4968</v>
      </c>
      <c r="V182" s="43" t="s">
        <v>726</v>
      </c>
      <c r="AF182" s="42">
        <v>2096040</v>
      </c>
      <c r="AG182" s="42" t="s">
        <v>6528</v>
      </c>
    </row>
    <row r="183" spans="6:33" ht="15.75" customHeight="1">
      <c r="F183" s="40" t="s">
        <v>7669</v>
      </c>
      <c r="G183" s="40" t="s">
        <v>7835</v>
      </c>
      <c r="H183" s="40" t="s">
        <v>564</v>
      </c>
      <c r="I183" s="40" t="s">
        <v>6851</v>
      </c>
      <c r="J183" s="140">
        <v>2236041</v>
      </c>
      <c r="K183" s="141">
        <v>3400003761</v>
      </c>
      <c r="L183" s="141">
        <v>5100160</v>
      </c>
      <c r="M183" s="141">
        <v>3400003776</v>
      </c>
      <c r="N183" s="141" t="s">
        <v>7996</v>
      </c>
      <c r="O183" s="142"/>
      <c r="P183" s="142"/>
      <c r="Q183" s="142"/>
      <c r="R183" s="142"/>
      <c r="S183" s="142"/>
      <c r="T183" s="141" t="s">
        <v>7611</v>
      </c>
      <c r="V183" s="43" t="s">
        <v>805</v>
      </c>
      <c r="AF183" s="42">
        <v>2096054</v>
      </c>
      <c r="AG183" s="42" t="s">
        <v>6528</v>
      </c>
    </row>
    <row r="184" spans="6:33" ht="15.75" customHeight="1">
      <c r="F184" s="40" t="s">
        <v>7670</v>
      </c>
      <c r="G184" s="40" t="s">
        <v>7836</v>
      </c>
      <c r="H184" s="40" t="s">
        <v>8208</v>
      </c>
      <c r="I184" s="40" t="s">
        <v>6850</v>
      </c>
      <c r="J184" s="140">
        <v>2081918</v>
      </c>
      <c r="K184" s="141">
        <v>5045636</v>
      </c>
      <c r="L184" s="141"/>
      <c r="M184" s="141"/>
      <c r="N184" s="141"/>
      <c r="O184" s="142"/>
      <c r="P184" s="142"/>
      <c r="Q184" s="142"/>
      <c r="R184" s="142"/>
      <c r="S184" s="142"/>
      <c r="T184" s="141">
        <v>101300087</v>
      </c>
      <c r="V184" s="43" t="s">
        <v>687</v>
      </c>
      <c r="AF184" s="42">
        <v>2096058</v>
      </c>
      <c r="AG184" s="42" t="s">
        <v>6528</v>
      </c>
    </row>
    <row r="185" spans="6:33" ht="15.75" customHeight="1">
      <c r="F185" s="40" t="s">
        <v>5760</v>
      </c>
      <c r="G185" s="40" t="s">
        <v>5761</v>
      </c>
      <c r="H185" s="40" t="s">
        <v>761</v>
      </c>
      <c r="I185" s="40" t="s">
        <v>6848</v>
      </c>
      <c r="J185" s="140" t="s">
        <v>5762</v>
      </c>
      <c r="K185" s="141">
        <v>2171926</v>
      </c>
      <c r="L185" s="141">
        <v>3300001698</v>
      </c>
      <c r="M185" s="141">
        <v>5046312</v>
      </c>
      <c r="N185" s="141"/>
      <c r="O185" s="142"/>
      <c r="P185" s="142"/>
      <c r="Q185" s="142"/>
      <c r="R185" s="142"/>
      <c r="S185" s="142"/>
      <c r="T185" s="141" t="s">
        <v>3756</v>
      </c>
      <c r="V185" s="43" t="s">
        <v>588</v>
      </c>
      <c r="AF185" s="42">
        <v>2096060</v>
      </c>
      <c r="AG185" s="42" t="s">
        <v>6528</v>
      </c>
    </row>
    <row r="186" spans="6:33" ht="15.75" customHeight="1">
      <c r="F186" s="40" t="s">
        <v>2862</v>
      </c>
      <c r="G186" s="40" t="s">
        <v>2863</v>
      </c>
      <c r="H186" s="40" t="s">
        <v>595</v>
      </c>
      <c r="I186" s="40" t="s">
        <v>6847</v>
      </c>
      <c r="J186" s="140">
        <v>5014457</v>
      </c>
      <c r="K186" s="141" t="s">
        <v>2865</v>
      </c>
      <c r="L186" s="141">
        <v>3300005160</v>
      </c>
      <c r="M186" s="141">
        <v>2087319</v>
      </c>
      <c r="N186" s="141">
        <v>5059298</v>
      </c>
      <c r="O186" s="142"/>
      <c r="P186" s="142"/>
      <c r="Q186" s="142"/>
      <c r="R186" s="142"/>
      <c r="S186" s="142"/>
      <c r="T186" s="141" t="s">
        <v>2866</v>
      </c>
      <c r="V186" s="43" t="s">
        <v>672</v>
      </c>
      <c r="AF186" s="42">
        <v>2096061</v>
      </c>
      <c r="AG186" s="42" t="s">
        <v>6528</v>
      </c>
    </row>
    <row r="187" spans="6:33" ht="15.75" customHeight="1">
      <c r="F187" s="40" t="s">
        <v>3836</v>
      </c>
      <c r="G187" s="40" t="s">
        <v>3837</v>
      </c>
      <c r="H187" s="40" t="s">
        <v>553</v>
      </c>
      <c r="I187" s="40" t="s">
        <v>6853</v>
      </c>
      <c r="J187" s="140">
        <v>2183465</v>
      </c>
      <c r="K187" s="141">
        <v>5059363</v>
      </c>
      <c r="L187" s="141" t="s">
        <v>3839</v>
      </c>
      <c r="M187" s="141">
        <v>3300009523</v>
      </c>
      <c r="N187" s="141">
        <v>2183529</v>
      </c>
      <c r="O187" s="142"/>
      <c r="P187" s="142"/>
      <c r="Q187" s="142"/>
      <c r="R187" s="142"/>
      <c r="S187" s="142"/>
      <c r="T187" s="141" t="s">
        <v>3840</v>
      </c>
      <c r="V187" s="43" t="s">
        <v>549</v>
      </c>
      <c r="AF187" s="42">
        <v>2096063</v>
      </c>
      <c r="AG187" s="42" t="s">
        <v>6528</v>
      </c>
    </row>
    <row r="188" spans="6:33" ht="15.75" customHeight="1">
      <c r="F188" s="40" t="s">
        <v>4143</v>
      </c>
      <c r="G188" s="40" t="s">
        <v>4144</v>
      </c>
      <c r="H188" s="40" t="s">
        <v>553</v>
      </c>
      <c r="I188" s="40" t="s">
        <v>6853</v>
      </c>
      <c r="J188" s="140">
        <v>2141106</v>
      </c>
      <c r="K188" s="141" t="s">
        <v>4145</v>
      </c>
      <c r="L188" s="141">
        <v>2116287</v>
      </c>
      <c r="M188" s="141" t="s">
        <v>4146</v>
      </c>
      <c r="N188" s="141" t="s">
        <v>4147</v>
      </c>
      <c r="O188" s="142"/>
      <c r="P188" s="142"/>
      <c r="Q188" s="142"/>
      <c r="R188" s="142"/>
      <c r="S188" s="142"/>
      <c r="T188" s="141" t="s">
        <v>4148</v>
      </c>
      <c r="V188" s="43" t="s">
        <v>553</v>
      </c>
      <c r="AF188" s="42">
        <v>2096066</v>
      </c>
      <c r="AG188" s="42" t="s">
        <v>6528</v>
      </c>
    </row>
    <row r="189" spans="6:33" ht="15.75" customHeight="1">
      <c r="F189" s="40" t="s">
        <v>4486</v>
      </c>
      <c r="G189" s="40" t="s">
        <v>4487</v>
      </c>
      <c r="H189" s="40" t="s">
        <v>761</v>
      </c>
      <c r="I189" s="40" t="s">
        <v>6848</v>
      </c>
      <c r="J189" s="140">
        <v>2117077</v>
      </c>
      <c r="K189" s="141" t="s">
        <v>7332</v>
      </c>
      <c r="L189" s="141">
        <v>2103939</v>
      </c>
      <c r="M189" s="141">
        <v>3300002967</v>
      </c>
      <c r="N189" s="141">
        <v>2119175</v>
      </c>
      <c r="O189" s="142"/>
      <c r="P189" s="142"/>
      <c r="Q189" s="142"/>
      <c r="R189" s="142"/>
      <c r="S189" s="142"/>
      <c r="T189" s="141" t="s">
        <v>4489</v>
      </c>
      <c r="V189" s="43" t="s">
        <v>599</v>
      </c>
      <c r="AF189" s="42">
        <v>2096067</v>
      </c>
      <c r="AG189" s="42" t="s">
        <v>6528</v>
      </c>
    </row>
    <row r="190" spans="6:33" ht="15.75" customHeight="1">
      <c r="F190" s="40" t="s">
        <v>6158</v>
      </c>
      <c r="G190" s="40" t="s">
        <v>6159</v>
      </c>
      <c r="H190" s="40" t="s">
        <v>8208</v>
      </c>
      <c r="I190" s="40" t="s">
        <v>6850</v>
      </c>
      <c r="J190" s="140" t="s">
        <v>6160</v>
      </c>
      <c r="K190" s="141" t="s">
        <v>7330</v>
      </c>
      <c r="L190" s="141">
        <v>3300012819</v>
      </c>
      <c r="M190" s="141"/>
      <c r="N190" s="141"/>
      <c r="O190" s="142"/>
      <c r="P190" s="142"/>
      <c r="Q190" s="142"/>
      <c r="R190" s="142"/>
      <c r="S190" s="142"/>
      <c r="T190" s="141" t="s">
        <v>6161</v>
      </c>
      <c r="V190" s="43" t="s">
        <v>747</v>
      </c>
      <c r="AF190" s="42">
        <v>2096068</v>
      </c>
      <c r="AG190" s="42" t="s">
        <v>6528</v>
      </c>
    </row>
    <row r="191" spans="6:33" ht="15.75" customHeight="1">
      <c r="F191" s="40" t="s">
        <v>2471</v>
      </c>
      <c r="G191" s="40" t="s">
        <v>2472</v>
      </c>
      <c r="H191" s="40" t="s">
        <v>670</v>
      </c>
      <c r="I191" s="40" t="s">
        <v>6849</v>
      </c>
      <c r="J191" s="140">
        <v>3300009707</v>
      </c>
      <c r="K191" s="141" t="s">
        <v>2473</v>
      </c>
      <c r="L191" s="141">
        <v>2177404</v>
      </c>
      <c r="M191" s="141">
        <v>5050456</v>
      </c>
      <c r="N191" s="141"/>
      <c r="O191" s="142"/>
      <c r="P191" s="142"/>
      <c r="Q191" s="142"/>
      <c r="R191" s="142"/>
      <c r="S191" s="142"/>
      <c r="T191" s="141" t="s">
        <v>2474</v>
      </c>
      <c r="V191" s="43" t="s">
        <v>670</v>
      </c>
      <c r="AF191" s="42">
        <v>2096076</v>
      </c>
      <c r="AG191" s="42" t="s">
        <v>6528</v>
      </c>
    </row>
    <row r="192" spans="6:33" ht="15.75" customHeight="1">
      <c r="F192" s="40" t="s">
        <v>8431</v>
      </c>
      <c r="G192" s="40" t="s">
        <v>2756</v>
      </c>
      <c r="H192" s="40" t="s">
        <v>670</v>
      </c>
      <c r="I192" s="40" t="s">
        <v>6849</v>
      </c>
      <c r="J192" s="140">
        <v>2116295</v>
      </c>
      <c r="K192" s="141" t="s">
        <v>2757</v>
      </c>
      <c r="L192" s="141">
        <v>3300002981</v>
      </c>
      <c r="M192" s="141"/>
      <c r="N192" s="141"/>
      <c r="O192" s="142"/>
      <c r="P192" s="142"/>
      <c r="Q192" s="142"/>
      <c r="R192" s="142"/>
      <c r="S192" s="142"/>
      <c r="T192" s="141" t="s">
        <v>2758</v>
      </c>
      <c r="V192" s="43" t="s">
        <v>722</v>
      </c>
      <c r="AF192" s="42">
        <v>2096077</v>
      </c>
      <c r="AG192" s="42" t="s">
        <v>6528</v>
      </c>
    </row>
    <row r="193" spans="5:33" ht="15.75" customHeight="1">
      <c r="F193" s="40" t="s">
        <v>7671</v>
      </c>
      <c r="G193" s="40" t="s">
        <v>7837</v>
      </c>
      <c r="H193" s="40" t="s">
        <v>564</v>
      </c>
      <c r="I193" s="40" t="s">
        <v>6851</v>
      </c>
      <c r="J193" s="140">
        <v>3400003790</v>
      </c>
      <c r="K193" s="141">
        <v>2103912</v>
      </c>
      <c r="L193" s="141" t="s">
        <v>5688</v>
      </c>
      <c r="M193" s="141">
        <v>5100159</v>
      </c>
      <c r="N193" s="141">
        <v>3400003768</v>
      </c>
      <c r="O193" s="142"/>
      <c r="P193" s="142"/>
      <c r="Q193" s="142"/>
      <c r="R193" s="142"/>
      <c r="S193" s="142"/>
      <c r="T193" s="141" t="s">
        <v>8150</v>
      </c>
      <c r="V193" s="43" t="s">
        <v>8177</v>
      </c>
      <c r="AF193" s="42">
        <v>2096078</v>
      </c>
      <c r="AG193" s="42" t="s">
        <v>6528</v>
      </c>
    </row>
    <row r="194" spans="5:33" ht="15.75" customHeight="1">
      <c r="F194" s="40" t="s">
        <v>6346</v>
      </c>
      <c r="G194" s="40" t="s">
        <v>6347</v>
      </c>
      <c r="H194" s="40" t="s">
        <v>8208</v>
      </c>
      <c r="I194" s="40" t="s">
        <v>6850</v>
      </c>
      <c r="J194" s="140">
        <v>5070894</v>
      </c>
      <c r="K194" s="141">
        <v>3300009753</v>
      </c>
      <c r="L194" s="141">
        <v>2171906</v>
      </c>
      <c r="M194" s="141">
        <v>5100158</v>
      </c>
      <c r="N194" s="141" t="s">
        <v>6348</v>
      </c>
      <c r="O194" s="142"/>
      <c r="P194" s="142"/>
      <c r="Q194" s="142"/>
      <c r="R194" s="142"/>
      <c r="S194" s="142"/>
      <c r="T194" s="141" t="s">
        <v>6349</v>
      </c>
      <c r="V194" s="43" t="s">
        <v>687</v>
      </c>
      <c r="AF194" s="42">
        <v>2096079</v>
      </c>
      <c r="AG194" s="42" t="s">
        <v>6528</v>
      </c>
    </row>
    <row r="195" spans="5:33" ht="15.75" customHeight="1">
      <c r="F195" s="40" t="s">
        <v>7444</v>
      </c>
      <c r="G195" s="40" t="s">
        <v>7445</v>
      </c>
      <c r="H195" s="40" t="s">
        <v>553</v>
      </c>
      <c r="I195" s="40" t="s">
        <v>6853</v>
      </c>
      <c r="J195" s="140">
        <v>2116283</v>
      </c>
      <c r="K195" s="141" t="s">
        <v>2647</v>
      </c>
      <c r="L195" s="141">
        <v>3300001210</v>
      </c>
      <c r="M195" s="141" t="s">
        <v>6206</v>
      </c>
      <c r="N195" s="141">
        <v>2103591</v>
      </c>
      <c r="O195" s="142"/>
      <c r="P195" s="142"/>
      <c r="Q195" s="142"/>
      <c r="R195" s="142"/>
      <c r="S195" s="142"/>
      <c r="T195" s="141" t="s">
        <v>3907</v>
      </c>
      <c r="V195" s="43" t="s">
        <v>7592</v>
      </c>
      <c r="AF195" s="42">
        <v>2096080</v>
      </c>
      <c r="AG195" s="42" t="s">
        <v>6528</v>
      </c>
    </row>
    <row r="196" spans="5:33" ht="15.75" customHeight="1">
      <c r="F196" s="40" t="s">
        <v>5473</v>
      </c>
      <c r="G196" s="40" t="s">
        <v>5474</v>
      </c>
      <c r="H196" s="40" t="s">
        <v>761</v>
      </c>
      <c r="I196" s="40" t="s">
        <v>6848</v>
      </c>
      <c r="J196" s="140" t="s">
        <v>5475</v>
      </c>
      <c r="K196" s="141" t="s">
        <v>5476</v>
      </c>
      <c r="L196" s="141">
        <v>2103941</v>
      </c>
      <c r="M196" s="141">
        <v>3300002926</v>
      </c>
      <c r="N196" s="141"/>
      <c r="O196" s="142"/>
      <c r="P196" s="142"/>
      <c r="Q196" s="142"/>
      <c r="R196" s="142"/>
      <c r="S196" s="142"/>
      <c r="T196" s="141" t="s">
        <v>5477</v>
      </c>
      <c r="V196" s="43" t="s">
        <v>693</v>
      </c>
      <c r="AF196" s="42">
        <v>2096082</v>
      </c>
      <c r="AG196" s="42" t="s">
        <v>6528</v>
      </c>
    </row>
    <row r="197" spans="5:33" ht="15.75" customHeight="1">
      <c r="F197" s="40" t="s">
        <v>8337</v>
      </c>
      <c r="G197" s="40" t="s">
        <v>8363</v>
      </c>
      <c r="H197" s="40" t="s">
        <v>564</v>
      </c>
      <c r="I197" s="40" t="s">
        <v>6851</v>
      </c>
      <c r="J197" s="140">
        <v>5104330</v>
      </c>
      <c r="K197" s="141" t="s">
        <v>8257</v>
      </c>
      <c r="L197" s="141">
        <v>3400003859</v>
      </c>
      <c r="M197" s="141">
        <v>2171908</v>
      </c>
      <c r="N197" s="141" t="s">
        <v>8272</v>
      </c>
      <c r="O197" s="142"/>
      <c r="P197" s="142"/>
      <c r="Q197" s="142"/>
      <c r="R197" s="142"/>
      <c r="S197" s="142"/>
      <c r="T197" s="141" t="s">
        <v>8587</v>
      </c>
      <c r="V197" s="43" t="s">
        <v>8406</v>
      </c>
      <c r="AF197" s="42">
        <v>2096083</v>
      </c>
      <c r="AG197" s="42" t="s">
        <v>6528</v>
      </c>
    </row>
    <row r="198" spans="5:33" ht="15.75" customHeight="1">
      <c r="F198" s="40" t="s">
        <v>1517</v>
      </c>
      <c r="G198" s="40" t="s">
        <v>1518</v>
      </c>
      <c r="H198" s="40" t="s">
        <v>564</v>
      </c>
      <c r="I198" s="40" t="s">
        <v>6851</v>
      </c>
      <c r="J198" s="140">
        <v>2183537</v>
      </c>
      <c r="K198" s="141" t="s">
        <v>8417</v>
      </c>
      <c r="L198" s="141" t="s">
        <v>1519</v>
      </c>
      <c r="M198" s="141">
        <v>3300012298</v>
      </c>
      <c r="N198" s="141">
        <v>5105525</v>
      </c>
      <c r="O198" s="142"/>
      <c r="P198" s="142"/>
      <c r="Q198" s="142"/>
      <c r="R198" s="142"/>
      <c r="S198" s="142"/>
      <c r="T198" s="141" t="s">
        <v>6833</v>
      </c>
      <c r="V198" s="43" t="s">
        <v>794</v>
      </c>
      <c r="AF198" s="42">
        <v>2096084</v>
      </c>
      <c r="AG198" s="42" t="s">
        <v>6528</v>
      </c>
    </row>
    <row r="199" spans="5:33" ht="15.75" customHeight="1">
      <c r="F199" s="40" t="s">
        <v>8432</v>
      </c>
      <c r="G199" s="40" t="s">
        <v>8432</v>
      </c>
      <c r="H199" s="40" t="s">
        <v>564</v>
      </c>
      <c r="I199" s="40" t="s">
        <v>6851</v>
      </c>
      <c r="J199" s="140">
        <v>2239811</v>
      </c>
      <c r="K199" s="141" t="s">
        <v>8521</v>
      </c>
      <c r="L199" s="141">
        <v>5105547</v>
      </c>
      <c r="M199" s="141">
        <v>3300015826</v>
      </c>
      <c r="N199" s="141" t="s">
        <v>8522</v>
      </c>
      <c r="O199" s="142"/>
      <c r="P199" s="142"/>
      <c r="Q199" s="142"/>
      <c r="R199" s="142"/>
      <c r="S199" s="142"/>
      <c r="T199" s="141" t="s">
        <v>8588</v>
      </c>
      <c r="V199" s="43" t="s">
        <v>607</v>
      </c>
      <c r="AF199" s="42">
        <v>2096086</v>
      </c>
      <c r="AG199" s="42" t="s">
        <v>6528</v>
      </c>
    </row>
    <row r="200" spans="5:33" ht="15.75" customHeight="1">
      <c r="F200" s="40" t="s">
        <v>8338</v>
      </c>
      <c r="G200" s="40" t="s">
        <v>8364</v>
      </c>
      <c r="H200" s="40" t="s">
        <v>8208</v>
      </c>
      <c r="I200" s="40" t="s">
        <v>6850</v>
      </c>
      <c r="J200" s="140">
        <v>3400003854</v>
      </c>
      <c r="K200" s="141">
        <v>5059314</v>
      </c>
      <c r="L200" s="141" t="s">
        <v>8383</v>
      </c>
      <c r="M200" s="141">
        <v>5104326</v>
      </c>
      <c r="N200" s="141">
        <v>2160286</v>
      </c>
      <c r="O200" s="142"/>
      <c r="P200" s="142"/>
      <c r="Q200" s="142"/>
      <c r="R200" s="142"/>
      <c r="S200" s="142"/>
      <c r="T200" s="141" t="s">
        <v>5621</v>
      </c>
      <c r="V200" s="43" t="s">
        <v>5903</v>
      </c>
      <c r="AF200" s="42">
        <v>2096088</v>
      </c>
      <c r="AG200" s="42" t="s">
        <v>6528</v>
      </c>
    </row>
    <row r="201" spans="5:33" ht="15.75" customHeight="1">
      <c r="F201" s="40" t="s">
        <v>1982</v>
      </c>
      <c r="G201" s="40" t="s">
        <v>1983</v>
      </c>
      <c r="H201" s="40" t="s">
        <v>564</v>
      </c>
      <c r="I201" s="40" t="s">
        <v>6851</v>
      </c>
      <c r="J201" s="140">
        <v>2103711</v>
      </c>
      <c r="K201" s="141" t="s">
        <v>1985</v>
      </c>
      <c r="L201" s="141" t="s">
        <v>1986</v>
      </c>
      <c r="M201" s="141">
        <v>3400002454</v>
      </c>
      <c r="N201" s="141">
        <v>3400003803</v>
      </c>
      <c r="O201" s="142"/>
      <c r="P201" s="142"/>
      <c r="Q201" s="142"/>
      <c r="R201" s="142"/>
      <c r="S201" s="142"/>
      <c r="T201" s="141" t="s">
        <v>1987</v>
      </c>
      <c r="V201" s="43" t="s">
        <v>767</v>
      </c>
      <c r="AF201" s="42">
        <v>2096094</v>
      </c>
      <c r="AG201" s="42" t="s">
        <v>6528</v>
      </c>
    </row>
    <row r="202" spans="5:33" ht="15.75" customHeight="1">
      <c r="F202" s="40" t="s">
        <v>7129</v>
      </c>
      <c r="G202" s="40" t="s">
        <v>7144</v>
      </c>
      <c r="H202" s="40" t="s">
        <v>564</v>
      </c>
      <c r="I202" s="40" t="s">
        <v>6851</v>
      </c>
      <c r="J202" s="140">
        <v>2084662</v>
      </c>
      <c r="K202" s="141" t="s">
        <v>4783</v>
      </c>
      <c r="L202" s="141" t="s">
        <v>5928</v>
      </c>
      <c r="M202" s="141"/>
      <c r="N202" s="141"/>
      <c r="O202" s="142"/>
      <c r="P202" s="142"/>
      <c r="Q202" s="142"/>
      <c r="R202" s="142"/>
      <c r="S202" s="142"/>
      <c r="T202" s="141" t="s">
        <v>7074</v>
      </c>
      <c r="V202" s="43" t="s">
        <v>703</v>
      </c>
      <c r="AF202" s="42">
        <v>2096095</v>
      </c>
      <c r="AG202" s="42" t="s">
        <v>6528</v>
      </c>
    </row>
    <row r="203" spans="5:33" ht="15.75" customHeight="1">
      <c r="F203" s="40" t="s">
        <v>1161</v>
      </c>
      <c r="G203" s="40" t="s">
        <v>1162</v>
      </c>
      <c r="H203" s="40" t="s">
        <v>564</v>
      </c>
      <c r="I203" s="40" t="s">
        <v>6851</v>
      </c>
      <c r="J203" s="140">
        <v>5049697</v>
      </c>
      <c r="K203" s="141" t="s">
        <v>1163</v>
      </c>
      <c r="L203" s="141">
        <v>3300002941</v>
      </c>
      <c r="M203" s="141">
        <v>2116035</v>
      </c>
      <c r="N203" s="141"/>
      <c r="O203" s="142"/>
      <c r="P203" s="142"/>
      <c r="Q203" s="142"/>
      <c r="R203" s="142"/>
      <c r="S203" s="142"/>
      <c r="T203" s="141" t="s">
        <v>1164</v>
      </c>
      <c r="V203" s="43" t="s">
        <v>594</v>
      </c>
      <c r="AF203" s="42">
        <v>2096096</v>
      </c>
      <c r="AG203" s="42" t="s">
        <v>6528</v>
      </c>
    </row>
    <row r="204" spans="5:33" ht="15.75" customHeight="1">
      <c r="E204" s="40" t="s">
        <v>6510</v>
      </c>
      <c r="F204" s="40" t="s">
        <v>5350</v>
      </c>
      <c r="G204" s="40" t="s">
        <v>5351</v>
      </c>
      <c r="H204" s="40" t="s">
        <v>761</v>
      </c>
      <c r="I204" s="40" t="s">
        <v>6848</v>
      </c>
      <c r="J204" s="140">
        <v>2114754</v>
      </c>
      <c r="K204" s="141">
        <v>5001466</v>
      </c>
      <c r="L204" s="141">
        <v>2114743</v>
      </c>
      <c r="M204" s="141">
        <v>3300008135</v>
      </c>
      <c r="N204" s="141"/>
      <c r="O204" s="142"/>
      <c r="P204" s="142"/>
      <c r="Q204" s="142"/>
      <c r="R204" s="142"/>
      <c r="S204" s="142"/>
      <c r="T204" s="141" t="s">
        <v>6749</v>
      </c>
      <c r="V204" s="43" t="s">
        <v>651</v>
      </c>
      <c r="AF204" s="42">
        <v>2096099</v>
      </c>
      <c r="AG204" s="42" t="s">
        <v>6528</v>
      </c>
    </row>
    <row r="205" spans="5:33" ht="15.75" customHeight="1">
      <c r="E205" s="40" t="s">
        <v>6511</v>
      </c>
      <c r="F205" s="40" t="s">
        <v>4092</v>
      </c>
      <c r="G205" s="40" t="s">
        <v>4093</v>
      </c>
      <c r="H205" s="40" t="s">
        <v>553</v>
      </c>
      <c r="I205" s="40" t="s">
        <v>6853</v>
      </c>
      <c r="J205" s="140">
        <v>3300004149</v>
      </c>
      <c r="K205" s="141">
        <v>2114768</v>
      </c>
      <c r="L205" s="141">
        <v>5059293</v>
      </c>
      <c r="M205" s="141"/>
      <c r="N205" s="141"/>
      <c r="O205" s="142"/>
      <c r="P205" s="142"/>
      <c r="Q205" s="142"/>
      <c r="R205" s="142"/>
      <c r="S205" s="142"/>
      <c r="T205" s="141" t="s">
        <v>4094</v>
      </c>
      <c r="V205" s="43" t="s">
        <v>529</v>
      </c>
      <c r="AF205" s="42">
        <v>2096100</v>
      </c>
      <c r="AG205" s="42" t="s">
        <v>6528</v>
      </c>
    </row>
    <row r="206" spans="5:33" ht="15.75" customHeight="1">
      <c r="E206" s="40" t="s">
        <v>6512</v>
      </c>
      <c r="F206" s="40" t="s">
        <v>4151</v>
      </c>
      <c r="G206" s="40" t="s">
        <v>4152</v>
      </c>
      <c r="H206" s="40" t="s">
        <v>553</v>
      </c>
      <c r="I206" s="40" t="s">
        <v>6853</v>
      </c>
      <c r="J206" s="140">
        <v>2183600</v>
      </c>
      <c r="K206" s="141" t="s">
        <v>4153</v>
      </c>
      <c r="L206" s="141">
        <v>2226061</v>
      </c>
      <c r="M206" s="141"/>
      <c r="N206" s="141"/>
      <c r="O206" s="142"/>
      <c r="P206" s="142"/>
      <c r="Q206" s="142"/>
      <c r="R206" s="142"/>
      <c r="S206" s="142"/>
      <c r="T206" s="141" t="s">
        <v>4154</v>
      </c>
      <c r="V206" s="43" t="s">
        <v>553</v>
      </c>
      <c r="AF206" s="42">
        <v>2096102</v>
      </c>
      <c r="AG206" s="42" t="s">
        <v>6528</v>
      </c>
    </row>
    <row r="207" spans="5:33" ht="15.75" customHeight="1">
      <c r="E207" s="40" t="s">
        <v>6513</v>
      </c>
      <c r="F207" s="40" t="s">
        <v>8636</v>
      </c>
      <c r="G207" s="40" t="s">
        <v>3323</v>
      </c>
      <c r="H207" s="40" t="s">
        <v>6841</v>
      </c>
      <c r="I207" s="40" t="s">
        <v>6852</v>
      </c>
      <c r="J207" s="140">
        <v>5070891</v>
      </c>
      <c r="K207" s="141">
        <v>3300012825</v>
      </c>
      <c r="L207" s="141" t="s">
        <v>3325</v>
      </c>
      <c r="M207" s="141">
        <v>2183571</v>
      </c>
      <c r="N207" s="141" t="s">
        <v>3326</v>
      </c>
      <c r="O207" s="142"/>
      <c r="P207" s="142"/>
      <c r="Q207" s="142"/>
      <c r="R207" s="142"/>
      <c r="S207" s="142"/>
      <c r="T207" s="141" t="s">
        <v>3327</v>
      </c>
      <c r="V207" s="43" t="s">
        <v>598</v>
      </c>
      <c r="AF207" s="42">
        <v>2096104</v>
      </c>
      <c r="AG207" s="42" t="s">
        <v>6528</v>
      </c>
    </row>
    <row r="208" spans="5:33" ht="15.75" customHeight="1">
      <c r="F208" s="40" t="s">
        <v>8637</v>
      </c>
      <c r="G208" s="40" t="s">
        <v>3323</v>
      </c>
      <c r="H208" s="40" t="s">
        <v>6841</v>
      </c>
      <c r="I208" s="40" t="s">
        <v>6852</v>
      </c>
      <c r="J208" s="140">
        <v>2114740</v>
      </c>
      <c r="K208" s="141">
        <v>3300005146</v>
      </c>
      <c r="L208" s="141">
        <v>5006425</v>
      </c>
      <c r="M208" s="141"/>
      <c r="N208" s="141"/>
      <c r="O208" s="142"/>
      <c r="P208" s="142"/>
      <c r="Q208" s="142"/>
      <c r="R208" s="142"/>
      <c r="S208" s="142"/>
      <c r="T208" s="141" t="s">
        <v>3506</v>
      </c>
      <c r="V208" s="43" t="s">
        <v>596</v>
      </c>
      <c r="AF208" s="42">
        <v>2096106</v>
      </c>
      <c r="AG208" s="42" t="s">
        <v>6528</v>
      </c>
    </row>
    <row r="209" spans="5:33" ht="15.75" customHeight="1">
      <c r="F209" s="40" t="s">
        <v>4392</v>
      </c>
      <c r="G209" s="40" t="s">
        <v>4393</v>
      </c>
      <c r="H209" s="40" t="s">
        <v>761</v>
      </c>
      <c r="I209" s="40" t="s">
        <v>6848</v>
      </c>
      <c r="J209" s="140">
        <v>2103880</v>
      </c>
      <c r="K209" s="141" t="s">
        <v>4396</v>
      </c>
      <c r="L209" s="141">
        <v>3300003609</v>
      </c>
      <c r="M209" s="141" t="s">
        <v>4324</v>
      </c>
      <c r="N209" s="141">
        <v>2103914</v>
      </c>
      <c r="O209" s="142"/>
      <c r="P209" s="142"/>
      <c r="Q209" s="142"/>
      <c r="R209" s="142"/>
      <c r="S209" s="142"/>
      <c r="T209" s="141" t="s">
        <v>3540</v>
      </c>
      <c r="V209" s="43" t="s">
        <v>654</v>
      </c>
      <c r="AF209" s="42">
        <v>2096109</v>
      </c>
      <c r="AG209" s="42" t="s">
        <v>6528</v>
      </c>
    </row>
    <row r="210" spans="5:33" ht="15.75" customHeight="1">
      <c r="F210" s="40" t="s">
        <v>4401</v>
      </c>
      <c r="G210" s="40" t="s">
        <v>4393</v>
      </c>
      <c r="H210" s="40" t="s">
        <v>761</v>
      </c>
      <c r="I210" s="40" t="s">
        <v>6848</v>
      </c>
      <c r="J210" s="140">
        <v>2103881</v>
      </c>
      <c r="K210" s="141" t="s">
        <v>4403</v>
      </c>
      <c r="L210" s="141"/>
      <c r="M210" s="141">
        <v>3300003620</v>
      </c>
      <c r="N210" s="141"/>
      <c r="O210" s="142"/>
      <c r="P210" s="142"/>
      <c r="Q210" s="142"/>
      <c r="R210" s="142"/>
      <c r="S210" s="142"/>
      <c r="T210" s="141" t="s">
        <v>4405</v>
      </c>
      <c r="V210" s="43" t="s">
        <v>654</v>
      </c>
      <c r="AF210" s="42">
        <v>2096111</v>
      </c>
      <c r="AG210" s="42" t="s">
        <v>6528</v>
      </c>
    </row>
    <row r="211" spans="5:33" ht="15.75" customHeight="1">
      <c r="F211" s="40" t="s">
        <v>2195</v>
      </c>
      <c r="G211" s="40" t="s">
        <v>2196</v>
      </c>
      <c r="H211" s="40" t="s">
        <v>564</v>
      </c>
      <c r="I211" s="40" t="s">
        <v>6851</v>
      </c>
      <c r="J211" s="140" t="s">
        <v>2197</v>
      </c>
      <c r="K211" s="141" t="s">
        <v>2198</v>
      </c>
      <c r="L211" s="141" t="s">
        <v>2199</v>
      </c>
      <c r="M211" s="141">
        <v>3300001683</v>
      </c>
      <c r="N211" s="141">
        <v>2171995</v>
      </c>
      <c r="O211" s="142"/>
      <c r="P211" s="142"/>
      <c r="Q211" s="142"/>
      <c r="R211" s="142"/>
      <c r="S211" s="142"/>
      <c r="T211" s="141" t="s">
        <v>2200</v>
      </c>
      <c r="V211" s="43" t="s">
        <v>537</v>
      </c>
      <c r="AF211" s="42">
        <v>2096115</v>
      </c>
      <c r="AG211" s="42" t="s">
        <v>6528</v>
      </c>
    </row>
    <row r="212" spans="5:33" ht="15.75" customHeight="1">
      <c r="F212" s="40" t="s">
        <v>5989</v>
      </c>
      <c r="G212" s="40" t="s">
        <v>5990</v>
      </c>
      <c r="H212" s="40" t="s">
        <v>8208</v>
      </c>
      <c r="I212" s="40" t="s">
        <v>6850</v>
      </c>
      <c r="J212" s="138">
        <v>2116272</v>
      </c>
      <c r="K212" s="141" t="s">
        <v>5993</v>
      </c>
      <c r="L212" s="139">
        <v>3300012287</v>
      </c>
      <c r="M212" s="141">
        <v>5040903</v>
      </c>
      <c r="N212" s="141"/>
      <c r="O212" s="142"/>
      <c r="P212" s="142"/>
      <c r="Q212" s="142"/>
      <c r="R212" s="142"/>
      <c r="S212" s="142"/>
      <c r="T212" s="139" t="s">
        <v>5994</v>
      </c>
      <c r="V212" s="43" t="s">
        <v>5992</v>
      </c>
      <c r="AF212" s="42">
        <v>2096116</v>
      </c>
      <c r="AG212" s="42" t="s">
        <v>6528</v>
      </c>
    </row>
    <row r="213" spans="5:33" ht="15.75" customHeight="1">
      <c r="E213" s="40" t="s">
        <v>6516</v>
      </c>
      <c r="F213" s="40" t="s">
        <v>5174</v>
      </c>
      <c r="G213" s="40" t="s">
        <v>5175</v>
      </c>
      <c r="H213" s="40" t="s">
        <v>761</v>
      </c>
      <c r="I213" s="40" t="s">
        <v>6848</v>
      </c>
      <c r="J213" s="138">
        <v>2183609</v>
      </c>
      <c r="K213" s="139" t="s">
        <v>5176</v>
      </c>
      <c r="L213" s="139">
        <v>3300010890</v>
      </c>
      <c r="M213" s="141">
        <v>2183526</v>
      </c>
      <c r="N213" s="141"/>
      <c r="O213" s="142"/>
      <c r="P213" s="142"/>
      <c r="Q213" s="142"/>
      <c r="R213" s="142"/>
      <c r="S213" s="142"/>
      <c r="T213" s="139" t="s">
        <v>5177</v>
      </c>
      <c r="V213" s="43" t="s">
        <v>697</v>
      </c>
      <c r="AF213" s="42">
        <v>2096118</v>
      </c>
      <c r="AG213" s="42" t="s">
        <v>6528</v>
      </c>
    </row>
    <row r="214" spans="5:33" ht="15.75" customHeight="1">
      <c r="E214" s="40" t="s">
        <v>6519</v>
      </c>
      <c r="F214" s="40" t="s">
        <v>1203</v>
      </c>
      <c r="G214" s="40" t="s">
        <v>1204</v>
      </c>
      <c r="H214" s="40" t="s">
        <v>564</v>
      </c>
      <c r="I214" s="40" t="s">
        <v>6851</v>
      </c>
      <c r="J214" s="140">
        <v>3300002955</v>
      </c>
      <c r="K214" s="141">
        <v>2103493</v>
      </c>
      <c r="L214" s="141">
        <v>5059310</v>
      </c>
      <c r="M214" s="141"/>
      <c r="N214" s="141"/>
      <c r="O214" s="142"/>
      <c r="P214" s="142"/>
      <c r="Q214" s="142"/>
      <c r="R214" s="142"/>
      <c r="S214" s="142"/>
      <c r="T214" s="141" t="s">
        <v>1205</v>
      </c>
      <c r="V214" s="43" t="s">
        <v>664</v>
      </c>
      <c r="AF214" s="42">
        <v>2096122</v>
      </c>
      <c r="AG214" s="42" t="s">
        <v>6528</v>
      </c>
    </row>
    <row r="215" spans="5:33" ht="15.75" customHeight="1">
      <c r="E215" s="40" t="s">
        <v>6521</v>
      </c>
      <c r="F215" s="40" t="s">
        <v>4049</v>
      </c>
      <c r="G215" s="40" t="s">
        <v>4050</v>
      </c>
      <c r="H215" s="40" t="s">
        <v>553</v>
      </c>
      <c r="I215" s="40" t="s">
        <v>6853</v>
      </c>
      <c r="J215" s="140" t="s">
        <v>4051</v>
      </c>
      <c r="K215" s="141">
        <v>5049688</v>
      </c>
      <c r="L215" s="141">
        <v>2172013</v>
      </c>
      <c r="M215" s="141">
        <v>3300011508</v>
      </c>
      <c r="N215" s="141" t="s">
        <v>8523</v>
      </c>
      <c r="O215" s="142"/>
      <c r="P215" s="142"/>
      <c r="Q215" s="142"/>
      <c r="R215" s="142"/>
      <c r="S215" s="142"/>
      <c r="T215" s="141" t="s">
        <v>4052</v>
      </c>
      <c r="V215" s="43" t="s">
        <v>644</v>
      </c>
      <c r="AF215" s="42">
        <v>2096123</v>
      </c>
      <c r="AG215" s="42" t="s">
        <v>6528</v>
      </c>
    </row>
    <row r="216" spans="5:33" ht="15.75" customHeight="1">
      <c r="E216" s="40" t="s">
        <v>6515</v>
      </c>
      <c r="F216" s="40" t="s">
        <v>3843</v>
      </c>
      <c r="G216" s="40" t="s">
        <v>3844</v>
      </c>
      <c r="H216" s="40" t="s">
        <v>553</v>
      </c>
      <c r="I216" s="40" t="s">
        <v>6853</v>
      </c>
      <c r="J216" s="140" t="s">
        <v>3845</v>
      </c>
      <c r="K216" s="141">
        <v>3300004145</v>
      </c>
      <c r="L216" s="141">
        <v>2103503</v>
      </c>
      <c r="M216" s="141">
        <v>3300004142</v>
      </c>
      <c r="N216" s="141" t="s">
        <v>7087</v>
      </c>
      <c r="O216" s="142"/>
      <c r="P216" s="142"/>
      <c r="Q216" s="142"/>
      <c r="R216" s="142"/>
      <c r="S216" s="142"/>
      <c r="T216" s="141" t="s">
        <v>3847</v>
      </c>
      <c r="V216" s="43" t="s">
        <v>549</v>
      </c>
      <c r="AF216" s="42">
        <v>2096124</v>
      </c>
      <c r="AG216" s="42" t="s">
        <v>6528</v>
      </c>
    </row>
    <row r="217" spans="5:33" ht="15.75" customHeight="1">
      <c r="E217" s="40" t="s">
        <v>6517</v>
      </c>
      <c r="F217" s="40" t="s">
        <v>4103</v>
      </c>
      <c r="G217" s="40" t="s">
        <v>4104</v>
      </c>
      <c r="H217" s="40" t="s">
        <v>553</v>
      </c>
      <c r="I217" s="40" t="s">
        <v>6853</v>
      </c>
      <c r="J217" s="140">
        <v>2103780</v>
      </c>
      <c r="K217" s="141" t="s">
        <v>4106</v>
      </c>
      <c r="L217" s="141">
        <v>3300003628</v>
      </c>
      <c r="M217" s="141"/>
      <c r="N217" s="141"/>
      <c r="O217" s="142"/>
      <c r="P217" s="142"/>
      <c r="Q217" s="142"/>
      <c r="R217" s="142"/>
      <c r="S217" s="142"/>
      <c r="T217" s="141" t="s">
        <v>4107</v>
      </c>
      <c r="V217" s="43" t="s">
        <v>4105</v>
      </c>
      <c r="AF217" s="42">
        <v>2096128</v>
      </c>
      <c r="AG217" s="42" t="s">
        <v>6528</v>
      </c>
    </row>
    <row r="218" spans="5:33" ht="15.75" customHeight="1">
      <c r="E218" s="40" t="s">
        <v>6518</v>
      </c>
      <c r="F218" s="40" t="s">
        <v>2457</v>
      </c>
      <c r="G218" s="40" t="s">
        <v>46</v>
      </c>
      <c r="H218" s="40" t="s">
        <v>670</v>
      </c>
      <c r="I218" s="40" t="s">
        <v>6849</v>
      </c>
      <c r="J218" s="140" t="s">
        <v>2458</v>
      </c>
      <c r="K218" s="141">
        <v>2183563</v>
      </c>
      <c r="L218" s="141">
        <v>5059350</v>
      </c>
      <c r="M218" s="141"/>
      <c r="N218" s="141"/>
      <c r="O218" s="142"/>
      <c r="P218" s="142"/>
      <c r="Q218" s="142"/>
      <c r="R218" s="142"/>
      <c r="S218" s="142"/>
      <c r="T218" s="141" t="s">
        <v>2459</v>
      </c>
      <c r="V218" s="43" t="s">
        <v>769</v>
      </c>
      <c r="AF218" s="42">
        <v>2096130</v>
      </c>
      <c r="AG218" s="42" t="s">
        <v>6528</v>
      </c>
    </row>
    <row r="219" spans="5:33" ht="15.75" customHeight="1">
      <c r="F219" s="40" t="s">
        <v>6933</v>
      </c>
      <c r="G219" s="40" t="s">
        <v>6934</v>
      </c>
      <c r="H219" s="40" t="s">
        <v>564</v>
      </c>
      <c r="I219" s="40" t="s">
        <v>6851</v>
      </c>
      <c r="J219" s="140" t="s">
        <v>6634</v>
      </c>
      <c r="K219" s="141">
        <v>2082680</v>
      </c>
      <c r="L219" s="141">
        <v>3300013080</v>
      </c>
      <c r="M219" s="141" t="s">
        <v>5929</v>
      </c>
      <c r="N219" s="141" t="s">
        <v>7354</v>
      </c>
      <c r="O219" s="142"/>
      <c r="P219" s="142"/>
      <c r="Q219" s="142"/>
      <c r="R219" s="142"/>
      <c r="S219" s="142"/>
      <c r="T219" s="141" t="s">
        <v>6551</v>
      </c>
      <c r="V219" s="43" t="s">
        <v>6960</v>
      </c>
      <c r="AF219" s="42">
        <v>2096131</v>
      </c>
      <c r="AG219" s="42" t="s">
        <v>6528</v>
      </c>
    </row>
    <row r="220" spans="5:33" ht="15.75" customHeight="1">
      <c r="F220" s="40" t="s">
        <v>7672</v>
      </c>
      <c r="G220" s="40" t="s">
        <v>7838</v>
      </c>
      <c r="H220" s="40" t="s">
        <v>8208</v>
      </c>
      <c r="I220" s="40" t="s">
        <v>6850</v>
      </c>
      <c r="J220" s="140">
        <v>2096131</v>
      </c>
      <c r="K220" s="141" t="s">
        <v>7997</v>
      </c>
      <c r="L220" s="141">
        <v>3300012843</v>
      </c>
      <c r="M220" s="141"/>
      <c r="N220" s="141"/>
      <c r="O220" s="142"/>
      <c r="P220" s="142"/>
      <c r="Q220" s="142"/>
      <c r="R220" s="142"/>
      <c r="S220" s="142"/>
      <c r="T220" s="141">
        <v>21300009</v>
      </c>
      <c r="V220" s="43" t="s">
        <v>687</v>
      </c>
      <c r="AF220" s="42">
        <v>2096133</v>
      </c>
      <c r="AG220" s="42" t="s">
        <v>6528</v>
      </c>
    </row>
    <row r="221" spans="5:33" ht="15.75" customHeight="1">
      <c r="F221" s="40" t="s">
        <v>7673</v>
      </c>
      <c r="G221" s="40" t="s">
        <v>7839</v>
      </c>
      <c r="H221" s="40" t="s">
        <v>8208</v>
      </c>
      <c r="I221" s="40" t="s">
        <v>6850</v>
      </c>
      <c r="J221" s="140">
        <v>2096164</v>
      </c>
      <c r="K221" s="141">
        <v>3300012673</v>
      </c>
      <c r="L221" s="141">
        <v>5077354</v>
      </c>
      <c r="M221" s="141"/>
      <c r="N221" s="141"/>
      <c r="O221" s="142"/>
      <c r="P221" s="142"/>
      <c r="Q221" s="142"/>
      <c r="R221" s="142"/>
      <c r="S221" s="142"/>
      <c r="T221" s="141">
        <v>51500013</v>
      </c>
      <c r="V221" s="43" t="s">
        <v>8178</v>
      </c>
      <c r="AF221" s="42">
        <v>2096134</v>
      </c>
      <c r="AG221" s="42" t="s">
        <v>6528</v>
      </c>
    </row>
    <row r="222" spans="5:33" ht="15.75" customHeight="1">
      <c r="F222" s="40" t="s">
        <v>7168</v>
      </c>
      <c r="G222" s="40" t="s">
        <v>7169</v>
      </c>
      <c r="H222" s="40" t="s">
        <v>761</v>
      </c>
      <c r="I222" s="40" t="s">
        <v>6848</v>
      </c>
      <c r="J222" s="140">
        <v>3400002983</v>
      </c>
      <c r="K222" s="141">
        <v>2236036</v>
      </c>
      <c r="L222" s="141" t="s">
        <v>7096</v>
      </c>
      <c r="M222" s="141">
        <v>5103089</v>
      </c>
      <c r="N222" s="141">
        <v>5008421</v>
      </c>
      <c r="O222" s="142"/>
      <c r="P222" s="142"/>
      <c r="Q222" s="142"/>
      <c r="R222" s="142"/>
      <c r="S222" s="142"/>
      <c r="T222" s="141" t="s">
        <v>6742</v>
      </c>
      <c r="V222" s="43" t="s">
        <v>4756</v>
      </c>
      <c r="AF222" s="42">
        <v>2096135</v>
      </c>
      <c r="AG222" s="42" t="s">
        <v>6528</v>
      </c>
    </row>
    <row r="223" spans="5:33" ht="15.75" customHeight="1">
      <c r="F223" s="40" t="s">
        <v>2313</v>
      </c>
      <c r="G223" s="40" t="s">
        <v>2314</v>
      </c>
      <c r="H223" s="40" t="s">
        <v>564</v>
      </c>
      <c r="I223" s="40" t="s">
        <v>6851</v>
      </c>
      <c r="J223" s="140">
        <v>2177335</v>
      </c>
      <c r="K223" s="141" t="s">
        <v>2315</v>
      </c>
      <c r="L223" s="141" t="s">
        <v>2316</v>
      </c>
      <c r="M223" s="141">
        <v>3300012677</v>
      </c>
      <c r="N223" s="141">
        <v>5049694</v>
      </c>
      <c r="O223" s="142"/>
      <c r="P223" s="142"/>
      <c r="Q223" s="142"/>
      <c r="R223" s="142"/>
      <c r="S223" s="142"/>
      <c r="T223" s="141" t="s">
        <v>2317</v>
      </c>
      <c r="V223" s="43" t="s">
        <v>546</v>
      </c>
      <c r="AF223" s="42">
        <v>2096136</v>
      </c>
      <c r="AG223" s="42" t="s">
        <v>6528</v>
      </c>
    </row>
    <row r="224" spans="5:33" ht="15.75" customHeight="1">
      <c r="F224" s="40" t="s">
        <v>4948</v>
      </c>
      <c r="G224" s="40" t="s">
        <v>4949</v>
      </c>
      <c r="H224" s="40" t="s">
        <v>761</v>
      </c>
      <c r="I224" s="40" t="s">
        <v>6848</v>
      </c>
      <c r="J224" s="140">
        <v>1765953</v>
      </c>
      <c r="K224" s="141">
        <v>1763218</v>
      </c>
      <c r="L224" s="141">
        <v>5059328</v>
      </c>
      <c r="M224" s="141">
        <v>3300012701</v>
      </c>
      <c r="N224" s="141" t="s">
        <v>7196</v>
      </c>
      <c r="O224" s="142"/>
      <c r="P224" s="142"/>
      <c r="Q224" s="142"/>
      <c r="R224" s="142"/>
      <c r="S224" s="142"/>
      <c r="T224" s="141" t="s">
        <v>4950</v>
      </c>
      <c r="V224" s="43" t="s">
        <v>583</v>
      </c>
      <c r="AF224" s="42">
        <v>2096138</v>
      </c>
      <c r="AG224" s="42" t="s">
        <v>6528</v>
      </c>
    </row>
    <row r="225" spans="6:33" ht="15.75" customHeight="1">
      <c r="F225" s="40" t="s">
        <v>3288</v>
      </c>
      <c r="G225" s="40" t="s">
        <v>3289</v>
      </c>
      <c r="H225" s="40" t="s">
        <v>6841</v>
      </c>
      <c r="I225" s="40" t="s">
        <v>6852</v>
      </c>
      <c r="J225" s="140">
        <v>3300009759</v>
      </c>
      <c r="K225" s="141" t="s">
        <v>3290</v>
      </c>
      <c r="L225" s="141"/>
      <c r="M225" s="141"/>
      <c r="N225" s="141"/>
      <c r="O225" s="142"/>
      <c r="P225" s="142"/>
      <c r="Q225" s="142"/>
      <c r="R225" s="142"/>
      <c r="S225" s="142"/>
      <c r="T225" s="141" t="s">
        <v>8589</v>
      </c>
      <c r="V225" s="43" t="s">
        <v>660</v>
      </c>
      <c r="AF225" s="42">
        <v>2096139</v>
      </c>
      <c r="AG225" s="42" t="s">
        <v>6528</v>
      </c>
    </row>
    <row r="226" spans="6:33" ht="15.75" customHeight="1">
      <c r="F226" s="40" t="s">
        <v>3976</v>
      </c>
      <c r="G226" s="40" t="s">
        <v>3977</v>
      </c>
      <c r="H226" s="40" t="s">
        <v>553</v>
      </c>
      <c r="I226" s="40" t="s">
        <v>6853</v>
      </c>
      <c r="J226" s="138">
        <v>5049689</v>
      </c>
      <c r="K226" s="139" t="s">
        <v>3978</v>
      </c>
      <c r="L226" s="141">
        <v>3300009711</v>
      </c>
      <c r="M226" s="139">
        <v>2171975</v>
      </c>
      <c r="N226" s="141">
        <v>5049707</v>
      </c>
      <c r="O226" s="142"/>
      <c r="P226" s="142"/>
      <c r="Q226" s="142"/>
      <c r="R226" s="142"/>
      <c r="S226" s="142"/>
      <c r="T226" s="139" t="s">
        <v>3979</v>
      </c>
      <c r="V226" s="43" t="s">
        <v>712</v>
      </c>
      <c r="AF226" s="42">
        <v>2096142</v>
      </c>
      <c r="AG226" s="42" t="s">
        <v>6528</v>
      </c>
    </row>
    <row r="227" spans="6:33" ht="15.75" customHeight="1">
      <c r="F227" s="40" t="s">
        <v>7674</v>
      </c>
      <c r="G227" s="40" t="s">
        <v>7840</v>
      </c>
      <c r="H227" s="40" t="s">
        <v>8208</v>
      </c>
      <c r="I227" s="40" t="s">
        <v>6850</v>
      </c>
      <c r="J227" s="140">
        <v>2236040</v>
      </c>
      <c r="K227" s="141" t="s">
        <v>7998</v>
      </c>
      <c r="L227" s="141">
        <v>3400003786</v>
      </c>
      <c r="M227" s="141" t="s">
        <v>7999</v>
      </c>
      <c r="N227" s="141">
        <v>5100173</v>
      </c>
      <c r="O227" s="142"/>
      <c r="P227" s="142"/>
      <c r="Q227" s="142"/>
      <c r="R227" s="142"/>
      <c r="S227" s="142"/>
      <c r="T227" s="141" t="s">
        <v>8151</v>
      </c>
      <c r="V227" s="43" t="s">
        <v>8179</v>
      </c>
      <c r="AF227" s="42">
        <v>2096154</v>
      </c>
      <c r="AG227" s="42" t="s">
        <v>6528</v>
      </c>
    </row>
    <row r="228" spans="6:33" ht="15.75" customHeight="1">
      <c r="F228" s="40" t="s">
        <v>3377</v>
      </c>
      <c r="G228" s="40" t="s">
        <v>3378</v>
      </c>
      <c r="H228" s="40" t="s">
        <v>6841</v>
      </c>
      <c r="I228" s="40" t="s">
        <v>6852</v>
      </c>
      <c r="J228" s="140">
        <v>3300002986</v>
      </c>
      <c r="K228" s="141">
        <v>5105536</v>
      </c>
      <c r="L228" s="141">
        <v>2171952</v>
      </c>
      <c r="M228" s="141">
        <v>3300005729</v>
      </c>
      <c r="N228" s="141" t="s">
        <v>3380</v>
      </c>
      <c r="O228" s="142"/>
      <c r="P228" s="142"/>
      <c r="Q228" s="142"/>
      <c r="R228" s="142"/>
      <c r="S228" s="142"/>
      <c r="T228" s="141" t="s">
        <v>3381</v>
      </c>
      <c r="V228" s="43" t="s">
        <v>534</v>
      </c>
      <c r="AF228" s="42">
        <v>2096155</v>
      </c>
      <c r="AG228" s="42" t="s">
        <v>6528</v>
      </c>
    </row>
    <row r="229" spans="6:33" ht="15.75" customHeight="1">
      <c r="F229" s="40" t="s">
        <v>7675</v>
      </c>
      <c r="G229" s="40" t="s">
        <v>7841</v>
      </c>
      <c r="H229" s="40" t="s">
        <v>761</v>
      </c>
      <c r="I229" s="40" t="s">
        <v>6848</v>
      </c>
      <c r="J229" s="138">
        <v>2083299</v>
      </c>
      <c r="K229" s="139" t="s">
        <v>3533</v>
      </c>
      <c r="L229" s="139">
        <v>2143300</v>
      </c>
      <c r="M229" s="139"/>
      <c r="N229" s="141"/>
      <c r="O229" s="142"/>
      <c r="P229" s="142"/>
      <c r="Q229" s="142"/>
      <c r="R229" s="142"/>
      <c r="S229" s="142"/>
      <c r="T229" s="139" t="s">
        <v>6591</v>
      </c>
      <c r="V229" s="43" t="s">
        <v>697</v>
      </c>
      <c r="AF229" s="42">
        <v>2096158</v>
      </c>
      <c r="AG229" s="42" t="s">
        <v>6528</v>
      </c>
    </row>
    <row r="230" spans="6:33" ht="15.75" customHeight="1">
      <c r="F230" s="40" t="s">
        <v>8294</v>
      </c>
      <c r="G230" s="40" t="s">
        <v>8312</v>
      </c>
      <c r="H230" s="40" t="s">
        <v>8208</v>
      </c>
      <c r="I230" s="40" t="s">
        <v>6850</v>
      </c>
      <c r="J230" s="140">
        <v>2081820</v>
      </c>
      <c r="K230" s="141">
        <v>3300001582</v>
      </c>
      <c r="L230" s="141" t="s">
        <v>8250</v>
      </c>
      <c r="M230" s="141"/>
      <c r="N230" s="141"/>
      <c r="O230" s="142"/>
      <c r="P230" s="142"/>
      <c r="Q230" s="142"/>
      <c r="R230" s="142"/>
      <c r="S230" s="142"/>
      <c r="T230" s="141">
        <v>61500011</v>
      </c>
      <c r="V230" s="43" t="s">
        <v>8180</v>
      </c>
      <c r="AF230" s="42">
        <v>2096160</v>
      </c>
      <c r="AG230" s="42" t="s">
        <v>6528</v>
      </c>
    </row>
    <row r="231" spans="6:33" ht="15.75" customHeight="1">
      <c r="F231" s="40" t="s">
        <v>2042</v>
      </c>
      <c r="G231" s="40" t="s">
        <v>2043</v>
      </c>
      <c r="H231" s="40" t="s">
        <v>564</v>
      </c>
      <c r="I231" s="40" t="s">
        <v>6851</v>
      </c>
      <c r="J231" s="140" t="s">
        <v>2045</v>
      </c>
      <c r="K231" s="141">
        <v>2159890</v>
      </c>
      <c r="L231" s="141">
        <v>5103082</v>
      </c>
      <c r="M231" s="141">
        <v>3300009543</v>
      </c>
      <c r="N231" s="141" t="s">
        <v>2046</v>
      </c>
      <c r="O231" s="142"/>
      <c r="P231" s="142"/>
      <c r="Q231" s="142"/>
      <c r="R231" s="142"/>
      <c r="S231" s="142"/>
      <c r="T231" s="141" t="s">
        <v>2047</v>
      </c>
      <c r="V231" s="43" t="s">
        <v>577</v>
      </c>
      <c r="AF231" s="42">
        <v>2096162</v>
      </c>
      <c r="AG231" s="42" t="s">
        <v>6528</v>
      </c>
    </row>
    <row r="232" spans="6:33" ht="15.75" customHeight="1">
      <c r="F232" s="40" t="s">
        <v>7382</v>
      </c>
      <c r="G232" s="40" t="s">
        <v>7397</v>
      </c>
      <c r="H232" s="40" t="s">
        <v>8208</v>
      </c>
      <c r="I232" s="40" t="s">
        <v>6850</v>
      </c>
      <c r="J232" s="140">
        <v>3300015836</v>
      </c>
      <c r="K232" s="141">
        <v>2084739</v>
      </c>
      <c r="L232" s="141" t="s">
        <v>4778</v>
      </c>
      <c r="M232" s="141"/>
      <c r="N232" s="141"/>
      <c r="O232" s="142"/>
      <c r="P232" s="142"/>
      <c r="Q232" s="142"/>
      <c r="R232" s="142"/>
      <c r="S232" s="142"/>
      <c r="T232" s="141" t="s">
        <v>2348</v>
      </c>
      <c r="V232" s="43" t="s">
        <v>7408</v>
      </c>
      <c r="AF232" s="42">
        <v>2096164</v>
      </c>
      <c r="AG232" s="42" t="s">
        <v>6528</v>
      </c>
    </row>
    <row r="233" spans="6:33" ht="15.75" customHeight="1">
      <c r="F233" s="40" t="s">
        <v>3190</v>
      </c>
      <c r="G233" s="40" t="s">
        <v>3191</v>
      </c>
      <c r="H233" s="40" t="s">
        <v>6841</v>
      </c>
      <c r="I233" s="40" t="s">
        <v>6852</v>
      </c>
      <c r="J233" s="140" t="s">
        <v>3192</v>
      </c>
      <c r="K233" s="141">
        <v>5045671</v>
      </c>
      <c r="L233" s="141">
        <v>2183469</v>
      </c>
      <c r="M233" s="141">
        <v>3300011801</v>
      </c>
      <c r="N233" s="141">
        <v>5045659</v>
      </c>
      <c r="O233" s="142"/>
      <c r="P233" s="142"/>
      <c r="Q233" s="142"/>
      <c r="R233" s="142"/>
      <c r="S233" s="142"/>
      <c r="T233" s="141" t="s">
        <v>3193</v>
      </c>
      <c r="V233" s="43" t="s">
        <v>545</v>
      </c>
      <c r="AF233" s="42">
        <v>2096168</v>
      </c>
      <c r="AG233" s="42" t="s">
        <v>6528</v>
      </c>
    </row>
    <row r="234" spans="6:33" ht="15.75" customHeight="1">
      <c r="F234" s="40" t="s">
        <v>7676</v>
      </c>
      <c r="G234" s="40" t="s">
        <v>7842</v>
      </c>
      <c r="H234" s="40" t="s">
        <v>8208</v>
      </c>
      <c r="I234" s="40" t="s">
        <v>6850</v>
      </c>
      <c r="J234" s="140">
        <v>2096189</v>
      </c>
      <c r="K234" s="141">
        <v>2082975</v>
      </c>
      <c r="L234" s="141" t="s">
        <v>8000</v>
      </c>
      <c r="M234" s="141">
        <v>3300013104</v>
      </c>
      <c r="N234" s="141" t="s">
        <v>8001</v>
      </c>
      <c r="O234" s="142"/>
      <c r="P234" s="142"/>
      <c r="Q234" s="142"/>
      <c r="R234" s="142"/>
      <c r="S234" s="142"/>
      <c r="T234" s="141">
        <v>101200106</v>
      </c>
      <c r="V234" s="43" t="s">
        <v>7593</v>
      </c>
      <c r="AF234" s="42">
        <v>2096173</v>
      </c>
      <c r="AG234" s="42" t="s">
        <v>6528</v>
      </c>
    </row>
    <row r="235" spans="6:33" ht="15.75" customHeight="1">
      <c r="F235" s="40" t="s">
        <v>4920</v>
      </c>
      <c r="G235" s="40" t="s">
        <v>4921</v>
      </c>
      <c r="H235" s="40" t="s">
        <v>761</v>
      </c>
      <c r="I235" s="40" t="s">
        <v>6848</v>
      </c>
      <c r="J235" s="140" t="s">
        <v>4923</v>
      </c>
      <c r="K235" s="141">
        <v>2172434</v>
      </c>
      <c r="L235" s="141" t="s">
        <v>4924</v>
      </c>
      <c r="M235" s="141">
        <v>3300009788</v>
      </c>
      <c r="N235" s="141" t="s">
        <v>4925</v>
      </c>
      <c r="O235" s="142"/>
      <c r="P235" s="142"/>
      <c r="Q235" s="142"/>
      <c r="R235" s="142"/>
      <c r="S235" s="142"/>
      <c r="T235" s="141" t="s">
        <v>6795</v>
      </c>
      <c r="V235" s="43" t="s">
        <v>588</v>
      </c>
      <c r="AF235" s="42">
        <v>2096174</v>
      </c>
      <c r="AG235" s="42" t="s">
        <v>6528</v>
      </c>
    </row>
    <row r="236" spans="6:33" ht="15.75" customHeight="1">
      <c r="F236" s="40" t="s">
        <v>7245</v>
      </c>
      <c r="G236" s="40" t="s">
        <v>7263</v>
      </c>
      <c r="H236" s="40" t="s">
        <v>8208</v>
      </c>
      <c r="I236" s="40" t="s">
        <v>6850</v>
      </c>
      <c r="J236" s="140" t="s">
        <v>7218</v>
      </c>
      <c r="K236" s="141">
        <v>2119210</v>
      </c>
      <c r="L236" s="141" t="s">
        <v>7228</v>
      </c>
      <c r="M236" s="141">
        <v>2226110</v>
      </c>
      <c r="N236" s="141"/>
      <c r="O236" s="142"/>
      <c r="P236" s="142"/>
      <c r="Q236" s="142"/>
      <c r="R236" s="142"/>
      <c r="S236" s="142"/>
      <c r="T236" s="141" t="s">
        <v>7278</v>
      </c>
      <c r="V236" s="43" t="s">
        <v>7294</v>
      </c>
      <c r="AF236" s="42">
        <v>2096175</v>
      </c>
      <c r="AG236" s="42" t="s">
        <v>6528</v>
      </c>
    </row>
    <row r="237" spans="6:33" ht="15.75" customHeight="1">
      <c r="F237" s="40" t="s">
        <v>7677</v>
      </c>
      <c r="G237" s="40" t="s">
        <v>7843</v>
      </c>
      <c r="H237" s="40" t="s">
        <v>8208</v>
      </c>
      <c r="I237" s="40" t="s">
        <v>6850</v>
      </c>
      <c r="J237" s="140">
        <v>2235686</v>
      </c>
      <c r="K237" s="141">
        <v>2182981</v>
      </c>
      <c r="L237" s="141">
        <v>5053814</v>
      </c>
      <c r="M237" s="141">
        <v>3300011785</v>
      </c>
      <c r="N237" s="141" t="s">
        <v>8002</v>
      </c>
      <c r="O237" s="142"/>
      <c r="P237" s="142"/>
      <c r="Q237" s="142"/>
      <c r="R237" s="142"/>
      <c r="S237" s="142"/>
      <c r="T237" s="141">
        <v>21400075</v>
      </c>
      <c r="V237" s="43" t="s">
        <v>610</v>
      </c>
      <c r="AF237" s="42">
        <v>2096178</v>
      </c>
      <c r="AG237" s="42" t="s">
        <v>6528</v>
      </c>
    </row>
    <row r="238" spans="6:33" ht="15.75" customHeight="1">
      <c r="F238" s="40" t="s">
        <v>5909</v>
      </c>
      <c r="G238" s="40" t="s">
        <v>5910</v>
      </c>
      <c r="H238" s="40" t="s">
        <v>8208</v>
      </c>
      <c r="I238" s="40" t="s">
        <v>6850</v>
      </c>
      <c r="J238" s="140" t="s">
        <v>5913</v>
      </c>
      <c r="K238" s="141">
        <v>3300005154</v>
      </c>
      <c r="L238" s="141" t="s">
        <v>5914</v>
      </c>
      <c r="M238" s="141"/>
      <c r="N238" s="141"/>
      <c r="O238" s="142"/>
      <c r="P238" s="142"/>
      <c r="Q238" s="142"/>
      <c r="R238" s="142"/>
      <c r="S238" s="142"/>
      <c r="T238" s="141" t="s">
        <v>5915</v>
      </c>
      <c r="V238" s="43" t="s">
        <v>5912</v>
      </c>
      <c r="AF238" s="42">
        <v>2096179</v>
      </c>
      <c r="AG238" s="42" t="s">
        <v>6528</v>
      </c>
    </row>
    <row r="239" spans="6:33" ht="15.75" customHeight="1">
      <c r="F239" s="40" t="s">
        <v>4648</v>
      </c>
      <c r="G239" s="40" t="s">
        <v>4649</v>
      </c>
      <c r="H239" s="40" t="s">
        <v>761</v>
      </c>
      <c r="I239" s="40" t="s">
        <v>6848</v>
      </c>
      <c r="J239" s="140" t="s">
        <v>4651</v>
      </c>
      <c r="K239" s="141">
        <v>3300002819</v>
      </c>
      <c r="L239" s="141">
        <v>2114763</v>
      </c>
      <c r="M239" s="141">
        <v>3300012489</v>
      </c>
      <c r="N239" s="141"/>
      <c r="O239" s="142"/>
      <c r="P239" s="142"/>
      <c r="Q239" s="142"/>
      <c r="R239" s="142"/>
      <c r="S239" s="142"/>
      <c r="T239" s="141" t="s">
        <v>4653</v>
      </c>
      <c r="V239" s="43" t="s">
        <v>4650</v>
      </c>
      <c r="AF239" s="42">
        <v>2096180</v>
      </c>
      <c r="AG239" s="42" t="s">
        <v>6528</v>
      </c>
    </row>
    <row r="240" spans="6:33" ht="15.75" customHeight="1">
      <c r="F240" s="40" t="s">
        <v>2351</v>
      </c>
      <c r="G240" s="40" t="s">
        <v>2352</v>
      </c>
      <c r="H240" s="40" t="s">
        <v>564</v>
      </c>
      <c r="I240" s="40" t="s">
        <v>6851</v>
      </c>
      <c r="J240" s="140">
        <v>2177534</v>
      </c>
      <c r="K240" s="141">
        <v>3300008119</v>
      </c>
      <c r="L240" s="141" t="s">
        <v>2354</v>
      </c>
      <c r="M240" s="141">
        <v>5047879</v>
      </c>
      <c r="N240" s="141"/>
      <c r="O240" s="142"/>
      <c r="P240" s="142"/>
      <c r="Q240" s="142"/>
      <c r="R240" s="142"/>
      <c r="S240" s="142"/>
      <c r="T240" s="141" t="s">
        <v>2355</v>
      </c>
      <c r="V240" s="43" t="s">
        <v>557</v>
      </c>
      <c r="AF240" s="42">
        <v>2096182</v>
      </c>
      <c r="AG240" s="42" t="s">
        <v>6528</v>
      </c>
    </row>
    <row r="241" spans="6:33" ht="15.75" customHeight="1">
      <c r="F241" s="40" t="s">
        <v>2941</v>
      </c>
      <c r="G241" s="40" t="s">
        <v>5</v>
      </c>
      <c r="H241" s="40" t="s">
        <v>595</v>
      </c>
      <c r="I241" s="40" t="s">
        <v>6847</v>
      </c>
      <c r="J241" s="140">
        <v>2110126</v>
      </c>
      <c r="K241" s="141">
        <v>3300004130</v>
      </c>
      <c r="L241" s="141"/>
      <c r="M241" s="141"/>
      <c r="N241" s="141"/>
      <c r="O241" s="142"/>
      <c r="P241" s="142"/>
      <c r="Q241" s="142"/>
      <c r="R241" s="142"/>
      <c r="S241" s="142"/>
      <c r="T241" s="141" t="s">
        <v>2943</v>
      </c>
      <c r="V241" s="43" t="s">
        <v>659</v>
      </c>
      <c r="AF241" s="42">
        <v>2096188</v>
      </c>
      <c r="AG241" s="42" t="s">
        <v>6528</v>
      </c>
    </row>
    <row r="242" spans="6:33" ht="15.75" customHeight="1">
      <c r="F242" s="40" t="s">
        <v>3759</v>
      </c>
      <c r="G242" s="40" t="s">
        <v>3760</v>
      </c>
      <c r="H242" s="40" t="s">
        <v>553</v>
      </c>
      <c r="I242" s="40" t="s">
        <v>6853</v>
      </c>
      <c r="J242" s="138">
        <v>3300009794</v>
      </c>
      <c r="K242" s="139" t="s">
        <v>7099</v>
      </c>
      <c r="L242" s="139" t="s">
        <v>3761</v>
      </c>
      <c r="M242" s="141">
        <v>2177158</v>
      </c>
      <c r="N242" s="141" t="s">
        <v>3762</v>
      </c>
      <c r="O242" s="142"/>
      <c r="P242" s="142"/>
      <c r="Q242" s="142"/>
      <c r="R242" s="142"/>
      <c r="S242" s="142"/>
      <c r="T242" s="139" t="s">
        <v>3763</v>
      </c>
      <c r="V242" s="43" t="s">
        <v>716</v>
      </c>
      <c r="AF242" s="42">
        <v>2096189</v>
      </c>
      <c r="AG242" s="42" t="s">
        <v>6528</v>
      </c>
    </row>
    <row r="243" spans="6:33" ht="15.75" customHeight="1">
      <c r="F243" s="40" t="s">
        <v>7170</v>
      </c>
      <c r="G243" s="40" t="s">
        <v>7171</v>
      </c>
      <c r="H243" s="40" t="s">
        <v>761</v>
      </c>
      <c r="I243" s="40" t="s">
        <v>6848</v>
      </c>
      <c r="J243" s="140" t="s">
        <v>7197</v>
      </c>
      <c r="K243" s="141">
        <v>2183468</v>
      </c>
      <c r="L243" s="141">
        <v>3400002974</v>
      </c>
      <c r="M243" s="141">
        <v>2143310</v>
      </c>
      <c r="N243" s="141">
        <v>5100163</v>
      </c>
      <c r="O243" s="142"/>
      <c r="P243" s="142"/>
      <c r="Q243" s="142"/>
      <c r="R243" s="142"/>
      <c r="S243" s="142"/>
      <c r="T243" s="141" t="s">
        <v>6766</v>
      </c>
      <c r="V243" s="43" t="s">
        <v>7164</v>
      </c>
      <c r="AF243" s="42">
        <v>2096199</v>
      </c>
      <c r="AG243" s="42" t="s">
        <v>6528</v>
      </c>
    </row>
    <row r="244" spans="6:33" ht="15.75" customHeight="1">
      <c r="F244" s="40" t="s">
        <v>2828</v>
      </c>
      <c r="G244" s="40" t="s">
        <v>2829</v>
      </c>
      <c r="H244" s="40" t="s">
        <v>595</v>
      </c>
      <c r="I244" s="40" t="s">
        <v>6847</v>
      </c>
      <c r="J244" s="140" t="s">
        <v>2831</v>
      </c>
      <c r="K244" s="141">
        <v>3300001691</v>
      </c>
      <c r="L244" s="141">
        <v>2171911</v>
      </c>
      <c r="M244" s="141"/>
      <c r="N244" s="141"/>
      <c r="O244" s="142"/>
      <c r="P244" s="142"/>
      <c r="Q244" s="142"/>
      <c r="R244" s="142"/>
      <c r="S244" s="142"/>
      <c r="T244" s="141" t="s">
        <v>2832</v>
      </c>
      <c r="V244" s="43" t="s">
        <v>592</v>
      </c>
      <c r="AF244" s="42">
        <v>2096205</v>
      </c>
      <c r="AG244" s="42" t="s">
        <v>6528</v>
      </c>
    </row>
    <row r="245" spans="6:33" ht="15.75" customHeight="1">
      <c r="F245" s="40" t="s">
        <v>5673</v>
      </c>
      <c r="G245" s="40" t="s">
        <v>5674</v>
      </c>
      <c r="H245" s="40" t="s">
        <v>761</v>
      </c>
      <c r="I245" s="40" t="s">
        <v>6848</v>
      </c>
      <c r="J245" s="140" t="s">
        <v>5676</v>
      </c>
      <c r="K245" s="141">
        <v>2172368</v>
      </c>
      <c r="L245" s="141">
        <v>5050447</v>
      </c>
      <c r="M245" s="141">
        <v>2171935</v>
      </c>
      <c r="N245" s="141"/>
      <c r="O245" s="142"/>
      <c r="P245" s="142"/>
      <c r="Q245" s="142"/>
      <c r="R245" s="142"/>
      <c r="S245" s="142"/>
      <c r="T245" s="141" t="s">
        <v>6827</v>
      </c>
      <c r="V245" s="43" t="s">
        <v>688</v>
      </c>
      <c r="AF245" s="42">
        <v>2096207</v>
      </c>
      <c r="AG245" s="42" t="s">
        <v>6528</v>
      </c>
    </row>
    <row r="246" spans="6:33" ht="15.75" customHeight="1">
      <c r="F246" s="40" t="s">
        <v>7678</v>
      </c>
      <c r="G246" s="40" t="s">
        <v>7844</v>
      </c>
      <c r="H246" s="40" t="s">
        <v>8208</v>
      </c>
      <c r="I246" s="40" t="s">
        <v>6850</v>
      </c>
      <c r="J246" s="138" t="s">
        <v>8003</v>
      </c>
      <c r="K246" s="141" t="s">
        <v>7627</v>
      </c>
      <c r="L246" s="139">
        <v>2150979</v>
      </c>
      <c r="M246" s="139"/>
      <c r="N246" s="141"/>
      <c r="O246" s="142"/>
      <c r="P246" s="142"/>
      <c r="Q246" s="142"/>
      <c r="R246" s="142"/>
      <c r="S246" s="142"/>
      <c r="T246" s="139" t="s">
        <v>6830</v>
      </c>
      <c r="V246" s="43" t="s">
        <v>643</v>
      </c>
      <c r="AF246" s="42">
        <v>2096443</v>
      </c>
      <c r="AG246" s="42" t="s">
        <v>6528</v>
      </c>
    </row>
    <row r="247" spans="6:33" ht="15.75" customHeight="1">
      <c r="F247" s="40" t="s">
        <v>1991</v>
      </c>
      <c r="G247" s="40" t="s">
        <v>1992</v>
      </c>
      <c r="H247" s="40" t="s">
        <v>564</v>
      </c>
      <c r="I247" s="40" t="s">
        <v>6851</v>
      </c>
      <c r="J247" s="140">
        <v>2116291</v>
      </c>
      <c r="K247" s="141" t="s">
        <v>1994</v>
      </c>
      <c r="L247" s="141">
        <v>2116297</v>
      </c>
      <c r="M247" s="141">
        <v>3300002924</v>
      </c>
      <c r="N247" s="141">
        <v>5059342</v>
      </c>
      <c r="O247" s="142"/>
      <c r="P247" s="142"/>
      <c r="Q247" s="142"/>
      <c r="R247" s="142"/>
      <c r="S247" s="142"/>
      <c r="T247" s="141" t="s">
        <v>1995</v>
      </c>
      <c r="V247" s="43" t="s">
        <v>767</v>
      </c>
      <c r="AF247" s="42">
        <v>2096457</v>
      </c>
      <c r="AG247" s="42" t="s">
        <v>6528</v>
      </c>
    </row>
    <row r="248" spans="6:33" ht="15.75" customHeight="1">
      <c r="F248" s="40" t="s">
        <v>2463</v>
      </c>
      <c r="G248" s="40" t="s">
        <v>2464</v>
      </c>
      <c r="H248" s="40" t="s">
        <v>670</v>
      </c>
      <c r="I248" s="40" t="s">
        <v>6849</v>
      </c>
      <c r="J248" s="140" t="s">
        <v>2465</v>
      </c>
      <c r="K248" s="141" t="s">
        <v>2466</v>
      </c>
      <c r="L248" s="141">
        <v>2084736</v>
      </c>
      <c r="M248" s="141">
        <v>3300004137</v>
      </c>
      <c r="N248" s="141" t="s">
        <v>2467</v>
      </c>
      <c r="O248" s="142"/>
      <c r="P248" s="142"/>
      <c r="Q248" s="142"/>
      <c r="R248" s="142"/>
      <c r="S248" s="142"/>
      <c r="T248" s="141" t="s">
        <v>2468</v>
      </c>
      <c r="V248" s="43" t="s">
        <v>539</v>
      </c>
      <c r="AF248" s="42">
        <v>2096458</v>
      </c>
      <c r="AG248" s="42" t="s">
        <v>6528</v>
      </c>
    </row>
    <row r="249" spans="6:33" ht="15.75" customHeight="1">
      <c r="F249" s="40" t="s">
        <v>7679</v>
      </c>
      <c r="G249" s="40" t="s">
        <v>7845</v>
      </c>
      <c r="H249" s="40" t="s">
        <v>8208</v>
      </c>
      <c r="I249" s="40" t="s">
        <v>6850</v>
      </c>
      <c r="J249" s="140">
        <v>2172284</v>
      </c>
      <c r="K249" s="141">
        <v>5048935</v>
      </c>
      <c r="L249" s="141">
        <v>3300006831</v>
      </c>
      <c r="M249" s="141"/>
      <c r="N249" s="141"/>
      <c r="O249" s="142"/>
      <c r="P249" s="142"/>
      <c r="Q249" s="142"/>
      <c r="R249" s="142"/>
      <c r="S249" s="142"/>
      <c r="T249" s="141">
        <v>101300089</v>
      </c>
      <c r="V249" s="43" t="s">
        <v>8180</v>
      </c>
      <c r="AF249" s="42">
        <v>2096467</v>
      </c>
      <c r="AG249" s="42" t="s">
        <v>6528</v>
      </c>
    </row>
    <row r="250" spans="6:33" ht="15.75" customHeight="1">
      <c r="F250" s="40" t="s">
        <v>8339</v>
      </c>
      <c r="G250" s="40" t="s">
        <v>59</v>
      </c>
      <c r="H250" s="40" t="s">
        <v>564</v>
      </c>
      <c r="I250" s="40" t="s">
        <v>6851</v>
      </c>
      <c r="J250" s="140">
        <v>2160454</v>
      </c>
      <c r="K250" s="141" t="s">
        <v>2126</v>
      </c>
      <c r="L250" s="141">
        <v>3300012813</v>
      </c>
      <c r="M250" s="141">
        <v>5059349</v>
      </c>
      <c r="N250" s="141"/>
      <c r="O250" s="142"/>
      <c r="P250" s="142"/>
      <c r="Q250" s="142"/>
      <c r="R250" s="142"/>
      <c r="S250" s="142"/>
      <c r="T250" s="141" t="s">
        <v>2128</v>
      </c>
      <c r="V250" s="43" t="s">
        <v>811</v>
      </c>
      <c r="AF250" s="42">
        <v>2096474</v>
      </c>
      <c r="AG250" s="42" t="s">
        <v>6528</v>
      </c>
    </row>
    <row r="251" spans="6:33" ht="15.75" customHeight="1">
      <c r="F251" s="40" t="s">
        <v>3108</v>
      </c>
      <c r="G251" s="40" t="s">
        <v>3109</v>
      </c>
      <c r="H251" s="40" t="s">
        <v>6841</v>
      </c>
      <c r="I251" s="40" t="s">
        <v>6852</v>
      </c>
      <c r="J251" s="140">
        <v>2103959</v>
      </c>
      <c r="K251" s="141">
        <v>3300011512</v>
      </c>
      <c r="L251" s="141">
        <v>5045679</v>
      </c>
      <c r="M251" s="141">
        <v>2183547</v>
      </c>
      <c r="N251" s="141" t="s">
        <v>3110</v>
      </c>
      <c r="O251" s="142"/>
      <c r="P251" s="142"/>
      <c r="Q251" s="142"/>
      <c r="R251" s="142"/>
      <c r="S251" s="142"/>
      <c r="T251" s="141" t="s">
        <v>3111</v>
      </c>
      <c r="V251" s="43" t="s">
        <v>621</v>
      </c>
      <c r="AF251" s="42">
        <v>2096476</v>
      </c>
      <c r="AG251" s="42" t="s">
        <v>6528</v>
      </c>
    </row>
    <row r="252" spans="6:33" ht="15.75" customHeight="1">
      <c r="F252" s="40" t="s">
        <v>4378</v>
      </c>
      <c r="G252" s="40" t="s">
        <v>4379</v>
      </c>
      <c r="H252" s="40" t="s">
        <v>553</v>
      </c>
      <c r="I252" s="40" t="s">
        <v>6853</v>
      </c>
      <c r="J252" s="140">
        <v>2183500</v>
      </c>
      <c r="K252" s="141">
        <v>5059290</v>
      </c>
      <c r="L252" s="141" t="s">
        <v>4381</v>
      </c>
      <c r="M252" s="141"/>
      <c r="N252" s="141"/>
      <c r="O252" s="142"/>
      <c r="P252" s="142"/>
      <c r="Q252" s="142"/>
      <c r="R252" s="142"/>
      <c r="S252" s="142"/>
      <c r="T252" s="141" t="s">
        <v>4382</v>
      </c>
      <c r="V252" s="43" t="s">
        <v>792</v>
      </c>
      <c r="AF252" s="42">
        <v>2096477</v>
      </c>
      <c r="AG252" s="42" t="s">
        <v>6528</v>
      </c>
    </row>
    <row r="253" spans="6:33" ht="15.75" customHeight="1">
      <c r="F253" s="40" t="s">
        <v>7172</v>
      </c>
      <c r="G253" s="40" t="s">
        <v>7173</v>
      </c>
      <c r="H253" s="40" t="s">
        <v>553</v>
      </c>
      <c r="I253" s="40" t="s">
        <v>6853</v>
      </c>
      <c r="J253" s="140">
        <v>2116300</v>
      </c>
      <c r="K253" s="141">
        <v>3300008132</v>
      </c>
      <c r="L253" s="141">
        <v>5032243</v>
      </c>
      <c r="M253" s="141"/>
      <c r="N253" s="141"/>
      <c r="O253" s="142"/>
      <c r="P253" s="142"/>
      <c r="Q253" s="142"/>
      <c r="R253" s="142"/>
      <c r="S253" s="142"/>
      <c r="T253" s="141" t="s">
        <v>3250</v>
      </c>
      <c r="V253" s="43" t="s">
        <v>742</v>
      </c>
      <c r="AF253" s="42">
        <v>2096478</v>
      </c>
      <c r="AG253" s="42" t="s">
        <v>6528</v>
      </c>
    </row>
    <row r="254" spans="6:33" ht="15.75" customHeight="1">
      <c r="F254" s="40" t="s">
        <v>7680</v>
      </c>
      <c r="G254" s="40" t="s">
        <v>7846</v>
      </c>
      <c r="H254" s="40" t="s">
        <v>8208</v>
      </c>
      <c r="I254" s="40" t="s">
        <v>6850</v>
      </c>
      <c r="J254" s="140">
        <v>2082946</v>
      </c>
      <c r="K254" s="141" t="s">
        <v>8004</v>
      </c>
      <c r="L254" s="141">
        <v>5050607</v>
      </c>
      <c r="M254" s="141">
        <v>2226043</v>
      </c>
      <c r="N254" s="141"/>
      <c r="O254" s="142"/>
      <c r="P254" s="142"/>
      <c r="Q254" s="142"/>
      <c r="R254" s="142"/>
      <c r="S254" s="142"/>
      <c r="T254" s="141">
        <v>21300010</v>
      </c>
      <c r="V254" s="43" t="s">
        <v>771</v>
      </c>
      <c r="AF254" s="42">
        <v>2096479</v>
      </c>
      <c r="AG254" s="42" t="s">
        <v>6528</v>
      </c>
    </row>
    <row r="255" spans="6:33" ht="15.75" customHeight="1">
      <c r="F255" s="40" t="s">
        <v>2700</v>
      </c>
      <c r="G255" s="40" t="s">
        <v>2701</v>
      </c>
      <c r="H255" s="40" t="s">
        <v>670</v>
      </c>
      <c r="I255" s="40" t="s">
        <v>6849</v>
      </c>
      <c r="J255" s="140">
        <v>2084749</v>
      </c>
      <c r="K255" s="141" t="s">
        <v>6635</v>
      </c>
      <c r="L255" s="141">
        <v>2084815</v>
      </c>
      <c r="M255" s="141">
        <v>5059326</v>
      </c>
      <c r="N255" s="141">
        <v>3300012261</v>
      </c>
      <c r="O255" s="142"/>
      <c r="P255" s="142"/>
      <c r="Q255" s="142"/>
      <c r="R255" s="142"/>
      <c r="S255" s="142"/>
      <c r="T255" s="141" t="s">
        <v>6714</v>
      </c>
      <c r="V255" s="43" t="s">
        <v>2703</v>
      </c>
      <c r="AF255" s="42">
        <v>2096481</v>
      </c>
      <c r="AG255" s="42" t="s">
        <v>6528</v>
      </c>
    </row>
    <row r="256" spans="6:33" ht="15.75" customHeight="1">
      <c r="F256" s="40" t="s">
        <v>3522</v>
      </c>
      <c r="G256" s="40" t="s">
        <v>3523</v>
      </c>
      <c r="H256" s="40" t="s">
        <v>6841</v>
      </c>
      <c r="I256" s="40" t="s">
        <v>6852</v>
      </c>
      <c r="J256" s="140">
        <v>2103903</v>
      </c>
      <c r="K256" s="141" t="s">
        <v>3525</v>
      </c>
      <c r="L256" s="141">
        <v>3300003608</v>
      </c>
      <c r="M256" s="141" t="s">
        <v>3526</v>
      </c>
      <c r="N256" s="141"/>
      <c r="O256" s="142"/>
      <c r="P256" s="142"/>
      <c r="Q256" s="142"/>
      <c r="R256" s="142"/>
      <c r="S256" s="142"/>
      <c r="T256" s="141" t="s">
        <v>3527</v>
      </c>
      <c r="V256" s="43" t="s">
        <v>3524</v>
      </c>
      <c r="AF256" s="42">
        <v>2096482</v>
      </c>
      <c r="AG256" s="42" t="s">
        <v>6528</v>
      </c>
    </row>
    <row r="257" spans="6:33" ht="15.75" customHeight="1">
      <c r="F257" s="40" t="s">
        <v>1960</v>
      </c>
      <c r="G257" s="40" t="s">
        <v>1961</v>
      </c>
      <c r="H257" s="40" t="s">
        <v>564</v>
      </c>
      <c r="I257" s="40" t="s">
        <v>6851</v>
      </c>
      <c r="J257" s="140" t="s">
        <v>1963</v>
      </c>
      <c r="K257" s="141">
        <v>3300009547</v>
      </c>
      <c r="L257" s="141">
        <v>2172007</v>
      </c>
      <c r="M257" s="141">
        <v>3300009558</v>
      </c>
      <c r="N257" s="141">
        <v>5031872</v>
      </c>
      <c r="O257" s="142"/>
      <c r="P257" s="142"/>
      <c r="Q257" s="142"/>
      <c r="R257" s="142"/>
      <c r="S257" s="142"/>
      <c r="T257" s="141" t="s">
        <v>1964</v>
      </c>
      <c r="V257" s="43" t="s">
        <v>1954</v>
      </c>
      <c r="AF257" s="42">
        <v>2096484</v>
      </c>
      <c r="AG257" s="42" t="s">
        <v>6528</v>
      </c>
    </row>
    <row r="258" spans="6:33" ht="15.75" customHeight="1">
      <c r="F258" s="40" t="s">
        <v>6935</v>
      </c>
      <c r="G258" s="40" t="s">
        <v>6936</v>
      </c>
      <c r="H258" s="40" t="s">
        <v>564</v>
      </c>
      <c r="I258" s="40" t="s">
        <v>6851</v>
      </c>
      <c r="J258" s="140" t="s">
        <v>8239</v>
      </c>
      <c r="K258" s="141">
        <v>3300013108</v>
      </c>
      <c r="L258" s="141" t="s">
        <v>6836</v>
      </c>
      <c r="M258" s="141" t="s">
        <v>6837</v>
      </c>
      <c r="N258" s="141">
        <v>2103664</v>
      </c>
      <c r="O258" s="142"/>
      <c r="P258" s="142"/>
      <c r="Q258" s="142"/>
      <c r="R258" s="142"/>
      <c r="S258" s="142"/>
      <c r="T258" s="141" t="s">
        <v>6835</v>
      </c>
      <c r="V258" s="43" t="s">
        <v>721</v>
      </c>
      <c r="AF258" s="42">
        <v>2096485</v>
      </c>
      <c r="AG258" s="42" t="s">
        <v>6528</v>
      </c>
    </row>
    <row r="259" spans="6:33" ht="15.75" customHeight="1">
      <c r="F259" s="40" t="s">
        <v>5516</v>
      </c>
      <c r="G259" s="40" t="s">
        <v>5517</v>
      </c>
      <c r="H259" s="40" t="s">
        <v>761</v>
      </c>
      <c r="I259" s="40" t="s">
        <v>6848</v>
      </c>
      <c r="J259" s="138">
        <v>2114736</v>
      </c>
      <c r="K259" s="139" t="s">
        <v>5518</v>
      </c>
      <c r="L259" s="141">
        <v>5045693</v>
      </c>
      <c r="M259" s="141">
        <v>3300012674</v>
      </c>
      <c r="N259" s="139">
        <v>2114752</v>
      </c>
      <c r="O259" s="142"/>
      <c r="P259" s="142"/>
      <c r="Q259" s="142"/>
      <c r="R259" s="142"/>
      <c r="S259" s="142"/>
      <c r="T259" s="139" t="s">
        <v>6762</v>
      </c>
      <c r="V259" s="43" t="s">
        <v>692</v>
      </c>
      <c r="AF259" s="42">
        <v>2103427</v>
      </c>
      <c r="AG259" s="42" t="s">
        <v>6528</v>
      </c>
    </row>
    <row r="260" spans="6:33" ht="15.75" customHeight="1">
      <c r="F260" s="40" t="s">
        <v>1431</v>
      </c>
      <c r="G260" s="40" t="s">
        <v>1431</v>
      </c>
      <c r="H260" s="40" t="s">
        <v>564</v>
      </c>
      <c r="I260" s="40" t="s">
        <v>6851</v>
      </c>
      <c r="J260" s="140">
        <v>2183484</v>
      </c>
      <c r="K260" s="141" t="s">
        <v>1432</v>
      </c>
      <c r="L260" s="141">
        <v>3300009770</v>
      </c>
      <c r="M260" s="141">
        <v>2183487</v>
      </c>
      <c r="N260" s="141"/>
      <c r="O260" s="142"/>
      <c r="P260" s="142"/>
      <c r="Q260" s="142"/>
      <c r="R260" s="142"/>
      <c r="S260" s="142"/>
      <c r="T260" s="141" t="s">
        <v>1433</v>
      </c>
      <c r="V260" s="43" t="s">
        <v>566</v>
      </c>
      <c r="AF260" s="42">
        <v>2103433</v>
      </c>
      <c r="AG260" s="42" t="s">
        <v>6528</v>
      </c>
    </row>
    <row r="261" spans="6:33" ht="15.75" customHeight="1">
      <c r="F261" s="40" t="s">
        <v>4006</v>
      </c>
      <c r="G261" s="40" t="s">
        <v>4007</v>
      </c>
      <c r="H261" s="40" t="s">
        <v>553</v>
      </c>
      <c r="I261" s="40" t="s">
        <v>6853</v>
      </c>
      <c r="J261" s="140">
        <v>2119177</v>
      </c>
      <c r="K261" s="141" t="s">
        <v>4008</v>
      </c>
      <c r="L261" s="141">
        <v>5031837</v>
      </c>
      <c r="M261" s="141">
        <v>2149673</v>
      </c>
      <c r="N261" s="141">
        <v>5059319</v>
      </c>
      <c r="O261" s="142"/>
      <c r="P261" s="142"/>
      <c r="Q261" s="142"/>
      <c r="R261" s="142"/>
      <c r="S261" s="142"/>
      <c r="T261" s="141" t="s">
        <v>4009</v>
      </c>
      <c r="V261" s="43" t="s">
        <v>625</v>
      </c>
      <c r="AF261" s="42">
        <v>2103435</v>
      </c>
      <c r="AG261" s="42" t="s">
        <v>6528</v>
      </c>
    </row>
    <row r="262" spans="6:33" ht="15.75" customHeight="1">
      <c r="F262" s="40" t="s">
        <v>6351</v>
      </c>
      <c r="G262" s="40" t="s">
        <v>6352</v>
      </c>
      <c r="H262" s="40" t="s">
        <v>8208</v>
      </c>
      <c r="I262" s="40" t="s">
        <v>6850</v>
      </c>
      <c r="J262" s="140">
        <v>3300009744</v>
      </c>
      <c r="K262" s="141">
        <v>2177182</v>
      </c>
      <c r="L262" s="141" t="s">
        <v>6353</v>
      </c>
      <c r="M262" s="141">
        <v>5104328</v>
      </c>
      <c r="N262" s="141">
        <v>3300009789</v>
      </c>
      <c r="O262" s="142"/>
      <c r="P262" s="142"/>
      <c r="Q262" s="142"/>
      <c r="R262" s="142"/>
      <c r="S262" s="142"/>
      <c r="T262" s="141" t="s">
        <v>6812</v>
      </c>
      <c r="V262" s="43" t="s">
        <v>687</v>
      </c>
      <c r="AF262" s="42">
        <v>2103437</v>
      </c>
      <c r="AG262" s="42" t="s">
        <v>6528</v>
      </c>
    </row>
    <row r="263" spans="6:33" ht="15.75" customHeight="1">
      <c r="F263" s="40" t="s">
        <v>6453</v>
      </c>
      <c r="G263" s="40" t="s">
        <v>6352</v>
      </c>
      <c r="H263" s="40" t="s">
        <v>8208</v>
      </c>
      <c r="I263" s="40" t="s">
        <v>6850</v>
      </c>
      <c r="J263" s="140" t="s">
        <v>2976</v>
      </c>
      <c r="K263" s="141">
        <v>3300009738</v>
      </c>
      <c r="L263" s="141" t="s">
        <v>6454</v>
      </c>
      <c r="M263" s="141">
        <v>5104312</v>
      </c>
      <c r="N263" s="141">
        <v>2183521</v>
      </c>
      <c r="O263" s="142"/>
      <c r="P263" s="142"/>
      <c r="Q263" s="142"/>
      <c r="R263" s="142"/>
      <c r="S263" s="142"/>
      <c r="T263" s="141" t="s">
        <v>6811</v>
      </c>
      <c r="V263" s="43" t="s">
        <v>771</v>
      </c>
      <c r="AF263" s="42">
        <v>2103443</v>
      </c>
      <c r="AG263" s="42" t="s">
        <v>6528</v>
      </c>
    </row>
    <row r="264" spans="6:33" ht="15.75" customHeight="1">
      <c r="F264" s="40" t="s">
        <v>7246</v>
      </c>
      <c r="G264" s="40" t="s">
        <v>7264</v>
      </c>
      <c r="H264" s="40" t="s">
        <v>564</v>
      </c>
      <c r="I264" s="40" t="s">
        <v>6851</v>
      </c>
      <c r="J264" s="140">
        <v>2115666</v>
      </c>
      <c r="K264" s="141">
        <v>2226105</v>
      </c>
      <c r="L264" s="141" t="s">
        <v>4390</v>
      </c>
      <c r="M264" s="141" t="s">
        <v>4668</v>
      </c>
      <c r="N264" s="141">
        <v>5012466</v>
      </c>
      <c r="O264" s="142"/>
      <c r="P264" s="142"/>
      <c r="Q264" s="142"/>
      <c r="R264" s="142"/>
      <c r="S264" s="142"/>
      <c r="T264" s="141" t="s">
        <v>7279</v>
      </c>
      <c r="V264" s="43" t="s">
        <v>566</v>
      </c>
      <c r="AF264" s="42">
        <v>2103445</v>
      </c>
      <c r="AG264" s="42" t="s">
        <v>6528</v>
      </c>
    </row>
    <row r="265" spans="6:33" ht="15.75" customHeight="1">
      <c r="F265" s="40" t="s">
        <v>1814</v>
      </c>
      <c r="G265" s="40" t="s">
        <v>1815</v>
      </c>
      <c r="H265" s="40" t="s">
        <v>564</v>
      </c>
      <c r="I265" s="40" t="s">
        <v>6851</v>
      </c>
      <c r="J265" s="140">
        <v>3300008156</v>
      </c>
      <c r="K265" s="141">
        <v>3300011820</v>
      </c>
      <c r="L265" s="141" t="s">
        <v>1816</v>
      </c>
      <c r="M265" s="141">
        <v>5042669</v>
      </c>
      <c r="N265" s="141">
        <v>2183462</v>
      </c>
      <c r="O265" s="142"/>
      <c r="P265" s="142"/>
      <c r="Q265" s="142"/>
      <c r="R265" s="142"/>
      <c r="S265" s="142"/>
      <c r="T265" s="141" t="s">
        <v>6822</v>
      </c>
      <c r="V265" s="43" t="s">
        <v>542</v>
      </c>
      <c r="AF265" s="42">
        <v>2103447</v>
      </c>
      <c r="AG265" s="42" t="s">
        <v>6528</v>
      </c>
    </row>
    <row r="266" spans="6:33" ht="15.75" customHeight="1">
      <c r="F266" s="40" t="s">
        <v>7681</v>
      </c>
      <c r="G266" s="40" t="s">
        <v>7847</v>
      </c>
      <c r="H266" s="40" t="s">
        <v>8208</v>
      </c>
      <c r="I266" s="40" t="s">
        <v>6850</v>
      </c>
      <c r="J266" s="140">
        <v>2081883</v>
      </c>
      <c r="K266" s="141">
        <v>2081830</v>
      </c>
      <c r="L266" s="141" t="s">
        <v>8005</v>
      </c>
      <c r="M266" s="141" t="s">
        <v>8006</v>
      </c>
      <c r="N266" s="141">
        <v>3300001646</v>
      </c>
      <c r="O266" s="142"/>
      <c r="P266" s="142"/>
      <c r="Q266" s="142"/>
      <c r="R266" s="142"/>
      <c r="S266" s="142"/>
      <c r="T266" s="141">
        <v>101200036</v>
      </c>
      <c r="V266" s="43" t="s">
        <v>6448</v>
      </c>
      <c r="AF266" s="42">
        <v>2103448</v>
      </c>
      <c r="AG266" s="42" t="s">
        <v>6528</v>
      </c>
    </row>
    <row r="267" spans="6:33" ht="15.75" customHeight="1">
      <c r="F267" s="40" t="s">
        <v>2320</v>
      </c>
      <c r="G267" s="40" t="s">
        <v>2320</v>
      </c>
      <c r="H267" s="40" t="s">
        <v>564</v>
      </c>
      <c r="I267" s="40" t="s">
        <v>6851</v>
      </c>
      <c r="J267" s="140">
        <v>3300011484</v>
      </c>
      <c r="K267" s="141">
        <v>5045676</v>
      </c>
      <c r="L267" s="141" t="s">
        <v>2321</v>
      </c>
      <c r="M267" s="141">
        <v>3300003612</v>
      </c>
      <c r="N267" s="141">
        <v>2119185</v>
      </c>
      <c r="O267" s="142"/>
      <c r="P267" s="142"/>
      <c r="Q267" s="142"/>
      <c r="R267" s="142"/>
      <c r="S267" s="142"/>
      <c r="T267" s="141" t="s">
        <v>2322</v>
      </c>
      <c r="V267" s="43" t="s">
        <v>546</v>
      </c>
      <c r="AF267" s="42">
        <v>2103449</v>
      </c>
      <c r="AG267" s="42" t="s">
        <v>6528</v>
      </c>
    </row>
    <row r="268" spans="6:33" ht="15.75" customHeight="1">
      <c r="F268" s="40" t="s">
        <v>7682</v>
      </c>
      <c r="G268" s="40" t="s">
        <v>7848</v>
      </c>
      <c r="H268" s="40" t="s">
        <v>761</v>
      </c>
      <c r="I268" s="40" t="s">
        <v>6848</v>
      </c>
      <c r="J268" s="140">
        <v>2096484</v>
      </c>
      <c r="K268" s="141">
        <v>2149688</v>
      </c>
      <c r="L268" s="141" t="s">
        <v>5223</v>
      </c>
      <c r="M268" s="141" t="s">
        <v>4209</v>
      </c>
      <c r="N268" s="141">
        <v>2119597</v>
      </c>
      <c r="O268" s="142"/>
      <c r="P268" s="142"/>
      <c r="Q268" s="142"/>
      <c r="R268" s="142"/>
      <c r="S268" s="142"/>
      <c r="T268" s="141" t="s">
        <v>7613</v>
      </c>
      <c r="V268" s="43" t="s">
        <v>7409</v>
      </c>
      <c r="AF268" s="42">
        <v>2103450</v>
      </c>
      <c r="AG268" s="42" t="s">
        <v>6528</v>
      </c>
    </row>
    <row r="269" spans="6:33" ht="15.75" customHeight="1">
      <c r="F269" s="40" t="s">
        <v>1215</v>
      </c>
      <c r="G269" s="40" t="s">
        <v>1216</v>
      </c>
      <c r="H269" s="40" t="s">
        <v>564</v>
      </c>
      <c r="I269" s="40" t="s">
        <v>6851</v>
      </c>
      <c r="J269" s="140" t="s">
        <v>1217</v>
      </c>
      <c r="K269" s="141">
        <v>2171998</v>
      </c>
      <c r="L269" s="141"/>
      <c r="M269" s="141"/>
      <c r="N269" s="141"/>
      <c r="O269" s="142"/>
      <c r="P269" s="142"/>
      <c r="Q269" s="142"/>
      <c r="R269" s="142"/>
      <c r="S269" s="142"/>
      <c r="T269" s="141" t="s">
        <v>1218</v>
      </c>
      <c r="V269" s="43" t="s">
        <v>552</v>
      </c>
      <c r="AF269" s="42">
        <v>2103453</v>
      </c>
      <c r="AG269" s="42" t="s">
        <v>6528</v>
      </c>
    </row>
    <row r="270" spans="6:33" ht="15.75" customHeight="1">
      <c r="F270" s="40" t="s">
        <v>5765</v>
      </c>
      <c r="G270" s="40" t="s">
        <v>5766</v>
      </c>
      <c r="H270" s="40" t="s">
        <v>761</v>
      </c>
      <c r="I270" s="40" t="s">
        <v>6848</v>
      </c>
      <c r="J270" s="140" t="s">
        <v>5768</v>
      </c>
      <c r="K270" s="141">
        <v>3300002811</v>
      </c>
      <c r="L270" s="141">
        <v>5014440</v>
      </c>
      <c r="M270" s="141">
        <v>3300002827</v>
      </c>
      <c r="N270" s="141" t="s">
        <v>5769</v>
      </c>
      <c r="O270" s="142"/>
      <c r="P270" s="142"/>
      <c r="Q270" s="142"/>
      <c r="R270" s="142"/>
      <c r="S270" s="142"/>
      <c r="T270" s="141" t="s">
        <v>3081</v>
      </c>
      <c r="V270" s="43" t="s">
        <v>588</v>
      </c>
      <c r="AF270" s="42">
        <v>2103454</v>
      </c>
      <c r="AG270" s="42" t="s">
        <v>6528</v>
      </c>
    </row>
    <row r="271" spans="6:33" ht="15.75" customHeight="1">
      <c r="F271" s="40" t="s">
        <v>1834</v>
      </c>
      <c r="G271" s="40" t="s">
        <v>1835</v>
      </c>
      <c r="H271" s="40" t="s">
        <v>564</v>
      </c>
      <c r="I271" s="40" t="s">
        <v>6851</v>
      </c>
      <c r="J271" s="140">
        <v>2172008</v>
      </c>
      <c r="K271" s="141">
        <v>3300001243</v>
      </c>
      <c r="L271" s="141" t="s">
        <v>1836</v>
      </c>
      <c r="M271" s="141" t="s">
        <v>8524</v>
      </c>
      <c r="N271" s="141">
        <v>5008439</v>
      </c>
      <c r="O271" s="142"/>
      <c r="P271" s="142"/>
      <c r="Q271" s="142"/>
      <c r="R271" s="142"/>
      <c r="S271" s="142"/>
      <c r="T271" s="141" t="s">
        <v>1837</v>
      </c>
      <c r="V271" s="43" t="s">
        <v>558</v>
      </c>
      <c r="AF271" s="42">
        <v>2103455</v>
      </c>
      <c r="AG271" s="42" t="s">
        <v>6528</v>
      </c>
    </row>
    <row r="272" spans="6:33" ht="15.75" customHeight="1">
      <c r="F272" s="40" t="s">
        <v>5179</v>
      </c>
      <c r="G272" s="40" t="s">
        <v>5180</v>
      </c>
      <c r="H272" s="40" t="s">
        <v>761</v>
      </c>
      <c r="I272" s="40" t="s">
        <v>6848</v>
      </c>
      <c r="J272" s="140">
        <v>2183480</v>
      </c>
      <c r="K272" s="141">
        <v>3300009733</v>
      </c>
      <c r="L272" s="141" t="s">
        <v>5181</v>
      </c>
      <c r="M272" s="141">
        <v>5049705</v>
      </c>
      <c r="N272" s="141">
        <v>2183555</v>
      </c>
      <c r="O272" s="142"/>
      <c r="P272" s="142"/>
      <c r="Q272" s="142"/>
      <c r="R272" s="142"/>
      <c r="S272" s="142"/>
      <c r="T272" s="141" t="s">
        <v>5182</v>
      </c>
      <c r="V272" s="43" t="s">
        <v>697</v>
      </c>
      <c r="AF272" s="42">
        <v>2103457</v>
      </c>
      <c r="AG272" s="42" t="s">
        <v>6528</v>
      </c>
    </row>
    <row r="273" spans="6:33" ht="15.75" customHeight="1">
      <c r="F273" s="40" t="s">
        <v>1862</v>
      </c>
      <c r="G273" s="40" t="s">
        <v>1863</v>
      </c>
      <c r="H273" s="40" t="s">
        <v>564</v>
      </c>
      <c r="I273" s="40" t="s">
        <v>6851</v>
      </c>
      <c r="J273" s="140">
        <v>3400002031</v>
      </c>
      <c r="K273" s="141">
        <v>2159869</v>
      </c>
      <c r="L273" s="141" t="s">
        <v>5306</v>
      </c>
      <c r="M273" s="141" t="s">
        <v>1865</v>
      </c>
      <c r="N273" s="141">
        <v>3400002030</v>
      </c>
      <c r="O273" s="142"/>
      <c r="P273" s="142"/>
      <c r="Q273" s="142"/>
      <c r="R273" s="142"/>
      <c r="S273" s="142"/>
      <c r="T273" s="141" t="s">
        <v>1866</v>
      </c>
      <c r="V273" s="43" t="s">
        <v>797</v>
      </c>
      <c r="AF273" s="42">
        <v>2103458</v>
      </c>
      <c r="AG273" s="42" t="s">
        <v>6528</v>
      </c>
    </row>
    <row r="274" spans="6:33" ht="15.75" customHeight="1">
      <c r="F274" s="40" t="s">
        <v>1881</v>
      </c>
      <c r="G274" s="40" t="s">
        <v>1882</v>
      </c>
      <c r="H274" s="40" t="s">
        <v>564</v>
      </c>
      <c r="I274" s="40" t="s">
        <v>6851</v>
      </c>
      <c r="J274" s="140">
        <v>3300009551</v>
      </c>
      <c r="K274" s="141" t="s">
        <v>1883</v>
      </c>
      <c r="L274" s="141">
        <v>5050449</v>
      </c>
      <c r="M274" s="141"/>
      <c r="N274" s="141"/>
      <c r="O274" s="142"/>
      <c r="P274" s="142"/>
      <c r="Q274" s="142"/>
      <c r="R274" s="142"/>
      <c r="S274" s="142"/>
      <c r="T274" s="141" t="s">
        <v>1884</v>
      </c>
      <c r="V274" s="43" t="s">
        <v>632</v>
      </c>
      <c r="AF274" s="42">
        <v>2103460</v>
      </c>
      <c r="AG274" s="42" t="s">
        <v>6528</v>
      </c>
    </row>
    <row r="275" spans="6:33" ht="15.75" customHeight="1">
      <c r="F275" s="40" t="s">
        <v>2501</v>
      </c>
      <c r="G275" s="40" t="s">
        <v>2502</v>
      </c>
      <c r="H275" s="40" t="s">
        <v>670</v>
      </c>
      <c r="I275" s="40" t="s">
        <v>6849</v>
      </c>
      <c r="J275" s="140" t="s">
        <v>2504</v>
      </c>
      <c r="K275" s="141" t="s">
        <v>2505</v>
      </c>
      <c r="L275" s="141">
        <v>2083282</v>
      </c>
      <c r="M275" s="141" t="s">
        <v>2506</v>
      </c>
      <c r="N275" s="141">
        <v>3300002961</v>
      </c>
      <c r="O275" s="142"/>
      <c r="P275" s="142"/>
      <c r="Q275" s="142"/>
      <c r="R275" s="142"/>
      <c r="S275" s="142"/>
      <c r="T275" s="141" t="s">
        <v>2507</v>
      </c>
      <c r="V275" s="43" t="s">
        <v>640</v>
      </c>
      <c r="AF275" s="42">
        <v>2103461</v>
      </c>
      <c r="AG275" s="42" t="s">
        <v>6528</v>
      </c>
    </row>
    <row r="276" spans="6:33" ht="15.75" customHeight="1">
      <c r="F276" s="40" t="s">
        <v>2734</v>
      </c>
      <c r="G276" s="40" t="s">
        <v>2735</v>
      </c>
      <c r="H276" s="40" t="s">
        <v>670</v>
      </c>
      <c r="I276" s="40" t="s">
        <v>6849</v>
      </c>
      <c r="J276" s="138">
        <v>2117091</v>
      </c>
      <c r="K276" s="139">
        <v>5031903</v>
      </c>
      <c r="L276" s="141" t="s">
        <v>2738</v>
      </c>
      <c r="M276" s="141" t="s">
        <v>2739</v>
      </c>
      <c r="N276" s="141">
        <v>3300010074</v>
      </c>
      <c r="O276" s="142"/>
      <c r="P276" s="142"/>
      <c r="Q276" s="142"/>
      <c r="R276" s="142"/>
      <c r="S276" s="142"/>
      <c r="T276" s="139" t="s">
        <v>2740</v>
      </c>
      <c r="V276" s="43" t="s">
        <v>2737</v>
      </c>
      <c r="AF276" s="42">
        <v>2103467</v>
      </c>
      <c r="AG276" s="42" t="s">
        <v>6528</v>
      </c>
    </row>
    <row r="277" spans="6:33" ht="15.75" customHeight="1">
      <c r="F277" s="40" t="s">
        <v>2336</v>
      </c>
      <c r="G277" s="40" t="s">
        <v>2337</v>
      </c>
      <c r="H277" s="40" t="s">
        <v>564</v>
      </c>
      <c r="I277" s="40" t="s">
        <v>6851</v>
      </c>
      <c r="J277" s="140" t="s">
        <v>2338</v>
      </c>
      <c r="K277" s="141" t="s">
        <v>2339</v>
      </c>
      <c r="L277" s="141">
        <v>3300001677</v>
      </c>
      <c r="M277" s="141">
        <v>2114744</v>
      </c>
      <c r="N277" s="141">
        <v>3300002956</v>
      </c>
      <c r="O277" s="142"/>
      <c r="P277" s="142"/>
      <c r="Q277" s="142"/>
      <c r="R277" s="142"/>
      <c r="S277" s="142"/>
      <c r="T277" s="141" t="s">
        <v>6734</v>
      </c>
      <c r="V277" s="43" t="s">
        <v>600</v>
      </c>
      <c r="AF277" s="42">
        <v>2103471</v>
      </c>
      <c r="AG277" s="42" t="s">
        <v>6528</v>
      </c>
    </row>
    <row r="278" spans="6:33" ht="15.75" customHeight="1">
      <c r="F278" s="40" t="s">
        <v>5185</v>
      </c>
      <c r="G278" s="40" t="s">
        <v>8480</v>
      </c>
      <c r="H278" s="40" t="s">
        <v>761</v>
      </c>
      <c r="I278" s="40" t="s">
        <v>6848</v>
      </c>
      <c r="J278" s="140">
        <v>2172356</v>
      </c>
      <c r="K278" s="141" t="s">
        <v>5187</v>
      </c>
      <c r="L278" s="141">
        <v>5014462</v>
      </c>
      <c r="M278" s="141">
        <v>3300005979</v>
      </c>
      <c r="N278" s="141"/>
      <c r="O278" s="142"/>
      <c r="P278" s="142"/>
      <c r="Q278" s="142"/>
      <c r="R278" s="142"/>
      <c r="S278" s="142"/>
      <c r="T278" s="141" t="s">
        <v>5188</v>
      </c>
      <c r="V278" s="43" t="s">
        <v>697</v>
      </c>
      <c r="AF278" s="42">
        <v>2103476</v>
      </c>
      <c r="AG278" s="42" t="s">
        <v>6528</v>
      </c>
    </row>
    <row r="279" spans="6:33" ht="15.75" customHeight="1">
      <c r="F279" s="40" t="s">
        <v>6248</v>
      </c>
      <c r="G279" s="40" t="s">
        <v>6249</v>
      </c>
      <c r="H279" s="40" t="s">
        <v>8208</v>
      </c>
      <c r="I279" s="40" t="s">
        <v>6850</v>
      </c>
      <c r="J279" s="140">
        <v>2183535</v>
      </c>
      <c r="K279" s="141" t="s">
        <v>6250</v>
      </c>
      <c r="L279" s="141">
        <v>3300009784</v>
      </c>
      <c r="M279" s="141" t="s">
        <v>6996</v>
      </c>
      <c r="N279" s="141" t="s">
        <v>2024</v>
      </c>
      <c r="O279" s="142"/>
      <c r="P279" s="142"/>
      <c r="Q279" s="142"/>
      <c r="R279" s="142"/>
      <c r="S279" s="142"/>
      <c r="T279" s="141" t="s">
        <v>6251</v>
      </c>
      <c r="V279" s="43" t="s">
        <v>650</v>
      </c>
      <c r="AF279" s="42">
        <v>2103478</v>
      </c>
      <c r="AG279" s="42" t="s">
        <v>6528</v>
      </c>
    </row>
    <row r="280" spans="6:33" ht="15.75" customHeight="1">
      <c r="F280" s="40" t="s">
        <v>7446</v>
      </c>
      <c r="G280" s="40" t="s">
        <v>7447</v>
      </c>
      <c r="H280" s="40" t="s">
        <v>8208</v>
      </c>
      <c r="I280" s="40" t="s">
        <v>6850</v>
      </c>
      <c r="J280" s="140">
        <v>2138671</v>
      </c>
      <c r="K280" s="141">
        <v>2175263</v>
      </c>
      <c r="L280" s="141" t="s">
        <v>1100</v>
      </c>
      <c r="M280" s="141" t="s">
        <v>7015</v>
      </c>
      <c r="N280" s="141">
        <v>2138668</v>
      </c>
      <c r="O280" s="142"/>
      <c r="P280" s="142"/>
      <c r="Q280" s="142"/>
      <c r="R280" s="142"/>
      <c r="S280" s="142"/>
      <c r="T280" s="141" t="s">
        <v>7565</v>
      </c>
      <c r="V280" s="43" t="s">
        <v>7593</v>
      </c>
      <c r="AF280" s="42">
        <v>2103479</v>
      </c>
      <c r="AG280" s="42" t="s">
        <v>6528</v>
      </c>
    </row>
    <row r="281" spans="6:33" ht="15.75" customHeight="1">
      <c r="F281" s="40" t="s">
        <v>7683</v>
      </c>
      <c r="G281" s="40" t="s">
        <v>7447</v>
      </c>
      <c r="H281" s="40" t="s">
        <v>8208</v>
      </c>
      <c r="I281" s="40" t="s">
        <v>6850</v>
      </c>
      <c r="J281" s="140">
        <v>3400003800</v>
      </c>
      <c r="K281" s="141" t="s">
        <v>8007</v>
      </c>
      <c r="L281" s="141">
        <v>3400003762</v>
      </c>
      <c r="M281" s="141">
        <v>2183576</v>
      </c>
      <c r="N281" s="141">
        <v>5100175</v>
      </c>
      <c r="O281" s="142"/>
      <c r="P281" s="142"/>
      <c r="Q281" s="142"/>
      <c r="R281" s="142"/>
      <c r="S281" s="142"/>
      <c r="T281" s="141" t="s">
        <v>8152</v>
      </c>
      <c r="V281" s="43" t="s">
        <v>8181</v>
      </c>
      <c r="AF281" s="42">
        <v>2103480</v>
      </c>
      <c r="AG281" s="42" t="s">
        <v>6528</v>
      </c>
    </row>
    <row r="282" spans="6:33" ht="15.75" customHeight="1">
      <c r="F282" s="40" t="s">
        <v>8433</v>
      </c>
      <c r="G282" s="40" t="s">
        <v>8481</v>
      </c>
      <c r="H282" s="40" t="s">
        <v>8208</v>
      </c>
      <c r="I282" s="40" t="s">
        <v>6850</v>
      </c>
      <c r="J282" s="140" t="s">
        <v>8525</v>
      </c>
      <c r="K282" s="141" t="s">
        <v>8526</v>
      </c>
      <c r="L282" s="141">
        <v>2081887</v>
      </c>
      <c r="M282" s="141"/>
      <c r="N282" s="141"/>
      <c r="O282" s="142"/>
      <c r="P282" s="142"/>
      <c r="Q282" s="142"/>
      <c r="R282" s="142"/>
      <c r="S282" s="142"/>
      <c r="T282" s="141">
        <v>11300021</v>
      </c>
      <c r="V282" s="43" t="s">
        <v>6365</v>
      </c>
      <c r="AF282" s="42">
        <v>2103482</v>
      </c>
      <c r="AG282" s="42" t="s">
        <v>6528</v>
      </c>
    </row>
    <row r="283" spans="6:33" ht="15.75" customHeight="1">
      <c r="F283" s="40" t="s">
        <v>7383</v>
      </c>
      <c r="G283" s="40" t="s">
        <v>7398</v>
      </c>
      <c r="H283" s="40" t="s">
        <v>564</v>
      </c>
      <c r="I283" s="40" t="s">
        <v>6851</v>
      </c>
      <c r="J283" s="140">
        <v>3300001670</v>
      </c>
      <c r="K283" s="141" t="s">
        <v>5640</v>
      </c>
      <c r="L283" s="141" t="s">
        <v>1101</v>
      </c>
      <c r="M283" s="141"/>
      <c r="N283" s="141"/>
      <c r="O283" s="142"/>
      <c r="P283" s="142"/>
      <c r="Q283" s="142"/>
      <c r="R283" s="142"/>
      <c r="S283" s="142"/>
      <c r="T283" s="141" t="s">
        <v>7314</v>
      </c>
      <c r="V283" s="43" t="s">
        <v>566</v>
      </c>
      <c r="AF283" s="42">
        <v>2103483</v>
      </c>
      <c r="AG283" s="42" t="s">
        <v>6528</v>
      </c>
    </row>
    <row r="284" spans="6:33" ht="15.75" customHeight="1">
      <c r="F284" s="40" t="s">
        <v>7684</v>
      </c>
      <c r="G284" s="40" t="s">
        <v>7849</v>
      </c>
      <c r="H284" s="40" t="s">
        <v>8208</v>
      </c>
      <c r="I284" s="40" t="s">
        <v>6850</v>
      </c>
      <c r="J284" s="140">
        <v>2117389</v>
      </c>
      <c r="K284" s="141">
        <v>5036853</v>
      </c>
      <c r="L284" s="141" t="s">
        <v>8008</v>
      </c>
      <c r="M284" s="141"/>
      <c r="N284" s="141"/>
      <c r="O284" s="142"/>
      <c r="P284" s="142"/>
      <c r="Q284" s="142"/>
      <c r="R284" s="142"/>
      <c r="S284" s="142"/>
      <c r="T284" s="141">
        <v>71300057</v>
      </c>
      <c r="V284" s="43" t="s">
        <v>687</v>
      </c>
      <c r="AF284" s="42">
        <v>2103485</v>
      </c>
      <c r="AG284" s="42" t="s">
        <v>6528</v>
      </c>
    </row>
    <row r="285" spans="6:33" ht="15.75" customHeight="1">
      <c r="F285" s="40" t="s">
        <v>2895</v>
      </c>
      <c r="G285" s="40" t="s">
        <v>2896</v>
      </c>
      <c r="H285" s="40" t="s">
        <v>595</v>
      </c>
      <c r="I285" s="40" t="s">
        <v>6847</v>
      </c>
      <c r="J285" s="140">
        <v>2171958</v>
      </c>
      <c r="K285" s="141" t="s">
        <v>2897</v>
      </c>
      <c r="L285" s="141">
        <v>3300001244</v>
      </c>
      <c r="M285" s="141"/>
      <c r="N285" s="141"/>
      <c r="O285" s="142"/>
      <c r="P285" s="142"/>
      <c r="Q285" s="142"/>
      <c r="R285" s="142"/>
      <c r="S285" s="142"/>
      <c r="T285" s="141" t="s">
        <v>2898</v>
      </c>
      <c r="V285" s="43" t="s">
        <v>593</v>
      </c>
      <c r="AF285" s="42">
        <v>2103486</v>
      </c>
      <c r="AG285" s="42" t="s">
        <v>6528</v>
      </c>
    </row>
    <row r="286" spans="6:33" ht="15.75" customHeight="1">
      <c r="F286" s="40" t="s">
        <v>4157</v>
      </c>
      <c r="G286" s="40" t="s">
        <v>4158</v>
      </c>
      <c r="H286" s="40" t="s">
        <v>553</v>
      </c>
      <c r="I286" s="40" t="s">
        <v>6853</v>
      </c>
      <c r="J286" s="140" t="s">
        <v>4160</v>
      </c>
      <c r="K286" s="141">
        <v>3300010912</v>
      </c>
      <c r="L286" s="141" t="s">
        <v>4161</v>
      </c>
      <c r="M286" s="141">
        <v>2119261</v>
      </c>
      <c r="N286" s="141">
        <v>2115659</v>
      </c>
      <c r="O286" s="142"/>
      <c r="P286" s="142"/>
      <c r="Q286" s="142"/>
      <c r="R286" s="142"/>
      <c r="S286" s="142"/>
      <c r="T286" s="141" t="s">
        <v>4162</v>
      </c>
      <c r="V286" s="43" t="s">
        <v>553</v>
      </c>
      <c r="AF286" s="42">
        <v>2103487</v>
      </c>
      <c r="AG286" s="42" t="s">
        <v>6528</v>
      </c>
    </row>
    <row r="287" spans="6:33" ht="15.75" customHeight="1">
      <c r="F287" s="40" t="s">
        <v>2262</v>
      </c>
      <c r="G287" s="40" t="s">
        <v>2263</v>
      </c>
      <c r="H287" s="40" t="s">
        <v>564</v>
      </c>
      <c r="I287" s="40" t="s">
        <v>6851</v>
      </c>
      <c r="J287" s="140">
        <v>3300009766</v>
      </c>
      <c r="K287" s="141" t="s">
        <v>2264</v>
      </c>
      <c r="L287" s="141" t="s">
        <v>6631</v>
      </c>
      <c r="M287" s="141"/>
      <c r="N287" s="141"/>
      <c r="O287" s="142"/>
      <c r="P287" s="142"/>
      <c r="Q287" s="142"/>
      <c r="R287" s="142"/>
      <c r="S287" s="142"/>
      <c r="T287" s="141" t="s">
        <v>2265</v>
      </c>
      <c r="V287" s="43" t="s">
        <v>763</v>
      </c>
      <c r="AF287" s="42">
        <v>2103488</v>
      </c>
      <c r="AG287" s="42" t="s">
        <v>6528</v>
      </c>
    </row>
    <row r="288" spans="6:33" ht="15.75" customHeight="1">
      <c r="F288" s="40" t="s">
        <v>8434</v>
      </c>
      <c r="G288" s="40" t="s">
        <v>8482</v>
      </c>
      <c r="H288" s="40" t="s">
        <v>553</v>
      </c>
      <c r="I288" s="40" t="s">
        <v>6853</v>
      </c>
      <c r="J288" s="140" t="s">
        <v>8527</v>
      </c>
      <c r="K288" s="141" t="s">
        <v>5454</v>
      </c>
      <c r="L288" s="141">
        <v>2103527</v>
      </c>
      <c r="M288" s="141">
        <v>2141098</v>
      </c>
      <c r="N288" s="141" t="s">
        <v>8528</v>
      </c>
      <c r="O288" s="142"/>
      <c r="P288" s="142"/>
      <c r="Q288" s="142"/>
      <c r="R288" s="142"/>
      <c r="S288" s="142"/>
      <c r="T288" s="141" t="s">
        <v>8590</v>
      </c>
      <c r="V288" s="43" t="s">
        <v>8604</v>
      </c>
      <c r="AF288" s="42">
        <v>2103491</v>
      </c>
      <c r="AG288" s="42" t="s">
        <v>6528</v>
      </c>
    </row>
    <row r="289" spans="6:33" ht="15.75" customHeight="1">
      <c r="F289" s="40" t="s">
        <v>6232</v>
      </c>
      <c r="G289" s="40" t="s">
        <v>6233</v>
      </c>
      <c r="H289" s="40" t="s">
        <v>8208</v>
      </c>
      <c r="I289" s="40" t="s">
        <v>6850</v>
      </c>
      <c r="J289" s="140" t="s">
        <v>6235</v>
      </c>
      <c r="K289" s="141">
        <v>2096037</v>
      </c>
      <c r="L289" s="141" t="s">
        <v>6236</v>
      </c>
      <c r="M289" s="141">
        <v>3300009539</v>
      </c>
      <c r="N289" s="141"/>
      <c r="O289" s="142"/>
      <c r="P289" s="142"/>
      <c r="Q289" s="142"/>
      <c r="R289" s="142"/>
      <c r="S289" s="142"/>
      <c r="T289" s="141" t="s">
        <v>6237</v>
      </c>
      <c r="V289" s="43" t="s">
        <v>3277</v>
      </c>
      <c r="AF289" s="42">
        <v>2103493</v>
      </c>
      <c r="AG289" s="42" t="s">
        <v>6528</v>
      </c>
    </row>
    <row r="290" spans="6:33" ht="15.75" customHeight="1">
      <c r="F290" s="40" t="s">
        <v>1235</v>
      </c>
      <c r="G290" s="40" t="s">
        <v>1236</v>
      </c>
      <c r="H290" s="40" t="s">
        <v>564</v>
      </c>
      <c r="I290" s="40" t="s">
        <v>6851</v>
      </c>
      <c r="J290" s="140" t="s">
        <v>1238</v>
      </c>
      <c r="K290" s="141">
        <v>2116246</v>
      </c>
      <c r="L290" s="141" t="s">
        <v>1239</v>
      </c>
      <c r="M290" s="141">
        <v>3300009469</v>
      </c>
      <c r="N290" s="141">
        <v>2177358</v>
      </c>
      <c r="O290" s="142"/>
      <c r="P290" s="142"/>
      <c r="Q290" s="142"/>
      <c r="R290" s="142"/>
      <c r="S290" s="142"/>
      <c r="T290" s="141" t="s">
        <v>1240</v>
      </c>
      <c r="V290" s="43" t="s">
        <v>703</v>
      </c>
      <c r="AF290" s="42">
        <v>2103495</v>
      </c>
      <c r="AG290" s="42" t="s">
        <v>6528</v>
      </c>
    </row>
    <row r="291" spans="6:33" ht="15.75" customHeight="1">
      <c r="F291" s="40" t="s">
        <v>1242</v>
      </c>
      <c r="G291" s="40" t="s">
        <v>1243</v>
      </c>
      <c r="H291" s="36" t="s">
        <v>564</v>
      </c>
      <c r="I291" s="40" t="s">
        <v>6851</v>
      </c>
      <c r="J291" s="138">
        <v>2183479</v>
      </c>
      <c r="K291" s="139">
        <v>3300011819</v>
      </c>
      <c r="L291" s="139" t="s">
        <v>7013</v>
      </c>
      <c r="M291" s="141"/>
      <c r="N291" s="141"/>
      <c r="O291" s="142"/>
      <c r="P291" s="142"/>
      <c r="Q291" s="142"/>
      <c r="R291" s="142"/>
      <c r="S291" s="142"/>
      <c r="T291" s="139" t="s">
        <v>6817</v>
      </c>
      <c r="V291" s="43" t="s">
        <v>703</v>
      </c>
      <c r="AF291" s="42">
        <v>2103496</v>
      </c>
      <c r="AG291" s="42" t="s">
        <v>6528</v>
      </c>
    </row>
    <row r="292" spans="6:33" ht="15.75" customHeight="1">
      <c r="F292" s="40" t="s">
        <v>6982</v>
      </c>
      <c r="G292" s="40" t="s">
        <v>6988</v>
      </c>
      <c r="H292" s="40" t="s">
        <v>564</v>
      </c>
      <c r="I292" s="40" t="s">
        <v>6851</v>
      </c>
      <c r="J292" s="140">
        <v>2084108</v>
      </c>
      <c r="K292" s="141">
        <v>3300010087</v>
      </c>
      <c r="L292" s="141">
        <v>5100162</v>
      </c>
      <c r="M292" s="141" t="s">
        <v>6997</v>
      </c>
      <c r="N292" s="141" t="s">
        <v>8009</v>
      </c>
      <c r="O292" s="142"/>
      <c r="P292" s="142"/>
      <c r="Q292" s="142"/>
      <c r="R292" s="142"/>
      <c r="S292" s="142"/>
      <c r="T292" s="141" t="s">
        <v>6548</v>
      </c>
      <c r="V292" s="43" t="s">
        <v>626</v>
      </c>
      <c r="AF292" s="42">
        <v>2103497</v>
      </c>
      <c r="AG292" s="42" t="s">
        <v>6528</v>
      </c>
    </row>
    <row r="293" spans="6:33" ht="15.75" customHeight="1">
      <c r="F293" s="40" t="s">
        <v>4164</v>
      </c>
      <c r="G293" s="40" t="s">
        <v>4165</v>
      </c>
      <c r="H293" s="40" t="s">
        <v>553</v>
      </c>
      <c r="I293" s="40" t="s">
        <v>6853</v>
      </c>
      <c r="J293" s="140">
        <v>3300009555</v>
      </c>
      <c r="K293" s="141" t="s">
        <v>4166</v>
      </c>
      <c r="L293" s="141">
        <v>2177142</v>
      </c>
      <c r="M293" s="141"/>
      <c r="N293" s="141"/>
      <c r="O293" s="142"/>
      <c r="P293" s="142"/>
      <c r="Q293" s="142"/>
      <c r="R293" s="142"/>
      <c r="S293" s="142"/>
      <c r="T293" s="141" t="s">
        <v>4167</v>
      </c>
      <c r="V293" s="43" t="s">
        <v>553</v>
      </c>
      <c r="AF293" s="42">
        <v>2103498</v>
      </c>
      <c r="AG293" s="42" t="s">
        <v>6528</v>
      </c>
    </row>
    <row r="294" spans="6:33" ht="15.75" customHeight="1">
      <c r="F294" s="40" t="s">
        <v>2084</v>
      </c>
      <c r="G294" s="40" t="s">
        <v>2085</v>
      </c>
      <c r="H294" s="40" t="s">
        <v>564</v>
      </c>
      <c r="I294" s="40" t="s">
        <v>6851</v>
      </c>
      <c r="J294" s="138" t="s">
        <v>2086</v>
      </c>
      <c r="K294" s="141">
        <v>2119195</v>
      </c>
      <c r="L294" s="141">
        <v>3300012814</v>
      </c>
      <c r="M294" s="141" t="s">
        <v>2087</v>
      </c>
      <c r="N294" s="139" t="s">
        <v>2434</v>
      </c>
      <c r="O294" s="142"/>
      <c r="P294" s="142"/>
      <c r="Q294" s="142"/>
      <c r="R294" s="142"/>
      <c r="S294" s="142"/>
      <c r="T294" s="141" t="s">
        <v>6809</v>
      </c>
      <c r="V294" s="43" t="s">
        <v>768</v>
      </c>
      <c r="AF294" s="42">
        <v>2103499</v>
      </c>
      <c r="AG294" s="42" t="s">
        <v>6528</v>
      </c>
    </row>
    <row r="295" spans="6:33" ht="15.75" customHeight="1">
      <c r="F295" s="40" t="s">
        <v>8635</v>
      </c>
      <c r="G295" s="40" t="s">
        <v>1438</v>
      </c>
      <c r="H295" s="40" t="s">
        <v>564</v>
      </c>
      <c r="I295" s="40" t="s">
        <v>6851</v>
      </c>
      <c r="J295" s="140">
        <v>2138664</v>
      </c>
      <c r="K295" s="141" t="s">
        <v>3102</v>
      </c>
      <c r="L295" s="141" t="s">
        <v>7523</v>
      </c>
      <c r="M295" s="141">
        <v>2150981</v>
      </c>
      <c r="N295" s="141">
        <v>2177686</v>
      </c>
      <c r="O295" s="142"/>
      <c r="P295" s="142"/>
      <c r="Q295" s="142"/>
      <c r="R295" s="142"/>
      <c r="S295" s="142"/>
      <c r="T295" s="141" t="s">
        <v>7566</v>
      </c>
      <c r="V295" s="43" t="s">
        <v>805</v>
      </c>
      <c r="AF295" s="42">
        <v>2103500</v>
      </c>
      <c r="AG295" s="42" t="s">
        <v>6528</v>
      </c>
    </row>
    <row r="296" spans="6:33" ht="15.75" customHeight="1">
      <c r="F296" s="40" t="s">
        <v>8634</v>
      </c>
      <c r="G296" s="40" t="s">
        <v>1438</v>
      </c>
      <c r="H296" s="40" t="s">
        <v>566</v>
      </c>
      <c r="I296" s="40" t="s">
        <v>6851</v>
      </c>
      <c r="J296" s="140" t="s">
        <v>1440</v>
      </c>
      <c r="K296" s="141">
        <v>3400002976</v>
      </c>
      <c r="L296" s="141" t="s">
        <v>1441</v>
      </c>
      <c r="M296" s="141">
        <v>2199644</v>
      </c>
      <c r="N296" s="141">
        <v>3300012808</v>
      </c>
      <c r="O296" s="142"/>
      <c r="P296" s="142"/>
      <c r="Q296" s="142"/>
      <c r="R296" s="142"/>
      <c r="S296" s="142"/>
      <c r="T296" s="141" t="s">
        <v>1442</v>
      </c>
      <c r="V296" s="43" t="s">
        <v>566</v>
      </c>
      <c r="AF296" s="42">
        <v>2103501</v>
      </c>
      <c r="AG296" s="42" t="s">
        <v>6528</v>
      </c>
    </row>
    <row r="297" spans="6:33" ht="15.75" customHeight="1">
      <c r="F297" s="40" t="s">
        <v>7023</v>
      </c>
      <c r="G297" s="40" t="s">
        <v>7027</v>
      </c>
      <c r="H297" s="40" t="s">
        <v>6841</v>
      </c>
      <c r="I297" s="40" t="s">
        <v>6852</v>
      </c>
      <c r="J297" s="140">
        <v>2081968</v>
      </c>
      <c r="K297" s="141" t="s">
        <v>911</v>
      </c>
      <c r="L297" s="141">
        <v>2119277</v>
      </c>
      <c r="M297" s="141"/>
      <c r="N297" s="141"/>
      <c r="O297" s="142"/>
      <c r="P297" s="142"/>
      <c r="Q297" s="142"/>
      <c r="R297" s="142"/>
      <c r="S297" s="142"/>
      <c r="T297" s="141" t="s">
        <v>6541</v>
      </c>
      <c r="V297" s="43" t="s">
        <v>598</v>
      </c>
      <c r="AF297" s="42">
        <v>2103502</v>
      </c>
      <c r="AG297" s="42" t="s">
        <v>6528</v>
      </c>
    </row>
    <row r="298" spans="6:33" ht="15.75" customHeight="1">
      <c r="F298" s="40" t="s">
        <v>8435</v>
      </c>
      <c r="G298" s="40" t="s">
        <v>8483</v>
      </c>
      <c r="H298" s="40" t="s">
        <v>8208</v>
      </c>
      <c r="I298" s="40" t="s">
        <v>6850</v>
      </c>
      <c r="J298" s="140">
        <v>2117097</v>
      </c>
      <c r="K298" s="141" t="s">
        <v>8529</v>
      </c>
      <c r="L298" s="141">
        <v>2141091</v>
      </c>
      <c r="M298" s="141">
        <v>5042770</v>
      </c>
      <c r="N298" s="141" t="s">
        <v>4422</v>
      </c>
      <c r="O298" s="142"/>
      <c r="P298" s="142"/>
      <c r="Q298" s="142"/>
      <c r="R298" s="142"/>
      <c r="S298" s="142"/>
      <c r="T298" s="141">
        <v>51600032</v>
      </c>
      <c r="V298" s="43" t="s">
        <v>7412</v>
      </c>
      <c r="AF298" s="42">
        <v>2103503</v>
      </c>
      <c r="AG298" s="42" t="s">
        <v>6528</v>
      </c>
    </row>
    <row r="299" spans="6:33" ht="15.75" customHeight="1">
      <c r="F299" s="40" t="s">
        <v>5387</v>
      </c>
      <c r="G299" s="40" t="s">
        <v>5388</v>
      </c>
      <c r="H299" s="40" t="s">
        <v>761</v>
      </c>
      <c r="I299" s="40" t="s">
        <v>6848</v>
      </c>
      <c r="J299" s="140">
        <v>2114781</v>
      </c>
      <c r="K299" s="141">
        <v>5001464</v>
      </c>
      <c r="L299" s="141"/>
      <c r="M299" s="141"/>
      <c r="N299" s="141"/>
      <c r="O299" s="142"/>
      <c r="P299" s="142"/>
      <c r="Q299" s="142"/>
      <c r="R299" s="142"/>
      <c r="S299" s="142"/>
      <c r="T299" s="141" t="s">
        <v>5389</v>
      </c>
      <c r="V299" s="43" t="s">
        <v>584</v>
      </c>
      <c r="AF299" s="42">
        <v>2103508</v>
      </c>
      <c r="AG299" s="42" t="s">
        <v>6528</v>
      </c>
    </row>
    <row r="300" spans="6:33" ht="15.75" customHeight="1">
      <c r="F300" s="40" t="s">
        <v>8295</v>
      </c>
      <c r="G300" s="40" t="s">
        <v>8313</v>
      </c>
      <c r="H300" s="40" t="s">
        <v>8208</v>
      </c>
      <c r="I300" s="40" t="s">
        <v>6850</v>
      </c>
      <c r="J300" s="138">
        <v>2236049</v>
      </c>
      <c r="K300" s="139">
        <v>5014442</v>
      </c>
      <c r="L300" s="139">
        <v>3300002992</v>
      </c>
      <c r="M300" s="141" t="s">
        <v>1026</v>
      </c>
      <c r="N300" s="141"/>
      <c r="O300" s="142"/>
      <c r="P300" s="142"/>
      <c r="Q300" s="142"/>
      <c r="R300" s="142"/>
      <c r="S300" s="142"/>
      <c r="T300" s="139" t="s">
        <v>8213</v>
      </c>
      <c r="V300" s="43" t="s">
        <v>687</v>
      </c>
      <c r="AF300" s="42">
        <v>2103511</v>
      </c>
      <c r="AG300" s="42" t="s">
        <v>6528</v>
      </c>
    </row>
    <row r="301" spans="6:33" ht="15.75" customHeight="1">
      <c r="F301" s="40" t="s">
        <v>7685</v>
      </c>
      <c r="G301" s="40" t="s">
        <v>7850</v>
      </c>
      <c r="H301" s="40" t="s">
        <v>8208</v>
      </c>
      <c r="I301" s="40" t="s">
        <v>6850</v>
      </c>
      <c r="J301" s="140">
        <v>2191145</v>
      </c>
      <c r="K301" s="141">
        <v>5053823</v>
      </c>
      <c r="L301" s="141">
        <v>3300011195</v>
      </c>
      <c r="M301" s="141"/>
      <c r="N301" s="141"/>
      <c r="O301" s="142"/>
      <c r="P301" s="142"/>
      <c r="Q301" s="142"/>
      <c r="R301" s="142"/>
      <c r="S301" s="142"/>
      <c r="T301" s="141">
        <v>11500026</v>
      </c>
      <c r="V301" s="43" t="s">
        <v>6434</v>
      </c>
      <c r="AF301" s="42">
        <v>2103512</v>
      </c>
      <c r="AG301" s="42" t="s">
        <v>6528</v>
      </c>
    </row>
    <row r="302" spans="6:33" ht="15.75" customHeight="1">
      <c r="F302" s="40" t="s">
        <v>3639</v>
      </c>
      <c r="G302" s="40" t="s">
        <v>3640</v>
      </c>
      <c r="H302" s="40" t="s">
        <v>8513</v>
      </c>
      <c r="I302" s="40" t="s">
        <v>6853</v>
      </c>
      <c r="J302" s="140">
        <v>2183539</v>
      </c>
      <c r="K302" s="141" t="s">
        <v>3641</v>
      </c>
      <c r="L302" s="141">
        <v>3300005170</v>
      </c>
      <c r="M302" s="141"/>
      <c r="N302" s="141"/>
      <c r="O302" s="142"/>
      <c r="P302" s="142"/>
      <c r="Q302" s="142"/>
      <c r="R302" s="142"/>
      <c r="S302" s="142"/>
      <c r="T302" s="141" t="s">
        <v>3642</v>
      </c>
      <c r="V302" s="43" t="s">
        <v>560</v>
      </c>
      <c r="AF302" s="42">
        <v>2103519</v>
      </c>
      <c r="AG302" s="42" t="s">
        <v>6528</v>
      </c>
    </row>
    <row r="303" spans="6:33" ht="15.75" customHeight="1">
      <c r="F303" s="40" t="s">
        <v>3140</v>
      </c>
      <c r="G303" s="40" t="s">
        <v>3141</v>
      </c>
      <c r="H303" s="40" t="s">
        <v>6841</v>
      </c>
      <c r="I303" s="40" t="s">
        <v>6852</v>
      </c>
      <c r="J303" s="140"/>
      <c r="K303" s="141" t="s">
        <v>3142</v>
      </c>
      <c r="L303" s="141">
        <v>3300003617</v>
      </c>
      <c r="M303" s="141">
        <v>2171921</v>
      </c>
      <c r="N303" s="141"/>
      <c r="O303" s="142"/>
      <c r="P303" s="142"/>
      <c r="Q303" s="142"/>
      <c r="R303" s="142"/>
      <c r="S303" s="142"/>
      <c r="T303" s="141" t="s">
        <v>3143</v>
      </c>
      <c r="V303" s="43" t="s">
        <v>656</v>
      </c>
      <c r="AF303" s="42">
        <v>2103520</v>
      </c>
      <c r="AG303" s="42" t="s">
        <v>6528</v>
      </c>
    </row>
    <row r="304" spans="6:33" ht="15.75" customHeight="1">
      <c r="F304" s="40" t="s">
        <v>5276</v>
      </c>
      <c r="G304" s="40" t="s">
        <v>5277</v>
      </c>
      <c r="H304" s="40" t="s">
        <v>761</v>
      </c>
      <c r="I304" s="40" t="s">
        <v>6848</v>
      </c>
      <c r="J304" s="140" t="s">
        <v>5280</v>
      </c>
      <c r="K304" s="141" t="s">
        <v>5281</v>
      </c>
      <c r="L304" s="141" t="s">
        <v>5282</v>
      </c>
      <c r="M304" s="141">
        <v>3300003009</v>
      </c>
      <c r="N304" s="141" t="s">
        <v>5283</v>
      </c>
      <c r="O304" s="142"/>
      <c r="P304" s="142"/>
      <c r="Q304" s="142"/>
      <c r="R304" s="142"/>
      <c r="S304" s="142"/>
      <c r="T304" s="141" t="s">
        <v>5284</v>
      </c>
      <c r="V304" s="43" t="s">
        <v>5279</v>
      </c>
      <c r="AF304" s="42">
        <v>2103522</v>
      </c>
      <c r="AG304" s="42" t="s">
        <v>6528</v>
      </c>
    </row>
    <row r="305" spans="6:33" ht="15.75" customHeight="1">
      <c r="F305" s="40" t="s">
        <v>8436</v>
      </c>
      <c r="G305" s="40" t="s">
        <v>8484</v>
      </c>
      <c r="H305" s="40" t="s">
        <v>6841</v>
      </c>
      <c r="I305" s="40" t="s">
        <v>6852</v>
      </c>
      <c r="J305" s="140">
        <v>2201194</v>
      </c>
      <c r="K305" s="141" t="s">
        <v>8530</v>
      </c>
      <c r="L305" s="141">
        <v>5104332</v>
      </c>
      <c r="M305" s="141">
        <v>2141082</v>
      </c>
      <c r="N305" s="141" t="s">
        <v>8531</v>
      </c>
      <c r="O305" s="142"/>
      <c r="P305" s="142"/>
      <c r="Q305" s="142"/>
      <c r="R305" s="142"/>
      <c r="S305" s="142"/>
      <c r="T305" s="141" t="s">
        <v>7586</v>
      </c>
      <c r="V305" s="43" t="s">
        <v>683</v>
      </c>
      <c r="AF305" s="42">
        <v>2103523</v>
      </c>
      <c r="AG305" s="42" t="s">
        <v>6528</v>
      </c>
    </row>
    <row r="306" spans="6:33" ht="15.75" customHeight="1">
      <c r="F306" s="40" t="s">
        <v>7686</v>
      </c>
      <c r="G306" s="40" t="s">
        <v>7851</v>
      </c>
      <c r="H306" s="40" t="s">
        <v>6841</v>
      </c>
      <c r="I306" s="40" t="s">
        <v>6852</v>
      </c>
      <c r="J306" s="140">
        <v>2096058</v>
      </c>
      <c r="K306" s="141">
        <v>2226098</v>
      </c>
      <c r="L306" s="141">
        <v>5049681</v>
      </c>
      <c r="M306" s="141" t="s">
        <v>8010</v>
      </c>
      <c r="N306" s="141"/>
      <c r="O306" s="142"/>
      <c r="P306" s="142"/>
      <c r="Q306" s="142"/>
      <c r="R306" s="142"/>
      <c r="S306" s="142"/>
      <c r="T306" s="141" t="s">
        <v>6605</v>
      </c>
      <c r="V306" s="43" t="s">
        <v>545</v>
      </c>
      <c r="AF306" s="42">
        <v>2103524</v>
      </c>
      <c r="AG306" s="42" t="s">
        <v>6528</v>
      </c>
    </row>
    <row r="307" spans="6:33" ht="15.75" customHeight="1">
      <c r="F307" s="40" t="s">
        <v>3765</v>
      </c>
      <c r="G307" s="40" t="s">
        <v>56</v>
      </c>
      <c r="H307" s="40" t="s">
        <v>553</v>
      </c>
      <c r="I307" s="40" t="s">
        <v>6853</v>
      </c>
      <c r="J307" s="140" t="s">
        <v>3767</v>
      </c>
      <c r="K307" s="141" t="s">
        <v>3768</v>
      </c>
      <c r="L307" s="141">
        <v>2183541</v>
      </c>
      <c r="M307" s="141">
        <v>3300002821</v>
      </c>
      <c r="N307" s="141">
        <v>1744534</v>
      </c>
      <c r="O307" s="142"/>
      <c r="P307" s="142"/>
      <c r="Q307" s="142"/>
      <c r="R307" s="142"/>
      <c r="S307" s="142"/>
      <c r="T307" s="141" t="s">
        <v>3769</v>
      </c>
      <c r="V307" s="43" t="s">
        <v>716</v>
      </c>
      <c r="AF307" s="42">
        <v>2103526</v>
      </c>
      <c r="AG307" s="42" t="s">
        <v>6528</v>
      </c>
    </row>
    <row r="308" spans="6:33" ht="15.75" customHeight="1">
      <c r="F308" s="40" t="s">
        <v>1050</v>
      </c>
      <c r="G308" s="40" t="s">
        <v>1051</v>
      </c>
      <c r="H308" s="40" t="s">
        <v>564</v>
      </c>
      <c r="I308" s="40" t="s">
        <v>6851</v>
      </c>
      <c r="J308" s="140">
        <v>2172028</v>
      </c>
      <c r="K308" s="141">
        <v>3300001663</v>
      </c>
      <c r="L308" s="141">
        <v>5049676</v>
      </c>
      <c r="M308" s="141" t="s">
        <v>1052</v>
      </c>
      <c r="N308" s="141" t="s">
        <v>1053</v>
      </c>
      <c r="O308" s="142"/>
      <c r="P308" s="142"/>
      <c r="Q308" s="142"/>
      <c r="R308" s="142"/>
      <c r="S308" s="142"/>
      <c r="T308" s="141" t="s">
        <v>1054</v>
      </c>
      <c r="V308" s="43" t="s">
        <v>574</v>
      </c>
      <c r="AF308" s="42">
        <v>2103527</v>
      </c>
      <c r="AG308" s="42" t="s">
        <v>6528</v>
      </c>
    </row>
    <row r="309" spans="6:33" ht="15.75" customHeight="1">
      <c r="F309" s="40" t="s">
        <v>5293</v>
      </c>
      <c r="G309" s="40" t="s">
        <v>5294</v>
      </c>
      <c r="H309" s="40" t="s">
        <v>761</v>
      </c>
      <c r="I309" s="40" t="s">
        <v>6848</v>
      </c>
      <c r="J309" s="140" t="s">
        <v>5296</v>
      </c>
      <c r="K309" s="141">
        <v>2103888</v>
      </c>
      <c r="L309" s="141" t="s">
        <v>5297</v>
      </c>
      <c r="M309" s="141">
        <v>2084131</v>
      </c>
      <c r="N309" s="141">
        <v>2086992</v>
      </c>
      <c r="O309" s="142"/>
      <c r="P309" s="142"/>
      <c r="Q309" s="142"/>
      <c r="R309" s="142"/>
      <c r="S309" s="142"/>
      <c r="T309" s="141" t="s">
        <v>5298</v>
      </c>
      <c r="V309" s="43" t="s">
        <v>5032</v>
      </c>
      <c r="AF309" s="42">
        <v>2103528</v>
      </c>
      <c r="AG309" s="42" t="s">
        <v>6528</v>
      </c>
    </row>
    <row r="310" spans="6:33" ht="15.75" customHeight="1">
      <c r="F310" s="40" t="s">
        <v>4457</v>
      </c>
      <c r="G310" s="40" t="s">
        <v>4458</v>
      </c>
      <c r="H310" s="40" t="s">
        <v>761</v>
      </c>
      <c r="I310" s="40" t="s">
        <v>6848</v>
      </c>
      <c r="J310" s="140">
        <v>2103725</v>
      </c>
      <c r="K310" s="141" t="s">
        <v>4459</v>
      </c>
      <c r="L310" s="141">
        <v>5050422</v>
      </c>
      <c r="M310" s="141">
        <v>3300016523</v>
      </c>
      <c r="N310" s="141"/>
      <c r="O310" s="142"/>
      <c r="P310" s="142"/>
      <c r="Q310" s="142"/>
      <c r="R310" s="142"/>
      <c r="S310" s="142"/>
      <c r="T310" s="141" t="s">
        <v>4460</v>
      </c>
      <c r="V310" s="43" t="s">
        <v>655</v>
      </c>
      <c r="AF310" s="42">
        <v>2103529</v>
      </c>
      <c r="AG310" s="42" t="s">
        <v>6528</v>
      </c>
    </row>
    <row r="311" spans="6:33" ht="15.75" customHeight="1">
      <c r="F311" s="40" t="s">
        <v>7687</v>
      </c>
      <c r="G311" s="40" t="s">
        <v>7852</v>
      </c>
      <c r="H311" s="40" t="s">
        <v>8208</v>
      </c>
      <c r="I311" s="40" t="s">
        <v>6850</v>
      </c>
      <c r="J311" s="140">
        <v>2117489</v>
      </c>
      <c r="K311" s="141">
        <v>3300001637</v>
      </c>
      <c r="L311" s="141">
        <v>5038121</v>
      </c>
      <c r="M311" s="141" t="s">
        <v>8011</v>
      </c>
      <c r="N311" s="141"/>
      <c r="O311" s="142"/>
      <c r="P311" s="142"/>
      <c r="Q311" s="142"/>
      <c r="R311" s="142"/>
      <c r="S311" s="142"/>
      <c r="T311" s="141">
        <v>51300103</v>
      </c>
      <c r="V311" s="43" t="s">
        <v>687</v>
      </c>
      <c r="AF311" s="42">
        <v>2103530</v>
      </c>
      <c r="AG311" s="42" t="s">
        <v>6528</v>
      </c>
    </row>
    <row r="312" spans="6:33" ht="15.75" customHeight="1">
      <c r="F312" s="40" t="s">
        <v>2430</v>
      </c>
      <c r="G312" s="40" t="s">
        <v>2431</v>
      </c>
      <c r="H312" s="40" t="s">
        <v>670</v>
      </c>
      <c r="I312" s="40" t="s">
        <v>6849</v>
      </c>
      <c r="J312" s="140">
        <v>2096467</v>
      </c>
      <c r="K312" s="141" t="s">
        <v>7329</v>
      </c>
      <c r="L312" s="141">
        <v>5070898</v>
      </c>
      <c r="M312" s="141">
        <v>3300009823</v>
      </c>
      <c r="N312" s="141">
        <v>5050464</v>
      </c>
      <c r="O312" s="142"/>
      <c r="P312" s="142"/>
      <c r="Q312" s="142"/>
      <c r="R312" s="142"/>
      <c r="S312" s="142"/>
      <c r="T312" s="141" t="s">
        <v>2435</v>
      </c>
      <c r="V312" s="43" t="s">
        <v>612</v>
      </c>
      <c r="AF312" s="42">
        <v>2103532</v>
      </c>
      <c r="AG312" s="42" t="s">
        <v>6528</v>
      </c>
    </row>
    <row r="313" spans="6:33" ht="15.75" customHeight="1">
      <c r="F313" s="40" t="s">
        <v>2637</v>
      </c>
      <c r="G313" s="40" t="s">
        <v>34</v>
      </c>
      <c r="H313" s="40" t="s">
        <v>670</v>
      </c>
      <c r="I313" s="40" t="s">
        <v>6849</v>
      </c>
      <c r="J313" s="138">
        <v>5031866</v>
      </c>
      <c r="K313" s="139">
        <v>2228730</v>
      </c>
      <c r="L313" s="139">
        <v>2119284</v>
      </c>
      <c r="M313" s="139">
        <v>2171927</v>
      </c>
      <c r="N313" s="141" t="s">
        <v>2641</v>
      </c>
      <c r="O313" s="142"/>
      <c r="P313" s="142"/>
      <c r="Q313" s="142"/>
      <c r="R313" s="142"/>
      <c r="S313" s="142"/>
      <c r="T313" s="139" t="s">
        <v>6788</v>
      </c>
      <c r="V313" s="43" t="s">
        <v>2639</v>
      </c>
      <c r="AF313" s="42">
        <v>2103533</v>
      </c>
      <c r="AG313" s="42" t="s">
        <v>6528</v>
      </c>
    </row>
    <row r="314" spans="6:33" ht="15.75" customHeight="1">
      <c r="F314" s="40" t="s">
        <v>3548</v>
      </c>
      <c r="G314" s="40" t="s">
        <v>3549</v>
      </c>
      <c r="H314" s="40" t="s">
        <v>6841</v>
      </c>
      <c r="I314" s="40" t="s">
        <v>6852</v>
      </c>
      <c r="J314" s="140">
        <v>5050440</v>
      </c>
      <c r="K314" s="141" t="s">
        <v>7234</v>
      </c>
      <c r="L314" s="141">
        <v>2103915</v>
      </c>
      <c r="M314" s="141">
        <v>2226071</v>
      </c>
      <c r="N314" s="141"/>
      <c r="O314" s="142"/>
      <c r="P314" s="142"/>
      <c r="Q314" s="142"/>
      <c r="R314" s="142"/>
      <c r="S314" s="142"/>
      <c r="T314" s="141" t="s">
        <v>6796</v>
      </c>
      <c r="V314" s="43" t="s">
        <v>748</v>
      </c>
      <c r="AF314" s="42">
        <v>2103543</v>
      </c>
      <c r="AG314" s="42" t="s">
        <v>6528</v>
      </c>
    </row>
    <row r="315" spans="6:33" ht="15.75" customHeight="1">
      <c r="F315" s="40" t="s">
        <v>4493</v>
      </c>
      <c r="G315" s="40" t="s">
        <v>4494</v>
      </c>
      <c r="H315" s="40" t="s">
        <v>761</v>
      </c>
      <c r="I315" s="40" t="s">
        <v>6848</v>
      </c>
      <c r="J315" s="138">
        <v>1721270</v>
      </c>
      <c r="K315" s="139">
        <v>2182988</v>
      </c>
      <c r="L315" s="141" t="s">
        <v>3664</v>
      </c>
      <c r="M315" s="141">
        <v>2171969</v>
      </c>
      <c r="N315" s="141">
        <v>3300008151</v>
      </c>
      <c r="O315" s="142"/>
      <c r="P315" s="142"/>
      <c r="Q315" s="142"/>
      <c r="R315" s="142"/>
      <c r="S315" s="142"/>
      <c r="T315" s="139" t="s">
        <v>4496</v>
      </c>
      <c r="V315" s="43" t="s">
        <v>599</v>
      </c>
      <c r="AF315" s="42">
        <v>2103546</v>
      </c>
      <c r="AG315" s="42" t="s">
        <v>6528</v>
      </c>
    </row>
    <row r="316" spans="6:33" ht="15.75" customHeight="1">
      <c r="F316" s="40" t="s">
        <v>6300</v>
      </c>
      <c r="G316" s="40" t="s">
        <v>6301</v>
      </c>
      <c r="H316" s="40" t="s">
        <v>8208</v>
      </c>
      <c r="I316" s="40" t="s">
        <v>6850</v>
      </c>
      <c r="J316" s="140">
        <v>2117100</v>
      </c>
      <c r="K316" s="141">
        <v>5031898</v>
      </c>
      <c r="L316" s="141">
        <v>3300008143</v>
      </c>
      <c r="M316" s="141">
        <v>2116296</v>
      </c>
      <c r="N316" s="141"/>
      <c r="O316" s="142"/>
      <c r="P316" s="142"/>
      <c r="Q316" s="142"/>
      <c r="R316" s="142"/>
      <c r="S316" s="142"/>
      <c r="T316" s="141" t="s">
        <v>6304</v>
      </c>
      <c r="V316" s="43" t="s">
        <v>6303</v>
      </c>
      <c r="AF316" s="42">
        <v>2103551</v>
      </c>
      <c r="AG316" s="42" t="s">
        <v>6528</v>
      </c>
    </row>
    <row r="317" spans="6:33" ht="15.75" customHeight="1">
      <c r="F317" s="40" t="s">
        <v>1221</v>
      </c>
      <c r="G317" s="40" t="s">
        <v>1221</v>
      </c>
      <c r="H317" s="40" t="s">
        <v>564</v>
      </c>
      <c r="I317" s="40" t="s">
        <v>6851</v>
      </c>
      <c r="J317" s="138">
        <v>2103916</v>
      </c>
      <c r="K317" s="141">
        <v>3300004163</v>
      </c>
      <c r="L317" s="141">
        <v>5042651</v>
      </c>
      <c r="M317" s="139" t="s">
        <v>1224</v>
      </c>
      <c r="N317" s="141">
        <v>2117630</v>
      </c>
      <c r="O317" s="142"/>
      <c r="P317" s="142"/>
      <c r="Q317" s="142"/>
      <c r="R317" s="142"/>
      <c r="S317" s="142"/>
      <c r="T317" s="141" t="s">
        <v>1225</v>
      </c>
      <c r="V317" s="43" t="s">
        <v>1223</v>
      </c>
      <c r="AF317" s="42">
        <v>2103574</v>
      </c>
      <c r="AG317" s="42" t="s">
        <v>6528</v>
      </c>
    </row>
    <row r="318" spans="6:33" ht="15.75" customHeight="1">
      <c r="F318" s="40" t="s">
        <v>4552</v>
      </c>
      <c r="G318" s="40" t="s">
        <v>4553</v>
      </c>
      <c r="H318" s="40" t="s">
        <v>761</v>
      </c>
      <c r="I318" s="40" t="s">
        <v>6848</v>
      </c>
      <c r="J318" s="140"/>
      <c r="K318" s="141" t="s">
        <v>4555</v>
      </c>
      <c r="L318" s="141">
        <v>2116274</v>
      </c>
      <c r="M318" s="141">
        <v>3300008159</v>
      </c>
      <c r="N318" s="141">
        <v>2116268</v>
      </c>
      <c r="O318" s="142"/>
      <c r="P318" s="142"/>
      <c r="Q318" s="142"/>
      <c r="R318" s="142"/>
      <c r="S318" s="142"/>
      <c r="T318" s="141" t="s">
        <v>4556</v>
      </c>
      <c r="V318" s="43" t="s">
        <v>776</v>
      </c>
      <c r="AF318" s="42">
        <v>2103582</v>
      </c>
      <c r="AG318" s="42" t="s">
        <v>6528</v>
      </c>
    </row>
    <row r="319" spans="6:33" ht="15.75" customHeight="1">
      <c r="F319" s="40" t="s">
        <v>6378</v>
      </c>
      <c r="G319" s="40" t="s">
        <v>49</v>
      </c>
      <c r="H319" s="40" t="s">
        <v>8208</v>
      </c>
      <c r="I319" s="40" t="s">
        <v>6850</v>
      </c>
      <c r="J319" s="140">
        <v>3300009163</v>
      </c>
      <c r="K319" s="141">
        <v>2117476</v>
      </c>
      <c r="L319" s="141">
        <v>5031849</v>
      </c>
      <c r="M319" s="141" t="s">
        <v>7235</v>
      </c>
      <c r="N319" s="141">
        <v>3300015853</v>
      </c>
      <c r="O319" s="142"/>
      <c r="P319" s="142"/>
      <c r="Q319" s="142"/>
      <c r="R319" s="142"/>
      <c r="S319" s="142"/>
      <c r="T319" s="141" t="s">
        <v>6380</v>
      </c>
      <c r="V319" s="43" t="s">
        <v>6379</v>
      </c>
      <c r="AF319" s="42">
        <v>2103591</v>
      </c>
      <c r="AG319" s="42" t="s">
        <v>6528</v>
      </c>
    </row>
    <row r="320" spans="6:33" ht="15.75" customHeight="1">
      <c r="F320" s="40" t="s">
        <v>6084</v>
      </c>
      <c r="G320" s="40" t="s">
        <v>6085</v>
      </c>
      <c r="H320" s="40" t="s">
        <v>8208</v>
      </c>
      <c r="I320" s="40" t="s">
        <v>6850</v>
      </c>
      <c r="J320" s="140">
        <v>5001476</v>
      </c>
      <c r="K320" s="141">
        <v>3300003015</v>
      </c>
      <c r="L320" s="141">
        <v>5001457</v>
      </c>
      <c r="M320" s="141" t="s">
        <v>6086</v>
      </c>
      <c r="N320" s="141">
        <v>2183590</v>
      </c>
      <c r="O320" s="142"/>
      <c r="P320" s="142"/>
      <c r="Q320" s="142"/>
      <c r="R320" s="142"/>
      <c r="S320" s="142"/>
      <c r="T320" s="141" t="s">
        <v>6087</v>
      </c>
      <c r="V320" s="43" t="s">
        <v>532</v>
      </c>
      <c r="AF320" s="42">
        <v>2103614</v>
      </c>
      <c r="AG320" s="42" t="s">
        <v>6528</v>
      </c>
    </row>
    <row r="321" spans="6:33" ht="15.75" customHeight="1">
      <c r="F321" s="40" t="s">
        <v>5997</v>
      </c>
      <c r="G321" s="40" t="s">
        <v>5998</v>
      </c>
      <c r="H321" s="40" t="s">
        <v>8208</v>
      </c>
      <c r="I321" s="40" t="s">
        <v>6850</v>
      </c>
      <c r="J321" s="140">
        <v>2117069</v>
      </c>
      <c r="K321" s="141">
        <v>5031905</v>
      </c>
      <c r="L321" s="141">
        <v>3300008145</v>
      </c>
      <c r="M321" s="141">
        <v>2116313</v>
      </c>
      <c r="N321" s="141"/>
      <c r="O321" s="142"/>
      <c r="P321" s="142"/>
      <c r="Q321" s="142"/>
      <c r="R321" s="142"/>
      <c r="S321" s="142"/>
      <c r="T321" s="141" t="s">
        <v>6000</v>
      </c>
      <c r="V321" s="43" t="s">
        <v>5992</v>
      </c>
      <c r="AF321" s="42">
        <v>2103634</v>
      </c>
      <c r="AG321" s="42" t="s">
        <v>6528</v>
      </c>
    </row>
    <row r="322" spans="6:33" ht="15.75" customHeight="1">
      <c r="F322" s="40" t="s">
        <v>7174</v>
      </c>
      <c r="G322" s="40" t="s">
        <v>7175</v>
      </c>
      <c r="H322" s="40" t="s">
        <v>8208</v>
      </c>
      <c r="I322" s="40" t="s">
        <v>6850</v>
      </c>
      <c r="J322" s="140">
        <v>2103886</v>
      </c>
      <c r="K322" s="141">
        <v>3300016059</v>
      </c>
      <c r="L322" s="141" t="s">
        <v>4506</v>
      </c>
      <c r="M322" s="141" t="s">
        <v>6628</v>
      </c>
      <c r="N322" s="141"/>
      <c r="O322" s="142"/>
      <c r="P322" s="142"/>
      <c r="Q322" s="142"/>
      <c r="R322" s="142"/>
      <c r="S322" s="142"/>
      <c r="T322" s="141" t="s">
        <v>7077</v>
      </c>
      <c r="V322" s="43" t="s">
        <v>747</v>
      </c>
      <c r="AF322" s="42">
        <v>2103651</v>
      </c>
      <c r="AG322" s="42" t="s">
        <v>6528</v>
      </c>
    </row>
    <row r="323" spans="6:33" ht="15.75" customHeight="1">
      <c r="F323" s="40" t="s">
        <v>4864</v>
      </c>
      <c r="G323" s="40" t="s">
        <v>4865</v>
      </c>
      <c r="H323" s="40" t="s">
        <v>761</v>
      </c>
      <c r="I323" s="40" t="s">
        <v>6848</v>
      </c>
      <c r="J323" s="140">
        <v>2183525</v>
      </c>
      <c r="K323" s="141">
        <v>5012469</v>
      </c>
      <c r="L323" s="141">
        <v>3300009772</v>
      </c>
      <c r="M323" s="141" t="s">
        <v>4867</v>
      </c>
      <c r="N323" s="141">
        <v>2114764</v>
      </c>
      <c r="O323" s="142"/>
      <c r="P323" s="142"/>
      <c r="Q323" s="142"/>
      <c r="R323" s="142"/>
      <c r="S323" s="142"/>
      <c r="T323" s="141" t="s">
        <v>4868</v>
      </c>
      <c r="V323" s="43" t="s">
        <v>4866</v>
      </c>
      <c r="AF323" s="42">
        <v>2103653</v>
      </c>
      <c r="AG323" s="42" t="s">
        <v>6528</v>
      </c>
    </row>
    <row r="324" spans="6:33" ht="15.75" customHeight="1">
      <c r="F324" s="40" t="s">
        <v>7688</v>
      </c>
      <c r="G324" s="40" t="s">
        <v>7853</v>
      </c>
      <c r="H324" s="40" t="s">
        <v>8208</v>
      </c>
      <c r="I324" s="40" t="s">
        <v>6850</v>
      </c>
      <c r="J324" s="140">
        <v>2081829</v>
      </c>
      <c r="K324" s="141">
        <v>2117387</v>
      </c>
      <c r="L324" s="141">
        <v>5038139</v>
      </c>
      <c r="M324" s="141">
        <v>3300002198</v>
      </c>
      <c r="N324" s="141" t="s">
        <v>8012</v>
      </c>
      <c r="O324" s="142"/>
      <c r="P324" s="142"/>
      <c r="Q324" s="142"/>
      <c r="R324" s="142"/>
      <c r="S324" s="142"/>
      <c r="T324" s="141">
        <v>71300090</v>
      </c>
      <c r="V324" s="43" t="s">
        <v>687</v>
      </c>
      <c r="AF324" s="42">
        <v>2103664</v>
      </c>
      <c r="AG324" s="42" t="s">
        <v>6528</v>
      </c>
    </row>
    <row r="325" spans="6:33" ht="15.75" customHeight="1">
      <c r="F325" s="40" t="s">
        <v>7448</v>
      </c>
      <c r="G325" s="40" t="s">
        <v>7449</v>
      </c>
      <c r="H325" s="43" t="s">
        <v>564</v>
      </c>
      <c r="I325" s="40" t="s">
        <v>6851</v>
      </c>
      <c r="J325" s="140">
        <v>2085777</v>
      </c>
      <c r="K325" s="141">
        <v>5097602</v>
      </c>
      <c r="L325" s="141">
        <v>3300016382</v>
      </c>
      <c r="M325" s="141" t="s">
        <v>7524</v>
      </c>
      <c r="N325" s="141">
        <v>2138670</v>
      </c>
      <c r="O325" s="142"/>
      <c r="P325" s="142"/>
      <c r="Q325" s="142"/>
      <c r="R325" s="142"/>
      <c r="S325" s="142"/>
      <c r="T325" s="141" t="s">
        <v>7567</v>
      </c>
      <c r="V325" s="43" t="s">
        <v>7594</v>
      </c>
      <c r="AF325" s="42">
        <v>2103666</v>
      </c>
      <c r="AG325" s="42" t="s">
        <v>6528</v>
      </c>
    </row>
    <row r="326" spans="6:33" ht="15.75" customHeight="1">
      <c r="F326" s="40" t="s">
        <v>7689</v>
      </c>
      <c r="G326" s="40" t="s">
        <v>7854</v>
      </c>
      <c r="H326" s="40" t="s">
        <v>8208</v>
      </c>
      <c r="I326" s="40" t="s">
        <v>6850</v>
      </c>
      <c r="J326" s="140">
        <v>2180495</v>
      </c>
      <c r="K326" s="141">
        <v>5050608</v>
      </c>
      <c r="L326" s="141" t="s">
        <v>8013</v>
      </c>
      <c r="M326" s="141"/>
      <c r="N326" s="141"/>
      <c r="O326" s="142"/>
      <c r="P326" s="142"/>
      <c r="Q326" s="142"/>
      <c r="R326" s="142"/>
      <c r="S326" s="142"/>
      <c r="T326" s="141">
        <v>121300119</v>
      </c>
      <c r="V326" s="43" t="s">
        <v>642</v>
      </c>
      <c r="AF326" s="42">
        <v>2103667</v>
      </c>
      <c r="AG326" s="42" t="s">
        <v>6528</v>
      </c>
    </row>
    <row r="327" spans="6:33" ht="15.75" customHeight="1">
      <c r="F327" s="40" t="s">
        <v>6028</v>
      </c>
      <c r="G327" s="40" t="s">
        <v>6029</v>
      </c>
      <c r="H327" s="40" t="s">
        <v>8208</v>
      </c>
      <c r="I327" s="40" t="s">
        <v>6850</v>
      </c>
      <c r="J327" s="140">
        <v>5059291</v>
      </c>
      <c r="K327" s="141">
        <v>3300009728</v>
      </c>
      <c r="L327" s="141">
        <v>2171982</v>
      </c>
      <c r="M327" s="141" t="s">
        <v>6030</v>
      </c>
      <c r="N327" s="141"/>
      <c r="O327" s="142"/>
      <c r="P327" s="142"/>
      <c r="Q327" s="142"/>
      <c r="R327" s="142"/>
      <c r="S327" s="142"/>
      <c r="T327" s="141" t="s">
        <v>6031</v>
      </c>
      <c r="V327" s="43" t="s">
        <v>642</v>
      </c>
      <c r="AF327" s="42">
        <v>2103668</v>
      </c>
      <c r="AG327" s="42" t="s">
        <v>6528</v>
      </c>
    </row>
    <row r="328" spans="6:33" ht="15.75" customHeight="1">
      <c r="F328" s="40" t="s">
        <v>5062</v>
      </c>
      <c r="G328" s="40" t="s">
        <v>5063</v>
      </c>
      <c r="H328" s="40" t="s">
        <v>761</v>
      </c>
      <c r="I328" s="40" t="s">
        <v>6848</v>
      </c>
      <c r="J328" s="140" t="s">
        <v>5065</v>
      </c>
      <c r="K328" s="141">
        <v>3300009773</v>
      </c>
      <c r="L328" s="141" t="s">
        <v>5066</v>
      </c>
      <c r="M328" s="141" t="s">
        <v>5067</v>
      </c>
      <c r="N328" s="141" t="s">
        <v>5068</v>
      </c>
      <c r="O328" s="142"/>
      <c r="P328" s="142"/>
      <c r="Q328" s="142"/>
      <c r="R328" s="142"/>
      <c r="S328" s="142"/>
      <c r="T328" s="141" t="s">
        <v>5069</v>
      </c>
      <c r="V328" s="43" t="s">
        <v>671</v>
      </c>
      <c r="AF328" s="42">
        <v>2103711</v>
      </c>
      <c r="AG328" s="42" t="s">
        <v>6528</v>
      </c>
    </row>
    <row r="329" spans="6:33" ht="15.75" customHeight="1">
      <c r="F329" s="40" t="s">
        <v>1788</v>
      </c>
      <c r="G329" s="40" t="s">
        <v>1789</v>
      </c>
      <c r="H329" s="40" t="s">
        <v>564</v>
      </c>
      <c r="I329" s="40" t="s">
        <v>6851</v>
      </c>
      <c r="J329" s="140">
        <v>2171978</v>
      </c>
      <c r="K329" s="141">
        <v>5049715</v>
      </c>
      <c r="L329" s="141" t="s">
        <v>1790</v>
      </c>
      <c r="M329" s="141" t="s">
        <v>6998</v>
      </c>
      <c r="N329" s="141" t="s">
        <v>7217</v>
      </c>
      <c r="O329" s="142"/>
      <c r="P329" s="142"/>
      <c r="Q329" s="142"/>
      <c r="R329" s="142"/>
      <c r="S329" s="142"/>
      <c r="T329" s="141" t="s">
        <v>1791</v>
      </c>
      <c r="V329" s="43" t="s">
        <v>587</v>
      </c>
      <c r="AF329" s="42">
        <v>2103714</v>
      </c>
      <c r="AG329" s="42" t="s">
        <v>6528</v>
      </c>
    </row>
    <row r="330" spans="6:33" ht="15.75" customHeight="1">
      <c r="F330" s="40" t="s">
        <v>5334</v>
      </c>
      <c r="G330" s="40" t="s">
        <v>5335</v>
      </c>
      <c r="H330" s="40" t="s">
        <v>761</v>
      </c>
      <c r="I330" s="40" t="s">
        <v>6848</v>
      </c>
      <c r="J330" s="140" t="s">
        <v>5338</v>
      </c>
      <c r="K330" s="141">
        <v>3300008163</v>
      </c>
      <c r="L330" s="141">
        <v>5033025</v>
      </c>
      <c r="M330" s="141">
        <v>2199637</v>
      </c>
      <c r="N330" s="141">
        <v>2115665</v>
      </c>
      <c r="O330" s="142"/>
      <c r="P330" s="142"/>
      <c r="Q330" s="142"/>
      <c r="R330" s="142"/>
      <c r="S330" s="142"/>
      <c r="T330" s="141" t="s">
        <v>5339</v>
      </c>
      <c r="V330" s="43" t="s">
        <v>5337</v>
      </c>
      <c r="AF330" s="42">
        <v>2103715</v>
      </c>
      <c r="AG330" s="42" t="s">
        <v>6528</v>
      </c>
    </row>
    <row r="331" spans="6:33" ht="15.75" customHeight="1">
      <c r="F331" s="40" t="s">
        <v>7450</v>
      </c>
      <c r="G331" s="40" t="s">
        <v>1107</v>
      </c>
      <c r="H331" s="40" t="s">
        <v>564</v>
      </c>
      <c r="I331" s="40" t="s">
        <v>6851</v>
      </c>
      <c r="J331" s="140">
        <v>5042649</v>
      </c>
      <c r="K331" s="141">
        <v>3300003611</v>
      </c>
      <c r="L331" s="141">
        <v>3300006814</v>
      </c>
      <c r="M331" s="141">
        <v>2119271</v>
      </c>
      <c r="N331" s="141"/>
      <c r="O331" s="142"/>
      <c r="P331" s="142"/>
      <c r="Q331" s="142"/>
      <c r="R331" s="142"/>
      <c r="S331" s="142"/>
      <c r="T331" s="141" t="s">
        <v>1109</v>
      </c>
      <c r="V331" s="43" t="s">
        <v>597</v>
      </c>
      <c r="AF331" s="42">
        <v>2103716</v>
      </c>
      <c r="AG331" s="42" t="s">
        <v>6528</v>
      </c>
    </row>
    <row r="332" spans="6:33" ht="15.75" customHeight="1">
      <c r="F332" s="40" t="s">
        <v>7247</v>
      </c>
      <c r="G332" s="40" t="s">
        <v>7265</v>
      </c>
      <c r="H332" s="40" t="s">
        <v>564</v>
      </c>
      <c r="I332" s="40" t="s">
        <v>6851</v>
      </c>
      <c r="J332" s="140">
        <v>3400003020</v>
      </c>
      <c r="K332" s="141">
        <v>5100174</v>
      </c>
      <c r="L332" s="141" t="s">
        <v>7112</v>
      </c>
      <c r="M332" s="141" t="s">
        <v>6659</v>
      </c>
      <c r="N332" s="141">
        <v>5008424</v>
      </c>
      <c r="O332" s="142"/>
      <c r="P332" s="142"/>
      <c r="Q332" s="142"/>
      <c r="R332" s="142"/>
      <c r="S332" s="142"/>
      <c r="T332" s="141" t="s">
        <v>7349</v>
      </c>
      <c r="V332" s="43" t="s">
        <v>550</v>
      </c>
      <c r="AF332" s="42">
        <v>2103717</v>
      </c>
      <c r="AG332" s="42" t="s">
        <v>6528</v>
      </c>
    </row>
    <row r="333" spans="6:33" ht="15.75" customHeight="1">
      <c r="F333" s="40" t="s">
        <v>7451</v>
      </c>
      <c r="G333" s="40" t="s">
        <v>7452</v>
      </c>
      <c r="H333" s="40" t="s">
        <v>564</v>
      </c>
      <c r="I333" s="40" t="s">
        <v>6851</v>
      </c>
      <c r="J333" s="140">
        <v>3300009731</v>
      </c>
      <c r="K333" s="141">
        <v>2183553</v>
      </c>
      <c r="L333" s="141">
        <v>2150990</v>
      </c>
      <c r="M333" s="141" t="s">
        <v>7525</v>
      </c>
      <c r="N333" s="141" t="s">
        <v>3249</v>
      </c>
      <c r="O333" s="142"/>
      <c r="P333" s="142"/>
      <c r="Q333" s="142"/>
      <c r="R333" s="142"/>
      <c r="S333" s="142"/>
      <c r="T333" s="141" t="s">
        <v>7568</v>
      </c>
      <c r="V333" s="43" t="s">
        <v>7595</v>
      </c>
      <c r="AF333" s="42">
        <v>2103719</v>
      </c>
      <c r="AG333" s="42" t="s">
        <v>6528</v>
      </c>
    </row>
    <row r="334" spans="6:33" ht="15.75" customHeight="1">
      <c r="F334" s="40" t="s">
        <v>7176</v>
      </c>
      <c r="G334" s="40" t="s">
        <v>7177</v>
      </c>
      <c r="H334" s="40" t="s">
        <v>564</v>
      </c>
      <c r="I334" s="40" t="s">
        <v>6851</v>
      </c>
      <c r="J334" s="140">
        <v>2114758</v>
      </c>
      <c r="K334" s="141">
        <v>3300016495</v>
      </c>
      <c r="L334" s="141" t="s">
        <v>7198</v>
      </c>
      <c r="M334" s="141">
        <v>5059321</v>
      </c>
      <c r="N334" s="141">
        <v>2180508</v>
      </c>
      <c r="O334" s="142"/>
      <c r="P334" s="142"/>
      <c r="Q334" s="142"/>
      <c r="R334" s="142"/>
      <c r="S334" s="142"/>
      <c r="T334" s="141" t="s">
        <v>6411</v>
      </c>
      <c r="V334" s="43" t="s">
        <v>713</v>
      </c>
      <c r="AF334" s="42">
        <v>2103720</v>
      </c>
      <c r="AG334" s="42" t="s">
        <v>6528</v>
      </c>
    </row>
    <row r="335" spans="6:33" ht="15.75" customHeight="1">
      <c r="F335" s="40" t="s">
        <v>8437</v>
      </c>
      <c r="G335" s="40" t="s">
        <v>8485</v>
      </c>
      <c r="H335" s="40" t="s">
        <v>564</v>
      </c>
      <c r="I335" s="40" t="s">
        <v>6851</v>
      </c>
      <c r="J335" s="140">
        <v>2116301</v>
      </c>
      <c r="K335" s="141">
        <v>5059372</v>
      </c>
      <c r="L335" s="141">
        <v>3300001217</v>
      </c>
      <c r="M335" s="141" t="s">
        <v>3498</v>
      </c>
      <c r="N335" s="141"/>
      <c r="O335" s="142"/>
      <c r="P335" s="142"/>
      <c r="Q335" s="142"/>
      <c r="R335" s="142"/>
      <c r="S335" s="142"/>
      <c r="T335" s="141" t="s">
        <v>4605</v>
      </c>
      <c r="V335" s="43" t="s">
        <v>767</v>
      </c>
      <c r="AF335" s="42">
        <v>2103721</v>
      </c>
      <c r="AG335" s="42" t="s">
        <v>6528</v>
      </c>
    </row>
    <row r="336" spans="6:33" ht="15.75" customHeight="1">
      <c r="F336" s="40" t="s">
        <v>2408</v>
      </c>
      <c r="G336" s="40" t="s">
        <v>2408</v>
      </c>
      <c r="H336" s="40" t="s">
        <v>564</v>
      </c>
      <c r="I336" s="40" t="s">
        <v>6851</v>
      </c>
      <c r="J336" s="140">
        <v>5070897</v>
      </c>
      <c r="K336" s="141">
        <v>3300009726</v>
      </c>
      <c r="L336" s="141" t="s">
        <v>2409</v>
      </c>
      <c r="M336" s="141" t="s">
        <v>2410</v>
      </c>
      <c r="N336" s="141">
        <v>2171913</v>
      </c>
      <c r="O336" s="142"/>
      <c r="P336" s="142"/>
      <c r="Q336" s="142"/>
      <c r="R336" s="142"/>
      <c r="S336" s="142"/>
      <c r="T336" s="141" t="s">
        <v>2411</v>
      </c>
      <c r="V336" s="43" t="s">
        <v>803</v>
      </c>
      <c r="AF336" s="42">
        <v>2103722</v>
      </c>
      <c r="AG336" s="42" t="s">
        <v>6528</v>
      </c>
    </row>
    <row r="337" spans="6:33" ht="15.75" customHeight="1">
      <c r="F337" s="40" t="s">
        <v>1168</v>
      </c>
      <c r="G337" s="40" t="s">
        <v>1169</v>
      </c>
      <c r="H337" s="40" t="s">
        <v>564</v>
      </c>
      <c r="I337" s="40" t="s">
        <v>6851</v>
      </c>
      <c r="J337" s="140">
        <v>3400003032</v>
      </c>
      <c r="K337" s="141">
        <v>2159931</v>
      </c>
      <c r="L337" s="141" t="s">
        <v>7113</v>
      </c>
      <c r="M337" s="141">
        <v>3300010682</v>
      </c>
      <c r="N337" s="141">
        <v>5008417</v>
      </c>
      <c r="O337" s="142"/>
      <c r="P337" s="142"/>
      <c r="Q337" s="142"/>
      <c r="R337" s="142"/>
      <c r="S337" s="142"/>
      <c r="T337" s="141" t="s">
        <v>1171</v>
      </c>
      <c r="V337" s="43" t="s">
        <v>809</v>
      </c>
      <c r="AF337" s="42">
        <v>2103724</v>
      </c>
      <c r="AG337" s="42" t="s">
        <v>6528</v>
      </c>
    </row>
    <row r="338" spans="6:33" ht="15.75" customHeight="1">
      <c r="F338" s="40" t="s">
        <v>7453</v>
      </c>
      <c r="G338" s="40" t="s">
        <v>7454</v>
      </c>
      <c r="H338" s="40" t="s">
        <v>564</v>
      </c>
      <c r="I338" s="40" t="s">
        <v>6851</v>
      </c>
      <c r="J338" s="140">
        <v>3400003975</v>
      </c>
      <c r="K338" s="141" t="s">
        <v>6207</v>
      </c>
      <c r="L338" s="141">
        <v>2066796</v>
      </c>
      <c r="M338" s="141">
        <v>5059370</v>
      </c>
      <c r="N338" s="141">
        <v>3300010892</v>
      </c>
      <c r="O338" s="142"/>
      <c r="P338" s="142"/>
      <c r="Q338" s="142"/>
      <c r="R338" s="142"/>
      <c r="S338" s="142"/>
      <c r="T338" s="141" t="s">
        <v>7569</v>
      </c>
      <c r="V338" s="43" t="s">
        <v>542</v>
      </c>
      <c r="AF338" s="42">
        <v>2103725</v>
      </c>
      <c r="AG338" s="42" t="s">
        <v>6528</v>
      </c>
    </row>
    <row r="339" spans="6:33" ht="15.75" customHeight="1">
      <c r="F339" s="40" t="s">
        <v>8340</v>
      </c>
      <c r="G339" s="40" t="s">
        <v>8365</v>
      </c>
      <c r="H339" s="40" t="s">
        <v>564</v>
      </c>
      <c r="I339" s="40" t="s">
        <v>6851</v>
      </c>
      <c r="J339" s="140">
        <v>2141277</v>
      </c>
      <c r="K339" s="141" t="s">
        <v>8076</v>
      </c>
      <c r="L339" s="141">
        <v>2204551</v>
      </c>
      <c r="M339" s="141"/>
      <c r="N339" s="141"/>
      <c r="O339" s="142"/>
      <c r="P339" s="142"/>
      <c r="Q339" s="142"/>
      <c r="R339" s="142"/>
      <c r="S339" s="142"/>
      <c r="T339" s="141" t="s">
        <v>8399</v>
      </c>
      <c r="V339" s="43" t="s">
        <v>809</v>
      </c>
      <c r="AF339" s="42">
        <v>2103727</v>
      </c>
      <c r="AG339" s="42" t="s">
        <v>6528</v>
      </c>
    </row>
    <row r="340" spans="6:33" ht="15.75" customHeight="1">
      <c r="F340" s="40" t="s">
        <v>5073</v>
      </c>
      <c r="G340" s="40" t="s">
        <v>5074</v>
      </c>
      <c r="H340" s="40" t="s">
        <v>761</v>
      </c>
      <c r="I340" s="40" t="s">
        <v>6848</v>
      </c>
      <c r="J340" s="138">
        <v>5031885</v>
      </c>
      <c r="K340" s="139" t="s">
        <v>5075</v>
      </c>
      <c r="L340" s="139">
        <v>3300006794</v>
      </c>
      <c r="M340" s="139">
        <v>2114728</v>
      </c>
      <c r="N340" s="141">
        <v>5031875</v>
      </c>
      <c r="O340" s="142"/>
      <c r="P340" s="142"/>
      <c r="Q340" s="142"/>
      <c r="R340" s="142"/>
      <c r="S340" s="142"/>
      <c r="T340" s="139" t="s">
        <v>6778</v>
      </c>
      <c r="V340" s="43" t="s">
        <v>671</v>
      </c>
      <c r="AF340" s="42">
        <v>2103729</v>
      </c>
      <c r="AG340" s="42" t="s">
        <v>6528</v>
      </c>
    </row>
    <row r="341" spans="6:33" ht="15.75" customHeight="1">
      <c r="F341" s="40" t="s">
        <v>5042</v>
      </c>
      <c r="G341" s="40" t="s">
        <v>5043</v>
      </c>
      <c r="H341" s="40" t="s">
        <v>761</v>
      </c>
      <c r="I341" s="40" t="s">
        <v>6848</v>
      </c>
      <c r="J341" s="140">
        <v>2103956</v>
      </c>
      <c r="K341" s="141" t="s">
        <v>5044</v>
      </c>
      <c r="L341" s="141">
        <v>3300002830</v>
      </c>
      <c r="M341" s="141"/>
      <c r="N341" s="141">
        <v>2103904</v>
      </c>
      <c r="O341" s="142"/>
      <c r="P341" s="142"/>
      <c r="Q341" s="142"/>
      <c r="R341" s="142"/>
      <c r="S341" s="142"/>
      <c r="T341" s="141" t="s">
        <v>5045</v>
      </c>
      <c r="V341" s="43" t="s">
        <v>749</v>
      </c>
      <c r="AF341" s="42">
        <v>2103732</v>
      </c>
      <c r="AG341" s="42" t="s">
        <v>6528</v>
      </c>
    </row>
    <row r="342" spans="6:33" ht="15.75" customHeight="1">
      <c r="F342" s="40" t="s">
        <v>4170</v>
      </c>
      <c r="G342" s="40" t="s">
        <v>4171</v>
      </c>
      <c r="H342" s="40" t="s">
        <v>553</v>
      </c>
      <c r="I342" s="40" t="s">
        <v>6853</v>
      </c>
      <c r="J342" s="140" t="s">
        <v>4172</v>
      </c>
      <c r="K342" s="141" t="s">
        <v>4173</v>
      </c>
      <c r="L342" s="141">
        <v>2096482</v>
      </c>
      <c r="M342" s="141" t="s">
        <v>7526</v>
      </c>
      <c r="N342" s="141"/>
      <c r="O342" s="142"/>
      <c r="P342" s="142"/>
      <c r="Q342" s="142"/>
      <c r="R342" s="142"/>
      <c r="S342" s="142"/>
      <c r="T342" s="141" t="s">
        <v>6791</v>
      </c>
      <c r="V342" s="43" t="s">
        <v>553</v>
      </c>
      <c r="AF342" s="42">
        <v>2103734</v>
      </c>
      <c r="AG342" s="42" t="s">
        <v>6528</v>
      </c>
    </row>
    <row r="343" spans="6:33" ht="15.75" customHeight="1">
      <c r="F343" s="40" t="s">
        <v>7455</v>
      </c>
      <c r="G343" s="40" t="s">
        <v>7455</v>
      </c>
      <c r="H343" s="40" t="s">
        <v>564</v>
      </c>
      <c r="I343" s="40" t="s">
        <v>6851</v>
      </c>
      <c r="J343" s="140">
        <v>2171960</v>
      </c>
      <c r="K343" s="141">
        <v>2138583</v>
      </c>
      <c r="L343" s="141">
        <v>5097598</v>
      </c>
      <c r="M343" s="141" t="s">
        <v>7527</v>
      </c>
      <c r="N343" s="141" t="s">
        <v>7528</v>
      </c>
      <c r="O343" s="142"/>
      <c r="P343" s="142"/>
      <c r="Q343" s="142"/>
      <c r="R343" s="142"/>
      <c r="S343" s="142"/>
      <c r="T343" s="141" t="s">
        <v>7570</v>
      </c>
      <c r="V343" s="43" t="s">
        <v>536</v>
      </c>
      <c r="AF343" s="42">
        <v>2103737</v>
      </c>
      <c r="AG343" s="42" t="s">
        <v>6528</v>
      </c>
    </row>
    <row r="344" spans="6:33" ht="15.75" customHeight="1">
      <c r="F344" s="40" t="s">
        <v>7455</v>
      </c>
      <c r="G344" s="40" t="s">
        <v>7456</v>
      </c>
      <c r="H344" s="40" t="s">
        <v>564</v>
      </c>
      <c r="I344" s="40" t="s">
        <v>6851</v>
      </c>
      <c r="J344" s="140">
        <v>2236038</v>
      </c>
      <c r="K344" s="141" t="s">
        <v>5573</v>
      </c>
      <c r="L344" s="141" t="s">
        <v>8270</v>
      </c>
      <c r="M344" s="141">
        <v>5103086</v>
      </c>
      <c r="N344" s="141">
        <v>3400003777</v>
      </c>
      <c r="O344" s="142"/>
      <c r="P344" s="142"/>
      <c r="Q344" s="142"/>
      <c r="R344" s="142"/>
      <c r="S344" s="142"/>
      <c r="T344" s="141" t="s">
        <v>7240</v>
      </c>
      <c r="V344" s="43" t="s">
        <v>8407</v>
      </c>
      <c r="AF344" s="42">
        <v>2103755</v>
      </c>
      <c r="AG344" s="42" t="s">
        <v>6528</v>
      </c>
    </row>
    <row r="345" spans="6:33" ht="15.75" customHeight="1">
      <c r="F345" s="40" t="s">
        <v>7455</v>
      </c>
      <c r="G345" s="40" t="s">
        <v>7456</v>
      </c>
      <c r="H345" s="40" t="s">
        <v>564</v>
      </c>
      <c r="I345" s="40" t="s">
        <v>6851</v>
      </c>
      <c r="J345" s="138">
        <v>2183472</v>
      </c>
      <c r="K345" s="139">
        <v>5097601</v>
      </c>
      <c r="L345" s="141" t="s">
        <v>7529</v>
      </c>
      <c r="M345" s="141" t="s">
        <v>7530</v>
      </c>
      <c r="N345" s="139">
        <v>2138586</v>
      </c>
      <c r="O345" s="142"/>
      <c r="P345" s="142"/>
      <c r="Q345" s="142"/>
      <c r="R345" s="142"/>
      <c r="S345" s="142"/>
      <c r="T345" s="139" t="s">
        <v>7571</v>
      </c>
      <c r="V345" s="43" t="s">
        <v>608</v>
      </c>
      <c r="AF345" s="42">
        <v>2103757</v>
      </c>
      <c r="AG345" s="42" t="s">
        <v>6528</v>
      </c>
    </row>
    <row r="346" spans="6:33" ht="15.75" customHeight="1">
      <c r="F346" s="40" t="s">
        <v>2268</v>
      </c>
      <c r="G346" s="40" t="s">
        <v>2269</v>
      </c>
      <c r="H346" s="40" t="s">
        <v>564</v>
      </c>
      <c r="I346" s="40" t="s">
        <v>6851</v>
      </c>
      <c r="J346" s="140">
        <v>3300009721</v>
      </c>
      <c r="K346" s="141" t="s">
        <v>2626</v>
      </c>
      <c r="L346" s="141"/>
      <c r="M346" s="141"/>
      <c r="N346" s="141"/>
      <c r="O346" s="142"/>
      <c r="P346" s="142"/>
      <c r="Q346" s="142"/>
      <c r="R346" s="142"/>
      <c r="S346" s="142"/>
      <c r="T346" s="141" t="s">
        <v>2271</v>
      </c>
      <c r="V346" s="43" t="s">
        <v>763</v>
      </c>
      <c r="AF346" s="42">
        <v>2103758</v>
      </c>
      <c r="AG346" s="42" t="s">
        <v>6528</v>
      </c>
    </row>
    <row r="347" spans="6:33" ht="15.75" customHeight="1">
      <c r="F347" s="40" t="s">
        <v>7130</v>
      </c>
      <c r="G347" s="40" t="s">
        <v>7145</v>
      </c>
      <c r="H347" s="40" t="s">
        <v>564</v>
      </c>
      <c r="I347" s="40" t="s">
        <v>6851</v>
      </c>
      <c r="J347" s="140">
        <v>3300016080</v>
      </c>
      <c r="K347" s="141">
        <v>2084110</v>
      </c>
      <c r="L347" s="141" t="s">
        <v>6624</v>
      </c>
      <c r="M347" s="141">
        <v>2096477</v>
      </c>
      <c r="N347" s="141" t="s">
        <v>7123</v>
      </c>
      <c r="O347" s="142"/>
      <c r="P347" s="142"/>
      <c r="Q347" s="142"/>
      <c r="R347" s="142"/>
      <c r="S347" s="142"/>
      <c r="T347" s="141" t="s">
        <v>3968</v>
      </c>
      <c r="V347" s="43" t="s">
        <v>7043</v>
      </c>
      <c r="AF347" s="42">
        <v>2103768</v>
      </c>
      <c r="AG347" s="42" t="s">
        <v>6528</v>
      </c>
    </row>
    <row r="348" spans="6:33" ht="15.75" customHeight="1">
      <c r="F348" s="40" t="s">
        <v>5931</v>
      </c>
      <c r="G348" s="40" t="s">
        <v>5932</v>
      </c>
      <c r="H348" s="40" t="s">
        <v>8208</v>
      </c>
      <c r="I348" s="40" t="s">
        <v>6850</v>
      </c>
      <c r="J348" s="140">
        <v>3300009709</v>
      </c>
      <c r="K348" s="141">
        <v>5050467</v>
      </c>
      <c r="L348" s="141" t="s">
        <v>5933</v>
      </c>
      <c r="M348" s="141">
        <v>2177400</v>
      </c>
      <c r="N348" s="141">
        <v>3300009554</v>
      </c>
      <c r="O348" s="142"/>
      <c r="P348" s="142"/>
      <c r="Q348" s="142"/>
      <c r="R348" s="142"/>
      <c r="S348" s="142"/>
      <c r="T348" s="141" t="s">
        <v>6754</v>
      </c>
      <c r="V348" s="43" t="s">
        <v>679</v>
      </c>
      <c r="AF348" s="42">
        <v>2103772</v>
      </c>
      <c r="AG348" s="42" t="s">
        <v>6528</v>
      </c>
    </row>
    <row r="349" spans="6:33" ht="15.75" customHeight="1">
      <c r="F349" s="40" t="s">
        <v>1363</v>
      </c>
      <c r="G349" s="40" t="s">
        <v>1364</v>
      </c>
      <c r="H349" s="40" t="s">
        <v>564</v>
      </c>
      <c r="I349" s="40" t="s">
        <v>6851</v>
      </c>
      <c r="J349" s="140" t="s">
        <v>8266</v>
      </c>
      <c r="K349" s="141">
        <v>3300005142</v>
      </c>
      <c r="L349" s="141" t="s">
        <v>1366</v>
      </c>
      <c r="M349" s="141">
        <v>5104325</v>
      </c>
      <c r="N349" s="141" t="s">
        <v>1367</v>
      </c>
      <c r="O349" s="142"/>
      <c r="P349" s="142"/>
      <c r="Q349" s="142"/>
      <c r="R349" s="142"/>
      <c r="S349" s="142"/>
      <c r="T349" s="141" t="s">
        <v>1368</v>
      </c>
      <c r="V349" s="43" t="s">
        <v>737</v>
      </c>
      <c r="AF349" s="42">
        <v>2103780</v>
      </c>
      <c r="AG349" s="42" t="s">
        <v>6528</v>
      </c>
    </row>
    <row r="350" spans="6:33" ht="15.75" customHeight="1">
      <c r="F350" s="40" t="s">
        <v>48</v>
      </c>
      <c r="G350" s="40" t="s">
        <v>3147</v>
      </c>
      <c r="H350" s="40" t="s">
        <v>6841</v>
      </c>
      <c r="I350" s="40" t="s">
        <v>6852</v>
      </c>
      <c r="J350" s="140" t="s">
        <v>3148</v>
      </c>
      <c r="K350" s="141">
        <v>3300003000</v>
      </c>
      <c r="L350" s="141">
        <v>2171910</v>
      </c>
      <c r="M350" s="141">
        <v>5047871</v>
      </c>
      <c r="N350" s="141" t="s">
        <v>3149</v>
      </c>
      <c r="O350" s="142"/>
      <c r="P350" s="142"/>
      <c r="Q350" s="142"/>
      <c r="R350" s="142"/>
      <c r="S350" s="142"/>
      <c r="T350" s="141" t="s">
        <v>3150</v>
      </c>
      <c r="V350" s="43" t="s">
        <v>656</v>
      </c>
      <c r="AF350" s="42">
        <v>2103799</v>
      </c>
      <c r="AG350" s="42" t="s">
        <v>6528</v>
      </c>
    </row>
    <row r="351" spans="6:33" ht="15.75" customHeight="1">
      <c r="F351" s="40" t="s">
        <v>3403</v>
      </c>
      <c r="G351" s="40" t="s">
        <v>3404</v>
      </c>
      <c r="H351" s="40" t="s">
        <v>6841</v>
      </c>
      <c r="I351" s="40" t="s">
        <v>6852</v>
      </c>
      <c r="J351" s="140">
        <v>5045662</v>
      </c>
      <c r="K351" s="141" t="s">
        <v>3405</v>
      </c>
      <c r="L351" s="141">
        <v>2103491</v>
      </c>
      <c r="M351" s="141" t="s">
        <v>7051</v>
      </c>
      <c r="N351" s="141"/>
      <c r="O351" s="142"/>
      <c r="P351" s="142"/>
      <c r="Q351" s="142"/>
      <c r="R351" s="142"/>
      <c r="S351" s="142"/>
      <c r="T351" s="141" t="s">
        <v>3406</v>
      </c>
      <c r="V351" s="43" t="s">
        <v>603</v>
      </c>
      <c r="AF351" s="42">
        <v>2103807</v>
      </c>
      <c r="AG351" s="42" t="s">
        <v>6528</v>
      </c>
    </row>
    <row r="352" spans="6:33" ht="15.75" customHeight="1">
      <c r="F352" s="40" t="s">
        <v>1774</v>
      </c>
      <c r="G352" s="40" t="s">
        <v>1774</v>
      </c>
      <c r="H352" s="40" t="s">
        <v>564</v>
      </c>
      <c r="I352" s="40" t="s">
        <v>6851</v>
      </c>
      <c r="J352" s="140">
        <v>3300012247</v>
      </c>
      <c r="K352" s="141">
        <v>2182997</v>
      </c>
      <c r="L352" s="141" t="s">
        <v>1776</v>
      </c>
      <c r="M352" s="141">
        <v>5050545</v>
      </c>
      <c r="N352" s="141" t="s">
        <v>1777</v>
      </c>
      <c r="O352" s="142"/>
      <c r="P352" s="142"/>
      <c r="Q352" s="142"/>
      <c r="R352" s="142"/>
      <c r="S352" s="142"/>
      <c r="T352" s="141" t="s">
        <v>1778</v>
      </c>
      <c r="V352" s="43" t="s">
        <v>620</v>
      </c>
      <c r="AF352" s="42">
        <v>2103827</v>
      </c>
      <c r="AG352" s="42" t="s">
        <v>6528</v>
      </c>
    </row>
    <row r="353" spans="6:33" ht="15.75" customHeight="1">
      <c r="F353" s="40" t="s">
        <v>7690</v>
      </c>
      <c r="G353" s="40" t="s">
        <v>7855</v>
      </c>
      <c r="H353" s="43" t="s">
        <v>8208</v>
      </c>
      <c r="I353" s="40" t="s">
        <v>6850</v>
      </c>
      <c r="J353" s="140">
        <v>2119244</v>
      </c>
      <c r="K353" s="141">
        <v>2226047</v>
      </c>
      <c r="L353" s="141">
        <v>5053811</v>
      </c>
      <c r="M353" s="141">
        <v>2226065</v>
      </c>
      <c r="N353" s="141" t="s">
        <v>8014</v>
      </c>
      <c r="O353" s="142"/>
      <c r="P353" s="142"/>
      <c r="Q353" s="142"/>
      <c r="R353" s="142"/>
      <c r="S353" s="142"/>
      <c r="T353" s="141">
        <v>81500040</v>
      </c>
      <c r="V353" s="43" t="s">
        <v>610</v>
      </c>
      <c r="AF353" s="42">
        <v>2103831</v>
      </c>
      <c r="AG353" s="42" t="s">
        <v>6528</v>
      </c>
    </row>
    <row r="354" spans="6:33" ht="15.75" customHeight="1">
      <c r="F354" s="40" t="s">
        <v>5048</v>
      </c>
      <c r="G354" s="40" t="s">
        <v>5049</v>
      </c>
      <c r="H354" s="40" t="s">
        <v>761</v>
      </c>
      <c r="I354" s="40" t="s">
        <v>6848</v>
      </c>
      <c r="J354" s="140">
        <v>2180499</v>
      </c>
      <c r="K354" s="141" t="s">
        <v>5051</v>
      </c>
      <c r="L354" s="141" t="s">
        <v>5052</v>
      </c>
      <c r="M354" s="141">
        <v>2087329</v>
      </c>
      <c r="N354" s="141">
        <v>3300009532</v>
      </c>
      <c r="O354" s="142"/>
      <c r="P354" s="142"/>
      <c r="Q354" s="142"/>
      <c r="R354" s="142"/>
      <c r="S354" s="142"/>
      <c r="T354" s="141" t="s">
        <v>5053</v>
      </c>
      <c r="V354" s="43" t="s">
        <v>749</v>
      </c>
      <c r="AF354" s="42">
        <v>2103842</v>
      </c>
      <c r="AG354" s="42" t="s">
        <v>6528</v>
      </c>
    </row>
    <row r="355" spans="6:33" ht="15.75" customHeight="1">
      <c r="F355" s="40" t="s">
        <v>7178</v>
      </c>
      <c r="G355" s="40" t="s">
        <v>7179</v>
      </c>
      <c r="H355" s="43" t="s">
        <v>6841</v>
      </c>
      <c r="I355" s="40" t="s">
        <v>6852</v>
      </c>
      <c r="J355" s="140">
        <v>2103947</v>
      </c>
      <c r="K355" s="141">
        <v>3300006802</v>
      </c>
      <c r="L355" s="141" t="s">
        <v>7117</v>
      </c>
      <c r="M355" s="141">
        <v>5014452</v>
      </c>
      <c r="N355" s="141"/>
      <c r="O355" s="142"/>
      <c r="P355" s="142"/>
      <c r="Q355" s="142"/>
      <c r="R355" s="142"/>
      <c r="S355" s="142"/>
      <c r="T355" s="141" t="s">
        <v>6829</v>
      </c>
      <c r="V355" s="43" t="s">
        <v>545</v>
      </c>
      <c r="AF355" s="42">
        <v>2103861</v>
      </c>
      <c r="AG355" s="42" t="s">
        <v>6528</v>
      </c>
    </row>
    <row r="356" spans="6:33" ht="15.75" customHeight="1">
      <c r="F356" s="40" t="s">
        <v>7131</v>
      </c>
      <c r="G356" s="40" t="s">
        <v>7146</v>
      </c>
      <c r="H356" s="40" t="s">
        <v>564</v>
      </c>
      <c r="I356" s="40" t="s">
        <v>6851</v>
      </c>
      <c r="J356" s="140">
        <v>2119204</v>
      </c>
      <c r="K356" s="141">
        <v>3300012826</v>
      </c>
      <c r="L356" s="141" t="s">
        <v>7118</v>
      </c>
      <c r="M356" s="141" t="s">
        <v>4323</v>
      </c>
      <c r="N356" s="141"/>
      <c r="O356" s="142"/>
      <c r="P356" s="142"/>
      <c r="Q356" s="142"/>
      <c r="R356" s="142"/>
      <c r="S356" s="142"/>
      <c r="T356" s="141" t="s">
        <v>6538</v>
      </c>
      <c r="V356" s="43" t="s">
        <v>7159</v>
      </c>
      <c r="AF356" s="42">
        <v>2103862</v>
      </c>
      <c r="AG356" s="42" t="s">
        <v>6528</v>
      </c>
    </row>
    <row r="357" spans="6:33" ht="15.75" customHeight="1">
      <c r="F357" s="40" t="s">
        <v>3555</v>
      </c>
      <c r="G357" s="40" t="s">
        <v>3556</v>
      </c>
      <c r="H357" s="40" t="s">
        <v>8513</v>
      </c>
      <c r="I357" s="40" t="s">
        <v>6853</v>
      </c>
      <c r="J357" s="140" t="s">
        <v>3559</v>
      </c>
      <c r="K357" s="141">
        <v>3300012834</v>
      </c>
      <c r="L357" s="141">
        <v>2114787</v>
      </c>
      <c r="M357" s="141" t="s">
        <v>3560</v>
      </c>
      <c r="N357" s="141" t="s">
        <v>4652</v>
      </c>
      <c r="O357" s="142"/>
      <c r="P357" s="142"/>
      <c r="Q357" s="142"/>
      <c r="R357" s="142"/>
      <c r="S357" s="142"/>
      <c r="T357" s="141" t="s">
        <v>3561</v>
      </c>
      <c r="V357" s="43" t="s">
        <v>572</v>
      </c>
      <c r="AF357" s="42">
        <v>2103863</v>
      </c>
      <c r="AG357" s="42" t="s">
        <v>6528</v>
      </c>
    </row>
    <row r="358" spans="6:33" ht="15.75" customHeight="1">
      <c r="F358" s="40" t="s">
        <v>7691</v>
      </c>
      <c r="G358" s="40" t="s">
        <v>7856</v>
      </c>
      <c r="H358" s="40" t="s">
        <v>8208</v>
      </c>
      <c r="I358" s="40" t="s">
        <v>6850</v>
      </c>
      <c r="J358" s="140">
        <v>2096160</v>
      </c>
      <c r="K358" s="141">
        <v>2096199</v>
      </c>
      <c r="L358" s="141" t="s">
        <v>8015</v>
      </c>
      <c r="M358" s="141" t="s">
        <v>8016</v>
      </c>
      <c r="N358" s="141">
        <v>3300002196</v>
      </c>
      <c r="O358" s="142"/>
      <c r="P358" s="142"/>
      <c r="Q358" s="142"/>
      <c r="R358" s="142"/>
      <c r="S358" s="142"/>
      <c r="T358" s="141">
        <v>101200110</v>
      </c>
      <c r="V358" s="43" t="s">
        <v>774</v>
      </c>
      <c r="AF358" s="42">
        <v>2103864</v>
      </c>
      <c r="AG358" s="42" t="s">
        <v>6528</v>
      </c>
    </row>
    <row r="359" spans="6:33" ht="15.75" customHeight="1">
      <c r="F359" s="40" t="s">
        <v>7692</v>
      </c>
      <c r="G359" s="40" t="s">
        <v>7857</v>
      </c>
      <c r="H359" s="40" t="s">
        <v>761</v>
      </c>
      <c r="I359" s="40" t="s">
        <v>6848</v>
      </c>
      <c r="J359" s="140">
        <v>3300002876</v>
      </c>
      <c r="K359" s="141">
        <v>2119579</v>
      </c>
      <c r="L359" s="141">
        <v>3300002877</v>
      </c>
      <c r="M359" s="141">
        <v>2119565</v>
      </c>
      <c r="N359" s="141">
        <v>3300002875</v>
      </c>
      <c r="O359" s="142"/>
      <c r="P359" s="142"/>
      <c r="Q359" s="142"/>
      <c r="R359" s="142"/>
      <c r="S359" s="142"/>
      <c r="T359" s="141">
        <v>71300024</v>
      </c>
      <c r="V359" s="43" t="s">
        <v>697</v>
      </c>
      <c r="AF359" s="42">
        <v>2103865</v>
      </c>
      <c r="AG359" s="42" t="s">
        <v>6528</v>
      </c>
    </row>
    <row r="360" spans="6:33" ht="15.75" customHeight="1">
      <c r="F360" s="40" t="s">
        <v>2918</v>
      </c>
      <c r="G360" s="40" t="s">
        <v>2919</v>
      </c>
      <c r="H360" s="40" t="s">
        <v>595</v>
      </c>
      <c r="I360" s="40" t="s">
        <v>6847</v>
      </c>
      <c r="J360" s="140" t="s">
        <v>2920</v>
      </c>
      <c r="K360" s="141" t="s">
        <v>2704</v>
      </c>
      <c r="L360" s="141">
        <v>5045699</v>
      </c>
      <c r="M360" s="141">
        <v>3300001245</v>
      </c>
      <c r="N360" s="141">
        <v>2083231</v>
      </c>
      <c r="O360" s="142"/>
      <c r="P360" s="142"/>
      <c r="Q360" s="142"/>
      <c r="R360" s="142"/>
      <c r="S360" s="142"/>
      <c r="T360" s="141" t="s">
        <v>3126</v>
      </c>
      <c r="V360" s="43" t="s">
        <v>562</v>
      </c>
      <c r="AF360" s="42">
        <v>2103866</v>
      </c>
      <c r="AG360" s="42" t="s">
        <v>6528</v>
      </c>
    </row>
    <row r="361" spans="6:33" ht="15.75" customHeight="1">
      <c r="F361" s="40" t="s">
        <v>5644</v>
      </c>
      <c r="G361" s="40" t="s">
        <v>5645</v>
      </c>
      <c r="H361" s="40" t="s">
        <v>761</v>
      </c>
      <c r="I361" s="40" t="s">
        <v>6848</v>
      </c>
      <c r="J361" s="140">
        <v>3300009729</v>
      </c>
      <c r="K361" s="141" t="s">
        <v>5647</v>
      </c>
      <c r="L361" s="141">
        <v>2177377</v>
      </c>
      <c r="M361" s="141">
        <v>5042665</v>
      </c>
      <c r="N361" s="141" t="s">
        <v>6999</v>
      </c>
      <c r="O361" s="142"/>
      <c r="P361" s="142"/>
      <c r="Q361" s="142"/>
      <c r="R361" s="142"/>
      <c r="S361" s="142"/>
      <c r="T361" s="141" t="s">
        <v>6820</v>
      </c>
      <c r="V361" s="43" t="s">
        <v>786</v>
      </c>
      <c r="AF361" s="42">
        <v>2103867</v>
      </c>
      <c r="AG361" s="42" t="s">
        <v>6528</v>
      </c>
    </row>
    <row r="362" spans="6:33" ht="15.75" customHeight="1">
      <c r="F362" s="40" t="s">
        <v>4724</v>
      </c>
      <c r="G362" s="40" t="s">
        <v>4725</v>
      </c>
      <c r="H362" s="40" t="s">
        <v>761</v>
      </c>
      <c r="I362" s="40" t="s">
        <v>6848</v>
      </c>
      <c r="J362" s="140">
        <v>5014445</v>
      </c>
      <c r="K362" s="141" t="s">
        <v>4727</v>
      </c>
      <c r="L362" s="141">
        <v>3300003626</v>
      </c>
      <c r="M362" s="141" t="s">
        <v>4728</v>
      </c>
      <c r="N362" s="141">
        <v>2103951</v>
      </c>
      <c r="O362" s="142"/>
      <c r="P362" s="142"/>
      <c r="Q362" s="142"/>
      <c r="R362" s="142"/>
      <c r="S362" s="142"/>
      <c r="T362" s="141" t="s">
        <v>4729</v>
      </c>
      <c r="V362" s="43" t="s">
        <v>4726</v>
      </c>
      <c r="AF362" s="42">
        <v>2103868</v>
      </c>
      <c r="AG362" s="42" t="s">
        <v>6528</v>
      </c>
    </row>
    <row r="363" spans="6:33" ht="15.75" customHeight="1">
      <c r="F363" s="40" t="s">
        <v>1637</v>
      </c>
      <c r="G363" s="40" t="s">
        <v>1638</v>
      </c>
      <c r="H363" s="40" t="s">
        <v>564</v>
      </c>
      <c r="I363" s="40" t="s">
        <v>6851</v>
      </c>
      <c r="J363" s="140" t="s">
        <v>1641</v>
      </c>
      <c r="K363" s="141">
        <v>3300009742</v>
      </c>
      <c r="L363" s="141" t="s">
        <v>1642</v>
      </c>
      <c r="M363" s="141">
        <v>2084132</v>
      </c>
      <c r="N363" s="141">
        <v>2096040</v>
      </c>
      <c r="O363" s="142"/>
      <c r="P363" s="142"/>
      <c r="Q363" s="142"/>
      <c r="R363" s="142"/>
      <c r="S363" s="142"/>
      <c r="T363" s="141" t="s">
        <v>6579</v>
      </c>
      <c r="V363" s="43" t="s">
        <v>1640</v>
      </c>
      <c r="AF363" s="42">
        <v>2103869</v>
      </c>
      <c r="AG363" s="42" t="s">
        <v>6528</v>
      </c>
    </row>
    <row r="364" spans="6:33" ht="15.75" customHeight="1">
      <c r="F364" s="40" t="s">
        <v>1996</v>
      </c>
      <c r="G364" s="40" t="s">
        <v>1997</v>
      </c>
      <c r="H364" s="40" t="s">
        <v>564</v>
      </c>
      <c r="I364" s="40" t="s">
        <v>6851</v>
      </c>
      <c r="J364" s="140" t="s">
        <v>1999</v>
      </c>
      <c r="K364" s="141">
        <v>3300005182</v>
      </c>
      <c r="L364" s="141">
        <v>5105527</v>
      </c>
      <c r="M364" s="141">
        <v>3300002805</v>
      </c>
      <c r="N364" s="141" t="s">
        <v>2001</v>
      </c>
      <c r="O364" s="142"/>
      <c r="P364" s="142"/>
      <c r="Q364" s="142"/>
      <c r="R364" s="142"/>
      <c r="S364" s="142"/>
      <c r="T364" s="141" t="s">
        <v>2002</v>
      </c>
      <c r="V364" s="43" t="s">
        <v>767</v>
      </c>
      <c r="AF364" s="42">
        <v>2103870</v>
      </c>
      <c r="AG364" s="42" t="s">
        <v>6528</v>
      </c>
    </row>
    <row r="365" spans="6:33" ht="15.75" customHeight="1">
      <c r="F365" s="40" t="s">
        <v>3440</v>
      </c>
      <c r="G365" s="40" t="s">
        <v>3441</v>
      </c>
      <c r="H365" s="40" t="s">
        <v>6841</v>
      </c>
      <c r="I365" s="40" t="s">
        <v>6852</v>
      </c>
      <c r="J365" s="140">
        <v>3400003012</v>
      </c>
      <c r="K365" s="141">
        <v>3300009727</v>
      </c>
      <c r="L365" s="141">
        <v>2171985</v>
      </c>
      <c r="M365" s="141" t="s">
        <v>8532</v>
      </c>
      <c r="N365" s="141" t="s">
        <v>3443</v>
      </c>
      <c r="O365" s="142"/>
      <c r="P365" s="142"/>
      <c r="Q365" s="142"/>
      <c r="R365" s="142"/>
      <c r="S365" s="142"/>
      <c r="T365" s="141" t="s">
        <v>3444</v>
      </c>
      <c r="V365" s="43" t="s">
        <v>762</v>
      </c>
      <c r="AF365" s="42">
        <v>2103871</v>
      </c>
      <c r="AG365" s="42" t="s">
        <v>6528</v>
      </c>
    </row>
    <row r="366" spans="6:33" ht="15.75" customHeight="1">
      <c r="F366" s="40" t="s">
        <v>7693</v>
      </c>
      <c r="G366" s="40" t="s">
        <v>8486</v>
      </c>
      <c r="H366" s="40" t="s">
        <v>8208</v>
      </c>
      <c r="I366" s="40" t="s">
        <v>6850</v>
      </c>
      <c r="J366" s="140">
        <v>2160299</v>
      </c>
      <c r="K366" s="141" t="s">
        <v>8245</v>
      </c>
      <c r="L366" s="141" t="s">
        <v>8072</v>
      </c>
      <c r="M366" s="141" t="s">
        <v>6630</v>
      </c>
      <c r="N366" s="141"/>
      <c r="O366" s="142"/>
      <c r="P366" s="142"/>
      <c r="Q366" s="142"/>
      <c r="R366" s="142"/>
      <c r="S366" s="142"/>
      <c r="T366" s="141">
        <v>41500031</v>
      </c>
      <c r="V366" s="43" t="s">
        <v>532</v>
      </c>
      <c r="AF366" s="42">
        <v>2103872</v>
      </c>
      <c r="AG366" s="42" t="s">
        <v>6528</v>
      </c>
    </row>
    <row r="367" spans="6:33" ht="15.75" customHeight="1">
      <c r="F367" s="40" t="s">
        <v>2510</v>
      </c>
      <c r="G367" s="40" t="s">
        <v>2511</v>
      </c>
      <c r="H367" s="40" t="s">
        <v>670</v>
      </c>
      <c r="I367" s="40" t="s">
        <v>6849</v>
      </c>
      <c r="J367" s="140">
        <v>2177163</v>
      </c>
      <c r="K367" s="141">
        <v>5059386</v>
      </c>
      <c r="L367" s="141" t="s">
        <v>2513</v>
      </c>
      <c r="M367" s="141"/>
      <c r="N367" s="141"/>
      <c r="O367" s="142"/>
      <c r="P367" s="142"/>
      <c r="Q367" s="142"/>
      <c r="R367" s="142"/>
      <c r="S367" s="142"/>
      <c r="T367" s="141" t="s">
        <v>2514</v>
      </c>
      <c r="V367" s="43" t="s">
        <v>640</v>
      </c>
      <c r="AF367" s="42">
        <v>2103873</v>
      </c>
      <c r="AG367" s="42" t="s">
        <v>6528</v>
      </c>
    </row>
    <row r="368" spans="6:33" ht="15.75" customHeight="1">
      <c r="F368" s="40" t="s">
        <v>1325</v>
      </c>
      <c r="G368" s="40" t="s">
        <v>44</v>
      </c>
      <c r="H368" s="40" t="s">
        <v>564</v>
      </c>
      <c r="I368" s="40" t="s">
        <v>6851</v>
      </c>
      <c r="J368" s="140" t="s">
        <v>1328</v>
      </c>
      <c r="K368" s="141">
        <v>3300010098</v>
      </c>
      <c r="L368" s="141">
        <v>2168144</v>
      </c>
      <c r="M368" s="141">
        <v>5053843</v>
      </c>
      <c r="N368" s="141"/>
      <c r="O368" s="142"/>
      <c r="P368" s="142"/>
      <c r="Q368" s="142"/>
      <c r="R368" s="142"/>
      <c r="S368" s="142"/>
      <c r="T368" s="141" t="s">
        <v>1329</v>
      </c>
      <c r="V368" s="43" t="s">
        <v>1327</v>
      </c>
      <c r="AF368" s="42">
        <v>2103874</v>
      </c>
      <c r="AG368" s="42" t="s">
        <v>6528</v>
      </c>
    </row>
    <row r="369" spans="6:33" ht="15.75" customHeight="1">
      <c r="F369" s="40" t="s">
        <v>4878</v>
      </c>
      <c r="G369" s="40" t="s">
        <v>4879</v>
      </c>
      <c r="H369" s="40" t="s">
        <v>761</v>
      </c>
      <c r="I369" s="40" t="s">
        <v>6848</v>
      </c>
      <c r="J369" s="140" t="s">
        <v>4880</v>
      </c>
      <c r="K369" s="141">
        <v>3300001241</v>
      </c>
      <c r="L369" s="141">
        <v>2117098</v>
      </c>
      <c r="M369" s="141"/>
      <c r="N369" s="141"/>
      <c r="O369" s="142"/>
      <c r="P369" s="142"/>
      <c r="Q369" s="142"/>
      <c r="R369" s="142"/>
      <c r="S369" s="142"/>
      <c r="T369" s="141" t="s">
        <v>4881</v>
      </c>
      <c r="V369" s="43" t="s">
        <v>624</v>
      </c>
      <c r="AF369" s="42">
        <v>2103875</v>
      </c>
      <c r="AG369" s="42" t="s">
        <v>6528</v>
      </c>
    </row>
    <row r="370" spans="6:33" ht="15.75" customHeight="1">
      <c r="F370" s="40" t="s">
        <v>2004</v>
      </c>
      <c r="G370" s="40" t="s">
        <v>2005</v>
      </c>
      <c r="H370" s="40" t="s">
        <v>564</v>
      </c>
      <c r="I370" s="40" t="s">
        <v>6851</v>
      </c>
      <c r="J370" s="140">
        <v>2087359</v>
      </c>
      <c r="K370" s="141">
        <v>3300003018</v>
      </c>
      <c r="L370" s="141" t="s">
        <v>2007</v>
      </c>
      <c r="M370" s="141" t="s">
        <v>2008</v>
      </c>
      <c r="N370" s="141">
        <v>2084092</v>
      </c>
      <c r="O370" s="142"/>
      <c r="P370" s="142"/>
      <c r="Q370" s="142"/>
      <c r="R370" s="142"/>
      <c r="S370" s="142"/>
      <c r="T370" s="141" t="s">
        <v>2009</v>
      </c>
      <c r="V370" s="43" t="s">
        <v>767</v>
      </c>
      <c r="AF370" s="42">
        <v>2103876</v>
      </c>
      <c r="AG370" s="42" t="s">
        <v>6528</v>
      </c>
    </row>
    <row r="371" spans="6:33" ht="15.75" customHeight="1">
      <c r="F371" s="40" t="s">
        <v>2275</v>
      </c>
      <c r="G371" s="40" t="s">
        <v>21</v>
      </c>
      <c r="H371" s="40" t="s">
        <v>564</v>
      </c>
      <c r="I371" s="40" t="s">
        <v>6851</v>
      </c>
      <c r="J371" s="140" t="s">
        <v>2277</v>
      </c>
      <c r="K371" s="141">
        <v>5042642</v>
      </c>
      <c r="L371" s="141" t="s">
        <v>2278</v>
      </c>
      <c r="M371" s="141">
        <v>3300006816</v>
      </c>
      <c r="N371" s="141">
        <v>2159826</v>
      </c>
      <c r="O371" s="142"/>
      <c r="P371" s="142"/>
      <c r="Q371" s="142"/>
      <c r="R371" s="142"/>
      <c r="S371" s="142"/>
      <c r="T371" s="141" t="s">
        <v>2279</v>
      </c>
      <c r="V371" s="43" t="s">
        <v>2276</v>
      </c>
      <c r="AF371" s="42">
        <v>2103877</v>
      </c>
      <c r="AG371" s="42" t="s">
        <v>6528</v>
      </c>
    </row>
    <row r="372" spans="6:33" ht="15.75" customHeight="1">
      <c r="F372" s="40" t="s">
        <v>3564</v>
      </c>
      <c r="G372" s="40" t="s">
        <v>3565</v>
      </c>
      <c r="H372" s="40" t="s">
        <v>8513</v>
      </c>
      <c r="I372" s="40" t="s">
        <v>6853</v>
      </c>
      <c r="J372" s="140">
        <v>2226067</v>
      </c>
      <c r="K372" s="141" t="s">
        <v>3566</v>
      </c>
      <c r="L372" s="141">
        <v>2171977</v>
      </c>
      <c r="M372" s="141">
        <v>5049702</v>
      </c>
      <c r="N372" s="141"/>
      <c r="O372" s="142"/>
      <c r="P372" s="142"/>
      <c r="Q372" s="142"/>
      <c r="R372" s="142"/>
      <c r="S372" s="142"/>
      <c r="T372" s="141" t="s">
        <v>6739</v>
      </c>
      <c r="V372" s="43" t="s">
        <v>572</v>
      </c>
      <c r="AF372" s="42">
        <v>2103878</v>
      </c>
      <c r="AG372" s="42" t="s">
        <v>6528</v>
      </c>
    </row>
    <row r="373" spans="6:33" ht="15.75" customHeight="1">
      <c r="F373" s="40" t="s">
        <v>4995</v>
      </c>
      <c r="G373" s="40" t="s">
        <v>4996</v>
      </c>
      <c r="H373" s="40" t="s">
        <v>761</v>
      </c>
      <c r="I373" s="40" t="s">
        <v>6848</v>
      </c>
      <c r="J373" s="140">
        <v>2183536</v>
      </c>
      <c r="K373" s="141" t="s">
        <v>4997</v>
      </c>
      <c r="L373" s="141">
        <v>3300009775</v>
      </c>
      <c r="M373" s="141" t="s">
        <v>4998</v>
      </c>
      <c r="N373" s="141">
        <v>2183550</v>
      </c>
      <c r="O373" s="142"/>
      <c r="P373" s="142"/>
      <c r="Q373" s="142"/>
      <c r="R373" s="142"/>
      <c r="S373" s="142"/>
      <c r="T373" s="141" t="s">
        <v>4999</v>
      </c>
      <c r="V373" s="43" t="s">
        <v>761</v>
      </c>
      <c r="AF373" s="42">
        <v>2103879</v>
      </c>
      <c r="AG373" s="42" t="s">
        <v>6528</v>
      </c>
    </row>
    <row r="374" spans="6:33" ht="15.75" customHeight="1">
      <c r="F374" s="40" t="s">
        <v>7457</v>
      </c>
      <c r="G374" s="40" t="s">
        <v>7458</v>
      </c>
      <c r="H374" s="40" t="s">
        <v>564</v>
      </c>
      <c r="I374" s="40" t="s">
        <v>6851</v>
      </c>
      <c r="J374" s="140">
        <v>2170084</v>
      </c>
      <c r="K374" s="141" t="s">
        <v>7531</v>
      </c>
      <c r="L374" s="141">
        <v>3300005148</v>
      </c>
      <c r="M374" s="141" t="s">
        <v>2428</v>
      </c>
      <c r="N374" s="141">
        <v>2103724</v>
      </c>
      <c r="O374" s="142"/>
      <c r="P374" s="142"/>
      <c r="Q374" s="142"/>
      <c r="R374" s="142"/>
      <c r="S374" s="142"/>
      <c r="T374" s="141" t="s">
        <v>5470</v>
      </c>
      <c r="V374" s="43" t="s">
        <v>587</v>
      </c>
      <c r="AF374" s="42">
        <v>2103880</v>
      </c>
      <c r="AG374" s="42" t="s">
        <v>6528</v>
      </c>
    </row>
    <row r="375" spans="6:33" ht="15.75" customHeight="1">
      <c r="F375" s="40" t="s">
        <v>7132</v>
      </c>
      <c r="G375" s="40" t="s">
        <v>7147</v>
      </c>
      <c r="H375" s="40" t="s">
        <v>761</v>
      </c>
      <c r="I375" s="40" t="s">
        <v>6848</v>
      </c>
      <c r="J375" s="140">
        <v>3300012678</v>
      </c>
      <c r="K375" s="141">
        <v>2171945</v>
      </c>
      <c r="L375" s="141" t="s">
        <v>6704</v>
      </c>
      <c r="M375" s="141" t="s">
        <v>5469</v>
      </c>
      <c r="N375" s="141">
        <v>3300012682</v>
      </c>
      <c r="O375" s="142"/>
      <c r="P375" s="142"/>
      <c r="Q375" s="142"/>
      <c r="R375" s="142"/>
      <c r="S375" s="142"/>
      <c r="T375" s="141" t="s">
        <v>5862</v>
      </c>
      <c r="V375" s="43" t="s">
        <v>588</v>
      </c>
      <c r="AF375" s="42">
        <v>2103881</v>
      </c>
      <c r="AG375" s="42" t="s">
        <v>6528</v>
      </c>
    </row>
    <row r="376" spans="6:33" ht="15.75" customHeight="1">
      <c r="F376" s="40" t="s">
        <v>4462</v>
      </c>
      <c r="G376" s="40" t="s">
        <v>4463</v>
      </c>
      <c r="H376" s="40" t="s">
        <v>761</v>
      </c>
      <c r="I376" s="40" t="s">
        <v>6848</v>
      </c>
      <c r="J376" s="140">
        <v>2170078</v>
      </c>
      <c r="K376" s="141">
        <v>5059359</v>
      </c>
      <c r="L376" s="141">
        <v>3300009714</v>
      </c>
      <c r="M376" s="141"/>
      <c r="N376" s="141"/>
      <c r="O376" s="142"/>
      <c r="P376" s="142"/>
      <c r="Q376" s="142"/>
      <c r="R376" s="142"/>
      <c r="S376" s="142"/>
      <c r="T376" s="141" t="s">
        <v>6831</v>
      </c>
      <c r="V376" s="43" t="s">
        <v>655</v>
      </c>
      <c r="AF376" s="42">
        <v>2103882</v>
      </c>
      <c r="AG376" s="42" t="s">
        <v>6528</v>
      </c>
    </row>
    <row r="377" spans="6:33" ht="15.75" customHeight="1">
      <c r="F377" s="40" t="s">
        <v>6164</v>
      </c>
      <c r="G377" s="40" t="s">
        <v>6164</v>
      </c>
      <c r="H377" s="40" t="s">
        <v>8208</v>
      </c>
      <c r="I377" s="40" t="s">
        <v>6850</v>
      </c>
      <c r="J377" s="140" t="s">
        <v>6166</v>
      </c>
      <c r="K377" s="141" t="s">
        <v>6167</v>
      </c>
      <c r="L377" s="141">
        <v>3300010914</v>
      </c>
      <c r="M377" s="141"/>
      <c r="N377" s="141"/>
      <c r="O377" s="142"/>
      <c r="P377" s="142"/>
      <c r="Q377" s="142"/>
      <c r="R377" s="142"/>
      <c r="S377" s="142"/>
      <c r="T377" s="141" t="s">
        <v>6168</v>
      </c>
      <c r="V377" s="43" t="s">
        <v>747</v>
      </c>
      <c r="AF377" s="42">
        <v>2103883</v>
      </c>
      <c r="AG377" s="42" t="s">
        <v>6528</v>
      </c>
    </row>
    <row r="378" spans="6:33" ht="15.75" customHeight="1">
      <c r="F378" s="40" t="s">
        <v>4123</v>
      </c>
      <c r="G378" s="40" t="s">
        <v>4124</v>
      </c>
      <c r="H378" s="40" t="s">
        <v>553</v>
      </c>
      <c r="I378" s="40" t="s">
        <v>6853</v>
      </c>
      <c r="J378" s="140">
        <v>3300009556</v>
      </c>
      <c r="K378" s="141">
        <v>5050423</v>
      </c>
      <c r="L378" s="141" t="s">
        <v>4125</v>
      </c>
      <c r="M378" s="141">
        <v>2177369</v>
      </c>
      <c r="N378" s="141"/>
      <c r="O378" s="142"/>
      <c r="P378" s="142"/>
      <c r="Q378" s="142"/>
      <c r="R378" s="142"/>
      <c r="S378" s="142"/>
      <c r="T378" s="141" t="s">
        <v>6785</v>
      </c>
      <c r="V378" s="43" t="s">
        <v>732</v>
      </c>
      <c r="AF378" s="42">
        <v>2103884</v>
      </c>
      <c r="AG378" s="42" t="s">
        <v>6528</v>
      </c>
    </row>
    <row r="379" spans="6:33" ht="15.75" customHeight="1">
      <c r="F379" s="40" t="s">
        <v>5418</v>
      </c>
      <c r="G379" s="40" t="s">
        <v>5419</v>
      </c>
      <c r="H379" s="40" t="s">
        <v>761</v>
      </c>
      <c r="I379" s="40" t="s">
        <v>6848</v>
      </c>
      <c r="J379" s="140" t="s">
        <v>5421</v>
      </c>
      <c r="K379" s="141">
        <v>2171999</v>
      </c>
      <c r="L379" s="141">
        <v>3300016165</v>
      </c>
      <c r="M379" s="141"/>
      <c r="N379" s="141"/>
      <c r="O379" s="142"/>
      <c r="P379" s="142"/>
      <c r="Q379" s="142"/>
      <c r="R379" s="142"/>
      <c r="S379" s="142"/>
      <c r="T379" s="141" t="s">
        <v>5422</v>
      </c>
      <c r="V379" s="43" t="s">
        <v>812</v>
      </c>
      <c r="AF379" s="42">
        <v>2103885</v>
      </c>
      <c r="AG379" s="42" t="s">
        <v>6528</v>
      </c>
    </row>
    <row r="380" spans="6:33" ht="15.75" customHeight="1">
      <c r="F380" s="40" t="s">
        <v>5721</v>
      </c>
      <c r="G380" s="40" t="s">
        <v>5722</v>
      </c>
      <c r="H380" s="40" t="s">
        <v>761</v>
      </c>
      <c r="I380" s="40" t="s">
        <v>6848</v>
      </c>
      <c r="J380" s="140">
        <v>2115661</v>
      </c>
      <c r="K380" s="141">
        <v>3300004135</v>
      </c>
      <c r="L380" s="141" t="s">
        <v>8533</v>
      </c>
      <c r="M380" s="141" t="s">
        <v>8534</v>
      </c>
      <c r="N380" s="141"/>
      <c r="O380" s="142"/>
      <c r="P380" s="142"/>
      <c r="Q380" s="142"/>
      <c r="R380" s="142"/>
      <c r="S380" s="142"/>
      <c r="T380" s="141" t="s">
        <v>5723</v>
      </c>
      <c r="V380" s="43" t="s">
        <v>548</v>
      </c>
      <c r="AF380" s="42">
        <v>2103886</v>
      </c>
      <c r="AG380" s="42" t="s">
        <v>6528</v>
      </c>
    </row>
    <row r="381" spans="6:33" ht="15.75" customHeight="1">
      <c r="F381" s="40" t="s">
        <v>6254</v>
      </c>
      <c r="G381" s="40" t="s">
        <v>6255</v>
      </c>
      <c r="H381" s="40" t="s">
        <v>8208</v>
      </c>
      <c r="I381" s="40" t="s">
        <v>6850</v>
      </c>
      <c r="J381" s="140">
        <v>3300003008</v>
      </c>
      <c r="K381" s="141">
        <v>5001459</v>
      </c>
      <c r="L381" s="141" t="s">
        <v>6256</v>
      </c>
      <c r="M381" s="141"/>
      <c r="N381" s="141"/>
      <c r="O381" s="142"/>
      <c r="P381" s="142"/>
      <c r="Q381" s="142"/>
      <c r="R381" s="142"/>
      <c r="S381" s="142"/>
      <c r="T381" s="141" t="s">
        <v>6257</v>
      </c>
      <c r="V381" s="43" t="s">
        <v>650</v>
      </c>
      <c r="AF381" s="42">
        <v>2103887</v>
      </c>
      <c r="AG381" s="42" t="s">
        <v>6528</v>
      </c>
    </row>
    <row r="382" spans="6:33" ht="15.75" customHeight="1">
      <c r="F382" s="40" t="s">
        <v>8296</v>
      </c>
      <c r="G382" s="40" t="s">
        <v>8314</v>
      </c>
      <c r="H382" s="40" t="s">
        <v>564</v>
      </c>
      <c r="I382" s="40" t="s">
        <v>6851</v>
      </c>
      <c r="J382" s="140" t="s">
        <v>8278</v>
      </c>
      <c r="K382" s="141">
        <v>2096154</v>
      </c>
      <c r="L382" s="141">
        <v>3300006554</v>
      </c>
      <c r="M382" s="141" t="s">
        <v>2717</v>
      </c>
      <c r="N382" s="141"/>
      <c r="O382" s="142"/>
      <c r="P382" s="142"/>
      <c r="Q382" s="142"/>
      <c r="R382" s="142"/>
      <c r="S382" s="142"/>
      <c r="T382" s="141" t="s">
        <v>8212</v>
      </c>
      <c r="V382" s="43" t="s">
        <v>713</v>
      </c>
      <c r="AF382" s="42">
        <v>2103888</v>
      </c>
      <c r="AG382" s="42" t="s">
        <v>6528</v>
      </c>
    </row>
    <row r="383" spans="6:33" ht="15.75" customHeight="1">
      <c r="F383" s="40" t="s">
        <v>1748</v>
      </c>
      <c r="G383" s="40" t="s">
        <v>1749</v>
      </c>
      <c r="H383" s="40" t="s">
        <v>564</v>
      </c>
      <c r="I383" s="40" t="s">
        <v>6851</v>
      </c>
      <c r="J383" s="140" t="s">
        <v>1750</v>
      </c>
      <c r="K383" s="141">
        <v>5103077</v>
      </c>
      <c r="L383" s="141">
        <v>3300001249</v>
      </c>
      <c r="M383" s="141" t="s">
        <v>8271</v>
      </c>
      <c r="N383" s="141">
        <v>5042670</v>
      </c>
      <c r="O383" s="142"/>
      <c r="P383" s="142"/>
      <c r="Q383" s="142"/>
      <c r="R383" s="142"/>
      <c r="S383" s="142"/>
      <c r="T383" s="141" t="s">
        <v>8591</v>
      </c>
      <c r="V383" s="43" t="s">
        <v>586</v>
      </c>
      <c r="AF383" s="42">
        <v>2103889</v>
      </c>
      <c r="AG383" s="42" t="s">
        <v>6528</v>
      </c>
    </row>
    <row r="384" spans="6:33" ht="15.75" customHeight="1">
      <c r="F384" s="40" t="s">
        <v>7459</v>
      </c>
      <c r="G384" s="40" t="s">
        <v>7460</v>
      </c>
      <c r="H384" s="40" t="s">
        <v>761</v>
      </c>
      <c r="I384" s="40" t="s">
        <v>6848</v>
      </c>
      <c r="J384" s="140">
        <v>2087289</v>
      </c>
      <c r="K384" s="141">
        <v>5001465</v>
      </c>
      <c r="L384" s="141" t="s">
        <v>5890</v>
      </c>
      <c r="M384" s="141">
        <v>3300016394</v>
      </c>
      <c r="N384" s="141"/>
      <c r="O384" s="142"/>
      <c r="P384" s="142"/>
      <c r="Q384" s="142"/>
      <c r="R384" s="142"/>
      <c r="S384" s="142"/>
      <c r="T384" s="141" t="s">
        <v>6550</v>
      </c>
      <c r="V384" s="43" t="s">
        <v>5279</v>
      </c>
      <c r="AF384" s="42">
        <v>2103890</v>
      </c>
      <c r="AG384" s="42" t="s">
        <v>6528</v>
      </c>
    </row>
    <row r="385" spans="6:33" ht="15.75" customHeight="1">
      <c r="F385" s="40" t="s">
        <v>1536</v>
      </c>
      <c r="G385" s="40" t="s">
        <v>1537</v>
      </c>
      <c r="H385" s="40" t="s">
        <v>564</v>
      </c>
      <c r="I385" s="40" t="s">
        <v>6851</v>
      </c>
      <c r="J385" s="140" t="s">
        <v>7000</v>
      </c>
      <c r="K385" s="141">
        <v>3300001429</v>
      </c>
      <c r="L385" s="141">
        <v>2183573</v>
      </c>
      <c r="M385" s="141">
        <v>5043109</v>
      </c>
      <c r="N385" s="141">
        <v>3300010669</v>
      </c>
      <c r="O385" s="142"/>
      <c r="P385" s="142"/>
      <c r="Q385" s="142"/>
      <c r="R385" s="142"/>
      <c r="S385" s="142"/>
      <c r="T385" s="141" t="s">
        <v>1539</v>
      </c>
      <c r="V385" s="43" t="s">
        <v>559</v>
      </c>
      <c r="AF385" s="42">
        <v>2103891</v>
      </c>
      <c r="AG385" s="42" t="s">
        <v>6528</v>
      </c>
    </row>
    <row r="386" spans="6:33" ht="15.75" customHeight="1">
      <c r="F386" s="40" t="s">
        <v>29</v>
      </c>
      <c r="G386" s="40" t="s">
        <v>5773</v>
      </c>
      <c r="H386" s="40" t="s">
        <v>761</v>
      </c>
      <c r="I386" s="40" t="s">
        <v>6848</v>
      </c>
      <c r="J386" s="140">
        <v>2103899</v>
      </c>
      <c r="K386" s="141" t="s">
        <v>5774</v>
      </c>
      <c r="L386" s="141" t="s">
        <v>5775</v>
      </c>
      <c r="M386" s="141">
        <v>5001475</v>
      </c>
      <c r="N386" s="141">
        <v>3300003005</v>
      </c>
      <c r="O386" s="142"/>
      <c r="P386" s="142"/>
      <c r="Q386" s="142"/>
      <c r="R386" s="142"/>
      <c r="S386" s="142"/>
      <c r="T386" s="141" t="s">
        <v>5777</v>
      </c>
      <c r="V386" s="43" t="s">
        <v>588</v>
      </c>
      <c r="AF386" s="42">
        <v>2103892</v>
      </c>
      <c r="AG386" s="42" t="s">
        <v>6528</v>
      </c>
    </row>
    <row r="387" spans="6:33" ht="15.75" customHeight="1">
      <c r="F387" s="40" t="s">
        <v>7384</v>
      </c>
      <c r="G387" s="40" t="s">
        <v>7384</v>
      </c>
      <c r="H387" s="40" t="s">
        <v>761</v>
      </c>
      <c r="I387" s="40" t="s">
        <v>6848</v>
      </c>
      <c r="J387" s="140">
        <v>2177352</v>
      </c>
      <c r="K387" s="141">
        <v>3300002828</v>
      </c>
      <c r="L387" s="141">
        <v>5031853</v>
      </c>
      <c r="M387" s="141">
        <v>2103435</v>
      </c>
      <c r="N387" s="141"/>
      <c r="O387" s="142"/>
      <c r="P387" s="142"/>
      <c r="Q387" s="142"/>
      <c r="R387" s="142"/>
      <c r="S387" s="142"/>
      <c r="T387" s="141" t="s">
        <v>7306</v>
      </c>
      <c r="V387" s="43" t="s">
        <v>7409</v>
      </c>
      <c r="AF387" s="42">
        <v>2103893</v>
      </c>
      <c r="AG387" s="42" t="s">
        <v>6528</v>
      </c>
    </row>
    <row r="388" spans="6:33" ht="15.75" customHeight="1">
      <c r="F388" s="40" t="s">
        <v>8438</v>
      </c>
      <c r="G388" s="40" t="s">
        <v>8487</v>
      </c>
      <c r="H388" s="40" t="s">
        <v>595</v>
      </c>
      <c r="I388" s="40" t="s">
        <v>6847</v>
      </c>
      <c r="J388" s="140">
        <v>2151308</v>
      </c>
      <c r="K388" s="141">
        <v>3300006837</v>
      </c>
      <c r="L388" s="141" t="s">
        <v>8535</v>
      </c>
      <c r="M388" s="141" t="s">
        <v>8536</v>
      </c>
      <c r="N388" s="141" t="s">
        <v>6647</v>
      </c>
      <c r="O388" s="142"/>
      <c r="P388" s="142"/>
      <c r="Q388" s="142"/>
      <c r="R388" s="142"/>
      <c r="S388" s="142"/>
      <c r="T388" s="141" t="s">
        <v>3291</v>
      </c>
      <c r="V388" s="43" t="s">
        <v>593</v>
      </c>
      <c r="AF388" s="42">
        <v>2103894</v>
      </c>
      <c r="AG388" s="42" t="s">
        <v>6528</v>
      </c>
    </row>
    <row r="389" spans="6:33" ht="15.75" customHeight="1">
      <c r="F389" s="40" t="s">
        <v>2623</v>
      </c>
      <c r="G389" s="40" t="s">
        <v>2624</v>
      </c>
      <c r="H389" s="40" t="s">
        <v>670</v>
      </c>
      <c r="I389" s="40" t="s">
        <v>6849</v>
      </c>
      <c r="J389" s="140" t="s">
        <v>2625</v>
      </c>
      <c r="K389" s="141">
        <v>3300009787</v>
      </c>
      <c r="L389" s="141">
        <v>2116046</v>
      </c>
      <c r="M389" s="141" t="s">
        <v>2347</v>
      </c>
      <c r="N389" s="141">
        <v>5012461</v>
      </c>
      <c r="O389" s="142"/>
      <c r="P389" s="142"/>
      <c r="Q389" s="142"/>
      <c r="R389" s="142"/>
      <c r="S389" s="142"/>
      <c r="T389" s="141" t="s">
        <v>2627</v>
      </c>
      <c r="V389" s="43" t="s">
        <v>680</v>
      </c>
      <c r="AF389" s="42">
        <v>2103895</v>
      </c>
      <c r="AG389" s="42" t="s">
        <v>6528</v>
      </c>
    </row>
    <row r="390" spans="6:33" ht="15.75" customHeight="1">
      <c r="F390" s="40" t="s">
        <v>1548</v>
      </c>
      <c r="G390" s="40" t="s">
        <v>1549</v>
      </c>
      <c r="H390" s="40" t="s">
        <v>564</v>
      </c>
      <c r="I390" s="40" t="s">
        <v>6851</v>
      </c>
      <c r="J390" s="140">
        <v>3300001680</v>
      </c>
      <c r="K390" s="141">
        <v>2171925</v>
      </c>
      <c r="L390" s="141">
        <v>5059358</v>
      </c>
      <c r="M390" s="141" t="s">
        <v>1550</v>
      </c>
      <c r="N390" s="141">
        <v>2226070</v>
      </c>
      <c r="O390" s="142"/>
      <c r="P390" s="142"/>
      <c r="Q390" s="142"/>
      <c r="R390" s="142"/>
      <c r="S390" s="142"/>
      <c r="T390" s="141" t="s">
        <v>1551</v>
      </c>
      <c r="V390" s="43" t="s">
        <v>608</v>
      </c>
      <c r="AF390" s="42">
        <v>2103896</v>
      </c>
      <c r="AG390" s="42" t="s">
        <v>6528</v>
      </c>
    </row>
    <row r="391" spans="6:33" ht="15.75" customHeight="1">
      <c r="F391" s="40" t="s">
        <v>7133</v>
      </c>
      <c r="G391" s="40" t="s">
        <v>7148</v>
      </c>
      <c r="H391" s="40" t="s">
        <v>761</v>
      </c>
      <c r="I391" s="40" t="s">
        <v>6848</v>
      </c>
      <c r="J391" s="140">
        <v>2116240</v>
      </c>
      <c r="K391" s="141">
        <v>3300016501</v>
      </c>
      <c r="L391" s="141">
        <v>5042672</v>
      </c>
      <c r="M391" s="141">
        <v>5031869</v>
      </c>
      <c r="N391" s="141" t="s">
        <v>8050</v>
      </c>
      <c r="O391" s="142"/>
      <c r="P391" s="142"/>
      <c r="Q391" s="142"/>
      <c r="R391" s="142"/>
      <c r="S391" s="142"/>
      <c r="T391" s="141" t="s">
        <v>7069</v>
      </c>
      <c r="V391" s="43" t="s">
        <v>599</v>
      </c>
      <c r="AF391" s="42">
        <v>2103897</v>
      </c>
      <c r="AG391" s="42" t="s">
        <v>6528</v>
      </c>
    </row>
    <row r="392" spans="6:33" ht="15.75" customHeight="1">
      <c r="F392" s="40" t="s">
        <v>3919</v>
      </c>
      <c r="G392" s="40" t="s">
        <v>3920</v>
      </c>
      <c r="H392" s="40" t="s">
        <v>553</v>
      </c>
      <c r="I392" s="40" t="s">
        <v>6853</v>
      </c>
      <c r="J392" s="140">
        <v>3300008149</v>
      </c>
      <c r="K392" s="141">
        <v>2103478</v>
      </c>
      <c r="L392" s="141" t="s">
        <v>8017</v>
      </c>
      <c r="M392" s="141" t="s">
        <v>6669</v>
      </c>
      <c r="N392" s="141"/>
      <c r="O392" s="142"/>
      <c r="P392" s="142"/>
      <c r="Q392" s="142"/>
      <c r="R392" s="142"/>
      <c r="S392" s="142"/>
      <c r="T392" s="141" t="s">
        <v>3921</v>
      </c>
      <c r="V392" s="43" t="s">
        <v>555</v>
      </c>
      <c r="AF392" s="42">
        <v>2103898</v>
      </c>
      <c r="AG392" s="42" t="s">
        <v>6528</v>
      </c>
    </row>
    <row r="393" spans="6:33" ht="15.75" customHeight="1">
      <c r="F393" s="40" t="s">
        <v>2786</v>
      </c>
      <c r="G393" s="40" t="s">
        <v>62</v>
      </c>
      <c r="H393" s="40" t="s">
        <v>670</v>
      </c>
      <c r="I393" s="40" t="s">
        <v>6849</v>
      </c>
      <c r="J393" s="140" t="s">
        <v>2788</v>
      </c>
      <c r="K393" s="141" t="s">
        <v>2789</v>
      </c>
      <c r="L393" s="141">
        <v>2082656</v>
      </c>
      <c r="M393" s="141">
        <v>3300012702</v>
      </c>
      <c r="N393" s="141"/>
      <c r="O393" s="142"/>
      <c r="P393" s="142"/>
      <c r="Q393" s="142"/>
      <c r="R393" s="142"/>
      <c r="S393" s="142"/>
      <c r="T393" s="141" t="s">
        <v>2790</v>
      </c>
      <c r="V393" s="43" t="s">
        <v>2787</v>
      </c>
      <c r="AF393" s="42">
        <v>2103899</v>
      </c>
      <c r="AG393" s="42" t="s">
        <v>6528</v>
      </c>
    </row>
    <row r="394" spans="6:33" ht="15.75" customHeight="1">
      <c r="F394" s="40" t="s">
        <v>8297</v>
      </c>
      <c r="G394" s="40" t="s">
        <v>8315</v>
      </c>
      <c r="H394" s="40" t="s">
        <v>564</v>
      </c>
      <c r="I394" s="40" t="s">
        <v>6851</v>
      </c>
      <c r="J394" s="140">
        <v>3400003867</v>
      </c>
      <c r="K394" s="141" t="s">
        <v>8263</v>
      </c>
      <c r="L394" s="141" t="s">
        <v>7011</v>
      </c>
      <c r="M394" s="141">
        <v>5100165</v>
      </c>
      <c r="N394" s="141">
        <v>2236047</v>
      </c>
      <c r="O394" s="142"/>
      <c r="P394" s="142"/>
      <c r="Q394" s="142"/>
      <c r="R394" s="142"/>
      <c r="S394" s="142"/>
      <c r="T394" s="141" t="s">
        <v>8211</v>
      </c>
      <c r="V394" s="43" t="s">
        <v>678</v>
      </c>
      <c r="AF394" s="42">
        <v>2103900</v>
      </c>
      <c r="AG394" s="42" t="s">
        <v>6528</v>
      </c>
    </row>
    <row r="395" spans="6:33" ht="15.75" customHeight="1">
      <c r="F395" s="40" t="s">
        <v>4971</v>
      </c>
      <c r="G395" s="40" t="s">
        <v>4972</v>
      </c>
      <c r="H395" s="40" t="s">
        <v>761</v>
      </c>
      <c r="I395" s="40" t="s">
        <v>6848</v>
      </c>
      <c r="J395" s="140">
        <v>5042659</v>
      </c>
      <c r="K395" s="141"/>
      <c r="L395" s="141">
        <v>3300006796</v>
      </c>
      <c r="M395" s="141"/>
      <c r="N395" s="141"/>
      <c r="O395" s="142"/>
      <c r="P395" s="142"/>
      <c r="Q395" s="142"/>
      <c r="R395" s="142"/>
      <c r="S395" s="142"/>
      <c r="T395" s="141" t="s">
        <v>4974</v>
      </c>
      <c r="V395" s="43" t="s">
        <v>726</v>
      </c>
      <c r="AF395" s="42">
        <v>2103901</v>
      </c>
      <c r="AG395" s="42" t="s">
        <v>6528</v>
      </c>
    </row>
    <row r="396" spans="6:33" ht="15.75" customHeight="1">
      <c r="F396" s="40" t="s">
        <v>7461</v>
      </c>
      <c r="G396" s="40" t="s">
        <v>7462</v>
      </c>
      <c r="H396" s="40" t="s">
        <v>553</v>
      </c>
      <c r="I396" s="40" t="s">
        <v>6853</v>
      </c>
      <c r="J396" s="140">
        <v>2103732</v>
      </c>
      <c r="K396" s="141">
        <v>2149672</v>
      </c>
      <c r="L396" s="141" t="s">
        <v>7532</v>
      </c>
      <c r="M396" s="141" t="s">
        <v>3284</v>
      </c>
      <c r="N396" s="141">
        <v>2114733</v>
      </c>
      <c r="O396" s="142"/>
      <c r="P396" s="142"/>
      <c r="Q396" s="142"/>
      <c r="R396" s="142"/>
      <c r="S396" s="142"/>
      <c r="T396" s="141" t="s">
        <v>7572</v>
      </c>
      <c r="V396" s="43" t="s">
        <v>553</v>
      </c>
      <c r="AF396" s="42">
        <v>2103902</v>
      </c>
      <c r="AG396" s="42" t="s">
        <v>6528</v>
      </c>
    </row>
    <row r="397" spans="6:33" ht="15.75" customHeight="1">
      <c r="F397" s="40" t="s">
        <v>2518</v>
      </c>
      <c r="G397" s="40" t="s">
        <v>2519</v>
      </c>
      <c r="H397" s="40" t="s">
        <v>670</v>
      </c>
      <c r="I397" s="40" t="s">
        <v>6849</v>
      </c>
      <c r="J397" s="140">
        <v>3300009792</v>
      </c>
      <c r="K397" s="141" t="s">
        <v>2520</v>
      </c>
      <c r="L397" s="141">
        <v>2119252</v>
      </c>
      <c r="M397" s="141" t="s">
        <v>2521</v>
      </c>
      <c r="N397" s="141"/>
      <c r="O397" s="142"/>
      <c r="P397" s="142"/>
      <c r="Q397" s="142"/>
      <c r="R397" s="142"/>
      <c r="S397" s="142"/>
      <c r="T397" s="141" t="s">
        <v>2522</v>
      </c>
      <c r="V397" s="43" t="s">
        <v>640</v>
      </c>
      <c r="AF397" s="42">
        <v>2103903</v>
      </c>
      <c r="AG397" s="42" t="s">
        <v>6528</v>
      </c>
    </row>
    <row r="398" spans="6:33" ht="15.75" customHeight="1">
      <c r="F398" s="40" t="s">
        <v>4499</v>
      </c>
      <c r="G398" s="40" t="s">
        <v>4500</v>
      </c>
      <c r="H398" s="40" t="s">
        <v>761</v>
      </c>
      <c r="I398" s="40" t="s">
        <v>6848</v>
      </c>
      <c r="J398" s="140">
        <v>2096030</v>
      </c>
      <c r="K398" s="141">
        <v>3300001666</v>
      </c>
      <c r="L398" s="141" t="s">
        <v>4502</v>
      </c>
      <c r="M398" s="141">
        <v>3300011791</v>
      </c>
      <c r="N398" s="141">
        <v>2103480</v>
      </c>
      <c r="O398" s="142"/>
      <c r="P398" s="142"/>
      <c r="Q398" s="142"/>
      <c r="R398" s="142"/>
      <c r="S398" s="142"/>
      <c r="T398" s="141" t="s">
        <v>4503</v>
      </c>
      <c r="V398" s="43" t="s">
        <v>599</v>
      </c>
      <c r="AF398" s="42">
        <v>2103904</v>
      </c>
      <c r="AG398" s="42" t="s">
        <v>6528</v>
      </c>
    </row>
    <row r="399" spans="6:33" ht="15.75" customHeight="1">
      <c r="F399" s="40" t="s">
        <v>2851</v>
      </c>
      <c r="G399" s="40" t="s">
        <v>2852</v>
      </c>
      <c r="H399" s="40" t="s">
        <v>595</v>
      </c>
      <c r="I399" s="40" t="s">
        <v>6847</v>
      </c>
      <c r="J399" s="138" t="s">
        <v>2853</v>
      </c>
      <c r="K399" s="139">
        <v>3300012276</v>
      </c>
      <c r="L399" s="141" t="s">
        <v>2854</v>
      </c>
      <c r="M399" s="141">
        <v>2183595</v>
      </c>
      <c r="N399" s="141"/>
      <c r="O399" s="142"/>
      <c r="P399" s="142"/>
      <c r="Q399" s="142"/>
      <c r="R399" s="142"/>
      <c r="S399" s="142"/>
      <c r="T399" s="139" t="s">
        <v>2855</v>
      </c>
      <c r="V399" s="43" t="s">
        <v>808</v>
      </c>
      <c r="AF399" s="42">
        <v>2103905</v>
      </c>
      <c r="AG399" s="42" t="s">
        <v>6528</v>
      </c>
    </row>
    <row r="400" spans="6:33" ht="15.75" customHeight="1">
      <c r="F400" s="40" t="s">
        <v>1706</v>
      </c>
      <c r="G400" s="40" t="s">
        <v>1707</v>
      </c>
      <c r="H400" s="40" t="s">
        <v>564</v>
      </c>
      <c r="I400" s="40" t="s">
        <v>6851</v>
      </c>
      <c r="J400" s="140" t="s">
        <v>1709</v>
      </c>
      <c r="K400" s="141">
        <v>2160455</v>
      </c>
      <c r="L400" s="141" t="s">
        <v>1710</v>
      </c>
      <c r="M400" s="141">
        <v>5036848</v>
      </c>
      <c r="N400" s="141">
        <v>3300009510</v>
      </c>
      <c r="O400" s="142"/>
      <c r="P400" s="142"/>
      <c r="Q400" s="142"/>
      <c r="R400" s="142"/>
      <c r="S400" s="142"/>
      <c r="T400" s="141" t="s">
        <v>1711</v>
      </c>
      <c r="V400" s="43" t="s">
        <v>817</v>
      </c>
      <c r="AF400" s="42">
        <v>2103906</v>
      </c>
      <c r="AG400" s="42" t="s">
        <v>6528</v>
      </c>
    </row>
    <row r="401" spans="6:33" ht="15.75" customHeight="1">
      <c r="F401" s="40" t="s">
        <v>5486</v>
      </c>
      <c r="G401" s="40" t="s">
        <v>5487</v>
      </c>
      <c r="H401" s="40" t="s">
        <v>761</v>
      </c>
      <c r="I401" s="40" t="s">
        <v>6848</v>
      </c>
      <c r="J401" s="140">
        <v>5070892</v>
      </c>
      <c r="K401" s="141">
        <v>3300012833</v>
      </c>
      <c r="L401" s="141">
        <v>2170079</v>
      </c>
      <c r="M401" s="141">
        <v>5059352</v>
      </c>
      <c r="N401" s="141"/>
      <c r="O401" s="142"/>
      <c r="P401" s="142"/>
      <c r="Q401" s="142"/>
      <c r="R401" s="142"/>
      <c r="S401" s="142"/>
      <c r="T401" s="141" t="s">
        <v>5489</v>
      </c>
      <c r="V401" s="43" t="s">
        <v>816</v>
      </c>
      <c r="AF401" s="42">
        <v>2103907</v>
      </c>
      <c r="AG401" s="42" t="s">
        <v>6528</v>
      </c>
    </row>
    <row r="402" spans="6:33" ht="15.75" customHeight="1">
      <c r="F402" s="40" t="s">
        <v>4177</v>
      </c>
      <c r="G402" s="40" t="s">
        <v>4178</v>
      </c>
      <c r="H402" s="40" t="s">
        <v>553</v>
      </c>
      <c r="I402" s="40" t="s">
        <v>6853</v>
      </c>
      <c r="J402" s="140">
        <v>5105520</v>
      </c>
      <c r="K402" s="141" t="s">
        <v>4180</v>
      </c>
      <c r="L402" s="141">
        <v>3300001696</v>
      </c>
      <c r="M402" s="141">
        <v>2114757</v>
      </c>
      <c r="N402" s="141" t="s">
        <v>4181</v>
      </c>
      <c r="O402" s="142"/>
      <c r="P402" s="142"/>
      <c r="Q402" s="142"/>
      <c r="R402" s="142"/>
      <c r="S402" s="142"/>
      <c r="T402" s="141" t="s">
        <v>4182</v>
      </c>
      <c r="V402" s="43" t="s">
        <v>553</v>
      </c>
      <c r="AF402" s="42">
        <v>2103908</v>
      </c>
      <c r="AG402" s="42" t="s">
        <v>6528</v>
      </c>
    </row>
    <row r="403" spans="6:33" ht="15.75" customHeight="1">
      <c r="F403" s="40" t="s">
        <v>6458</v>
      </c>
      <c r="G403" s="40" t="s">
        <v>6459</v>
      </c>
      <c r="H403" s="40" t="s">
        <v>8208</v>
      </c>
      <c r="I403" s="40" t="s">
        <v>6850</v>
      </c>
      <c r="J403" s="140">
        <v>5050430</v>
      </c>
      <c r="K403" s="141" t="s">
        <v>6460</v>
      </c>
      <c r="L403" s="141">
        <v>2171979</v>
      </c>
      <c r="M403" s="141">
        <v>2226099</v>
      </c>
      <c r="N403" s="141"/>
      <c r="O403" s="142"/>
      <c r="P403" s="142"/>
      <c r="Q403" s="142"/>
      <c r="R403" s="142"/>
      <c r="S403" s="142"/>
      <c r="T403" s="141" t="s">
        <v>6724</v>
      </c>
      <c r="V403" s="43" t="s">
        <v>556</v>
      </c>
      <c r="AF403" s="42">
        <v>2103909</v>
      </c>
      <c r="AG403" s="42" t="s">
        <v>6528</v>
      </c>
    </row>
    <row r="404" spans="6:33" ht="15.75" customHeight="1">
      <c r="F404" s="40" t="s">
        <v>6937</v>
      </c>
      <c r="G404" s="40" t="s">
        <v>6938</v>
      </c>
      <c r="H404" s="40" t="s">
        <v>6841</v>
      </c>
      <c r="I404" s="40" t="s">
        <v>6852</v>
      </c>
      <c r="J404" s="140" t="s">
        <v>6649</v>
      </c>
      <c r="K404" s="141">
        <v>5045650</v>
      </c>
      <c r="L404" s="141">
        <v>3300012490</v>
      </c>
      <c r="M404" s="141">
        <v>2103668</v>
      </c>
      <c r="N404" s="141"/>
      <c r="O404" s="142"/>
      <c r="P404" s="142"/>
      <c r="Q404" s="142"/>
      <c r="R404" s="142"/>
      <c r="S404" s="142"/>
      <c r="T404" s="141" t="s">
        <v>6557</v>
      </c>
      <c r="V404" s="43" t="s">
        <v>6961</v>
      </c>
      <c r="AF404" s="42">
        <v>2103910</v>
      </c>
      <c r="AG404" s="42" t="s">
        <v>6528</v>
      </c>
    </row>
    <row r="405" spans="6:33" ht="15.75" customHeight="1">
      <c r="F405" s="40" t="s">
        <v>7463</v>
      </c>
      <c r="G405" s="40" t="s">
        <v>1141</v>
      </c>
      <c r="H405" s="40" t="s">
        <v>564</v>
      </c>
      <c r="I405" s="40" t="s">
        <v>6851</v>
      </c>
      <c r="J405" s="138" t="s">
        <v>1142</v>
      </c>
      <c r="K405" s="141">
        <v>5014464</v>
      </c>
      <c r="L405" s="141">
        <v>2171955</v>
      </c>
      <c r="M405" s="139">
        <v>2228739</v>
      </c>
      <c r="N405" s="141" t="s">
        <v>1143</v>
      </c>
      <c r="O405" s="142"/>
      <c r="P405" s="142"/>
      <c r="Q405" s="142"/>
      <c r="R405" s="142"/>
      <c r="S405" s="142"/>
      <c r="T405" s="141" t="s">
        <v>1144</v>
      </c>
      <c r="V405" s="43" t="s">
        <v>662</v>
      </c>
      <c r="AF405" s="42">
        <v>2103911</v>
      </c>
      <c r="AG405" s="42" t="s">
        <v>6528</v>
      </c>
    </row>
    <row r="406" spans="6:33" ht="15.75" customHeight="1">
      <c r="F406" s="40" t="s">
        <v>7464</v>
      </c>
      <c r="G406" s="40" t="s">
        <v>1129</v>
      </c>
      <c r="H406" s="40" t="s">
        <v>564</v>
      </c>
      <c r="I406" s="40" t="s">
        <v>6851</v>
      </c>
      <c r="J406" s="140">
        <v>3300002945</v>
      </c>
      <c r="K406" s="141" t="s">
        <v>8537</v>
      </c>
      <c r="L406" s="141">
        <v>3300005139</v>
      </c>
      <c r="M406" s="141"/>
      <c r="N406" s="141"/>
      <c r="O406" s="142"/>
      <c r="P406" s="142"/>
      <c r="Q406" s="142"/>
      <c r="R406" s="142"/>
      <c r="S406" s="142"/>
      <c r="T406" s="141" t="s">
        <v>1130</v>
      </c>
      <c r="V406" s="43" t="s">
        <v>569</v>
      </c>
      <c r="AF406" s="42">
        <v>2103912</v>
      </c>
      <c r="AG406" s="42" t="s">
        <v>6528</v>
      </c>
    </row>
    <row r="407" spans="6:33" ht="15.75" customHeight="1">
      <c r="F407" s="40" t="s">
        <v>3570</v>
      </c>
      <c r="G407" s="40" t="s">
        <v>3571</v>
      </c>
      <c r="H407" s="40" t="s">
        <v>8513</v>
      </c>
      <c r="I407" s="40" t="s">
        <v>6853</v>
      </c>
      <c r="J407" s="140">
        <v>5045664</v>
      </c>
      <c r="K407" s="141" t="s">
        <v>3572</v>
      </c>
      <c r="L407" s="141">
        <v>2171930</v>
      </c>
      <c r="M407" s="141">
        <v>3300011506</v>
      </c>
      <c r="N407" s="141"/>
      <c r="O407" s="142"/>
      <c r="P407" s="142"/>
      <c r="Q407" s="142"/>
      <c r="R407" s="142"/>
      <c r="S407" s="142"/>
      <c r="T407" s="141" t="s">
        <v>3573</v>
      </c>
      <c r="V407" s="43" t="s">
        <v>572</v>
      </c>
      <c r="AF407" s="42">
        <v>2103913</v>
      </c>
      <c r="AG407" s="42" t="s">
        <v>6528</v>
      </c>
    </row>
    <row r="408" spans="6:33" ht="15.75" customHeight="1">
      <c r="F408" s="40" t="s">
        <v>7465</v>
      </c>
      <c r="G408" s="40" t="s">
        <v>1591</v>
      </c>
      <c r="H408" s="40" t="s">
        <v>564</v>
      </c>
      <c r="I408" s="40" t="s">
        <v>6851</v>
      </c>
      <c r="J408" s="140">
        <v>3300008118</v>
      </c>
      <c r="K408" s="141">
        <v>5050457</v>
      </c>
      <c r="L408" s="141">
        <v>2103482</v>
      </c>
      <c r="M408" s="141" t="s">
        <v>1592</v>
      </c>
      <c r="N408" s="141" t="s">
        <v>4915</v>
      </c>
      <c r="O408" s="142"/>
      <c r="P408" s="142"/>
      <c r="Q408" s="142"/>
      <c r="R408" s="142"/>
      <c r="S408" s="142"/>
      <c r="T408" s="141" t="s">
        <v>8592</v>
      </c>
      <c r="V408" s="43" t="s">
        <v>602</v>
      </c>
      <c r="AF408" s="42">
        <v>2103914</v>
      </c>
      <c r="AG408" s="42" t="s">
        <v>6528</v>
      </c>
    </row>
    <row r="409" spans="6:33" ht="15.75" customHeight="1">
      <c r="F409" s="40" t="s">
        <v>7248</v>
      </c>
      <c r="G409" s="40" t="s">
        <v>7266</v>
      </c>
      <c r="H409" s="40" t="s">
        <v>761</v>
      </c>
      <c r="I409" s="40" t="s">
        <v>6848</v>
      </c>
      <c r="J409" s="140" t="s">
        <v>7224</v>
      </c>
      <c r="K409" s="141">
        <v>3300012521</v>
      </c>
      <c r="L409" s="141">
        <v>2084686</v>
      </c>
      <c r="M409" s="141"/>
      <c r="N409" s="141"/>
      <c r="O409" s="142"/>
      <c r="P409" s="142"/>
      <c r="Q409" s="142"/>
      <c r="R409" s="142"/>
      <c r="S409" s="142"/>
      <c r="T409" s="141" t="s">
        <v>7281</v>
      </c>
      <c r="V409" s="43" t="s">
        <v>7295</v>
      </c>
      <c r="AF409" s="42">
        <v>2103915</v>
      </c>
      <c r="AG409" s="42" t="s">
        <v>6528</v>
      </c>
    </row>
    <row r="410" spans="6:33" ht="15.75" customHeight="1">
      <c r="F410" s="40" t="s">
        <v>5780</v>
      </c>
      <c r="G410" s="40" t="s">
        <v>5781</v>
      </c>
      <c r="H410" s="40" t="s">
        <v>761</v>
      </c>
      <c r="I410" s="40" t="s">
        <v>6848</v>
      </c>
      <c r="J410" s="140">
        <v>2103918</v>
      </c>
      <c r="K410" s="141" t="s">
        <v>5782</v>
      </c>
      <c r="L410" s="141">
        <v>3300003616</v>
      </c>
      <c r="M410" s="141">
        <v>5042650</v>
      </c>
      <c r="N410" s="141"/>
      <c r="O410" s="142"/>
      <c r="P410" s="142"/>
      <c r="Q410" s="142"/>
      <c r="R410" s="142"/>
      <c r="S410" s="142"/>
      <c r="T410" s="141" t="s">
        <v>5783</v>
      </c>
      <c r="V410" s="43" t="s">
        <v>588</v>
      </c>
      <c r="AF410" s="42">
        <v>2103916</v>
      </c>
      <c r="AG410" s="42" t="s">
        <v>6528</v>
      </c>
    </row>
    <row r="411" spans="6:33" ht="15.75" customHeight="1">
      <c r="F411" s="40" t="s">
        <v>7416</v>
      </c>
      <c r="G411" s="40" t="s">
        <v>7424</v>
      </c>
      <c r="H411" s="40" t="s">
        <v>564</v>
      </c>
      <c r="I411" s="40" t="s">
        <v>6851</v>
      </c>
      <c r="J411" s="140">
        <v>3400003040</v>
      </c>
      <c r="K411" s="141" t="s">
        <v>2210</v>
      </c>
      <c r="L411" s="141">
        <v>2049798</v>
      </c>
      <c r="M411" s="141" t="s">
        <v>870</v>
      </c>
      <c r="N411" s="141">
        <v>5105543</v>
      </c>
      <c r="O411" s="142"/>
      <c r="P411" s="142"/>
      <c r="Q411" s="142"/>
      <c r="R411" s="142"/>
      <c r="S411" s="142"/>
      <c r="T411" s="141" t="s">
        <v>7304</v>
      </c>
      <c r="V411" s="43" t="s">
        <v>7429</v>
      </c>
      <c r="AF411" s="42">
        <v>2103917</v>
      </c>
      <c r="AG411" s="42" t="s">
        <v>6528</v>
      </c>
    </row>
    <row r="412" spans="6:33" ht="15.75" customHeight="1">
      <c r="F412" s="40" t="s">
        <v>8439</v>
      </c>
      <c r="G412" s="40" t="s">
        <v>8488</v>
      </c>
      <c r="H412" s="40" t="s">
        <v>564</v>
      </c>
      <c r="I412" s="40" t="s">
        <v>6851</v>
      </c>
      <c r="J412" s="138">
        <v>2176080</v>
      </c>
      <c r="K412" s="139">
        <v>5104340</v>
      </c>
      <c r="L412" s="139" t="s">
        <v>8416</v>
      </c>
      <c r="M412" s="139">
        <v>3400003855</v>
      </c>
      <c r="N412" s="141">
        <v>3400003865</v>
      </c>
      <c r="O412" s="142"/>
      <c r="P412" s="142"/>
      <c r="Q412" s="142"/>
      <c r="R412" s="142"/>
      <c r="S412" s="142"/>
      <c r="T412" s="139" t="s">
        <v>8217</v>
      </c>
      <c r="V412" s="43" t="s">
        <v>805</v>
      </c>
      <c r="AF412" s="42">
        <v>2103918</v>
      </c>
      <c r="AG412" s="42" t="s">
        <v>6528</v>
      </c>
    </row>
    <row r="413" spans="6:33" ht="15.75" customHeight="1">
      <c r="F413" s="40" t="s">
        <v>7694</v>
      </c>
      <c r="G413" s="40" t="s">
        <v>7858</v>
      </c>
      <c r="H413" s="40" t="s">
        <v>8208</v>
      </c>
      <c r="I413" s="40" t="s">
        <v>6850</v>
      </c>
      <c r="J413" s="140">
        <v>2117485</v>
      </c>
      <c r="K413" s="139">
        <v>5038128</v>
      </c>
      <c r="L413" s="141" t="s">
        <v>8018</v>
      </c>
      <c r="M413" s="141">
        <v>2141088</v>
      </c>
      <c r="N413" s="141"/>
      <c r="O413" s="142"/>
      <c r="P413" s="142"/>
      <c r="Q413" s="142"/>
      <c r="R413" s="142"/>
      <c r="S413" s="142"/>
      <c r="T413" s="141">
        <v>51300099</v>
      </c>
      <c r="V413" s="43" t="s">
        <v>8182</v>
      </c>
      <c r="AF413" s="42">
        <v>2103919</v>
      </c>
      <c r="AG413" s="42" t="s">
        <v>6528</v>
      </c>
    </row>
    <row r="414" spans="6:33" ht="15.75" customHeight="1">
      <c r="F414" s="40" t="s">
        <v>6396</v>
      </c>
      <c r="G414" s="40" t="s">
        <v>6397</v>
      </c>
      <c r="H414" s="40" t="s">
        <v>8208</v>
      </c>
      <c r="I414" s="40" t="s">
        <v>6850</v>
      </c>
      <c r="J414" s="140">
        <v>5014447</v>
      </c>
      <c r="K414" s="141">
        <v>5031897</v>
      </c>
      <c r="L414" s="141">
        <v>3300002809</v>
      </c>
      <c r="M414" s="141">
        <v>2172018</v>
      </c>
      <c r="N414" s="141"/>
      <c r="O414" s="142"/>
      <c r="P414" s="142"/>
      <c r="Q414" s="142"/>
      <c r="R414" s="142"/>
      <c r="S414" s="142"/>
      <c r="T414" s="141" t="s">
        <v>6399</v>
      </c>
      <c r="V414" s="43" t="s">
        <v>658</v>
      </c>
      <c r="AF414" s="42">
        <v>2103920</v>
      </c>
      <c r="AG414" s="42" t="s">
        <v>6528</v>
      </c>
    </row>
    <row r="415" spans="6:33" ht="15.75" customHeight="1">
      <c r="F415" s="40" t="s">
        <v>1378</v>
      </c>
      <c r="G415" s="40" t="s">
        <v>1379</v>
      </c>
      <c r="H415" s="40" t="s">
        <v>564</v>
      </c>
      <c r="I415" s="40" t="s">
        <v>6851</v>
      </c>
      <c r="J415" s="140">
        <v>2171939</v>
      </c>
      <c r="K415" s="141" t="s">
        <v>1380</v>
      </c>
      <c r="L415" s="141" t="s">
        <v>1381</v>
      </c>
      <c r="M415" s="141" t="s">
        <v>7103</v>
      </c>
      <c r="N415" s="141">
        <v>3300001256</v>
      </c>
      <c r="O415" s="142"/>
      <c r="P415" s="142"/>
      <c r="Q415" s="142"/>
      <c r="R415" s="142"/>
      <c r="S415" s="142"/>
      <c r="T415" s="141" t="s">
        <v>1382</v>
      </c>
      <c r="V415" s="43" t="s">
        <v>591</v>
      </c>
      <c r="AF415" s="42">
        <v>2103921</v>
      </c>
      <c r="AG415" s="42" t="s">
        <v>6528</v>
      </c>
    </row>
    <row r="416" spans="6:33" ht="15.75" customHeight="1">
      <c r="F416" s="40" t="s">
        <v>8341</v>
      </c>
      <c r="G416" s="40" t="s">
        <v>8366</v>
      </c>
      <c r="H416" s="40" t="s">
        <v>564</v>
      </c>
      <c r="I416" s="40" t="s">
        <v>6851</v>
      </c>
      <c r="J416" s="140" t="s">
        <v>6973</v>
      </c>
      <c r="K416" s="141">
        <v>5045655</v>
      </c>
      <c r="L416" s="141">
        <v>3300005152</v>
      </c>
      <c r="M416" s="141"/>
      <c r="N416" s="141"/>
      <c r="O416" s="142"/>
      <c r="P416" s="142"/>
      <c r="Q416" s="142"/>
      <c r="R416" s="142"/>
      <c r="S416" s="142"/>
      <c r="T416" s="141" t="s">
        <v>5359</v>
      </c>
      <c r="V416" s="43" t="s">
        <v>8408</v>
      </c>
      <c r="AF416" s="42">
        <v>2103922</v>
      </c>
      <c r="AG416" s="42" t="s">
        <v>6528</v>
      </c>
    </row>
    <row r="417" spans="6:33" ht="15.75" customHeight="1">
      <c r="F417" s="40" t="s">
        <v>2324</v>
      </c>
      <c r="G417" s="40" t="s">
        <v>2325</v>
      </c>
      <c r="H417" s="40" t="s">
        <v>564</v>
      </c>
      <c r="I417" s="40" t="s">
        <v>6851</v>
      </c>
      <c r="J417" s="140" t="s">
        <v>2326</v>
      </c>
      <c r="K417" s="141">
        <v>2103433</v>
      </c>
      <c r="L417" s="141">
        <v>3300005147</v>
      </c>
      <c r="M417" s="141">
        <v>2183596</v>
      </c>
      <c r="N417" s="141" t="s">
        <v>2327</v>
      </c>
      <c r="O417" s="142"/>
      <c r="P417" s="142"/>
      <c r="Q417" s="142"/>
      <c r="R417" s="142"/>
      <c r="S417" s="142"/>
      <c r="T417" s="141" t="s">
        <v>7299</v>
      </c>
      <c r="V417" s="43" t="s">
        <v>546</v>
      </c>
      <c r="AF417" s="42">
        <v>2103923</v>
      </c>
      <c r="AG417" s="42" t="s">
        <v>6528</v>
      </c>
    </row>
    <row r="418" spans="6:33" ht="15.75" customHeight="1">
      <c r="F418" s="40" t="s">
        <v>3645</v>
      </c>
      <c r="G418" s="40" t="s">
        <v>3646</v>
      </c>
      <c r="H418" s="40" t="s">
        <v>8513</v>
      </c>
      <c r="I418" s="40" t="s">
        <v>6853</v>
      </c>
      <c r="J418" s="138" t="s">
        <v>4139</v>
      </c>
      <c r="K418" s="139">
        <v>3300012685</v>
      </c>
      <c r="L418" s="141">
        <v>5059301</v>
      </c>
      <c r="M418" s="141">
        <v>2171883</v>
      </c>
      <c r="N418" s="141"/>
      <c r="O418" s="142"/>
      <c r="P418" s="142"/>
      <c r="Q418" s="142"/>
      <c r="R418" s="142"/>
      <c r="S418" s="142"/>
      <c r="T418" s="139" t="s">
        <v>3648</v>
      </c>
      <c r="V418" s="43" t="s">
        <v>560</v>
      </c>
      <c r="AF418" s="42">
        <v>2103924</v>
      </c>
      <c r="AG418" s="42" t="s">
        <v>6528</v>
      </c>
    </row>
    <row r="419" spans="6:33" ht="15.75" customHeight="1">
      <c r="F419" s="40" t="s">
        <v>2176</v>
      </c>
      <c r="G419" s="40" t="s">
        <v>2177</v>
      </c>
      <c r="H419" s="40" t="s">
        <v>564</v>
      </c>
      <c r="I419" s="40" t="s">
        <v>6851</v>
      </c>
      <c r="J419" s="140">
        <v>2183501</v>
      </c>
      <c r="K419" s="141">
        <v>5103020</v>
      </c>
      <c r="L419" s="141" t="s">
        <v>2179</v>
      </c>
      <c r="M419" s="141">
        <v>2228720</v>
      </c>
      <c r="N419" s="141" t="s">
        <v>8233</v>
      </c>
      <c r="O419" s="142"/>
      <c r="P419" s="142"/>
      <c r="Q419" s="142"/>
      <c r="R419" s="142"/>
      <c r="S419" s="142"/>
      <c r="T419" s="141" t="s">
        <v>2180</v>
      </c>
      <c r="V419" s="43" t="s">
        <v>557</v>
      </c>
      <c r="AF419" s="42">
        <v>2103925</v>
      </c>
      <c r="AG419" s="42" t="s">
        <v>6528</v>
      </c>
    </row>
    <row r="420" spans="6:33" ht="15.75" customHeight="1">
      <c r="F420" s="40" t="s">
        <v>5255</v>
      </c>
      <c r="G420" s="40" t="s">
        <v>5256</v>
      </c>
      <c r="H420" s="40" t="s">
        <v>761</v>
      </c>
      <c r="I420" s="40" t="s">
        <v>6848</v>
      </c>
      <c r="J420" s="140" t="s">
        <v>5258</v>
      </c>
      <c r="K420" s="141" t="s">
        <v>5259</v>
      </c>
      <c r="L420" s="141">
        <v>3300012806</v>
      </c>
      <c r="M420" s="141" t="s">
        <v>5260</v>
      </c>
      <c r="N420" s="141" t="s">
        <v>5261</v>
      </c>
      <c r="O420" s="142"/>
      <c r="P420" s="142"/>
      <c r="Q420" s="142"/>
      <c r="R420" s="142"/>
      <c r="S420" s="142"/>
      <c r="T420" s="141" t="s">
        <v>5262</v>
      </c>
      <c r="V420" s="43" t="s">
        <v>790</v>
      </c>
      <c r="AF420" s="42">
        <v>2103926</v>
      </c>
      <c r="AG420" s="42" t="s">
        <v>6528</v>
      </c>
    </row>
    <row r="421" spans="6:33" ht="15.75" customHeight="1">
      <c r="F421" s="40" t="s">
        <v>4184</v>
      </c>
      <c r="G421" s="40" t="s">
        <v>4185</v>
      </c>
      <c r="H421" s="40" t="s">
        <v>553</v>
      </c>
      <c r="I421" s="40" t="s">
        <v>6853</v>
      </c>
      <c r="J421" s="140">
        <v>2103917</v>
      </c>
      <c r="K421" s="141" t="s">
        <v>4186</v>
      </c>
      <c r="L421" s="141">
        <v>3400001168</v>
      </c>
      <c r="M421" s="141">
        <v>5031863</v>
      </c>
      <c r="N421" s="141">
        <v>2103926</v>
      </c>
      <c r="O421" s="142"/>
      <c r="P421" s="142"/>
      <c r="Q421" s="142"/>
      <c r="R421" s="142"/>
      <c r="S421" s="142"/>
      <c r="T421" s="141" t="s">
        <v>4187</v>
      </c>
      <c r="V421" s="43" t="s">
        <v>553</v>
      </c>
      <c r="AF421" s="42">
        <v>2103927</v>
      </c>
      <c r="AG421" s="42" t="s">
        <v>6528</v>
      </c>
    </row>
    <row r="422" spans="6:33" ht="15.75" customHeight="1">
      <c r="F422" s="40" t="s">
        <v>8440</v>
      </c>
      <c r="G422" s="40" t="s">
        <v>8364</v>
      </c>
      <c r="H422" s="40" t="s">
        <v>8208</v>
      </c>
      <c r="I422" s="40" t="s">
        <v>6850</v>
      </c>
      <c r="J422" s="140">
        <v>5099456</v>
      </c>
      <c r="K422" s="141">
        <v>2183519</v>
      </c>
      <c r="L422" s="141" t="s">
        <v>8538</v>
      </c>
      <c r="M422" s="141">
        <v>2152247</v>
      </c>
      <c r="N422" s="141" t="s">
        <v>8539</v>
      </c>
      <c r="O422" s="142"/>
      <c r="P422" s="142"/>
      <c r="Q422" s="142"/>
      <c r="R422" s="142"/>
      <c r="S422" s="142"/>
      <c r="T422" s="141" t="s">
        <v>8215</v>
      </c>
      <c r="V422" s="43" t="s">
        <v>771</v>
      </c>
      <c r="AF422" s="42">
        <v>2103928</v>
      </c>
      <c r="AG422" s="42" t="s">
        <v>6528</v>
      </c>
    </row>
    <row r="423" spans="6:33" ht="15.75" customHeight="1">
      <c r="F423" s="40" t="s">
        <v>7357</v>
      </c>
      <c r="G423" s="40" t="s">
        <v>7369</v>
      </c>
      <c r="H423" s="40" t="s">
        <v>564</v>
      </c>
      <c r="I423" s="40" t="s">
        <v>6851</v>
      </c>
      <c r="J423" s="140">
        <v>3400003031</v>
      </c>
      <c r="K423" s="141" t="s">
        <v>5854</v>
      </c>
      <c r="L423" s="141">
        <v>2113975</v>
      </c>
      <c r="M423" s="141" t="s">
        <v>3755</v>
      </c>
      <c r="N423" s="141">
        <v>5008443</v>
      </c>
      <c r="O423" s="142"/>
      <c r="P423" s="142"/>
      <c r="Q423" s="142"/>
      <c r="R423" s="142"/>
      <c r="S423" s="142"/>
      <c r="T423" s="141" t="s">
        <v>7319</v>
      </c>
      <c r="V423" s="43" t="s">
        <v>6962</v>
      </c>
      <c r="AF423" s="42">
        <v>2103929</v>
      </c>
      <c r="AG423" s="42" t="s">
        <v>6528</v>
      </c>
    </row>
    <row r="424" spans="6:33" ht="15.75" customHeight="1">
      <c r="F424" s="40" t="s">
        <v>3772</v>
      </c>
      <c r="G424" s="40" t="s">
        <v>3773</v>
      </c>
      <c r="H424" s="40" t="s">
        <v>553</v>
      </c>
      <c r="I424" s="40" t="s">
        <v>6853</v>
      </c>
      <c r="J424" s="138">
        <v>2177126</v>
      </c>
      <c r="K424" s="139" t="s">
        <v>3774</v>
      </c>
      <c r="L424" s="141">
        <v>3300006566</v>
      </c>
      <c r="M424" s="141">
        <v>2115663</v>
      </c>
      <c r="N424" s="141">
        <v>5033028</v>
      </c>
      <c r="O424" s="142"/>
      <c r="P424" s="142"/>
      <c r="Q424" s="142"/>
      <c r="R424" s="142"/>
      <c r="S424" s="142"/>
      <c r="T424" s="139" t="s">
        <v>7320</v>
      </c>
      <c r="V424" s="43" t="s">
        <v>716</v>
      </c>
      <c r="AF424" s="42">
        <v>2103930</v>
      </c>
      <c r="AG424" s="42" t="s">
        <v>6528</v>
      </c>
    </row>
    <row r="425" spans="6:33" ht="15.75" customHeight="1">
      <c r="F425" s="40" t="s">
        <v>2011</v>
      </c>
      <c r="G425" s="40" t="s">
        <v>2012</v>
      </c>
      <c r="H425" s="40" t="s">
        <v>564</v>
      </c>
      <c r="I425" s="40" t="s">
        <v>6851</v>
      </c>
      <c r="J425" s="140">
        <v>3300009745</v>
      </c>
      <c r="K425" s="141" t="s">
        <v>2013</v>
      </c>
      <c r="L425" s="141">
        <v>2177166</v>
      </c>
      <c r="M425" s="141"/>
      <c r="N425" s="141"/>
      <c r="O425" s="142"/>
      <c r="P425" s="142"/>
      <c r="Q425" s="142"/>
      <c r="R425" s="142"/>
      <c r="S425" s="142"/>
      <c r="T425" s="141" t="s">
        <v>2014</v>
      </c>
      <c r="V425" s="43" t="s">
        <v>767</v>
      </c>
      <c r="AF425" s="42">
        <v>2103931</v>
      </c>
      <c r="AG425" s="42" t="s">
        <v>6528</v>
      </c>
    </row>
    <row r="426" spans="6:33" ht="15.75" customHeight="1">
      <c r="F426" s="40" t="s">
        <v>2403</v>
      </c>
      <c r="G426" s="40" t="s">
        <v>2404</v>
      </c>
      <c r="H426" s="40" t="s">
        <v>564</v>
      </c>
      <c r="I426" s="40" t="s">
        <v>6851</v>
      </c>
      <c r="J426" s="140">
        <v>3300002808</v>
      </c>
      <c r="K426" s="141" t="s">
        <v>8540</v>
      </c>
      <c r="L426" s="141">
        <v>5050454</v>
      </c>
      <c r="M426" s="141">
        <v>2096066</v>
      </c>
      <c r="N426" s="141"/>
      <c r="O426" s="142"/>
      <c r="P426" s="142"/>
      <c r="Q426" s="142"/>
      <c r="R426" s="142"/>
      <c r="S426" s="142"/>
      <c r="T426" s="141" t="s">
        <v>6537</v>
      </c>
      <c r="V426" s="43" t="s">
        <v>623</v>
      </c>
      <c r="AF426" s="42">
        <v>2103932</v>
      </c>
      <c r="AG426" s="42" t="s">
        <v>6528</v>
      </c>
    </row>
    <row r="427" spans="6:33" ht="15.75" customHeight="1">
      <c r="F427" s="40" t="s">
        <v>7134</v>
      </c>
      <c r="G427" s="40" t="s">
        <v>7149</v>
      </c>
      <c r="H427" s="40" t="s">
        <v>761</v>
      </c>
      <c r="I427" s="40" t="s">
        <v>6848</v>
      </c>
      <c r="J427" s="140">
        <v>2116311</v>
      </c>
      <c r="K427" s="141" t="s">
        <v>6661</v>
      </c>
      <c r="L427" s="141"/>
      <c r="M427" s="141"/>
      <c r="N427" s="141"/>
      <c r="O427" s="142"/>
      <c r="P427" s="142"/>
      <c r="Q427" s="142"/>
      <c r="R427" s="142"/>
      <c r="S427" s="142"/>
      <c r="T427" s="141" t="s">
        <v>6563</v>
      </c>
      <c r="V427" s="43" t="s">
        <v>588</v>
      </c>
      <c r="AF427" s="42">
        <v>2103933</v>
      </c>
      <c r="AG427" s="42" t="s">
        <v>6528</v>
      </c>
    </row>
    <row r="428" spans="6:33" ht="15.75" customHeight="1">
      <c r="F428" s="40" t="s">
        <v>8342</v>
      </c>
      <c r="G428" s="40" t="s">
        <v>8367</v>
      </c>
      <c r="H428" s="40" t="s">
        <v>670</v>
      </c>
      <c r="I428" s="40" t="s">
        <v>6849</v>
      </c>
      <c r="J428" s="140">
        <v>2096155</v>
      </c>
      <c r="K428" s="141" t="s">
        <v>8384</v>
      </c>
      <c r="L428" s="141">
        <v>2141288</v>
      </c>
      <c r="M428" s="141" t="s">
        <v>8258</v>
      </c>
      <c r="N428" s="141">
        <v>2117090</v>
      </c>
      <c r="O428" s="142"/>
      <c r="P428" s="142"/>
      <c r="Q428" s="142"/>
      <c r="R428" s="142"/>
      <c r="S428" s="142"/>
      <c r="T428" s="141" t="s">
        <v>6554</v>
      </c>
      <c r="V428" s="43" t="s">
        <v>8409</v>
      </c>
      <c r="AF428" s="42">
        <v>2103934</v>
      </c>
      <c r="AG428" s="42" t="s">
        <v>6528</v>
      </c>
    </row>
    <row r="429" spans="6:33" ht="15.75" customHeight="1">
      <c r="F429" s="40" t="s">
        <v>7695</v>
      </c>
      <c r="G429" s="40" t="s">
        <v>7859</v>
      </c>
      <c r="H429" s="40" t="s">
        <v>8208</v>
      </c>
      <c r="I429" s="40" t="s">
        <v>6850</v>
      </c>
      <c r="J429" s="140">
        <v>2096011</v>
      </c>
      <c r="K429" s="141">
        <v>2082964</v>
      </c>
      <c r="L429" s="141">
        <v>5038131</v>
      </c>
      <c r="M429" s="141">
        <v>3300002197</v>
      </c>
      <c r="N429" s="141" t="s">
        <v>8019</v>
      </c>
      <c r="O429" s="142"/>
      <c r="P429" s="142"/>
      <c r="Q429" s="142"/>
      <c r="R429" s="142"/>
      <c r="S429" s="142"/>
      <c r="T429" s="141">
        <v>71300058</v>
      </c>
      <c r="V429" s="43" t="s">
        <v>687</v>
      </c>
      <c r="AF429" s="42">
        <v>2103935</v>
      </c>
      <c r="AG429" s="42" t="s">
        <v>6528</v>
      </c>
    </row>
    <row r="430" spans="6:33" ht="15.75" customHeight="1">
      <c r="F430" s="40" t="s">
        <v>7696</v>
      </c>
      <c r="G430" s="40" t="s">
        <v>7696</v>
      </c>
      <c r="H430" s="40" t="s">
        <v>6841</v>
      </c>
      <c r="I430" s="40" t="s">
        <v>6852</v>
      </c>
      <c r="J430" s="140"/>
      <c r="K430" s="141">
        <v>2152243</v>
      </c>
      <c r="L430" s="141"/>
      <c r="M430" s="141"/>
      <c r="N430" s="141"/>
      <c r="O430" s="142"/>
      <c r="P430" s="142"/>
      <c r="Q430" s="142"/>
      <c r="R430" s="142"/>
      <c r="S430" s="142"/>
      <c r="T430" s="141" t="s">
        <v>7604</v>
      </c>
      <c r="V430" s="43" t="s">
        <v>682</v>
      </c>
      <c r="AF430" s="42">
        <v>2103936</v>
      </c>
      <c r="AG430" s="42" t="s">
        <v>6528</v>
      </c>
    </row>
    <row r="431" spans="6:33" ht="15.75" customHeight="1">
      <c r="F431" s="40" t="s">
        <v>3282</v>
      </c>
      <c r="G431" s="40" t="s">
        <v>12</v>
      </c>
      <c r="H431" s="40" t="s">
        <v>6841</v>
      </c>
      <c r="I431" s="40" t="s">
        <v>6852</v>
      </c>
      <c r="J431" s="140">
        <v>5040901</v>
      </c>
      <c r="K431" s="141" t="s">
        <v>3283</v>
      </c>
      <c r="L431" s="141">
        <v>3300006808</v>
      </c>
      <c r="M431" s="141">
        <v>2159887</v>
      </c>
      <c r="N431" s="141" t="s">
        <v>7533</v>
      </c>
      <c r="O431" s="142"/>
      <c r="P431" s="142"/>
      <c r="Q431" s="142"/>
      <c r="R431" s="142"/>
      <c r="S431" s="142"/>
      <c r="T431" s="141" t="s">
        <v>3285</v>
      </c>
      <c r="V431" s="43" t="s">
        <v>678</v>
      </c>
      <c r="AF431" s="42">
        <v>2103937</v>
      </c>
      <c r="AG431" s="42" t="s">
        <v>6528</v>
      </c>
    </row>
    <row r="432" spans="6:33" ht="15.75" customHeight="1">
      <c r="F432" s="40" t="s">
        <v>8298</v>
      </c>
      <c r="G432" s="40" t="s">
        <v>8316</v>
      </c>
      <c r="H432" s="40" t="s">
        <v>564</v>
      </c>
      <c r="I432" s="40" t="s">
        <v>6851</v>
      </c>
      <c r="J432" s="140">
        <v>3400003051</v>
      </c>
      <c r="K432" s="141">
        <v>2236044</v>
      </c>
      <c r="L432" s="141">
        <v>5100156</v>
      </c>
      <c r="M432" s="141" t="s">
        <v>8265</v>
      </c>
      <c r="N432" s="141" t="s">
        <v>8274</v>
      </c>
      <c r="O432" s="142"/>
      <c r="P432" s="142"/>
      <c r="Q432" s="142"/>
      <c r="R432" s="142"/>
      <c r="S432" s="142"/>
      <c r="T432" s="141" t="s">
        <v>8216</v>
      </c>
      <c r="V432" s="43" t="s">
        <v>1327</v>
      </c>
      <c r="AF432" s="42">
        <v>2103938</v>
      </c>
      <c r="AG432" s="42" t="s">
        <v>6528</v>
      </c>
    </row>
    <row r="433" spans="6:33" ht="15.75" customHeight="1">
      <c r="F433" s="40" t="s">
        <v>3019</v>
      </c>
      <c r="G433" s="40" t="s">
        <v>3020</v>
      </c>
      <c r="H433" s="40" t="s">
        <v>595</v>
      </c>
      <c r="I433" s="40" t="s">
        <v>6847</v>
      </c>
      <c r="J433" s="140">
        <v>2117092</v>
      </c>
      <c r="K433" s="141">
        <v>5031917</v>
      </c>
      <c r="L433" s="141">
        <v>3300008141</v>
      </c>
      <c r="M433" s="141" t="s">
        <v>3022</v>
      </c>
      <c r="N433" s="141">
        <v>5040891</v>
      </c>
      <c r="O433" s="142"/>
      <c r="P433" s="142"/>
      <c r="Q433" s="142"/>
      <c r="R433" s="142"/>
      <c r="S433" s="142"/>
      <c r="T433" s="141" t="s">
        <v>3023</v>
      </c>
      <c r="V433" s="43" t="s">
        <v>652</v>
      </c>
      <c r="AF433" s="42">
        <v>2103939</v>
      </c>
      <c r="AG433" s="42" t="s">
        <v>6528</v>
      </c>
    </row>
    <row r="434" spans="6:33" ht="15.75" customHeight="1">
      <c r="F434" s="40" t="s">
        <v>7358</v>
      </c>
      <c r="G434" s="40" t="s">
        <v>7370</v>
      </c>
      <c r="H434" s="40" t="s">
        <v>564</v>
      </c>
      <c r="I434" s="40" t="s">
        <v>6851</v>
      </c>
      <c r="J434" s="140">
        <v>2228731</v>
      </c>
      <c r="K434" s="141">
        <v>2183574</v>
      </c>
      <c r="L434" s="141" t="s">
        <v>7322</v>
      </c>
      <c r="M434" s="141" t="s">
        <v>2184</v>
      </c>
      <c r="N434" s="141">
        <v>5050429</v>
      </c>
      <c r="O434" s="142"/>
      <c r="P434" s="142"/>
      <c r="Q434" s="142"/>
      <c r="R434" s="142"/>
      <c r="S434" s="142"/>
      <c r="T434" s="141" t="s">
        <v>8153</v>
      </c>
      <c r="V434" s="43" t="s">
        <v>7377</v>
      </c>
      <c r="AF434" s="42">
        <v>2103940</v>
      </c>
      <c r="AG434" s="42" t="s">
        <v>6528</v>
      </c>
    </row>
    <row r="435" spans="6:33" ht="15.75" customHeight="1">
      <c r="F435" s="40" t="s">
        <v>7697</v>
      </c>
      <c r="G435" s="40" t="s">
        <v>7860</v>
      </c>
      <c r="H435" s="40" t="s">
        <v>8208</v>
      </c>
      <c r="I435" s="40" t="s">
        <v>6850</v>
      </c>
      <c r="J435" s="140">
        <v>2188677</v>
      </c>
      <c r="K435" s="141">
        <v>5087342</v>
      </c>
      <c r="L435" s="141" t="s">
        <v>8020</v>
      </c>
      <c r="M435" s="141"/>
      <c r="N435" s="141"/>
      <c r="O435" s="142"/>
      <c r="P435" s="142"/>
      <c r="Q435" s="142"/>
      <c r="R435" s="142"/>
      <c r="S435" s="142"/>
      <c r="T435" s="141">
        <v>41500039</v>
      </c>
      <c r="V435" s="43" t="s">
        <v>610</v>
      </c>
      <c r="AF435" s="42">
        <v>2103941</v>
      </c>
      <c r="AG435" s="42" t="s">
        <v>6528</v>
      </c>
    </row>
    <row r="436" spans="6:33" ht="15.75" customHeight="1">
      <c r="F436" s="40" t="s">
        <v>2526</v>
      </c>
      <c r="G436" s="40" t="s">
        <v>2527</v>
      </c>
      <c r="H436" s="40" t="s">
        <v>670</v>
      </c>
      <c r="I436" s="40" t="s">
        <v>6849</v>
      </c>
      <c r="J436" s="140">
        <v>2103874</v>
      </c>
      <c r="K436" s="141" t="s">
        <v>2528</v>
      </c>
      <c r="L436" s="141" t="s">
        <v>7214</v>
      </c>
      <c r="M436" s="141">
        <v>3300003632</v>
      </c>
      <c r="N436" s="141" t="s">
        <v>2529</v>
      </c>
      <c r="O436" s="142"/>
      <c r="P436" s="142"/>
      <c r="Q436" s="142"/>
      <c r="R436" s="142"/>
      <c r="S436" s="142"/>
      <c r="T436" s="141" t="s">
        <v>6756</v>
      </c>
      <c r="V436" s="43" t="s">
        <v>640</v>
      </c>
      <c r="AF436" s="42">
        <v>2103942</v>
      </c>
      <c r="AG436" s="42" t="s">
        <v>6528</v>
      </c>
    </row>
    <row r="437" spans="6:33" ht="15.75" customHeight="1">
      <c r="F437" s="40" t="s">
        <v>6471</v>
      </c>
      <c r="G437" s="40" t="s">
        <v>6472</v>
      </c>
      <c r="H437" s="40" t="s">
        <v>8208</v>
      </c>
      <c r="I437" s="40" t="s">
        <v>6850</v>
      </c>
      <c r="J437" s="140">
        <v>2103533</v>
      </c>
      <c r="K437" s="141" t="s">
        <v>6473</v>
      </c>
      <c r="L437" s="141">
        <v>5077352</v>
      </c>
      <c r="M437" s="141"/>
      <c r="N437" s="141"/>
      <c r="O437" s="142"/>
      <c r="P437" s="142"/>
      <c r="Q437" s="142"/>
      <c r="R437" s="142"/>
      <c r="S437" s="142"/>
      <c r="T437" s="141" t="s">
        <v>6474</v>
      </c>
      <c r="V437" s="43" t="s">
        <v>665</v>
      </c>
      <c r="AF437" s="42">
        <v>2103943</v>
      </c>
      <c r="AG437" s="42" t="s">
        <v>6528</v>
      </c>
    </row>
    <row r="438" spans="6:33" ht="15.75" customHeight="1">
      <c r="F438" s="40" t="s">
        <v>7180</v>
      </c>
      <c r="G438" s="40" t="s">
        <v>7181</v>
      </c>
      <c r="H438" s="40" t="s">
        <v>761</v>
      </c>
      <c r="I438" s="40" t="s">
        <v>6848</v>
      </c>
      <c r="J438" s="140">
        <v>2103882</v>
      </c>
      <c r="K438" s="141">
        <v>3300016512</v>
      </c>
      <c r="L438" s="141" t="s">
        <v>7121</v>
      </c>
      <c r="M438" s="141"/>
      <c r="N438" s="141"/>
      <c r="O438" s="142"/>
      <c r="P438" s="142"/>
      <c r="Q438" s="142"/>
      <c r="R438" s="142"/>
      <c r="S438" s="142"/>
      <c r="T438" s="141" t="s">
        <v>7080</v>
      </c>
      <c r="V438" s="43" t="s">
        <v>7207</v>
      </c>
      <c r="AF438" s="42">
        <v>2103944</v>
      </c>
      <c r="AG438" s="42" t="s">
        <v>6528</v>
      </c>
    </row>
    <row r="439" spans="6:33" ht="15.75" customHeight="1">
      <c r="F439" s="40" t="s">
        <v>5900</v>
      </c>
      <c r="G439" s="40" t="s">
        <v>5901</v>
      </c>
      <c r="H439" s="40" t="s">
        <v>8208</v>
      </c>
      <c r="I439" s="40" t="s">
        <v>6850</v>
      </c>
      <c r="J439" s="140">
        <v>5103016</v>
      </c>
      <c r="K439" s="141" t="s">
        <v>5905</v>
      </c>
      <c r="L439" s="141">
        <v>5031830</v>
      </c>
      <c r="M439" s="141">
        <v>3300008158</v>
      </c>
      <c r="N439" s="141">
        <v>3300004116</v>
      </c>
      <c r="O439" s="142"/>
      <c r="P439" s="142"/>
      <c r="Q439" s="142"/>
      <c r="R439" s="142"/>
      <c r="S439" s="142"/>
      <c r="T439" s="141" t="s">
        <v>5906</v>
      </c>
      <c r="V439" s="43" t="s">
        <v>5903</v>
      </c>
      <c r="AF439" s="42">
        <v>2103945</v>
      </c>
      <c r="AG439" s="42" t="s">
        <v>6528</v>
      </c>
    </row>
    <row r="440" spans="6:33" ht="15.75" customHeight="1">
      <c r="F440" s="40" t="s">
        <v>7466</v>
      </c>
      <c r="G440" s="40" t="s">
        <v>7467</v>
      </c>
      <c r="H440" s="40" t="s">
        <v>761</v>
      </c>
      <c r="I440" s="40" t="s">
        <v>6848</v>
      </c>
      <c r="J440" s="140">
        <v>2150989</v>
      </c>
      <c r="K440" s="141" t="s">
        <v>7534</v>
      </c>
      <c r="L440" s="141" t="s">
        <v>3785</v>
      </c>
      <c r="M440" s="141">
        <v>2183606</v>
      </c>
      <c r="N440" s="141">
        <v>2149680</v>
      </c>
      <c r="O440" s="142"/>
      <c r="P440" s="142"/>
      <c r="Q440" s="142"/>
      <c r="R440" s="142"/>
      <c r="S440" s="142"/>
      <c r="T440" s="141" t="s">
        <v>7573</v>
      </c>
      <c r="V440" s="43" t="s">
        <v>726</v>
      </c>
      <c r="AF440" s="42">
        <v>2103946</v>
      </c>
      <c r="AG440" s="42" t="s">
        <v>6528</v>
      </c>
    </row>
    <row r="441" spans="6:33" ht="15.75" customHeight="1">
      <c r="F441" s="40" t="s">
        <v>7698</v>
      </c>
      <c r="G441" s="40" t="s">
        <v>7861</v>
      </c>
      <c r="H441" s="40" t="s">
        <v>8208</v>
      </c>
      <c r="I441" s="40" t="s">
        <v>6850</v>
      </c>
      <c r="J441" s="140">
        <v>2087387</v>
      </c>
      <c r="K441" s="141">
        <v>3300012686</v>
      </c>
      <c r="L441" s="141" t="s">
        <v>8021</v>
      </c>
      <c r="M441" s="141">
        <v>5003045</v>
      </c>
      <c r="N441" s="141"/>
      <c r="O441" s="142"/>
      <c r="P441" s="142"/>
      <c r="Q441" s="142"/>
      <c r="R441" s="142"/>
      <c r="S441" s="142"/>
      <c r="T441" s="141">
        <v>21400101</v>
      </c>
      <c r="V441" s="43" t="s">
        <v>687</v>
      </c>
      <c r="AF441" s="42">
        <v>2103947</v>
      </c>
      <c r="AG441" s="42" t="s">
        <v>6528</v>
      </c>
    </row>
    <row r="442" spans="6:33" ht="15.75" customHeight="1">
      <c r="F442" s="40" t="s">
        <v>3274</v>
      </c>
      <c r="G442" s="40" t="s">
        <v>3275</v>
      </c>
      <c r="H442" s="40" t="s">
        <v>6841</v>
      </c>
      <c r="I442" s="40" t="s">
        <v>6852</v>
      </c>
      <c r="J442" s="140" t="s">
        <v>3278</v>
      </c>
      <c r="K442" s="141">
        <v>2115904</v>
      </c>
      <c r="L442" s="141" t="s">
        <v>3279</v>
      </c>
      <c r="M442" s="141">
        <v>3300009779</v>
      </c>
      <c r="N442" s="141"/>
      <c r="O442" s="142"/>
      <c r="P442" s="142"/>
      <c r="Q442" s="142"/>
      <c r="R442" s="142"/>
      <c r="S442" s="142"/>
      <c r="T442" s="141" t="s">
        <v>6768</v>
      </c>
      <c r="V442" s="43" t="s">
        <v>3277</v>
      </c>
      <c r="AF442" s="42">
        <v>2103948</v>
      </c>
      <c r="AG442" s="42" t="s">
        <v>6528</v>
      </c>
    </row>
    <row r="443" spans="6:33" ht="15.75" customHeight="1">
      <c r="F443" s="40" t="s">
        <v>4190</v>
      </c>
      <c r="G443" s="40" t="s">
        <v>4191</v>
      </c>
      <c r="H443" s="40" t="s">
        <v>553</v>
      </c>
      <c r="I443" s="40" t="s">
        <v>6853</v>
      </c>
      <c r="J443" s="140" t="s">
        <v>4193</v>
      </c>
      <c r="K443" s="141">
        <v>5049714</v>
      </c>
      <c r="L443" s="141">
        <v>2172021</v>
      </c>
      <c r="M443" s="141">
        <v>3300009533</v>
      </c>
      <c r="N443" s="141" t="s">
        <v>4194</v>
      </c>
      <c r="O443" s="142"/>
      <c r="P443" s="142"/>
      <c r="Q443" s="142"/>
      <c r="R443" s="142"/>
      <c r="S443" s="142"/>
      <c r="T443" s="141" t="s">
        <v>4195</v>
      </c>
      <c r="V443" s="43" t="s">
        <v>553</v>
      </c>
      <c r="AF443" s="42">
        <v>2103949</v>
      </c>
      <c r="AG443" s="42" t="s">
        <v>6528</v>
      </c>
    </row>
    <row r="444" spans="6:33" ht="15.75" customHeight="1">
      <c r="F444" s="40" t="s">
        <v>1733</v>
      </c>
      <c r="G444" s="40" t="s">
        <v>1734</v>
      </c>
      <c r="H444" s="40" t="s">
        <v>564</v>
      </c>
      <c r="I444" s="40" t="s">
        <v>6851</v>
      </c>
      <c r="J444" s="140">
        <v>5008441</v>
      </c>
      <c r="K444" s="141" t="s">
        <v>1735</v>
      </c>
      <c r="L444" s="141">
        <v>3300009716</v>
      </c>
      <c r="M444" s="141">
        <v>2171912</v>
      </c>
      <c r="N444" s="141">
        <v>5049710</v>
      </c>
      <c r="O444" s="142"/>
      <c r="P444" s="142"/>
      <c r="Q444" s="142"/>
      <c r="R444" s="142"/>
      <c r="S444" s="142"/>
      <c r="T444" s="141" t="s">
        <v>1736</v>
      </c>
      <c r="V444" s="43" t="s">
        <v>784</v>
      </c>
      <c r="AF444" s="42">
        <v>2103950</v>
      </c>
      <c r="AG444" s="42" t="s">
        <v>6528</v>
      </c>
    </row>
    <row r="445" spans="6:33" ht="15.75" customHeight="1">
      <c r="F445" s="40" t="s">
        <v>6185</v>
      </c>
      <c r="G445" s="40" t="s">
        <v>6186</v>
      </c>
      <c r="H445" s="40" t="s">
        <v>8208</v>
      </c>
      <c r="I445" s="40" t="s">
        <v>6850</v>
      </c>
      <c r="J445" s="138">
        <v>2116273</v>
      </c>
      <c r="K445" s="139" t="s">
        <v>6189</v>
      </c>
      <c r="L445" s="141">
        <v>2116259</v>
      </c>
      <c r="M445" s="141">
        <v>3300008122</v>
      </c>
      <c r="N445" s="141">
        <v>5050452</v>
      </c>
      <c r="O445" s="142"/>
      <c r="P445" s="142"/>
      <c r="Q445" s="142"/>
      <c r="R445" s="142"/>
      <c r="S445" s="142"/>
      <c r="T445" s="139" t="s">
        <v>6190</v>
      </c>
      <c r="V445" s="43" t="s">
        <v>6188</v>
      </c>
      <c r="AF445" s="42">
        <v>2103951</v>
      </c>
      <c r="AG445" s="42" t="s">
        <v>6528</v>
      </c>
    </row>
    <row r="446" spans="6:33" ht="15.75" customHeight="1">
      <c r="F446" s="40" t="s">
        <v>4110</v>
      </c>
      <c r="G446" s="40" t="s">
        <v>4111</v>
      </c>
      <c r="H446" s="40" t="s">
        <v>553</v>
      </c>
      <c r="I446" s="40" t="s">
        <v>6853</v>
      </c>
      <c r="J446" s="140"/>
      <c r="K446" s="141">
        <v>5059306</v>
      </c>
      <c r="L446" s="141" t="s">
        <v>4113</v>
      </c>
      <c r="M446" s="141">
        <v>2103471</v>
      </c>
      <c r="N446" s="141"/>
      <c r="O446" s="142"/>
      <c r="P446" s="142"/>
      <c r="Q446" s="142"/>
      <c r="R446" s="142"/>
      <c r="S446" s="142"/>
      <c r="T446" s="141" t="s">
        <v>4114</v>
      </c>
      <c r="V446" s="43" t="s">
        <v>4105</v>
      </c>
      <c r="AF446" s="42">
        <v>2103952</v>
      </c>
      <c r="AG446" s="42" t="s">
        <v>6528</v>
      </c>
    </row>
    <row r="447" spans="6:33" ht="15.75" customHeight="1">
      <c r="F447" s="40" t="s">
        <v>7385</v>
      </c>
      <c r="G447" s="40" t="s">
        <v>7399</v>
      </c>
      <c r="H447" s="40" t="s">
        <v>8208</v>
      </c>
      <c r="I447" s="40" t="s">
        <v>6850</v>
      </c>
      <c r="J447" s="140">
        <v>3400003787</v>
      </c>
      <c r="K447" s="141" t="s">
        <v>6680</v>
      </c>
      <c r="L447" s="141">
        <v>2078581</v>
      </c>
      <c r="M447" s="141" t="s">
        <v>7338</v>
      </c>
      <c r="N447" s="141">
        <v>3400003798</v>
      </c>
      <c r="O447" s="142"/>
      <c r="P447" s="142"/>
      <c r="Q447" s="142"/>
      <c r="R447" s="142"/>
      <c r="S447" s="142"/>
      <c r="T447" s="141" t="s">
        <v>5582</v>
      </c>
      <c r="V447" s="43" t="s">
        <v>7410</v>
      </c>
      <c r="AF447" s="42">
        <v>2103953</v>
      </c>
      <c r="AG447" s="42" t="s">
        <v>6528</v>
      </c>
    </row>
    <row r="448" spans="6:33" ht="15.75" customHeight="1">
      <c r="F448" s="40" t="s">
        <v>2091</v>
      </c>
      <c r="G448" s="40" t="s">
        <v>2092</v>
      </c>
      <c r="H448" s="40" t="s">
        <v>564</v>
      </c>
      <c r="I448" s="40" t="s">
        <v>6851</v>
      </c>
      <c r="J448" s="140" t="s">
        <v>2094</v>
      </c>
      <c r="K448" s="141">
        <v>2114796</v>
      </c>
      <c r="L448" s="141"/>
      <c r="M448" s="141"/>
      <c r="N448" s="141"/>
      <c r="O448" s="142"/>
      <c r="P448" s="142"/>
      <c r="Q448" s="142"/>
      <c r="R448" s="142"/>
      <c r="S448" s="142"/>
      <c r="T448" s="141" t="s">
        <v>2095</v>
      </c>
      <c r="V448" s="43" t="s">
        <v>696</v>
      </c>
      <c r="AF448" s="42">
        <v>2103954</v>
      </c>
      <c r="AG448" s="42" t="s">
        <v>6528</v>
      </c>
    </row>
    <row r="449" spans="6:33" ht="15.75" customHeight="1">
      <c r="F449" s="40" t="s">
        <v>6211</v>
      </c>
      <c r="G449" s="40" t="s">
        <v>6211</v>
      </c>
      <c r="H449" s="40" t="s">
        <v>8208</v>
      </c>
      <c r="I449" s="40" t="s">
        <v>6850</v>
      </c>
      <c r="J449" s="140">
        <v>2170075</v>
      </c>
      <c r="K449" s="141">
        <v>3300009818</v>
      </c>
      <c r="L449" s="141">
        <v>5042673</v>
      </c>
      <c r="M449" s="141" t="s">
        <v>6214</v>
      </c>
      <c r="N449" s="141"/>
      <c r="O449" s="142"/>
      <c r="P449" s="142"/>
      <c r="Q449" s="142"/>
      <c r="R449" s="142"/>
      <c r="S449" s="142"/>
      <c r="T449" s="141" t="s">
        <v>6215</v>
      </c>
      <c r="V449" s="43" t="s">
        <v>6213</v>
      </c>
      <c r="AF449" s="42">
        <v>2103955</v>
      </c>
      <c r="AG449" s="42" t="s">
        <v>6528</v>
      </c>
    </row>
    <row r="450" spans="6:33" ht="15.75" customHeight="1">
      <c r="F450" s="40" t="s">
        <v>7249</v>
      </c>
      <c r="G450" s="40" t="s">
        <v>7267</v>
      </c>
      <c r="H450" s="40" t="s">
        <v>564</v>
      </c>
      <c r="I450" s="40" t="s">
        <v>6851</v>
      </c>
      <c r="J450" s="140">
        <v>2096061</v>
      </c>
      <c r="K450" s="141">
        <v>3300005179</v>
      </c>
      <c r="L450" s="141">
        <v>5001442</v>
      </c>
      <c r="M450" s="141">
        <v>2226053</v>
      </c>
      <c r="N450" s="141">
        <v>2083295</v>
      </c>
      <c r="O450" s="142"/>
      <c r="P450" s="142"/>
      <c r="Q450" s="142"/>
      <c r="R450" s="142"/>
      <c r="S450" s="142"/>
      <c r="T450" s="141" t="s">
        <v>7282</v>
      </c>
      <c r="V450" s="43" t="s">
        <v>568</v>
      </c>
      <c r="AF450" s="42">
        <v>2103956</v>
      </c>
      <c r="AG450" s="42" t="s">
        <v>6528</v>
      </c>
    </row>
    <row r="451" spans="6:33" ht="15.75" customHeight="1">
      <c r="F451" s="40" t="s">
        <v>8441</v>
      </c>
      <c r="G451" s="40" t="s">
        <v>8489</v>
      </c>
      <c r="H451" s="40" t="s">
        <v>8513</v>
      </c>
      <c r="I451" s="40" t="s">
        <v>6853</v>
      </c>
      <c r="J451" s="140">
        <v>2110123</v>
      </c>
      <c r="K451" s="141">
        <v>5059302</v>
      </c>
      <c r="L451" s="141" t="s">
        <v>8244</v>
      </c>
      <c r="M451" s="141" t="s">
        <v>8070</v>
      </c>
      <c r="N451" s="141"/>
      <c r="O451" s="142"/>
      <c r="P451" s="142"/>
      <c r="Q451" s="142"/>
      <c r="R451" s="142"/>
      <c r="S451" s="142"/>
      <c r="T451" s="141" t="s">
        <v>8593</v>
      </c>
      <c r="V451" s="43" t="s">
        <v>8605</v>
      </c>
      <c r="AF451" s="42">
        <v>2103957</v>
      </c>
      <c r="AG451" s="42" t="s">
        <v>6528</v>
      </c>
    </row>
    <row r="452" spans="6:33" ht="15.75" customHeight="1">
      <c r="F452" s="40" t="s">
        <v>8299</v>
      </c>
      <c r="G452" s="40" t="s">
        <v>8317</v>
      </c>
      <c r="H452" s="40" t="s">
        <v>564</v>
      </c>
      <c r="I452" s="40" t="s">
        <v>6851</v>
      </c>
      <c r="J452" s="140">
        <v>3300011812</v>
      </c>
      <c r="K452" s="141" t="s">
        <v>8232</v>
      </c>
      <c r="L452" s="141" t="s">
        <v>8261</v>
      </c>
      <c r="M452" s="141">
        <v>5006423</v>
      </c>
      <c r="N452" s="141">
        <v>3300005172</v>
      </c>
      <c r="O452" s="142"/>
      <c r="P452" s="142"/>
      <c r="Q452" s="142"/>
      <c r="R452" s="142"/>
      <c r="S452" s="142"/>
      <c r="T452" s="141" t="s">
        <v>8223</v>
      </c>
      <c r="V452" s="43" t="s">
        <v>558</v>
      </c>
      <c r="AF452" s="42">
        <v>2103958</v>
      </c>
      <c r="AG452" s="42" t="s">
        <v>6528</v>
      </c>
    </row>
    <row r="453" spans="6:33" ht="15.75" customHeight="1">
      <c r="F453" s="40" t="s">
        <v>8343</v>
      </c>
      <c r="G453" s="40" t="s">
        <v>8368</v>
      </c>
      <c r="H453" s="40" t="s">
        <v>670</v>
      </c>
      <c r="I453" s="40" t="s">
        <v>6849</v>
      </c>
      <c r="J453" s="140">
        <v>3400003841</v>
      </c>
      <c r="K453" s="141">
        <v>2183492</v>
      </c>
      <c r="L453" s="141" t="s">
        <v>8264</v>
      </c>
      <c r="M453" s="141">
        <v>5103022</v>
      </c>
      <c r="N453" s="141">
        <v>3400003836</v>
      </c>
      <c r="O453" s="142"/>
      <c r="P453" s="142"/>
      <c r="Q453" s="142"/>
      <c r="R453" s="142"/>
      <c r="S453" s="142"/>
      <c r="T453" s="141" t="s">
        <v>8400</v>
      </c>
      <c r="V453" s="43" t="s">
        <v>775</v>
      </c>
      <c r="AF453" s="42">
        <v>2103959</v>
      </c>
      <c r="AG453" s="42" t="s">
        <v>6528</v>
      </c>
    </row>
    <row r="454" spans="6:33" ht="15.75" customHeight="1">
      <c r="F454" s="40" t="s">
        <v>4672</v>
      </c>
      <c r="G454" s="40" t="s">
        <v>4673</v>
      </c>
      <c r="H454" s="40" t="s">
        <v>761</v>
      </c>
      <c r="I454" s="40" t="s">
        <v>6848</v>
      </c>
      <c r="J454" s="140" t="s">
        <v>4674</v>
      </c>
      <c r="K454" s="141">
        <v>5045690</v>
      </c>
      <c r="L454" s="141">
        <v>3300001253</v>
      </c>
      <c r="M454" s="141" t="s">
        <v>4675</v>
      </c>
      <c r="N454" s="141" t="s">
        <v>4676</v>
      </c>
      <c r="O454" s="142"/>
      <c r="P454" s="142"/>
      <c r="Q454" s="142"/>
      <c r="R454" s="142"/>
      <c r="S454" s="142"/>
      <c r="T454" s="141" t="s">
        <v>4677</v>
      </c>
      <c r="V454" s="43" t="s">
        <v>582</v>
      </c>
      <c r="AF454" s="42">
        <v>2103960</v>
      </c>
      <c r="AG454" s="42" t="s">
        <v>6528</v>
      </c>
    </row>
    <row r="455" spans="6:33" ht="15.75" customHeight="1">
      <c r="F455" s="40" t="s">
        <v>3461</v>
      </c>
      <c r="G455" s="40" t="s">
        <v>3462</v>
      </c>
      <c r="H455" s="40" t="s">
        <v>6841</v>
      </c>
      <c r="I455" s="40" t="s">
        <v>6852</v>
      </c>
      <c r="J455" s="140">
        <v>5040900</v>
      </c>
      <c r="K455" s="141" t="s">
        <v>3463</v>
      </c>
      <c r="L455" s="141">
        <v>3300006812</v>
      </c>
      <c r="M455" s="141">
        <v>2116209</v>
      </c>
      <c r="N455" s="141"/>
      <c r="O455" s="142"/>
      <c r="P455" s="142"/>
      <c r="Q455" s="142"/>
      <c r="R455" s="142"/>
      <c r="S455" s="142"/>
      <c r="T455" s="141" t="s">
        <v>6770</v>
      </c>
      <c r="V455" s="43" t="s">
        <v>709</v>
      </c>
      <c r="AF455" s="42">
        <v>2106627</v>
      </c>
      <c r="AG455" s="42" t="s">
        <v>6673</v>
      </c>
    </row>
    <row r="456" spans="6:33" ht="15.75" customHeight="1">
      <c r="F456" s="40" t="s">
        <v>3745</v>
      </c>
      <c r="G456" s="40" t="s">
        <v>3746</v>
      </c>
      <c r="H456" s="40" t="s">
        <v>8513</v>
      </c>
      <c r="I456" s="40" t="s">
        <v>6853</v>
      </c>
      <c r="J456" s="138">
        <v>2116282</v>
      </c>
      <c r="K456" s="139">
        <v>5031832</v>
      </c>
      <c r="L456" s="139"/>
      <c r="M456" s="139"/>
      <c r="N456" s="141"/>
      <c r="O456" s="142"/>
      <c r="P456" s="142"/>
      <c r="Q456" s="142"/>
      <c r="R456" s="142"/>
      <c r="S456" s="142"/>
      <c r="T456" s="139" t="s">
        <v>3749</v>
      </c>
      <c r="V456" s="43" t="s">
        <v>3748</v>
      </c>
      <c r="AF456" s="42">
        <v>2110066</v>
      </c>
      <c r="AG456" s="42" t="s">
        <v>6528</v>
      </c>
    </row>
    <row r="457" spans="6:33" ht="15.75" customHeight="1">
      <c r="F457" s="40" t="s">
        <v>6326</v>
      </c>
      <c r="G457" s="40" t="s">
        <v>6327</v>
      </c>
      <c r="H457" s="40" t="s">
        <v>8208</v>
      </c>
      <c r="I457" s="40" t="s">
        <v>6850</v>
      </c>
      <c r="J457" s="140">
        <v>2116070</v>
      </c>
      <c r="K457" s="141" t="s">
        <v>6328</v>
      </c>
      <c r="L457" s="141">
        <v>3300001261</v>
      </c>
      <c r="M457" s="141">
        <v>3300001252</v>
      </c>
      <c r="N457" s="141">
        <v>5031851</v>
      </c>
      <c r="O457" s="142"/>
      <c r="P457" s="142"/>
      <c r="Q457" s="142"/>
      <c r="R457" s="142"/>
      <c r="S457" s="142"/>
      <c r="T457" s="141" t="s">
        <v>6329</v>
      </c>
      <c r="V457" s="43" t="s">
        <v>610</v>
      </c>
      <c r="AF457" s="42">
        <v>2110074</v>
      </c>
      <c r="AG457" s="42" t="s">
        <v>6528</v>
      </c>
    </row>
    <row r="458" spans="6:33" ht="15.75" customHeight="1">
      <c r="F458" s="40" t="s">
        <v>7468</v>
      </c>
      <c r="G458" s="40" t="s">
        <v>7469</v>
      </c>
      <c r="H458" s="40" t="s">
        <v>553</v>
      </c>
      <c r="I458" s="40" t="s">
        <v>6853</v>
      </c>
      <c r="J458" s="138">
        <v>2119263</v>
      </c>
      <c r="K458" s="139" t="s">
        <v>6670</v>
      </c>
      <c r="L458" s="141">
        <v>5003048</v>
      </c>
      <c r="M458" s="141"/>
      <c r="N458" s="139"/>
      <c r="O458" s="142"/>
      <c r="P458" s="142"/>
      <c r="Q458" s="142"/>
      <c r="R458" s="142"/>
      <c r="S458" s="142"/>
      <c r="T458" s="139" t="s">
        <v>7574</v>
      </c>
      <c r="V458" s="43" t="s">
        <v>7596</v>
      </c>
      <c r="AF458" s="42">
        <v>2110079</v>
      </c>
      <c r="AG458" s="42" t="s">
        <v>6528</v>
      </c>
    </row>
    <row r="459" spans="6:33" ht="15.75" customHeight="1">
      <c r="F459" s="40" t="s">
        <v>2980</v>
      </c>
      <c r="G459" s="40" t="s">
        <v>2981</v>
      </c>
      <c r="H459" s="40" t="s">
        <v>595</v>
      </c>
      <c r="I459" s="40" t="s">
        <v>6847</v>
      </c>
      <c r="J459" s="140" t="s">
        <v>2982</v>
      </c>
      <c r="K459" s="141">
        <v>2171959</v>
      </c>
      <c r="L459" s="141">
        <v>3300009769</v>
      </c>
      <c r="M459" s="141">
        <v>5059312</v>
      </c>
      <c r="N459" s="141"/>
      <c r="O459" s="142"/>
      <c r="P459" s="142"/>
      <c r="Q459" s="142"/>
      <c r="R459" s="142"/>
      <c r="S459" s="142"/>
      <c r="T459" s="141" t="s">
        <v>2983</v>
      </c>
      <c r="V459" s="43" t="s">
        <v>604</v>
      </c>
      <c r="AF459" s="42">
        <v>2110102</v>
      </c>
      <c r="AG459" s="42" t="s">
        <v>6528</v>
      </c>
    </row>
    <row r="460" spans="6:33" ht="15.75" customHeight="1">
      <c r="F460" s="40" t="s">
        <v>6413</v>
      </c>
      <c r="G460" s="40" t="s">
        <v>6414</v>
      </c>
      <c r="H460" s="40" t="s">
        <v>8208</v>
      </c>
      <c r="I460" s="40" t="s">
        <v>6850</v>
      </c>
      <c r="J460" s="140" t="s">
        <v>6415</v>
      </c>
      <c r="K460" s="141">
        <v>5045657</v>
      </c>
      <c r="L460" s="141"/>
      <c r="M460" s="141">
        <v>2171962</v>
      </c>
      <c r="N460" s="141"/>
      <c r="O460" s="142"/>
      <c r="P460" s="142"/>
      <c r="Q460" s="142"/>
      <c r="R460" s="142"/>
      <c r="S460" s="142"/>
      <c r="T460" s="141" t="s">
        <v>6416</v>
      </c>
      <c r="V460" s="43" t="s">
        <v>649</v>
      </c>
      <c r="AF460" s="42">
        <v>2110114</v>
      </c>
      <c r="AG460" s="42" t="s">
        <v>6528</v>
      </c>
    </row>
    <row r="461" spans="6:33" ht="15.75" customHeight="1">
      <c r="F461" s="40" t="s">
        <v>1400</v>
      </c>
      <c r="G461" s="40" t="s">
        <v>1401</v>
      </c>
      <c r="H461" s="40" t="s">
        <v>564</v>
      </c>
      <c r="I461" s="40" t="s">
        <v>6851</v>
      </c>
      <c r="J461" s="140">
        <v>5014454</v>
      </c>
      <c r="K461" s="141" t="s">
        <v>1404</v>
      </c>
      <c r="L461" s="141">
        <v>3300005168</v>
      </c>
      <c r="M461" s="141">
        <v>2183582</v>
      </c>
      <c r="N461" s="141" t="s">
        <v>6316</v>
      </c>
      <c r="O461" s="142"/>
      <c r="P461" s="142"/>
      <c r="Q461" s="142"/>
      <c r="R461" s="142"/>
      <c r="S461" s="142"/>
      <c r="T461" s="141" t="s">
        <v>1405</v>
      </c>
      <c r="V461" s="43" t="s">
        <v>1403</v>
      </c>
      <c r="AF461" s="42">
        <v>2110118</v>
      </c>
      <c r="AG461" s="42" t="s">
        <v>6528</v>
      </c>
    </row>
    <row r="462" spans="6:33" ht="15.75" customHeight="1">
      <c r="F462" s="40" t="s">
        <v>5564</v>
      </c>
      <c r="G462" s="40" t="s">
        <v>5565</v>
      </c>
      <c r="H462" s="40" t="s">
        <v>761</v>
      </c>
      <c r="I462" s="40" t="s">
        <v>6848</v>
      </c>
      <c r="J462" s="140">
        <v>3300005157</v>
      </c>
      <c r="K462" s="141" t="s">
        <v>5566</v>
      </c>
      <c r="L462" s="141"/>
      <c r="M462" s="141"/>
      <c r="N462" s="141"/>
      <c r="O462" s="142"/>
      <c r="P462" s="142"/>
      <c r="Q462" s="142"/>
      <c r="R462" s="142"/>
      <c r="S462" s="142"/>
      <c r="T462" s="141" t="s">
        <v>5567</v>
      </c>
      <c r="V462" s="43" t="s">
        <v>780</v>
      </c>
      <c r="AF462" s="42">
        <v>2110123</v>
      </c>
      <c r="AG462" s="42" t="s">
        <v>6528</v>
      </c>
    </row>
    <row r="463" spans="6:33" ht="15.75" customHeight="1">
      <c r="F463" s="40" t="s">
        <v>7699</v>
      </c>
      <c r="G463" s="40" t="s">
        <v>7862</v>
      </c>
      <c r="H463" s="40" t="s">
        <v>8208</v>
      </c>
      <c r="I463" s="40" t="s">
        <v>6850</v>
      </c>
      <c r="J463" s="140">
        <v>2096086</v>
      </c>
      <c r="K463" s="141">
        <v>3300016144</v>
      </c>
      <c r="L463" s="141"/>
      <c r="M463" s="141"/>
      <c r="N463" s="141"/>
      <c r="O463" s="142"/>
      <c r="P463" s="142"/>
      <c r="Q463" s="142"/>
      <c r="R463" s="142"/>
      <c r="S463" s="142"/>
      <c r="T463" s="141">
        <v>11300015</v>
      </c>
      <c r="V463" s="43" t="s">
        <v>687</v>
      </c>
      <c r="AF463" s="42">
        <v>2110126</v>
      </c>
      <c r="AG463" s="42" t="s">
        <v>6528</v>
      </c>
    </row>
    <row r="464" spans="6:33" ht="15.75" customHeight="1">
      <c r="F464" s="40" t="s">
        <v>4434</v>
      </c>
      <c r="G464" s="40" t="s">
        <v>4435</v>
      </c>
      <c r="H464" s="40" t="s">
        <v>761</v>
      </c>
      <c r="I464" s="40" t="s">
        <v>6848</v>
      </c>
      <c r="J464" s="140" t="s">
        <v>4436</v>
      </c>
      <c r="K464" s="141">
        <v>3300009549</v>
      </c>
      <c r="L464" s="141">
        <v>2172004</v>
      </c>
      <c r="M464" s="141">
        <v>5059347</v>
      </c>
      <c r="N464" s="141" t="s">
        <v>4437</v>
      </c>
      <c r="O464" s="142"/>
      <c r="P464" s="142"/>
      <c r="Q464" s="142"/>
      <c r="R464" s="142"/>
      <c r="S464" s="142"/>
      <c r="T464" s="141" t="s">
        <v>4438</v>
      </c>
      <c r="V464" s="43" t="s">
        <v>756</v>
      </c>
      <c r="AF464" s="42">
        <v>2110129</v>
      </c>
      <c r="AG464" s="42" t="s">
        <v>6528</v>
      </c>
    </row>
    <row r="465" spans="6:33" ht="15.75" customHeight="1">
      <c r="F465" s="40" t="s">
        <v>8442</v>
      </c>
      <c r="G465" s="40" t="s">
        <v>8490</v>
      </c>
      <c r="H465" s="40" t="s">
        <v>8208</v>
      </c>
      <c r="I465" s="40" t="s">
        <v>6850</v>
      </c>
      <c r="J465" s="140">
        <v>2183591</v>
      </c>
      <c r="K465" s="141">
        <v>5014441</v>
      </c>
      <c r="L465" s="141">
        <v>3300010076</v>
      </c>
      <c r="M465" s="141" t="s">
        <v>5872</v>
      </c>
      <c r="N465" s="141"/>
      <c r="O465" s="142"/>
      <c r="P465" s="142"/>
      <c r="Q465" s="142"/>
      <c r="R465" s="142"/>
      <c r="S465" s="142"/>
      <c r="T465" s="141" t="s">
        <v>5873</v>
      </c>
      <c r="V465" s="43" t="s">
        <v>783</v>
      </c>
      <c r="AF465" s="42">
        <v>2110140</v>
      </c>
      <c r="AG465" s="42" t="s">
        <v>6528</v>
      </c>
    </row>
    <row r="466" spans="6:33" ht="15.75" customHeight="1">
      <c r="F466" s="40" t="s">
        <v>5571</v>
      </c>
      <c r="G466" s="40" t="s">
        <v>5572</v>
      </c>
      <c r="H466" s="40" t="s">
        <v>761</v>
      </c>
      <c r="I466" s="40" t="s">
        <v>6848</v>
      </c>
      <c r="J466" s="140">
        <v>2172026</v>
      </c>
      <c r="K466" s="141" t="s">
        <v>1102</v>
      </c>
      <c r="L466" s="141"/>
      <c r="M466" s="141"/>
      <c r="N466" s="141"/>
      <c r="O466" s="142"/>
      <c r="P466" s="142"/>
      <c r="Q466" s="142"/>
      <c r="R466" s="142"/>
      <c r="S466" s="142"/>
      <c r="T466" s="141" t="s">
        <v>6816</v>
      </c>
      <c r="V466" s="43" t="s">
        <v>780</v>
      </c>
      <c r="AF466" s="42">
        <v>2110153</v>
      </c>
      <c r="AG466" s="42" t="s">
        <v>6528</v>
      </c>
    </row>
    <row r="467" spans="6:33" ht="15.75" customHeight="1">
      <c r="F467" s="40" t="s">
        <v>7135</v>
      </c>
      <c r="G467" s="40" t="s">
        <v>7150</v>
      </c>
      <c r="H467" s="40" t="s">
        <v>564</v>
      </c>
      <c r="I467" s="40" t="s">
        <v>6851</v>
      </c>
      <c r="J467" s="140">
        <v>2183522</v>
      </c>
      <c r="K467" s="141">
        <v>3300016508</v>
      </c>
      <c r="L467" s="141" t="s">
        <v>7095</v>
      </c>
      <c r="M467" s="141" t="s">
        <v>8541</v>
      </c>
      <c r="N467" s="141" t="s">
        <v>3534</v>
      </c>
      <c r="O467" s="142"/>
      <c r="P467" s="142"/>
      <c r="Q467" s="142"/>
      <c r="R467" s="142"/>
      <c r="S467" s="142"/>
      <c r="T467" s="141" t="s">
        <v>7075</v>
      </c>
      <c r="V467" s="43" t="s">
        <v>7160</v>
      </c>
      <c r="AF467" s="42">
        <v>2110200</v>
      </c>
      <c r="AG467" s="42" t="s">
        <v>6528</v>
      </c>
    </row>
    <row r="468" spans="6:33" ht="15.75" customHeight="1">
      <c r="F468" s="40" t="s">
        <v>8344</v>
      </c>
      <c r="G468" s="40" t="s">
        <v>8369</v>
      </c>
      <c r="H468" s="40" t="s">
        <v>553</v>
      </c>
      <c r="I468" s="40" t="s">
        <v>6853</v>
      </c>
      <c r="J468" s="140">
        <v>2236035</v>
      </c>
      <c r="K468" s="141" t="s">
        <v>8268</v>
      </c>
      <c r="L468" s="141">
        <v>3400003719</v>
      </c>
      <c r="M468" s="141" t="s">
        <v>8280</v>
      </c>
      <c r="N468" s="141">
        <v>5103078</v>
      </c>
      <c r="O468" s="142"/>
      <c r="P468" s="142"/>
      <c r="Q468" s="142"/>
      <c r="R468" s="142"/>
      <c r="S468" s="142"/>
      <c r="T468" s="141" t="s">
        <v>8218</v>
      </c>
      <c r="V468" s="43" t="s">
        <v>549</v>
      </c>
      <c r="AF468" s="42">
        <v>2110274</v>
      </c>
      <c r="AG468" s="42" t="s">
        <v>6528</v>
      </c>
    </row>
    <row r="469" spans="6:33" ht="15.75" customHeight="1">
      <c r="F469" s="40" t="s">
        <v>5002</v>
      </c>
      <c r="G469" s="40" t="s">
        <v>8370</v>
      </c>
      <c r="H469" s="40" t="s">
        <v>761</v>
      </c>
      <c r="I469" s="40" t="s">
        <v>6848</v>
      </c>
      <c r="J469" s="140">
        <v>2141282</v>
      </c>
      <c r="K469" s="141">
        <v>2103866</v>
      </c>
      <c r="L469" s="141" t="s">
        <v>8255</v>
      </c>
      <c r="M469" s="141" t="s">
        <v>4713</v>
      </c>
      <c r="N469" s="141">
        <v>2141276</v>
      </c>
      <c r="O469" s="142"/>
      <c r="P469" s="142"/>
      <c r="Q469" s="142"/>
      <c r="R469" s="142"/>
      <c r="S469" s="142"/>
      <c r="T469" s="141" t="s">
        <v>8219</v>
      </c>
      <c r="V469" s="43" t="s">
        <v>7158</v>
      </c>
      <c r="AF469" s="42">
        <v>2110305</v>
      </c>
      <c r="AG469" s="42" t="s">
        <v>6528</v>
      </c>
    </row>
    <row r="470" spans="6:33" ht="15.75" customHeight="1">
      <c r="F470" s="40" t="s">
        <v>5002</v>
      </c>
      <c r="G470" s="40" t="s">
        <v>5003</v>
      </c>
      <c r="H470" s="40" t="s">
        <v>761</v>
      </c>
      <c r="I470" s="40" t="s">
        <v>6848</v>
      </c>
      <c r="J470" s="140" t="s">
        <v>5005</v>
      </c>
      <c r="K470" s="141">
        <v>3300001695</v>
      </c>
      <c r="L470" s="141">
        <v>2087341</v>
      </c>
      <c r="M470" s="141" t="s">
        <v>5006</v>
      </c>
      <c r="N470" s="141"/>
      <c r="O470" s="142"/>
      <c r="P470" s="142"/>
      <c r="Q470" s="142"/>
      <c r="R470" s="142"/>
      <c r="S470" s="142"/>
      <c r="T470" s="141" t="s">
        <v>5007</v>
      </c>
      <c r="V470" s="43" t="s">
        <v>761</v>
      </c>
      <c r="AF470" s="42">
        <v>2110327</v>
      </c>
      <c r="AG470" s="42" t="s">
        <v>6528</v>
      </c>
    </row>
    <row r="471" spans="6:33" ht="15.75" customHeight="1">
      <c r="F471" s="40" t="s">
        <v>1443</v>
      </c>
      <c r="G471" s="40" t="s">
        <v>1444</v>
      </c>
      <c r="H471" s="40" t="s">
        <v>564</v>
      </c>
      <c r="I471" s="40" t="s">
        <v>6851</v>
      </c>
      <c r="J471" s="140" t="s">
        <v>1445</v>
      </c>
      <c r="K471" s="141">
        <v>2171900</v>
      </c>
      <c r="L471" s="141">
        <v>3300001247</v>
      </c>
      <c r="M471" s="141"/>
      <c r="N471" s="141"/>
      <c r="O471" s="142"/>
      <c r="P471" s="142"/>
      <c r="Q471" s="142"/>
      <c r="R471" s="142"/>
      <c r="S471" s="142"/>
      <c r="T471" s="141" t="s">
        <v>6737</v>
      </c>
      <c r="V471" s="43" t="s">
        <v>566</v>
      </c>
      <c r="AF471" s="42">
        <v>2113975</v>
      </c>
      <c r="AG471" s="42" t="s">
        <v>6673</v>
      </c>
    </row>
    <row r="472" spans="6:33" ht="15.75" customHeight="1">
      <c r="F472" s="40" t="s">
        <v>921</v>
      </c>
      <c r="G472" s="40" t="s">
        <v>922</v>
      </c>
      <c r="H472" s="40" t="s">
        <v>564</v>
      </c>
      <c r="I472" s="40" t="s">
        <v>6851</v>
      </c>
      <c r="J472" s="140" t="s">
        <v>924</v>
      </c>
      <c r="K472" s="141" t="s">
        <v>7535</v>
      </c>
      <c r="L472" s="141">
        <v>5014463</v>
      </c>
      <c r="M472" s="141"/>
      <c r="N472" s="141"/>
      <c r="O472" s="142"/>
      <c r="P472" s="142"/>
      <c r="Q472" s="142"/>
      <c r="R472" s="142"/>
      <c r="S472" s="142"/>
      <c r="T472" s="141" t="s">
        <v>925</v>
      </c>
      <c r="V472" s="43" t="s">
        <v>547</v>
      </c>
      <c r="AF472" s="42">
        <v>2114454</v>
      </c>
      <c r="AG472" s="42" t="s">
        <v>6673</v>
      </c>
    </row>
    <row r="473" spans="6:33" ht="15.75" customHeight="1">
      <c r="F473" s="40" t="s">
        <v>3924</v>
      </c>
      <c r="G473" s="40" t="s">
        <v>3925</v>
      </c>
      <c r="H473" s="40" t="s">
        <v>553</v>
      </c>
      <c r="I473" s="40" t="s">
        <v>6853</v>
      </c>
      <c r="J473" s="140" t="s">
        <v>3927</v>
      </c>
      <c r="K473" s="141">
        <v>3300010906</v>
      </c>
      <c r="L473" s="141">
        <v>5100177</v>
      </c>
      <c r="M473" s="141" t="s">
        <v>3929</v>
      </c>
      <c r="N473" s="141" t="s">
        <v>3930</v>
      </c>
      <c r="O473" s="142"/>
      <c r="P473" s="142"/>
      <c r="Q473" s="142"/>
      <c r="R473" s="142"/>
      <c r="S473" s="142"/>
      <c r="T473" s="141" t="s">
        <v>3931</v>
      </c>
      <c r="V473" s="43" t="s">
        <v>555</v>
      </c>
      <c r="AF473" s="42">
        <v>2114635</v>
      </c>
      <c r="AG473" s="42" t="s">
        <v>6673</v>
      </c>
    </row>
    <row r="474" spans="6:33" ht="15.75" customHeight="1">
      <c r="F474" s="40" t="s">
        <v>2478</v>
      </c>
      <c r="G474" s="40" t="s">
        <v>2479</v>
      </c>
      <c r="H474" s="40" t="s">
        <v>670</v>
      </c>
      <c r="I474" s="40" t="s">
        <v>6849</v>
      </c>
      <c r="J474" s="140">
        <v>2103889</v>
      </c>
      <c r="K474" s="141" t="s">
        <v>2481</v>
      </c>
      <c r="L474" s="141">
        <v>2103933</v>
      </c>
      <c r="M474" s="141">
        <v>3300010700</v>
      </c>
      <c r="N474" s="141" t="s">
        <v>2482</v>
      </c>
      <c r="O474" s="142"/>
      <c r="P474" s="142"/>
      <c r="Q474" s="142"/>
      <c r="R474" s="142"/>
      <c r="S474" s="142"/>
      <c r="T474" s="141" t="s">
        <v>2483</v>
      </c>
      <c r="V474" s="43" t="s">
        <v>670</v>
      </c>
      <c r="AF474" s="42">
        <v>2114670</v>
      </c>
      <c r="AG474" s="42" t="s">
        <v>6528</v>
      </c>
    </row>
    <row r="475" spans="6:33" ht="15.75" customHeight="1">
      <c r="F475" s="40" t="s">
        <v>8443</v>
      </c>
      <c r="G475" s="40" t="s">
        <v>8491</v>
      </c>
      <c r="H475" s="40" t="s">
        <v>761</v>
      </c>
      <c r="I475" s="40" t="s">
        <v>6848</v>
      </c>
      <c r="J475" s="140">
        <v>2239800</v>
      </c>
      <c r="K475" s="141" t="s">
        <v>7333</v>
      </c>
      <c r="L475" s="141">
        <v>5105548</v>
      </c>
      <c r="M475" s="141">
        <v>2141086</v>
      </c>
      <c r="N475" s="141" t="s">
        <v>8542</v>
      </c>
      <c r="O475" s="142"/>
      <c r="P475" s="142"/>
      <c r="Q475" s="142"/>
      <c r="R475" s="142"/>
      <c r="S475" s="142"/>
      <c r="T475" s="141" t="s">
        <v>8594</v>
      </c>
      <c r="V475" s="43" t="s">
        <v>4631</v>
      </c>
      <c r="AF475" s="42">
        <v>2114675</v>
      </c>
      <c r="AG475" s="42" t="s">
        <v>6528</v>
      </c>
    </row>
    <row r="476" spans="6:33" ht="15.75" customHeight="1">
      <c r="F476" s="40" t="s">
        <v>4976</v>
      </c>
      <c r="G476" s="40" t="s">
        <v>4976</v>
      </c>
      <c r="H476" s="40" t="s">
        <v>761</v>
      </c>
      <c r="I476" s="40" t="s">
        <v>6848</v>
      </c>
      <c r="J476" s="140">
        <v>2183548</v>
      </c>
      <c r="K476" s="141">
        <v>3300011777</v>
      </c>
      <c r="L476" s="141">
        <v>5059388</v>
      </c>
      <c r="M476" s="141" t="s">
        <v>4977</v>
      </c>
      <c r="N476" s="141">
        <v>2152252</v>
      </c>
      <c r="O476" s="142"/>
      <c r="P476" s="142"/>
      <c r="Q476" s="142"/>
      <c r="R476" s="142"/>
      <c r="S476" s="142"/>
      <c r="T476" s="141" t="s">
        <v>4978</v>
      </c>
      <c r="V476" s="43" t="s">
        <v>726</v>
      </c>
      <c r="AF476" s="42">
        <v>2114682</v>
      </c>
      <c r="AG476" s="42" t="s">
        <v>6528</v>
      </c>
    </row>
    <row r="477" spans="6:33" ht="15.75" customHeight="1">
      <c r="F477" s="40" t="s">
        <v>5010</v>
      </c>
      <c r="G477" s="40" t="s">
        <v>5011</v>
      </c>
      <c r="H477" s="40" t="s">
        <v>761</v>
      </c>
      <c r="I477" s="40" t="s">
        <v>6848</v>
      </c>
      <c r="J477" s="138">
        <v>2177373</v>
      </c>
      <c r="K477" s="139" t="s">
        <v>5013</v>
      </c>
      <c r="L477" s="139">
        <v>3300002938</v>
      </c>
      <c r="M477" s="139" t="s">
        <v>7343</v>
      </c>
      <c r="N477" s="141">
        <v>2150988</v>
      </c>
      <c r="O477" s="142"/>
      <c r="P477" s="142"/>
      <c r="Q477" s="142"/>
      <c r="R477" s="142"/>
      <c r="S477" s="142"/>
      <c r="T477" s="139" t="s">
        <v>5014</v>
      </c>
      <c r="V477" s="43" t="s">
        <v>761</v>
      </c>
      <c r="AF477" s="42">
        <v>2114713</v>
      </c>
      <c r="AG477" s="42" t="s">
        <v>6528</v>
      </c>
    </row>
    <row r="478" spans="6:33" ht="15.75" customHeight="1">
      <c r="F478" s="40" t="s">
        <v>7700</v>
      </c>
      <c r="G478" s="40" t="s">
        <v>7863</v>
      </c>
      <c r="H478" s="40" t="s">
        <v>8208</v>
      </c>
      <c r="I478" s="40" t="s">
        <v>6850</v>
      </c>
      <c r="J478" s="140">
        <v>2159998</v>
      </c>
      <c r="K478" s="141">
        <v>2160272</v>
      </c>
      <c r="L478" s="141">
        <v>5051905</v>
      </c>
      <c r="M478" s="141">
        <v>3300011823</v>
      </c>
      <c r="N478" s="141" t="s">
        <v>8022</v>
      </c>
      <c r="O478" s="142"/>
      <c r="P478" s="142"/>
      <c r="Q478" s="142"/>
      <c r="R478" s="142"/>
      <c r="S478" s="142"/>
      <c r="T478" s="141">
        <v>21400046</v>
      </c>
      <c r="V478" s="43" t="s">
        <v>8183</v>
      </c>
      <c r="AF478" s="42">
        <v>2114723</v>
      </c>
      <c r="AG478" s="42" t="s">
        <v>6528</v>
      </c>
    </row>
    <row r="479" spans="6:33" ht="15.75" customHeight="1">
      <c r="F479" s="40" t="s">
        <v>3238</v>
      </c>
      <c r="G479" s="40" t="s">
        <v>3239</v>
      </c>
      <c r="H479" s="40" t="s">
        <v>6841</v>
      </c>
      <c r="I479" s="40" t="s">
        <v>6852</v>
      </c>
      <c r="J479" s="140" t="s">
        <v>3241</v>
      </c>
      <c r="K479" s="141">
        <v>41758</v>
      </c>
      <c r="L479" s="141"/>
      <c r="M479" s="141"/>
      <c r="N479" s="141"/>
      <c r="O479" s="142"/>
      <c r="P479" s="142"/>
      <c r="Q479" s="142"/>
      <c r="R479" s="142"/>
      <c r="S479" s="142"/>
      <c r="T479" s="141" t="s">
        <v>3242</v>
      </c>
      <c r="V479" s="43" t="s">
        <v>683</v>
      </c>
      <c r="AF479" s="42">
        <v>2114724</v>
      </c>
      <c r="AG479" s="42" t="s">
        <v>6528</v>
      </c>
    </row>
    <row r="480" spans="6:33" ht="15.75" customHeight="1">
      <c r="F480" s="40" t="s">
        <v>7701</v>
      </c>
      <c r="G480" s="40" t="s">
        <v>7864</v>
      </c>
      <c r="H480" s="40" t="s">
        <v>8208</v>
      </c>
      <c r="I480" s="40" t="s">
        <v>6850</v>
      </c>
      <c r="J480" s="140">
        <v>2096076</v>
      </c>
      <c r="K480" s="141">
        <v>2084135</v>
      </c>
      <c r="L480" s="141" t="s">
        <v>8023</v>
      </c>
      <c r="M480" s="141" t="s">
        <v>8024</v>
      </c>
      <c r="N480" s="141">
        <v>3300010922</v>
      </c>
      <c r="O480" s="142"/>
      <c r="P480" s="142"/>
      <c r="Q480" s="142"/>
      <c r="R480" s="142"/>
      <c r="S480" s="142"/>
      <c r="T480" s="141">
        <v>121200063</v>
      </c>
      <c r="V480" s="43" t="s">
        <v>747</v>
      </c>
      <c r="AF480" s="42">
        <v>2114725</v>
      </c>
      <c r="AG480" s="42" t="s">
        <v>6528</v>
      </c>
    </row>
    <row r="481" spans="6:33" ht="15.75" customHeight="1">
      <c r="F481" s="40" t="s">
        <v>4198</v>
      </c>
      <c r="G481" s="40" t="s">
        <v>4199</v>
      </c>
      <c r="H481" s="40" t="s">
        <v>553</v>
      </c>
      <c r="I481" s="40" t="s">
        <v>6853</v>
      </c>
      <c r="J481" s="140" t="s">
        <v>8543</v>
      </c>
      <c r="K481" s="141" t="s">
        <v>4200</v>
      </c>
      <c r="L481" s="141">
        <v>3300003623</v>
      </c>
      <c r="M481" s="141" t="s">
        <v>4201</v>
      </c>
      <c r="N481" s="141">
        <v>2103905</v>
      </c>
      <c r="O481" s="142"/>
      <c r="P481" s="142"/>
      <c r="Q481" s="142"/>
      <c r="R481" s="142"/>
      <c r="S481" s="142"/>
      <c r="T481" s="141" t="s">
        <v>4202</v>
      </c>
      <c r="V481" s="43" t="s">
        <v>553</v>
      </c>
      <c r="AF481" s="42">
        <v>2114726</v>
      </c>
      <c r="AG481" s="42" t="s">
        <v>6528</v>
      </c>
    </row>
    <row r="482" spans="6:33" ht="15.75" customHeight="1">
      <c r="F482" s="40" t="s">
        <v>7359</v>
      </c>
      <c r="G482" s="40" t="s">
        <v>7359</v>
      </c>
      <c r="H482" s="40" t="s">
        <v>761</v>
      </c>
      <c r="I482" s="40" t="s">
        <v>6848</v>
      </c>
      <c r="J482" s="140">
        <v>3300002939</v>
      </c>
      <c r="K482" s="141">
        <v>2058241</v>
      </c>
      <c r="L482" s="141">
        <v>2083303</v>
      </c>
      <c r="M482" s="141">
        <v>5051827</v>
      </c>
      <c r="N482" s="141">
        <v>2228727</v>
      </c>
      <c r="O482" s="142"/>
      <c r="P482" s="142"/>
      <c r="Q482" s="142"/>
      <c r="R482" s="142"/>
      <c r="S482" s="142"/>
      <c r="T482" s="141" t="s">
        <v>7318</v>
      </c>
      <c r="V482" s="43" t="s">
        <v>671</v>
      </c>
      <c r="AF482" s="42">
        <v>2114727</v>
      </c>
      <c r="AG482" s="42" t="s">
        <v>6528</v>
      </c>
    </row>
    <row r="483" spans="6:33" ht="15.75" customHeight="1">
      <c r="F483" s="40" t="s">
        <v>7360</v>
      </c>
      <c r="G483" s="40" t="s">
        <v>7371</v>
      </c>
      <c r="H483" s="40" t="s">
        <v>553</v>
      </c>
      <c r="I483" s="40" t="s">
        <v>6853</v>
      </c>
      <c r="J483" s="140">
        <v>3300010663</v>
      </c>
      <c r="K483" s="141" t="s">
        <v>7347</v>
      </c>
      <c r="L483" s="141">
        <v>5103024</v>
      </c>
      <c r="M483" s="141">
        <v>2103890</v>
      </c>
      <c r="N483" s="141" t="s">
        <v>1427</v>
      </c>
      <c r="O483" s="142"/>
      <c r="P483" s="142"/>
      <c r="Q483" s="142"/>
      <c r="R483" s="142"/>
      <c r="S483" s="142"/>
      <c r="T483" s="141" t="s">
        <v>4549</v>
      </c>
      <c r="V483" s="43" t="s">
        <v>712</v>
      </c>
      <c r="AF483" s="42">
        <v>2114728</v>
      </c>
      <c r="AG483" s="42" t="s">
        <v>6528</v>
      </c>
    </row>
    <row r="484" spans="6:33" ht="15.75" customHeight="1">
      <c r="F484" s="40" t="s">
        <v>4504</v>
      </c>
      <c r="G484" s="40" t="s">
        <v>4505</v>
      </c>
      <c r="H484" s="40" t="s">
        <v>761</v>
      </c>
      <c r="I484" s="40" t="s">
        <v>6848</v>
      </c>
      <c r="J484" s="140">
        <v>5059345</v>
      </c>
      <c r="K484" s="141">
        <v>3300016519</v>
      </c>
      <c r="L484" s="141">
        <v>3300002929</v>
      </c>
      <c r="M484" s="141" t="s">
        <v>4507</v>
      </c>
      <c r="N484" s="141">
        <v>2103755</v>
      </c>
      <c r="O484" s="142"/>
      <c r="P484" s="142"/>
      <c r="Q484" s="142"/>
      <c r="R484" s="142"/>
      <c r="S484" s="142"/>
      <c r="T484" s="141" t="s">
        <v>7070</v>
      </c>
      <c r="V484" s="43" t="s">
        <v>599</v>
      </c>
      <c r="AF484" s="42">
        <v>2114729</v>
      </c>
      <c r="AG484" s="42" t="s">
        <v>6528</v>
      </c>
    </row>
    <row r="485" spans="6:33" ht="15.75" customHeight="1">
      <c r="F485" s="40" t="s">
        <v>6983</v>
      </c>
      <c r="G485" s="40" t="s">
        <v>6989</v>
      </c>
      <c r="H485" s="40" t="s">
        <v>564</v>
      </c>
      <c r="I485" s="40" t="s">
        <v>6851</v>
      </c>
      <c r="J485" s="140" t="s">
        <v>5861</v>
      </c>
      <c r="K485" s="141">
        <v>2117379</v>
      </c>
      <c r="L485" s="141">
        <v>3300012519</v>
      </c>
      <c r="M485" s="141">
        <v>2119281</v>
      </c>
      <c r="N485" s="141" t="s">
        <v>7004</v>
      </c>
      <c r="O485" s="142"/>
      <c r="P485" s="142"/>
      <c r="Q485" s="142"/>
      <c r="R485" s="142"/>
      <c r="S485" s="142"/>
      <c r="T485" s="141" t="s">
        <v>6561</v>
      </c>
      <c r="V485" s="43" t="s">
        <v>809</v>
      </c>
      <c r="AF485" s="42">
        <v>2114730</v>
      </c>
      <c r="AG485" s="42" t="s">
        <v>6528</v>
      </c>
    </row>
    <row r="486" spans="6:33" ht="15.75" customHeight="1">
      <c r="F486" s="40" t="s">
        <v>8444</v>
      </c>
      <c r="G486" s="40" t="s">
        <v>8444</v>
      </c>
      <c r="H486" s="40" t="s">
        <v>761</v>
      </c>
      <c r="I486" s="40" t="s">
        <v>6848</v>
      </c>
      <c r="J486" s="140" t="s">
        <v>7199</v>
      </c>
      <c r="K486" s="141">
        <v>5047875</v>
      </c>
      <c r="L486" s="141">
        <v>2116245</v>
      </c>
      <c r="M486" s="141"/>
      <c r="N486" s="141"/>
      <c r="O486" s="142"/>
      <c r="P486" s="142"/>
      <c r="Q486" s="142"/>
      <c r="R486" s="142"/>
      <c r="S486" s="142"/>
      <c r="T486" s="141" t="s">
        <v>8595</v>
      </c>
      <c r="V486" s="43" t="s">
        <v>8606</v>
      </c>
      <c r="AF486" s="42">
        <v>2114731</v>
      </c>
      <c r="AG486" s="42" t="s">
        <v>6528</v>
      </c>
    </row>
    <row r="487" spans="6:33" ht="15.75" customHeight="1">
      <c r="F487" s="40" t="s">
        <v>4781</v>
      </c>
      <c r="G487" s="40" t="s">
        <v>4782</v>
      </c>
      <c r="H487" s="40" t="s">
        <v>761</v>
      </c>
      <c r="I487" s="40" t="s">
        <v>6848</v>
      </c>
      <c r="J487" s="140">
        <v>2103895</v>
      </c>
      <c r="K487" s="141">
        <v>5014443</v>
      </c>
      <c r="L487" s="141" t="s">
        <v>4784</v>
      </c>
      <c r="M487" s="141">
        <v>2115642</v>
      </c>
      <c r="N487" s="141"/>
      <c r="O487" s="142"/>
      <c r="P487" s="142"/>
      <c r="Q487" s="142"/>
      <c r="R487" s="142"/>
      <c r="S487" s="142"/>
      <c r="T487" s="141" t="s">
        <v>4785</v>
      </c>
      <c r="V487" s="43" t="s">
        <v>614</v>
      </c>
      <c r="AF487" s="42">
        <v>2114732</v>
      </c>
      <c r="AG487" s="42" t="s">
        <v>6528</v>
      </c>
    </row>
    <row r="488" spans="6:33" ht="15.75" customHeight="1">
      <c r="F488" s="40" t="s">
        <v>1332</v>
      </c>
      <c r="G488" s="40" t="s">
        <v>1333</v>
      </c>
      <c r="H488" s="40" t="s">
        <v>564</v>
      </c>
      <c r="I488" s="40" t="s">
        <v>6851</v>
      </c>
      <c r="J488" s="140">
        <v>5059383</v>
      </c>
      <c r="K488" s="141">
        <v>2119267</v>
      </c>
      <c r="L488" s="141">
        <v>3300005978</v>
      </c>
      <c r="M488" s="141"/>
      <c r="N488" s="141"/>
      <c r="O488" s="142"/>
      <c r="P488" s="142"/>
      <c r="Q488" s="142"/>
      <c r="R488" s="142"/>
      <c r="S488" s="142"/>
      <c r="T488" s="141" t="s">
        <v>6725</v>
      </c>
      <c r="V488" s="43" t="s">
        <v>1327</v>
      </c>
      <c r="AF488" s="42">
        <v>2114733</v>
      </c>
      <c r="AG488" s="42" t="s">
        <v>6528</v>
      </c>
    </row>
    <row r="489" spans="6:33" ht="15.75" customHeight="1">
      <c r="F489" s="40" t="s">
        <v>1449</v>
      </c>
      <c r="G489" s="40" t="s">
        <v>1450</v>
      </c>
      <c r="H489" s="40" t="s">
        <v>564</v>
      </c>
      <c r="I489" s="40" t="s">
        <v>6851</v>
      </c>
      <c r="J489" s="140">
        <v>3300001214</v>
      </c>
      <c r="K489" s="141">
        <v>3300001215</v>
      </c>
      <c r="L489" s="141" t="s">
        <v>1451</v>
      </c>
      <c r="M489" s="141">
        <v>5104333</v>
      </c>
      <c r="N489" s="141">
        <v>3300001218</v>
      </c>
      <c r="O489" s="142"/>
      <c r="P489" s="142"/>
      <c r="Q489" s="142"/>
      <c r="R489" s="142"/>
      <c r="S489" s="142"/>
      <c r="T489" s="141" t="s">
        <v>1452</v>
      </c>
      <c r="V489" s="43" t="s">
        <v>566</v>
      </c>
      <c r="AF489" s="42">
        <v>2114734</v>
      </c>
      <c r="AG489" s="42" t="s">
        <v>6528</v>
      </c>
    </row>
    <row r="490" spans="6:33" ht="15.75" customHeight="1">
      <c r="F490" s="40" t="s">
        <v>4118</v>
      </c>
      <c r="G490" s="40" t="s">
        <v>4119</v>
      </c>
      <c r="H490" s="40" t="s">
        <v>553</v>
      </c>
      <c r="I490" s="40" t="s">
        <v>6853</v>
      </c>
      <c r="J490" s="140">
        <v>2183493</v>
      </c>
      <c r="K490" s="141">
        <v>5059354</v>
      </c>
      <c r="L490" s="141" t="s">
        <v>4121</v>
      </c>
      <c r="M490" s="141">
        <v>5103017</v>
      </c>
      <c r="N490" s="141" t="s">
        <v>8269</v>
      </c>
      <c r="O490" s="142"/>
      <c r="P490" s="142"/>
      <c r="Q490" s="142"/>
      <c r="R490" s="142"/>
      <c r="S490" s="142"/>
      <c r="T490" s="141" t="s">
        <v>4122</v>
      </c>
      <c r="V490" s="43" t="s">
        <v>788</v>
      </c>
      <c r="AF490" s="42">
        <v>2114735</v>
      </c>
      <c r="AG490" s="42" t="s">
        <v>6528</v>
      </c>
    </row>
    <row r="491" spans="6:33" ht="15.75" customHeight="1">
      <c r="F491" s="40" t="s">
        <v>7702</v>
      </c>
      <c r="G491" s="40" t="s">
        <v>7865</v>
      </c>
      <c r="H491" s="40" t="s">
        <v>6841</v>
      </c>
      <c r="I491" s="40" t="s">
        <v>6852</v>
      </c>
      <c r="J491" s="138">
        <v>2172440</v>
      </c>
      <c r="K491" s="139" t="s">
        <v>6665</v>
      </c>
      <c r="L491" s="141" t="s">
        <v>7628</v>
      </c>
      <c r="M491" s="141"/>
      <c r="N491" s="141"/>
      <c r="O491" s="142"/>
      <c r="P491" s="142"/>
      <c r="Q491" s="142"/>
      <c r="R491" s="142"/>
      <c r="S491" s="142"/>
      <c r="T491" s="139" t="s">
        <v>7605</v>
      </c>
      <c r="V491" s="43" t="s">
        <v>673</v>
      </c>
      <c r="AF491" s="42">
        <v>2114736</v>
      </c>
      <c r="AG491" s="42" t="s">
        <v>6528</v>
      </c>
    </row>
    <row r="492" spans="6:33" ht="15.75" customHeight="1">
      <c r="F492" s="40" t="s">
        <v>2873</v>
      </c>
      <c r="G492" s="40" t="s">
        <v>2874</v>
      </c>
      <c r="H492" s="40" t="s">
        <v>595</v>
      </c>
      <c r="I492" s="40" t="s">
        <v>6847</v>
      </c>
      <c r="J492" s="140">
        <v>3300009559</v>
      </c>
      <c r="K492" s="141" t="s">
        <v>2875</v>
      </c>
      <c r="L492" s="141">
        <v>2177144</v>
      </c>
      <c r="M492" s="141">
        <v>5059353</v>
      </c>
      <c r="N492" s="141">
        <v>5070881</v>
      </c>
      <c r="O492" s="142"/>
      <c r="P492" s="142"/>
      <c r="Q492" s="142"/>
      <c r="R492" s="142"/>
      <c r="S492" s="142"/>
      <c r="T492" s="141" t="s">
        <v>6801</v>
      </c>
      <c r="V492" s="43" t="s">
        <v>754</v>
      </c>
      <c r="AF492" s="42">
        <v>2114737</v>
      </c>
      <c r="AG492" s="42" t="s">
        <v>6528</v>
      </c>
    </row>
    <row r="493" spans="6:33" ht="15.75" customHeight="1">
      <c r="F493" s="40" t="s">
        <v>7018</v>
      </c>
      <c r="G493" s="40" t="s">
        <v>7020</v>
      </c>
      <c r="H493" s="40" t="s">
        <v>761</v>
      </c>
      <c r="I493" s="40" t="s">
        <v>6848</v>
      </c>
      <c r="J493" s="138">
        <v>2177349</v>
      </c>
      <c r="K493" s="139">
        <v>5031896</v>
      </c>
      <c r="L493" s="141">
        <v>2103495</v>
      </c>
      <c r="M493" s="141" t="s">
        <v>5459</v>
      </c>
      <c r="N493" s="141"/>
      <c r="O493" s="142"/>
      <c r="P493" s="142"/>
      <c r="Q493" s="142"/>
      <c r="R493" s="142"/>
      <c r="S493" s="142"/>
      <c r="T493" s="139" t="s">
        <v>5460</v>
      </c>
      <c r="V493" s="43" t="s">
        <v>741</v>
      </c>
      <c r="AF493" s="42">
        <v>2114738</v>
      </c>
      <c r="AG493" s="42" t="s">
        <v>6528</v>
      </c>
    </row>
    <row r="494" spans="6:33" ht="15.75" customHeight="1">
      <c r="F494" s="40" t="s">
        <v>7703</v>
      </c>
      <c r="G494" s="40" t="s">
        <v>7866</v>
      </c>
      <c r="H494" s="40" t="s">
        <v>8513</v>
      </c>
      <c r="I494" s="40" t="s">
        <v>6853</v>
      </c>
      <c r="J494" s="140">
        <v>2143302</v>
      </c>
      <c r="K494" s="141">
        <v>2103734</v>
      </c>
      <c r="L494" s="141"/>
      <c r="M494" s="141"/>
      <c r="N494" s="141"/>
      <c r="O494" s="142"/>
      <c r="P494" s="142"/>
      <c r="Q494" s="142"/>
      <c r="R494" s="142"/>
      <c r="S494" s="142"/>
      <c r="T494" s="141" t="s">
        <v>5690</v>
      </c>
      <c r="V494" s="43" t="s">
        <v>581</v>
      </c>
      <c r="AF494" s="42">
        <v>2114739</v>
      </c>
      <c r="AG494" s="42" t="s">
        <v>6528</v>
      </c>
    </row>
    <row r="495" spans="6:33" ht="15.75" customHeight="1">
      <c r="F495" s="40" t="s">
        <v>7470</v>
      </c>
      <c r="G495" s="40" t="s">
        <v>1939</v>
      </c>
      <c r="H495" s="40" t="s">
        <v>564</v>
      </c>
      <c r="I495" s="40" t="s">
        <v>6851</v>
      </c>
      <c r="J495" s="138">
        <v>2114741</v>
      </c>
      <c r="K495" s="139" t="s">
        <v>1940</v>
      </c>
      <c r="L495" s="141">
        <v>3300001685</v>
      </c>
      <c r="M495" s="139">
        <v>5031838</v>
      </c>
      <c r="N495" s="141"/>
      <c r="O495" s="142"/>
      <c r="P495" s="142"/>
      <c r="Q495" s="142"/>
      <c r="R495" s="142"/>
      <c r="S495" s="142"/>
      <c r="T495" s="139" t="s">
        <v>1941</v>
      </c>
      <c r="V495" s="43" t="s">
        <v>601</v>
      </c>
      <c r="AF495" s="42">
        <v>2114740</v>
      </c>
      <c r="AG495" s="42" t="s">
        <v>6528</v>
      </c>
    </row>
    <row r="496" spans="6:33" ht="15.75" customHeight="1">
      <c r="F496" s="40" t="s">
        <v>4981</v>
      </c>
      <c r="G496" s="40" t="s">
        <v>4982</v>
      </c>
      <c r="H496" s="40" t="s">
        <v>761</v>
      </c>
      <c r="I496" s="40" t="s">
        <v>6848</v>
      </c>
      <c r="J496" s="140" t="s">
        <v>4983</v>
      </c>
      <c r="K496" s="141">
        <v>3300003624</v>
      </c>
      <c r="L496" s="141">
        <v>2171963</v>
      </c>
      <c r="M496" s="141" t="s">
        <v>7005</v>
      </c>
      <c r="N496" s="141">
        <v>5100181</v>
      </c>
      <c r="O496" s="142"/>
      <c r="P496" s="142"/>
      <c r="Q496" s="142"/>
      <c r="R496" s="142"/>
      <c r="S496" s="142"/>
      <c r="T496" s="141" t="s">
        <v>6790</v>
      </c>
      <c r="V496" s="43" t="s">
        <v>726</v>
      </c>
      <c r="AF496" s="42">
        <v>2114741</v>
      </c>
      <c r="AG496" s="42" t="s">
        <v>6528</v>
      </c>
    </row>
    <row r="497" spans="6:33" ht="15.75" customHeight="1">
      <c r="F497" s="40" t="s">
        <v>7386</v>
      </c>
      <c r="G497" s="40" t="s">
        <v>7400</v>
      </c>
      <c r="H497" s="40" t="s">
        <v>761</v>
      </c>
      <c r="I497" s="40" t="s">
        <v>6848</v>
      </c>
      <c r="J497" s="140">
        <v>2117460</v>
      </c>
      <c r="K497" s="141" t="s">
        <v>7340</v>
      </c>
      <c r="L497" s="141">
        <v>3300011486</v>
      </c>
      <c r="M497" s="141">
        <v>5001479</v>
      </c>
      <c r="N497" s="141"/>
      <c r="O497" s="142"/>
      <c r="P497" s="142"/>
      <c r="Q497" s="142"/>
      <c r="R497" s="142"/>
      <c r="S497" s="142"/>
      <c r="T497" s="141" t="s">
        <v>6436</v>
      </c>
      <c r="V497" s="43" t="s">
        <v>5606</v>
      </c>
      <c r="AF497" s="42">
        <v>2114742</v>
      </c>
      <c r="AG497" s="42" t="s">
        <v>6528</v>
      </c>
    </row>
    <row r="498" spans="6:33" ht="15.75" customHeight="1">
      <c r="F498" s="40" t="s">
        <v>5430</v>
      </c>
      <c r="G498" s="40" t="s">
        <v>5431</v>
      </c>
      <c r="H498" s="40" t="s">
        <v>761</v>
      </c>
      <c r="I498" s="40" t="s">
        <v>6848</v>
      </c>
      <c r="J498" s="140" t="s">
        <v>5432</v>
      </c>
      <c r="K498" s="141">
        <v>5001474</v>
      </c>
      <c r="L498" s="141" t="s">
        <v>5433</v>
      </c>
      <c r="M498" s="141">
        <v>5001455</v>
      </c>
      <c r="N498" s="141">
        <v>3300003629</v>
      </c>
      <c r="O498" s="142"/>
      <c r="P498" s="142"/>
      <c r="Q498" s="142"/>
      <c r="R498" s="142"/>
      <c r="S498" s="142"/>
      <c r="T498" s="141" t="s">
        <v>5434</v>
      </c>
      <c r="V498" s="43" t="s">
        <v>576</v>
      </c>
      <c r="AF498" s="42">
        <v>2114743</v>
      </c>
      <c r="AG498" s="42" t="s">
        <v>6528</v>
      </c>
    </row>
    <row r="499" spans="6:33" ht="15.75" customHeight="1">
      <c r="F499" s="40" t="s">
        <v>5080</v>
      </c>
      <c r="G499" s="40" t="s">
        <v>5081</v>
      </c>
      <c r="H499" s="40" t="s">
        <v>761</v>
      </c>
      <c r="I499" s="40" t="s">
        <v>6848</v>
      </c>
      <c r="J499" s="140">
        <v>2103923</v>
      </c>
      <c r="K499" s="141">
        <v>3300002816</v>
      </c>
      <c r="L499" s="141" t="s">
        <v>5082</v>
      </c>
      <c r="M499" s="141">
        <v>3300002812</v>
      </c>
      <c r="N499" s="141">
        <v>2103897</v>
      </c>
      <c r="O499" s="142"/>
      <c r="P499" s="142"/>
      <c r="Q499" s="142"/>
      <c r="R499" s="142"/>
      <c r="S499" s="142"/>
      <c r="T499" s="141" t="s">
        <v>5083</v>
      </c>
      <c r="V499" s="43" t="s">
        <v>671</v>
      </c>
      <c r="AF499" s="42">
        <v>2114744</v>
      </c>
      <c r="AG499" s="42" t="s">
        <v>6528</v>
      </c>
    </row>
    <row r="500" spans="6:33" ht="15.75" customHeight="1">
      <c r="F500" s="40" t="s">
        <v>7704</v>
      </c>
      <c r="G500" s="40" t="s">
        <v>7867</v>
      </c>
      <c r="H500" s="40" t="s">
        <v>8208</v>
      </c>
      <c r="I500" s="40" t="s">
        <v>6850</v>
      </c>
      <c r="J500" s="140">
        <v>2176693</v>
      </c>
      <c r="K500" s="141">
        <v>2176705</v>
      </c>
      <c r="L500" s="141">
        <v>5051900</v>
      </c>
      <c r="M500" s="141">
        <v>3300006836</v>
      </c>
      <c r="N500" s="141" t="s">
        <v>8025</v>
      </c>
      <c r="O500" s="142"/>
      <c r="P500" s="142"/>
      <c r="Q500" s="142"/>
      <c r="R500" s="142"/>
      <c r="S500" s="142"/>
      <c r="T500" s="141">
        <v>121300183</v>
      </c>
      <c r="V500" s="43" t="s">
        <v>610</v>
      </c>
      <c r="AF500" s="42">
        <v>2114745</v>
      </c>
      <c r="AG500" s="42" t="s">
        <v>6528</v>
      </c>
    </row>
    <row r="501" spans="6:33" ht="15.75" customHeight="1">
      <c r="F501" s="40" t="s">
        <v>8445</v>
      </c>
      <c r="G501" s="40" t="s">
        <v>8492</v>
      </c>
      <c r="H501" s="40" t="s">
        <v>8208</v>
      </c>
      <c r="I501" s="40" t="s">
        <v>6850</v>
      </c>
      <c r="J501" s="140">
        <v>5045666</v>
      </c>
      <c r="K501" s="141" t="s">
        <v>8544</v>
      </c>
      <c r="L501" s="141">
        <v>2116260</v>
      </c>
      <c r="M501" s="141">
        <v>2152249</v>
      </c>
      <c r="N501" s="141">
        <v>5033021</v>
      </c>
      <c r="O501" s="142"/>
      <c r="P501" s="142"/>
      <c r="Q501" s="142"/>
      <c r="R501" s="142"/>
      <c r="S501" s="142"/>
      <c r="T501" s="141">
        <v>111200060</v>
      </c>
      <c r="V501" s="43" t="s">
        <v>610</v>
      </c>
      <c r="AF501" s="42">
        <v>2114746</v>
      </c>
      <c r="AG501" s="42" t="s">
        <v>6528</v>
      </c>
    </row>
    <row r="502" spans="6:33" ht="15.75" customHeight="1">
      <c r="F502" s="40" t="s">
        <v>8345</v>
      </c>
      <c r="G502" s="40" t="s">
        <v>8371</v>
      </c>
      <c r="H502" s="40" t="s">
        <v>564</v>
      </c>
      <c r="I502" s="40" t="s">
        <v>6851</v>
      </c>
      <c r="J502" s="140">
        <v>3400003759</v>
      </c>
      <c r="K502" s="141">
        <v>5104335</v>
      </c>
      <c r="L502" s="141">
        <v>3400003769</v>
      </c>
      <c r="M502" s="141">
        <v>5103080</v>
      </c>
      <c r="N502" s="141" t="s">
        <v>8253</v>
      </c>
      <c r="O502" s="142"/>
      <c r="P502" s="142"/>
      <c r="Q502" s="142"/>
      <c r="R502" s="142"/>
      <c r="S502" s="142"/>
      <c r="T502" s="141" t="s">
        <v>4266</v>
      </c>
      <c r="V502" s="43" t="s">
        <v>594</v>
      </c>
      <c r="AF502" s="42">
        <v>2114747</v>
      </c>
      <c r="AG502" s="42" t="s">
        <v>6528</v>
      </c>
    </row>
    <row r="503" spans="6:33" ht="15.75" customHeight="1">
      <c r="F503" s="40" t="s">
        <v>8300</v>
      </c>
      <c r="G503" s="40" t="s">
        <v>8318</v>
      </c>
      <c r="H503" s="40" t="s">
        <v>6841</v>
      </c>
      <c r="I503" s="40" t="s">
        <v>6852</v>
      </c>
      <c r="J503" s="140">
        <v>2236046</v>
      </c>
      <c r="K503" s="141">
        <v>3300002925</v>
      </c>
      <c r="L503" s="141">
        <v>5100166</v>
      </c>
      <c r="M503" s="141" t="s">
        <v>8282</v>
      </c>
      <c r="N503" s="141" t="s">
        <v>8287</v>
      </c>
      <c r="O503" s="142"/>
      <c r="P503" s="142"/>
      <c r="Q503" s="142"/>
      <c r="R503" s="142"/>
      <c r="S503" s="142"/>
      <c r="T503" s="141" t="s">
        <v>8214</v>
      </c>
      <c r="V503" s="43" t="s">
        <v>8329</v>
      </c>
      <c r="AF503" s="42">
        <v>2114748</v>
      </c>
      <c r="AG503" s="42" t="s">
        <v>6528</v>
      </c>
    </row>
    <row r="504" spans="6:33" ht="15.75" customHeight="1">
      <c r="F504" s="40" t="s">
        <v>2258</v>
      </c>
      <c r="G504" s="40" t="s">
        <v>2259</v>
      </c>
      <c r="H504" s="40" t="s">
        <v>564</v>
      </c>
      <c r="I504" s="40" t="s">
        <v>6851</v>
      </c>
      <c r="J504" s="140">
        <v>5031826</v>
      </c>
      <c r="K504" s="141">
        <v>2226060</v>
      </c>
      <c r="L504" s="141">
        <v>3300001213</v>
      </c>
      <c r="M504" s="141"/>
      <c r="N504" s="141"/>
      <c r="O504" s="142"/>
      <c r="P504" s="142"/>
      <c r="Q504" s="142"/>
      <c r="R504" s="142"/>
      <c r="S504" s="142"/>
      <c r="T504" s="141" t="s">
        <v>2260</v>
      </c>
      <c r="V504" s="43" t="s">
        <v>589</v>
      </c>
      <c r="AF504" s="42">
        <v>2114749</v>
      </c>
      <c r="AG504" s="42" t="s">
        <v>6528</v>
      </c>
    </row>
    <row r="505" spans="6:33" ht="15.75" customHeight="1">
      <c r="F505" s="40" t="s">
        <v>4205</v>
      </c>
      <c r="G505" s="40" t="s">
        <v>4206</v>
      </c>
      <c r="H505" s="40" t="s">
        <v>553</v>
      </c>
      <c r="I505" s="40" t="s">
        <v>6853</v>
      </c>
      <c r="J505" s="140">
        <v>5070883</v>
      </c>
      <c r="K505" s="141" t="s">
        <v>7536</v>
      </c>
      <c r="L505" s="141"/>
      <c r="M505" s="141">
        <v>2183559</v>
      </c>
      <c r="N505" s="141">
        <v>2171888</v>
      </c>
      <c r="O505" s="142"/>
      <c r="P505" s="142"/>
      <c r="Q505" s="142"/>
      <c r="R505" s="142"/>
      <c r="S505" s="142"/>
      <c r="T505" s="141" t="s">
        <v>4210</v>
      </c>
      <c r="V505" s="43" t="s">
        <v>553</v>
      </c>
      <c r="AF505" s="42">
        <v>2114750</v>
      </c>
      <c r="AG505" s="42" t="s">
        <v>6528</v>
      </c>
    </row>
    <row r="506" spans="6:33" ht="15.75" customHeight="1">
      <c r="F506" s="40" t="s">
        <v>7361</v>
      </c>
      <c r="G506" s="40" t="s">
        <v>7151</v>
      </c>
      <c r="H506" s="40" t="s">
        <v>6841</v>
      </c>
      <c r="I506" s="40" t="s">
        <v>6852</v>
      </c>
      <c r="J506" s="140">
        <v>2114770</v>
      </c>
      <c r="K506" s="141">
        <v>5059343</v>
      </c>
      <c r="L506" s="141" t="s">
        <v>7352</v>
      </c>
      <c r="M506" s="141" t="s">
        <v>7353</v>
      </c>
      <c r="N506" s="141">
        <v>3400003019</v>
      </c>
      <c r="O506" s="142"/>
      <c r="P506" s="142"/>
      <c r="Q506" s="142"/>
      <c r="R506" s="142"/>
      <c r="S506" s="142"/>
      <c r="T506" s="141" t="s">
        <v>7351</v>
      </c>
      <c r="V506" s="43" t="s">
        <v>7378</v>
      </c>
      <c r="AF506" s="42">
        <v>2114751</v>
      </c>
      <c r="AG506" s="42" t="s">
        <v>6528</v>
      </c>
    </row>
    <row r="507" spans="6:33" ht="15.75" customHeight="1">
      <c r="F507" s="40" t="s">
        <v>7136</v>
      </c>
      <c r="G507" s="40" t="s">
        <v>7151</v>
      </c>
      <c r="H507" s="40" t="s">
        <v>6841</v>
      </c>
      <c r="I507" s="40" t="s">
        <v>6852</v>
      </c>
      <c r="J507" s="140">
        <v>2115634</v>
      </c>
      <c r="K507" s="141">
        <v>3300010910</v>
      </c>
      <c r="L507" s="141" t="s">
        <v>7111</v>
      </c>
      <c r="M507" s="141">
        <v>3300005135</v>
      </c>
      <c r="N507" s="141">
        <v>5008430</v>
      </c>
      <c r="O507" s="142"/>
      <c r="P507" s="142"/>
      <c r="Q507" s="142"/>
      <c r="R507" s="142"/>
      <c r="S507" s="142"/>
      <c r="T507" s="141" t="s">
        <v>6571</v>
      </c>
      <c r="V507" s="43" t="s">
        <v>7161</v>
      </c>
      <c r="AF507" s="42">
        <v>2114752</v>
      </c>
      <c r="AG507" s="42" t="s">
        <v>6528</v>
      </c>
    </row>
    <row r="508" spans="6:33" ht="15.75" customHeight="1">
      <c r="F508" s="40" t="s">
        <v>4679</v>
      </c>
      <c r="G508" s="40" t="s">
        <v>4680</v>
      </c>
      <c r="H508" s="40" t="s">
        <v>761</v>
      </c>
      <c r="I508" s="40" t="s">
        <v>6848</v>
      </c>
      <c r="J508" s="140">
        <v>2115649</v>
      </c>
      <c r="K508" s="141" t="s">
        <v>4682</v>
      </c>
      <c r="L508" s="141">
        <v>2115656</v>
      </c>
      <c r="M508" s="141">
        <v>3300002930</v>
      </c>
      <c r="N508" s="141"/>
      <c r="O508" s="142"/>
      <c r="P508" s="142"/>
      <c r="Q508" s="142"/>
      <c r="R508" s="142"/>
      <c r="S508" s="142"/>
      <c r="T508" s="141" t="s">
        <v>4683</v>
      </c>
      <c r="V508" s="43" t="s">
        <v>582</v>
      </c>
      <c r="AF508" s="42">
        <v>2114753</v>
      </c>
      <c r="AG508" s="42" t="s">
        <v>6528</v>
      </c>
    </row>
    <row r="509" spans="6:33" ht="15.75" customHeight="1">
      <c r="F509" s="40" t="s">
        <v>2228</v>
      </c>
      <c r="G509" s="40" t="s">
        <v>2229</v>
      </c>
      <c r="H509" s="40" t="s">
        <v>564</v>
      </c>
      <c r="I509" s="40" t="s">
        <v>6851</v>
      </c>
      <c r="J509" s="140">
        <v>5105538</v>
      </c>
      <c r="K509" s="141">
        <v>3300003630</v>
      </c>
      <c r="L509" s="141" t="s">
        <v>7006</v>
      </c>
      <c r="M509" s="141" t="s">
        <v>2231</v>
      </c>
      <c r="N509" s="141" t="s">
        <v>2232</v>
      </c>
      <c r="O509" s="142"/>
      <c r="P509" s="142"/>
      <c r="Q509" s="142"/>
      <c r="R509" s="142"/>
      <c r="S509" s="142"/>
      <c r="T509" s="141" t="s">
        <v>2233</v>
      </c>
      <c r="V509" s="43" t="s">
        <v>594</v>
      </c>
      <c r="AF509" s="42">
        <v>2114754</v>
      </c>
      <c r="AG509" s="42" t="s">
        <v>6528</v>
      </c>
    </row>
    <row r="510" spans="6:33" ht="15.75" customHeight="1">
      <c r="F510" s="40" t="s">
        <v>6058</v>
      </c>
      <c r="G510" s="40" t="s">
        <v>6058</v>
      </c>
      <c r="H510" s="40" t="s">
        <v>8208</v>
      </c>
      <c r="I510" s="40" t="s">
        <v>6850</v>
      </c>
      <c r="J510" s="138">
        <v>3300009749</v>
      </c>
      <c r="K510" s="139" t="s">
        <v>6060</v>
      </c>
      <c r="L510" s="139">
        <v>2114723</v>
      </c>
      <c r="M510" s="141"/>
      <c r="N510" s="141"/>
      <c r="O510" s="142"/>
      <c r="P510" s="142"/>
      <c r="Q510" s="142"/>
      <c r="R510" s="142"/>
      <c r="S510" s="142"/>
      <c r="T510" s="139" t="s">
        <v>6062</v>
      </c>
      <c r="V510" s="43" t="s">
        <v>774</v>
      </c>
      <c r="AF510" s="42">
        <v>2114755</v>
      </c>
      <c r="AG510" s="42" t="s">
        <v>6528</v>
      </c>
    </row>
    <row r="511" spans="6:33" ht="15.75" customHeight="1">
      <c r="F511" s="40" t="s">
        <v>4352</v>
      </c>
      <c r="G511" s="40" t="s">
        <v>4353</v>
      </c>
      <c r="H511" s="40" t="s">
        <v>553</v>
      </c>
      <c r="I511" s="40" t="s">
        <v>6853</v>
      </c>
      <c r="J511" s="140">
        <v>2183481</v>
      </c>
      <c r="K511" s="141">
        <v>3300004150</v>
      </c>
      <c r="L511" s="141"/>
      <c r="M511" s="141"/>
      <c r="N511" s="141"/>
      <c r="O511" s="142"/>
      <c r="P511" s="142"/>
      <c r="Q511" s="142"/>
      <c r="R511" s="142"/>
      <c r="S511" s="142"/>
      <c r="T511" s="141" t="s">
        <v>4355</v>
      </c>
      <c r="V511" s="43" t="s">
        <v>639</v>
      </c>
      <c r="AF511" s="42">
        <v>2114756</v>
      </c>
      <c r="AG511" s="42" t="s">
        <v>6528</v>
      </c>
    </row>
    <row r="512" spans="6:33" ht="15.75" customHeight="1">
      <c r="F512" s="40" t="s">
        <v>3410</v>
      </c>
      <c r="G512" s="40" t="s">
        <v>3411</v>
      </c>
      <c r="H512" s="40" t="s">
        <v>6841</v>
      </c>
      <c r="I512" s="40" t="s">
        <v>6852</v>
      </c>
      <c r="J512" s="140">
        <v>2171992</v>
      </c>
      <c r="K512" s="141">
        <v>5059303</v>
      </c>
      <c r="L512" s="141" t="s">
        <v>3412</v>
      </c>
      <c r="M512" s="141" t="s">
        <v>1907</v>
      </c>
      <c r="N512" s="141"/>
      <c r="O512" s="142"/>
      <c r="P512" s="142"/>
      <c r="Q512" s="142"/>
      <c r="R512" s="142"/>
      <c r="S512" s="142"/>
      <c r="T512" s="141" t="s">
        <v>3413</v>
      </c>
      <c r="V512" s="43" t="s">
        <v>603</v>
      </c>
      <c r="AF512" s="42">
        <v>2114757</v>
      </c>
      <c r="AG512" s="42" t="s">
        <v>6528</v>
      </c>
    </row>
    <row r="513" spans="6:33" ht="15.75" customHeight="1">
      <c r="F513" s="40" t="s">
        <v>2237</v>
      </c>
      <c r="G513" s="40" t="s">
        <v>2238</v>
      </c>
      <c r="H513" s="40" t="s">
        <v>564</v>
      </c>
      <c r="I513" s="40" t="s">
        <v>6851</v>
      </c>
      <c r="J513" s="140" t="s">
        <v>2239</v>
      </c>
      <c r="K513" s="141">
        <v>2183514</v>
      </c>
      <c r="L513" s="141">
        <v>5100184</v>
      </c>
      <c r="M513" s="141">
        <v>5045652</v>
      </c>
      <c r="N513" s="141">
        <v>3300013099</v>
      </c>
      <c r="O513" s="142"/>
      <c r="P513" s="142"/>
      <c r="Q513" s="142"/>
      <c r="R513" s="142"/>
      <c r="S513" s="142"/>
      <c r="T513" s="141" t="s">
        <v>2240</v>
      </c>
      <c r="V513" s="43" t="s">
        <v>594</v>
      </c>
      <c r="AF513" s="42">
        <v>2114758</v>
      </c>
      <c r="AG513" s="42" t="s">
        <v>6528</v>
      </c>
    </row>
    <row r="514" spans="6:33" ht="15.75" customHeight="1">
      <c r="F514" s="40" t="s">
        <v>2546</v>
      </c>
      <c r="G514" s="40" t="s">
        <v>14</v>
      </c>
      <c r="H514" s="40" t="s">
        <v>670</v>
      </c>
      <c r="I514" s="40" t="s">
        <v>6849</v>
      </c>
      <c r="J514" s="140">
        <v>2117081</v>
      </c>
      <c r="K514" s="141">
        <v>5031895</v>
      </c>
      <c r="L514" s="141" t="s">
        <v>2548</v>
      </c>
      <c r="M514" s="141">
        <v>3300002982</v>
      </c>
      <c r="N514" s="141"/>
      <c r="O514" s="142"/>
      <c r="P514" s="142"/>
      <c r="Q514" s="142"/>
      <c r="R514" s="142"/>
      <c r="S514" s="142"/>
      <c r="T514" s="141" t="s">
        <v>2549</v>
      </c>
      <c r="V514" s="43" t="s">
        <v>640</v>
      </c>
      <c r="AF514" s="42">
        <v>2114759</v>
      </c>
      <c r="AG514" s="42" t="s">
        <v>6528</v>
      </c>
    </row>
    <row r="515" spans="6:33" ht="15.75" customHeight="1">
      <c r="F515" s="40" t="s">
        <v>7705</v>
      </c>
      <c r="G515" s="40" t="s">
        <v>7868</v>
      </c>
      <c r="H515" s="40" t="s">
        <v>8208</v>
      </c>
      <c r="I515" s="40" t="s">
        <v>6850</v>
      </c>
      <c r="J515" s="140">
        <v>2096130</v>
      </c>
      <c r="K515" s="141">
        <v>2096162</v>
      </c>
      <c r="L515" s="141"/>
      <c r="M515" s="141" t="s">
        <v>8026</v>
      </c>
      <c r="N515" s="141" t="s">
        <v>8027</v>
      </c>
      <c r="O515" s="142"/>
      <c r="P515" s="142"/>
      <c r="Q515" s="142"/>
      <c r="R515" s="142"/>
      <c r="S515" s="142"/>
      <c r="T515" s="141">
        <v>11300011</v>
      </c>
      <c r="V515" s="43" t="s">
        <v>687</v>
      </c>
      <c r="AF515" s="42">
        <v>2114760</v>
      </c>
      <c r="AG515" s="42" t="s">
        <v>6528</v>
      </c>
    </row>
    <row r="516" spans="6:33" ht="15.75" customHeight="1">
      <c r="F516" s="40" t="s">
        <v>7137</v>
      </c>
      <c r="G516" s="40" t="s">
        <v>7152</v>
      </c>
      <c r="H516" s="40" t="s">
        <v>8208</v>
      </c>
      <c r="I516" s="40" t="s">
        <v>6850</v>
      </c>
      <c r="J516" s="140" t="s">
        <v>6625</v>
      </c>
      <c r="K516" s="141">
        <v>2087290</v>
      </c>
      <c r="L516" s="141">
        <v>3300013116</v>
      </c>
      <c r="M516" s="141"/>
      <c r="N516" s="141"/>
      <c r="O516" s="142"/>
      <c r="P516" s="142"/>
      <c r="Q516" s="142"/>
      <c r="R516" s="142"/>
      <c r="S516" s="142"/>
      <c r="T516" s="141" t="s">
        <v>6807</v>
      </c>
      <c r="V516" s="43" t="s">
        <v>7162</v>
      </c>
      <c r="AF516" s="42">
        <v>2114761</v>
      </c>
      <c r="AG516" s="42" t="s">
        <v>6528</v>
      </c>
    </row>
    <row r="517" spans="6:33" ht="15.75" customHeight="1">
      <c r="F517" s="40" t="s">
        <v>7706</v>
      </c>
      <c r="G517" s="40" t="s">
        <v>7869</v>
      </c>
      <c r="H517" s="40" t="s">
        <v>8208</v>
      </c>
      <c r="I517" s="40" t="s">
        <v>6850</v>
      </c>
      <c r="J517" s="140">
        <v>2096175</v>
      </c>
      <c r="K517" s="141">
        <v>3300002919</v>
      </c>
      <c r="L517" s="141"/>
      <c r="M517" s="141"/>
      <c r="N517" s="141"/>
      <c r="O517" s="142"/>
      <c r="P517" s="142"/>
      <c r="Q517" s="142"/>
      <c r="R517" s="142"/>
      <c r="S517" s="142"/>
      <c r="T517" s="141">
        <v>21400047</v>
      </c>
      <c r="V517" s="43" t="s">
        <v>687</v>
      </c>
      <c r="AF517" s="42">
        <v>2114762</v>
      </c>
      <c r="AG517" s="42" t="s">
        <v>6528</v>
      </c>
    </row>
    <row r="518" spans="6:33" ht="15.75" customHeight="1">
      <c r="F518" s="40" t="s">
        <v>1455</v>
      </c>
      <c r="G518" s="40" t="s">
        <v>1</v>
      </c>
      <c r="H518" s="40" t="s">
        <v>564</v>
      </c>
      <c r="I518" s="40" t="s">
        <v>6851</v>
      </c>
      <c r="J518" s="140">
        <v>2116304</v>
      </c>
      <c r="K518" s="141">
        <v>3300002951</v>
      </c>
      <c r="L518" s="141">
        <v>2116310</v>
      </c>
      <c r="M518" s="141" t="s">
        <v>1457</v>
      </c>
      <c r="N518" s="141">
        <v>2226106</v>
      </c>
      <c r="O518" s="142"/>
      <c r="P518" s="142"/>
      <c r="Q518" s="142"/>
      <c r="R518" s="142"/>
      <c r="S518" s="142"/>
      <c r="T518" s="141" t="s">
        <v>1458</v>
      </c>
      <c r="V518" s="43" t="s">
        <v>566</v>
      </c>
      <c r="AF518" s="42">
        <v>2114763</v>
      </c>
      <c r="AG518" s="42" t="s">
        <v>6528</v>
      </c>
    </row>
    <row r="519" spans="6:33" ht="15.75" customHeight="1">
      <c r="F519" s="40" t="s">
        <v>7707</v>
      </c>
      <c r="G519" s="40" t="s">
        <v>7870</v>
      </c>
      <c r="H519" s="40" t="s">
        <v>8208</v>
      </c>
      <c r="I519" s="40" t="s">
        <v>6850</v>
      </c>
      <c r="J519" s="140">
        <v>2081940</v>
      </c>
      <c r="K519" s="141">
        <v>3300001590</v>
      </c>
      <c r="L519" s="141" t="s">
        <v>8028</v>
      </c>
      <c r="M519" s="141">
        <v>5077351</v>
      </c>
      <c r="N519" s="141"/>
      <c r="O519" s="142"/>
      <c r="P519" s="142"/>
      <c r="Q519" s="142"/>
      <c r="R519" s="142"/>
      <c r="S519" s="142"/>
      <c r="T519" s="141">
        <v>111200059</v>
      </c>
      <c r="V519" s="43" t="s">
        <v>687</v>
      </c>
      <c r="AF519" s="42">
        <v>2114764</v>
      </c>
      <c r="AG519" s="42" t="s">
        <v>6528</v>
      </c>
    </row>
    <row r="520" spans="6:33" ht="15.75" customHeight="1">
      <c r="F520" s="40" t="s">
        <v>7471</v>
      </c>
      <c r="G520" s="40" t="s">
        <v>1114</v>
      </c>
      <c r="H520" s="40" t="s">
        <v>564</v>
      </c>
      <c r="I520" s="40" t="s">
        <v>6851</v>
      </c>
      <c r="J520" s="140">
        <v>3400001164</v>
      </c>
      <c r="K520" s="141">
        <v>2119286</v>
      </c>
      <c r="L520" s="141">
        <v>5040883</v>
      </c>
      <c r="M520" s="141" t="s">
        <v>1116</v>
      </c>
      <c r="N520" s="141"/>
      <c r="O520" s="142"/>
      <c r="P520" s="142"/>
      <c r="Q520" s="142"/>
      <c r="R520" s="142"/>
      <c r="S520" s="142"/>
      <c r="T520" s="141" t="s">
        <v>1117</v>
      </c>
      <c r="V520" s="43" t="s">
        <v>597</v>
      </c>
      <c r="AF520" s="42">
        <v>2114765</v>
      </c>
      <c r="AG520" s="42" t="s">
        <v>6528</v>
      </c>
    </row>
    <row r="521" spans="6:33" ht="15.75" customHeight="1">
      <c r="F521" s="40" t="s">
        <v>1036</v>
      </c>
      <c r="G521" s="40" t="s">
        <v>1037</v>
      </c>
      <c r="H521" s="40" t="s">
        <v>564</v>
      </c>
      <c r="I521" s="40" t="s">
        <v>6851</v>
      </c>
      <c r="J521" s="138">
        <v>3300012815</v>
      </c>
      <c r="K521" s="139" t="s">
        <v>1038</v>
      </c>
      <c r="L521" s="141">
        <v>2171916</v>
      </c>
      <c r="M521" s="141">
        <v>5049675</v>
      </c>
      <c r="N521" s="141"/>
      <c r="O521" s="142"/>
      <c r="P521" s="142"/>
      <c r="Q521" s="142"/>
      <c r="R521" s="142"/>
      <c r="S521" s="142"/>
      <c r="T521" s="139" t="s">
        <v>1039</v>
      </c>
      <c r="V521" s="43" t="s">
        <v>537</v>
      </c>
      <c r="AF521" s="42">
        <v>2114766</v>
      </c>
      <c r="AG521" s="42" t="s">
        <v>6528</v>
      </c>
    </row>
    <row r="522" spans="6:33" ht="15.75" customHeight="1">
      <c r="F522" s="40" t="s">
        <v>4637</v>
      </c>
      <c r="G522" s="40" t="s">
        <v>4638</v>
      </c>
      <c r="H522" s="40" t="s">
        <v>761</v>
      </c>
      <c r="I522" s="40" t="s">
        <v>6848</v>
      </c>
      <c r="J522" s="138">
        <v>2103727</v>
      </c>
      <c r="K522" s="139" t="s">
        <v>4639</v>
      </c>
      <c r="L522" s="139">
        <v>3300009761</v>
      </c>
      <c r="M522" s="141">
        <v>2119255</v>
      </c>
      <c r="N522" s="141"/>
      <c r="O522" s="142"/>
      <c r="P522" s="142"/>
      <c r="Q522" s="142"/>
      <c r="R522" s="142"/>
      <c r="S522" s="142"/>
      <c r="T522" s="139" t="s">
        <v>6786</v>
      </c>
      <c r="V522" s="43" t="s">
        <v>725</v>
      </c>
      <c r="AF522" s="42">
        <v>2114767</v>
      </c>
      <c r="AG522" s="42" t="s">
        <v>6528</v>
      </c>
    </row>
    <row r="523" spans="6:33" ht="15.75" customHeight="1">
      <c r="F523" s="40" t="s">
        <v>1529</v>
      </c>
      <c r="G523" s="40" t="s">
        <v>27</v>
      </c>
      <c r="H523" s="40" t="s">
        <v>564</v>
      </c>
      <c r="I523" s="40" t="s">
        <v>6851</v>
      </c>
      <c r="J523" s="140">
        <v>2119265</v>
      </c>
      <c r="K523" s="141" t="s">
        <v>1532</v>
      </c>
      <c r="L523" s="141">
        <v>3300008146</v>
      </c>
      <c r="M523" s="141">
        <v>5031877</v>
      </c>
      <c r="N523" s="141">
        <v>2183006</v>
      </c>
      <c r="O523" s="142"/>
      <c r="P523" s="142"/>
      <c r="Q523" s="142"/>
      <c r="R523" s="142"/>
      <c r="S523" s="142"/>
      <c r="T523" s="141" t="s">
        <v>6773</v>
      </c>
      <c r="V523" s="43" t="s">
        <v>1531</v>
      </c>
      <c r="AF523" s="42">
        <v>2114768</v>
      </c>
      <c r="AG523" s="42" t="s">
        <v>6528</v>
      </c>
    </row>
    <row r="524" spans="6:33" ht="15.75" customHeight="1">
      <c r="F524" s="40" t="s">
        <v>7708</v>
      </c>
      <c r="G524" s="40" t="s">
        <v>7871</v>
      </c>
      <c r="H524" s="40" t="s">
        <v>761</v>
      </c>
      <c r="I524" s="40" t="s">
        <v>6848</v>
      </c>
      <c r="J524" s="138">
        <v>2103519</v>
      </c>
      <c r="K524" s="139">
        <v>3300003149</v>
      </c>
      <c r="L524" s="141">
        <v>2103524</v>
      </c>
      <c r="M524" s="141"/>
      <c r="N524" s="141"/>
      <c r="O524" s="142"/>
      <c r="P524" s="142"/>
      <c r="Q524" s="142"/>
      <c r="R524" s="142"/>
      <c r="S524" s="142"/>
      <c r="T524" s="139">
        <v>12060026</v>
      </c>
      <c r="V524" s="43" t="s">
        <v>697</v>
      </c>
      <c r="AF524" s="42">
        <v>2114769</v>
      </c>
      <c r="AG524" s="42" t="s">
        <v>6528</v>
      </c>
    </row>
    <row r="525" spans="6:33" ht="15.75" customHeight="1">
      <c r="F525" s="40" t="s">
        <v>7387</v>
      </c>
      <c r="G525" s="40" t="s">
        <v>4593</v>
      </c>
      <c r="H525" s="40" t="s">
        <v>761</v>
      </c>
      <c r="I525" s="40" t="s">
        <v>6848</v>
      </c>
      <c r="J525" s="138">
        <v>5070886</v>
      </c>
      <c r="K525" s="139">
        <v>3300008120</v>
      </c>
      <c r="L525" s="141" t="s">
        <v>4623</v>
      </c>
      <c r="M525" s="141">
        <v>2171976</v>
      </c>
      <c r="N525" s="139" t="s">
        <v>4624</v>
      </c>
      <c r="O525" s="142"/>
      <c r="P525" s="142"/>
      <c r="Q525" s="142"/>
      <c r="R525" s="142"/>
      <c r="S525" s="142"/>
      <c r="T525" s="139" t="s">
        <v>4625</v>
      </c>
      <c r="V525" s="43" t="s">
        <v>4622</v>
      </c>
      <c r="AF525" s="42">
        <v>2114770</v>
      </c>
      <c r="AG525" s="42" t="s">
        <v>6528</v>
      </c>
    </row>
    <row r="526" spans="6:33" ht="15.75" customHeight="1">
      <c r="F526" s="40" t="s">
        <v>3097</v>
      </c>
      <c r="G526" s="40" t="s">
        <v>3098</v>
      </c>
      <c r="H526" s="40" t="s">
        <v>6841</v>
      </c>
      <c r="I526" s="40" t="s">
        <v>6852</v>
      </c>
      <c r="J526" s="138" t="s">
        <v>7537</v>
      </c>
      <c r="K526" s="139">
        <v>2103497</v>
      </c>
      <c r="L526" s="139" t="s">
        <v>3103</v>
      </c>
      <c r="M526" s="141"/>
      <c r="N526" s="141"/>
      <c r="O526" s="142"/>
      <c r="P526" s="142"/>
      <c r="Q526" s="142"/>
      <c r="R526" s="142"/>
      <c r="S526" s="142"/>
      <c r="T526" s="139" t="s">
        <v>3104</v>
      </c>
      <c r="V526" s="43" t="s">
        <v>3100</v>
      </c>
      <c r="AF526" s="42">
        <v>2114771</v>
      </c>
      <c r="AG526" s="42" t="s">
        <v>6528</v>
      </c>
    </row>
    <row r="527" spans="6:33" ht="15.75" customHeight="1">
      <c r="F527" s="40" t="s">
        <v>2658</v>
      </c>
      <c r="G527" s="40" t="s">
        <v>2659</v>
      </c>
      <c r="H527" s="40" t="s">
        <v>670</v>
      </c>
      <c r="I527" s="40" t="s">
        <v>6849</v>
      </c>
      <c r="J527" s="138">
        <v>2119208</v>
      </c>
      <c r="K527" s="139">
        <v>5031912</v>
      </c>
      <c r="L527" s="141" t="s">
        <v>2661</v>
      </c>
      <c r="M527" s="141">
        <v>3300006799</v>
      </c>
      <c r="N527" s="141">
        <v>2117105</v>
      </c>
      <c r="O527" s="142"/>
      <c r="P527" s="142"/>
      <c r="Q527" s="142"/>
      <c r="R527" s="142"/>
      <c r="S527" s="142"/>
      <c r="T527" s="139" t="s">
        <v>2662</v>
      </c>
      <c r="V527" s="43" t="s">
        <v>694</v>
      </c>
      <c r="AF527" s="42">
        <v>2114772</v>
      </c>
      <c r="AG527" s="42" t="s">
        <v>6528</v>
      </c>
    </row>
    <row r="528" spans="6:33" ht="15.75" customHeight="1">
      <c r="F528" s="40" t="s">
        <v>3815</v>
      </c>
      <c r="G528" s="40" t="s">
        <v>3816</v>
      </c>
      <c r="H528" s="40" t="s">
        <v>553</v>
      </c>
      <c r="I528" s="40" t="s">
        <v>6853</v>
      </c>
      <c r="J528" s="140">
        <v>3300005163</v>
      </c>
      <c r="K528" s="141">
        <v>2114755</v>
      </c>
      <c r="L528" s="141">
        <v>3300005165</v>
      </c>
      <c r="M528" s="141" t="s">
        <v>3818</v>
      </c>
      <c r="N528" s="141" t="s">
        <v>7211</v>
      </c>
      <c r="O528" s="142"/>
      <c r="P528" s="142"/>
      <c r="Q528" s="142"/>
      <c r="R528" s="142"/>
      <c r="S528" s="142"/>
      <c r="T528" s="141" t="s">
        <v>3819</v>
      </c>
      <c r="V528" s="43" t="s">
        <v>606</v>
      </c>
      <c r="AF528" s="42">
        <v>2114773</v>
      </c>
      <c r="AG528" s="42" t="s">
        <v>6528</v>
      </c>
    </row>
    <row r="529" spans="6:33" ht="15.75" customHeight="1">
      <c r="F529" s="40" t="s">
        <v>6939</v>
      </c>
      <c r="G529" s="40" t="s">
        <v>6940</v>
      </c>
      <c r="H529" s="40" t="s">
        <v>564</v>
      </c>
      <c r="I529" s="40" t="s">
        <v>6851</v>
      </c>
      <c r="J529" s="140" t="s">
        <v>6726</v>
      </c>
      <c r="K529" s="141">
        <v>5103087</v>
      </c>
      <c r="L529" s="141">
        <v>2199632</v>
      </c>
      <c r="M529" s="141" t="s">
        <v>6840</v>
      </c>
      <c r="N529" s="141">
        <v>3400002968</v>
      </c>
      <c r="O529" s="142"/>
      <c r="P529" s="142"/>
      <c r="Q529" s="142"/>
      <c r="R529" s="142"/>
      <c r="S529" s="142"/>
      <c r="T529" s="141" t="s">
        <v>8154</v>
      </c>
      <c r="V529" s="43" t="s">
        <v>1403</v>
      </c>
      <c r="AF529" s="42">
        <v>2114774</v>
      </c>
      <c r="AG529" s="42" t="s">
        <v>6528</v>
      </c>
    </row>
    <row r="530" spans="6:33" ht="15.75" customHeight="1">
      <c r="F530" s="40" t="s">
        <v>7138</v>
      </c>
      <c r="G530" s="40" t="s">
        <v>7153</v>
      </c>
      <c r="H530" s="40" t="s">
        <v>553</v>
      </c>
      <c r="I530" s="40" t="s">
        <v>6853</v>
      </c>
      <c r="J530" s="140">
        <v>5008427</v>
      </c>
      <c r="K530" s="141" t="s">
        <v>1108</v>
      </c>
      <c r="L530" s="141" t="s">
        <v>7085</v>
      </c>
      <c r="M530" s="141">
        <v>2172001</v>
      </c>
      <c r="N530" s="141">
        <v>3400003044</v>
      </c>
      <c r="O530" s="142"/>
      <c r="P530" s="142"/>
      <c r="Q530" s="142"/>
      <c r="R530" s="142"/>
      <c r="S530" s="142"/>
      <c r="T530" s="141" t="s">
        <v>7072</v>
      </c>
      <c r="V530" s="43" t="s">
        <v>555</v>
      </c>
      <c r="AF530" s="42">
        <v>2114775</v>
      </c>
      <c r="AG530" s="42" t="s">
        <v>6528</v>
      </c>
    </row>
    <row r="531" spans="6:33" ht="15.75" customHeight="1">
      <c r="F531" s="40" t="s">
        <v>3230</v>
      </c>
      <c r="G531" s="40" t="s">
        <v>3231</v>
      </c>
      <c r="H531" s="40" t="s">
        <v>6841</v>
      </c>
      <c r="I531" s="40" t="s">
        <v>6852</v>
      </c>
      <c r="J531" s="138" t="s">
        <v>7233</v>
      </c>
      <c r="K531" s="139">
        <v>3300009553</v>
      </c>
      <c r="L531" s="139">
        <v>2172003</v>
      </c>
      <c r="M531" s="141"/>
      <c r="N531" s="141"/>
      <c r="O531" s="142"/>
      <c r="P531" s="142"/>
      <c r="Q531" s="142"/>
      <c r="R531" s="142"/>
      <c r="S531" s="142"/>
      <c r="T531" s="139" t="s">
        <v>3235</v>
      </c>
      <c r="V531" s="43" t="s">
        <v>3233</v>
      </c>
      <c r="AF531" s="42">
        <v>2114776</v>
      </c>
      <c r="AG531" s="42" t="s">
        <v>6528</v>
      </c>
    </row>
    <row r="532" spans="6:33" ht="15.75" customHeight="1">
      <c r="F532" s="40" t="s">
        <v>7709</v>
      </c>
      <c r="G532" s="40" t="s">
        <v>7872</v>
      </c>
      <c r="H532" s="40" t="s">
        <v>8208</v>
      </c>
      <c r="I532" s="40" t="s">
        <v>6850</v>
      </c>
      <c r="J532" s="140">
        <v>2087394</v>
      </c>
      <c r="K532" s="141">
        <v>3300001639</v>
      </c>
      <c r="L532" s="141">
        <v>5010219</v>
      </c>
      <c r="M532" s="141" t="s">
        <v>8029</v>
      </c>
      <c r="N532" s="141" t="s">
        <v>8030</v>
      </c>
      <c r="O532" s="142"/>
      <c r="P532" s="142"/>
      <c r="Q532" s="142"/>
      <c r="R532" s="142"/>
      <c r="S532" s="142"/>
      <c r="T532" s="141">
        <v>11300023</v>
      </c>
      <c r="V532" s="43" t="s">
        <v>687</v>
      </c>
      <c r="AF532" s="42">
        <v>2114777</v>
      </c>
      <c r="AG532" s="42" t="s">
        <v>6528</v>
      </c>
    </row>
    <row r="533" spans="6:33" ht="15.75" customHeight="1">
      <c r="F533" s="40" t="s">
        <v>7710</v>
      </c>
      <c r="G533" s="40" t="s">
        <v>7873</v>
      </c>
      <c r="H533" s="40" t="s">
        <v>8208</v>
      </c>
      <c r="I533" s="40" t="s">
        <v>6850</v>
      </c>
      <c r="J533" s="140"/>
      <c r="K533" s="141"/>
      <c r="L533" s="141"/>
      <c r="M533" s="141"/>
      <c r="N533" s="141"/>
      <c r="O533" s="142"/>
      <c r="P533" s="142"/>
      <c r="Q533" s="142"/>
      <c r="R533" s="142"/>
      <c r="S533" s="142"/>
      <c r="T533" s="141" t="s">
        <v>7603</v>
      </c>
      <c r="V533" s="43" t="s">
        <v>610</v>
      </c>
      <c r="AF533" s="42">
        <v>2114779</v>
      </c>
      <c r="AG533" s="42" t="s">
        <v>6528</v>
      </c>
    </row>
    <row r="534" spans="6:33" ht="15.75" customHeight="1">
      <c r="F534" s="40" t="s">
        <v>3603</v>
      </c>
      <c r="G534" s="40" t="s">
        <v>3604</v>
      </c>
      <c r="H534" s="40" t="s">
        <v>8513</v>
      </c>
      <c r="I534" s="40" t="s">
        <v>6853</v>
      </c>
      <c r="J534" s="140" t="s">
        <v>3605</v>
      </c>
      <c r="K534" s="141">
        <v>2177146</v>
      </c>
      <c r="L534" s="141" t="s">
        <v>3606</v>
      </c>
      <c r="M534" s="141"/>
      <c r="N534" s="141"/>
      <c r="O534" s="142"/>
      <c r="P534" s="142"/>
      <c r="Q534" s="142"/>
      <c r="R534" s="142"/>
      <c r="S534" s="142"/>
      <c r="T534" s="141" t="s">
        <v>7575</v>
      </c>
      <c r="V534" s="43" t="s">
        <v>579</v>
      </c>
      <c r="AF534" s="42">
        <v>2114780</v>
      </c>
      <c r="AG534" s="42" t="s">
        <v>6528</v>
      </c>
    </row>
    <row r="535" spans="6:33" ht="15.75" customHeight="1">
      <c r="F535" s="40" t="s">
        <v>2820</v>
      </c>
      <c r="G535" s="40" t="s">
        <v>2821</v>
      </c>
      <c r="H535" s="40" t="s">
        <v>670</v>
      </c>
      <c r="I535" s="40" t="s">
        <v>6849</v>
      </c>
      <c r="J535" s="138">
        <v>2117094</v>
      </c>
      <c r="K535" s="139">
        <v>5040886</v>
      </c>
      <c r="L535" s="141" t="s">
        <v>2822</v>
      </c>
      <c r="M535" s="141">
        <v>3300009522</v>
      </c>
      <c r="N535" s="139" t="s">
        <v>2823</v>
      </c>
      <c r="O535" s="142"/>
      <c r="P535" s="142"/>
      <c r="Q535" s="142"/>
      <c r="R535" s="142"/>
      <c r="S535" s="142"/>
      <c r="T535" s="139" t="s">
        <v>2824</v>
      </c>
      <c r="V535" s="43" t="s">
        <v>690</v>
      </c>
      <c r="AF535" s="42">
        <v>2114781</v>
      </c>
      <c r="AG535" s="42" t="s">
        <v>6528</v>
      </c>
    </row>
    <row r="536" spans="6:33" ht="15.75" customHeight="1">
      <c r="F536" s="40" t="s">
        <v>8301</v>
      </c>
      <c r="G536" s="40" t="s">
        <v>8319</v>
      </c>
      <c r="H536" s="40" t="s">
        <v>761</v>
      </c>
      <c r="I536" s="40" t="s">
        <v>6848</v>
      </c>
      <c r="J536" s="140">
        <v>2172000</v>
      </c>
      <c r="K536" s="141" t="s">
        <v>8256</v>
      </c>
      <c r="L536" s="141">
        <v>3300001251</v>
      </c>
      <c r="M536" s="141" t="s">
        <v>8238</v>
      </c>
      <c r="N536" s="141"/>
      <c r="O536" s="142"/>
      <c r="P536" s="142"/>
      <c r="Q536" s="142"/>
      <c r="R536" s="142"/>
      <c r="S536" s="142"/>
      <c r="T536" s="141" t="s">
        <v>8224</v>
      </c>
      <c r="V536" s="43" t="s">
        <v>4631</v>
      </c>
      <c r="AF536" s="42">
        <v>2114782</v>
      </c>
      <c r="AG536" s="42" t="s">
        <v>6528</v>
      </c>
    </row>
    <row r="537" spans="6:33" ht="15.75" customHeight="1">
      <c r="F537" s="40" t="s">
        <v>2900</v>
      </c>
      <c r="G537" s="40" t="s">
        <v>2901</v>
      </c>
      <c r="H537" s="40" t="s">
        <v>595</v>
      </c>
      <c r="I537" s="40" t="s">
        <v>6847</v>
      </c>
      <c r="J537" s="140" t="s">
        <v>2902</v>
      </c>
      <c r="K537" s="141">
        <v>3300001266</v>
      </c>
      <c r="L537" s="141">
        <v>2171938</v>
      </c>
      <c r="M537" s="141">
        <v>3300001250</v>
      </c>
      <c r="N537" s="141"/>
      <c r="O537" s="142"/>
      <c r="P537" s="142"/>
      <c r="Q537" s="142"/>
      <c r="R537" s="142"/>
      <c r="S537" s="142"/>
      <c r="T537" s="141" t="s">
        <v>2903</v>
      </c>
      <c r="V537" s="43" t="s">
        <v>593</v>
      </c>
      <c r="AF537" s="42">
        <v>2114783</v>
      </c>
      <c r="AG537" s="42" t="s">
        <v>6528</v>
      </c>
    </row>
    <row r="538" spans="6:33" ht="15.75" customHeight="1">
      <c r="F538" s="40" t="s">
        <v>2553</v>
      </c>
      <c r="G538" s="40" t="s">
        <v>2554</v>
      </c>
      <c r="H538" s="40" t="s">
        <v>670</v>
      </c>
      <c r="I538" s="40" t="s">
        <v>6849</v>
      </c>
      <c r="J538" s="140">
        <v>2117068</v>
      </c>
      <c r="K538" s="141">
        <v>5031899</v>
      </c>
      <c r="L538" s="141">
        <v>3300006806</v>
      </c>
      <c r="M538" s="141" t="s">
        <v>2556</v>
      </c>
      <c r="N538" s="141"/>
      <c r="O538" s="142"/>
      <c r="P538" s="142"/>
      <c r="Q538" s="142"/>
      <c r="R538" s="142"/>
      <c r="S538" s="142"/>
      <c r="T538" s="141" t="s">
        <v>2557</v>
      </c>
      <c r="V538" s="43" t="s">
        <v>640</v>
      </c>
      <c r="AF538" s="42">
        <v>2114784</v>
      </c>
      <c r="AG538" s="42" t="s">
        <v>6528</v>
      </c>
    </row>
    <row r="539" spans="6:33" ht="15.75" customHeight="1">
      <c r="F539" s="40" t="s">
        <v>4740</v>
      </c>
      <c r="G539" s="40" t="s">
        <v>4741</v>
      </c>
      <c r="H539" s="40" t="s">
        <v>761</v>
      </c>
      <c r="I539" s="40" t="s">
        <v>6848</v>
      </c>
      <c r="J539" s="140">
        <v>5059292</v>
      </c>
      <c r="K539" s="141" t="s">
        <v>4743</v>
      </c>
      <c r="L539" s="141">
        <v>2114738</v>
      </c>
      <c r="M539" s="141">
        <v>3300009560</v>
      </c>
      <c r="N539" s="141"/>
      <c r="O539" s="142"/>
      <c r="P539" s="142"/>
      <c r="Q539" s="142"/>
      <c r="R539" s="142"/>
      <c r="S539" s="142"/>
      <c r="T539" s="141" t="s">
        <v>4744</v>
      </c>
      <c r="V539" s="43" t="s">
        <v>757</v>
      </c>
      <c r="AF539" s="42">
        <v>2114785</v>
      </c>
      <c r="AG539" s="42" t="s">
        <v>6528</v>
      </c>
    </row>
    <row r="540" spans="6:33" ht="15.75" customHeight="1">
      <c r="F540" s="40" t="s">
        <v>3177</v>
      </c>
      <c r="G540" s="40" t="s">
        <v>3178</v>
      </c>
      <c r="H540" s="40" t="s">
        <v>6841</v>
      </c>
      <c r="I540" s="40" t="s">
        <v>6852</v>
      </c>
      <c r="J540" s="140">
        <v>3300004160</v>
      </c>
      <c r="K540" s="141">
        <v>2110274</v>
      </c>
      <c r="L540" s="141">
        <v>5004782</v>
      </c>
      <c r="M540" s="141"/>
      <c r="N540" s="141"/>
      <c r="O540" s="142"/>
      <c r="P540" s="142"/>
      <c r="Q540" s="142"/>
      <c r="R540" s="142"/>
      <c r="S540" s="142"/>
      <c r="T540" s="141" t="s">
        <v>3179</v>
      </c>
      <c r="V540" s="43" t="s">
        <v>669</v>
      </c>
      <c r="AF540" s="42">
        <v>2114786</v>
      </c>
      <c r="AG540" s="42" t="s">
        <v>6528</v>
      </c>
    </row>
    <row r="541" spans="6:33" ht="15.75" customHeight="1">
      <c r="F541" s="40" t="s">
        <v>7139</v>
      </c>
      <c r="G541" s="40" t="s">
        <v>7139</v>
      </c>
      <c r="H541" s="40" t="s">
        <v>761</v>
      </c>
      <c r="I541" s="40" t="s">
        <v>6848</v>
      </c>
      <c r="J541" s="138">
        <v>5049683</v>
      </c>
      <c r="K541" s="139">
        <v>2117377</v>
      </c>
      <c r="L541" s="139" t="s">
        <v>904</v>
      </c>
      <c r="M541" s="141"/>
      <c r="N541" s="141"/>
      <c r="O541" s="142"/>
      <c r="P541" s="142"/>
      <c r="Q541" s="142"/>
      <c r="R541" s="142"/>
      <c r="S541" s="142"/>
      <c r="T541" s="139" t="s">
        <v>6620</v>
      </c>
      <c r="V541" s="43" t="s">
        <v>715</v>
      </c>
      <c r="AF541" s="42">
        <v>2114787</v>
      </c>
      <c r="AG541" s="42" t="s">
        <v>6528</v>
      </c>
    </row>
    <row r="542" spans="6:33" ht="15.75" customHeight="1">
      <c r="F542" s="40" t="s">
        <v>7711</v>
      </c>
      <c r="G542" s="40" t="s">
        <v>7874</v>
      </c>
      <c r="H542" s="40" t="s">
        <v>8208</v>
      </c>
      <c r="I542" s="40" t="s">
        <v>6850</v>
      </c>
      <c r="J542" s="138">
        <v>2117498</v>
      </c>
      <c r="K542" s="139">
        <v>5038132</v>
      </c>
      <c r="L542" s="139" t="s">
        <v>8031</v>
      </c>
      <c r="M542" s="141"/>
      <c r="N542" s="141"/>
      <c r="O542" s="142"/>
      <c r="P542" s="142"/>
      <c r="Q542" s="142"/>
      <c r="R542" s="142"/>
      <c r="S542" s="142"/>
      <c r="T542" s="139">
        <v>51300101</v>
      </c>
      <c r="V542" s="43" t="s">
        <v>8184</v>
      </c>
      <c r="AF542" s="42">
        <v>2114788</v>
      </c>
      <c r="AG542" s="42" t="s">
        <v>6528</v>
      </c>
    </row>
    <row r="543" spans="6:33" ht="15.75" customHeight="1">
      <c r="F543" s="40" t="s">
        <v>7712</v>
      </c>
      <c r="G543" s="40" t="s">
        <v>7875</v>
      </c>
      <c r="H543" s="40" t="s">
        <v>8208</v>
      </c>
      <c r="I543" s="40" t="s">
        <v>6850</v>
      </c>
      <c r="J543" s="138">
        <v>2172280</v>
      </c>
      <c r="K543" s="139">
        <v>5048933</v>
      </c>
      <c r="L543" s="139">
        <v>3300006834</v>
      </c>
      <c r="M543" s="141" t="s">
        <v>8032</v>
      </c>
      <c r="N543" s="141"/>
      <c r="O543" s="142"/>
      <c r="P543" s="142"/>
      <c r="Q543" s="142"/>
      <c r="R543" s="142"/>
      <c r="S543" s="142"/>
      <c r="T543" s="139">
        <v>101300088</v>
      </c>
      <c r="V543" s="43" t="s">
        <v>642</v>
      </c>
      <c r="AF543" s="42">
        <v>2114789</v>
      </c>
      <c r="AG543" s="42" t="s">
        <v>6528</v>
      </c>
    </row>
    <row r="544" spans="6:33" ht="15.75" customHeight="1">
      <c r="F544" s="40" t="s">
        <v>3576</v>
      </c>
      <c r="G544" s="40" t="s">
        <v>3577</v>
      </c>
      <c r="H544" s="40" t="s">
        <v>8513</v>
      </c>
      <c r="I544" s="40" t="s">
        <v>6853</v>
      </c>
      <c r="J544" s="140">
        <v>2115633</v>
      </c>
      <c r="K544" s="141" t="s">
        <v>3578</v>
      </c>
      <c r="L544" s="141" t="s">
        <v>8545</v>
      </c>
      <c r="M544" s="141">
        <v>3300001707</v>
      </c>
      <c r="N544" s="141"/>
      <c r="O544" s="142"/>
      <c r="P544" s="142"/>
      <c r="Q544" s="142"/>
      <c r="R544" s="142"/>
      <c r="S544" s="142"/>
      <c r="T544" s="141" t="s">
        <v>7071</v>
      </c>
      <c r="V544" s="43" t="s">
        <v>572</v>
      </c>
      <c r="AF544" s="42">
        <v>2114790</v>
      </c>
      <c r="AG544" s="42" t="s">
        <v>6528</v>
      </c>
    </row>
    <row r="545" spans="6:33" ht="15.75" customHeight="1">
      <c r="F545" s="40" t="s">
        <v>8446</v>
      </c>
      <c r="G545" s="40" t="s">
        <v>8493</v>
      </c>
      <c r="H545" s="40" t="s">
        <v>8208</v>
      </c>
      <c r="I545" s="40" t="s">
        <v>6850</v>
      </c>
      <c r="J545" s="140" t="s">
        <v>8546</v>
      </c>
      <c r="K545" s="141">
        <v>2110114</v>
      </c>
      <c r="L545" s="141"/>
      <c r="M545" s="141"/>
      <c r="N545" s="141"/>
      <c r="O545" s="142"/>
      <c r="P545" s="142"/>
      <c r="Q545" s="142"/>
      <c r="R545" s="142"/>
      <c r="S545" s="142"/>
      <c r="T545" s="141">
        <v>101300091</v>
      </c>
      <c r="V545" s="43" t="s">
        <v>6365</v>
      </c>
      <c r="AF545" s="42">
        <v>2114791</v>
      </c>
      <c r="AG545" s="42" t="s">
        <v>6528</v>
      </c>
    </row>
    <row r="546" spans="6:33" ht="15.75" customHeight="1">
      <c r="F546" s="40" t="s">
        <v>7713</v>
      </c>
      <c r="G546" s="40" t="s">
        <v>7876</v>
      </c>
      <c r="H546" s="40" t="s">
        <v>8208</v>
      </c>
      <c r="I546" s="40" t="s">
        <v>6850</v>
      </c>
      <c r="J546" s="138">
        <v>2096123</v>
      </c>
      <c r="K546" s="139">
        <v>2096207</v>
      </c>
      <c r="L546" s="141" t="s">
        <v>8033</v>
      </c>
      <c r="M546" s="141" t="s">
        <v>8034</v>
      </c>
      <c r="N546" s="139" t="s">
        <v>8035</v>
      </c>
      <c r="O546" s="142"/>
      <c r="P546" s="142"/>
      <c r="Q546" s="142"/>
      <c r="R546" s="142"/>
      <c r="S546" s="142"/>
      <c r="T546" s="139">
        <v>101200107</v>
      </c>
      <c r="V546" s="43" t="s">
        <v>8185</v>
      </c>
      <c r="AF546" s="42">
        <v>2114792</v>
      </c>
      <c r="AG546" s="42" t="s">
        <v>6528</v>
      </c>
    </row>
    <row r="547" spans="6:33" ht="15.75" customHeight="1">
      <c r="F547" s="40" t="s">
        <v>7714</v>
      </c>
      <c r="G547" s="40" t="s">
        <v>7714</v>
      </c>
      <c r="H547" s="40" t="s">
        <v>8208</v>
      </c>
      <c r="I547" s="40" t="s">
        <v>6850</v>
      </c>
      <c r="J547" s="138">
        <v>5038126</v>
      </c>
      <c r="K547" s="139">
        <v>2087392</v>
      </c>
      <c r="L547" s="141">
        <v>2141078</v>
      </c>
      <c r="M547" s="141" t="s">
        <v>8037</v>
      </c>
      <c r="N547" s="141">
        <v>3300002201</v>
      </c>
      <c r="O547" s="142"/>
      <c r="P547" s="142"/>
      <c r="Q547" s="142"/>
      <c r="R547" s="142"/>
      <c r="S547" s="142"/>
      <c r="T547" s="139">
        <v>111200004</v>
      </c>
      <c r="V547" s="43" t="s">
        <v>6448</v>
      </c>
      <c r="AF547" s="42">
        <v>2114793</v>
      </c>
      <c r="AG547" s="42" t="s">
        <v>6528</v>
      </c>
    </row>
    <row r="548" spans="6:33" ht="15.75" customHeight="1">
      <c r="F548" s="40" t="s">
        <v>7715</v>
      </c>
      <c r="G548" s="40" t="s">
        <v>7877</v>
      </c>
      <c r="H548" s="40" t="s">
        <v>8208</v>
      </c>
      <c r="I548" s="40" t="s">
        <v>6850</v>
      </c>
      <c r="J548" s="138">
        <v>2119219</v>
      </c>
      <c r="K548" s="139">
        <v>5050600</v>
      </c>
      <c r="L548" s="141">
        <v>3300002899</v>
      </c>
      <c r="M548" s="141"/>
      <c r="N548" s="141"/>
      <c r="O548" s="142"/>
      <c r="P548" s="142"/>
      <c r="Q548" s="142"/>
      <c r="R548" s="142"/>
      <c r="S548" s="142"/>
      <c r="T548" s="139">
        <v>111300134</v>
      </c>
      <c r="V548" s="43" t="s">
        <v>8182</v>
      </c>
      <c r="AF548" s="42">
        <v>2114794</v>
      </c>
      <c r="AG548" s="42" t="s">
        <v>6528</v>
      </c>
    </row>
    <row r="549" spans="6:33" ht="15.75" customHeight="1">
      <c r="F549" s="40" t="s">
        <v>7716</v>
      </c>
      <c r="G549" s="40" t="s">
        <v>7878</v>
      </c>
      <c r="H549" s="40" t="s">
        <v>8208</v>
      </c>
      <c r="I549" s="40" t="s">
        <v>6850</v>
      </c>
      <c r="J549" s="140">
        <v>2191201</v>
      </c>
      <c r="K549" s="141">
        <v>3300016092</v>
      </c>
      <c r="L549" s="141" t="s">
        <v>8038</v>
      </c>
      <c r="M549" s="141"/>
      <c r="N549" s="141"/>
      <c r="O549" s="142"/>
      <c r="P549" s="142"/>
      <c r="Q549" s="142"/>
      <c r="R549" s="142"/>
      <c r="S549" s="142"/>
      <c r="T549" s="141">
        <v>61500013</v>
      </c>
      <c r="V549" s="43" t="s">
        <v>687</v>
      </c>
      <c r="AF549" s="42">
        <v>2114795</v>
      </c>
      <c r="AG549" s="42" t="s">
        <v>6528</v>
      </c>
    </row>
    <row r="550" spans="6:33" ht="15.75" customHeight="1">
      <c r="F550" s="40" t="s">
        <v>3508</v>
      </c>
      <c r="G550" s="40" t="s">
        <v>3509</v>
      </c>
      <c r="H550" s="40" t="s">
        <v>6841</v>
      </c>
      <c r="I550" s="40" t="s">
        <v>6852</v>
      </c>
      <c r="J550" s="140">
        <v>2117067</v>
      </c>
      <c r="K550" s="141" t="s">
        <v>3510</v>
      </c>
      <c r="L550" s="141">
        <v>5031857</v>
      </c>
      <c r="M550" s="141">
        <v>5059368</v>
      </c>
      <c r="N550" s="141">
        <v>3300009734</v>
      </c>
      <c r="O550" s="142"/>
      <c r="P550" s="142"/>
      <c r="Q550" s="142"/>
      <c r="R550" s="142"/>
      <c r="S550" s="142"/>
      <c r="T550" s="141" t="s">
        <v>3511</v>
      </c>
      <c r="V550" s="43" t="s">
        <v>661</v>
      </c>
      <c r="AF550" s="42">
        <v>2114796</v>
      </c>
      <c r="AG550" s="42" t="s">
        <v>6528</v>
      </c>
    </row>
    <row r="551" spans="6:33" ht="15.75" customHeight="1">
      <c r="F551" s="40" t="s">
        <v>7388</v>
      </c>
      <c r="G551" s="40" t="s">
        <v>7401</v>
      </c>
      <c r="H551" s="40" t="s">
        <v>761</v>
      </c>
      <c r="I551" s="40" t="s">
        <v>6848</v>
      </c>
      <c r="J551" s="140">
        <v>5008428</v>
      </c>
      <c r="K551" s="141">
        <v>3400003045</v>
      </c>
      <c r="L551" s="141">
        <v>5105529</v>
      </c>
      <c r="M551" s="141">
        <v>2183490</v>
      </c>
      <c r="N551" s="141">
        <v>2228724</v>
      </c>
      <c r="O551" s="142"/>
      <c r="P551" s="142"/>
      <c r="Q551" s="142"/>
      <c r="R551" s="142"/>
      <c r="S551" s="142"/>
      <c r="T551" s="141" t="s">
        <v>7313</v>
      </c>
      <c r="V551" s="43" t="s">
        <v>693</v>
      </c>
      <c r="AF551" s="42">
        <v>2114797</v>
      </c>
      <c r="AG551" s="42" t="s">
        <v>6528</v>
      </c>
    </row>
    <row r="552" spans="6:33" ht="15.75" customHeight="1">
      <c r="F552" s="40" t="s">
        <v>6193</v>
      </c>
      <c r="G552" s="40" t="s">
        <v>6194</v>
      </c>
      <c r="H552" s="40" t="s">
        <v>8208</v>
      </c>
      <c r="I552" s="40" t="s">
        <v>6850</v>
      </c>
      <c r="J552" s="138">
        <v>5014456</v>
      </c>
      <c r="K552" s="139">
        <v>2176445</v>
      </c>
      <c r="L552" s="141">
        <v>3300008142</v>
      </c>
      <c r="M552" s="141"/>
      <c r="N552" s="141"/>
      <c r="O552" s="142"/>
      <c r="P552" s="142"/>
      <c r="Q552" s="142"/>
      <c r="R552" s="142"/>
      <c r="S552" s="142"/>
      <c r="T552" s="139" t="s">
        <v>6195</v>
      </c>
      <c r="V552" s="43" t="s">
        <v>6188</v>
      </c>
      <c r="AF552" s="42">
        <v>2114807</v>
      </c>
      <c r="AG552" s="42" t="s">
        <v>6528</v>
      </c>
    </row>
    <row r="553" spans="6:33" ht="15.75" customHeight="1">
      <c r="F553" s="40" t="s">
        <v>8302</v>
      </c>
      <c r="G553" s="40" t="s">
        <v>8320</v>
      </c>
      <c r="H553" s="40" t="s">
        <v>8208</v>
      </c>
      <c r="I553" s="40" t="s">
        <v>6850</v>
      </c>
      <c r="J553" s="140">
        <v>2096122</v>
      </c>
      <c r="K553" s="141">
        <v>33000005754</v>
      </c>
      <c r="L553" s="141" t="s">
        <v>8248</v>
      </c>
      <c r="M553" s="141">
        <v>5010202</v>
      </c>
      <c r="N553" s="141"/>
      <c r="O553" s="142"/>
      <c r="P553" s="142"/>
      <c r="Q553" s="142"/>
      <c r="R553" s="142"/>
      <c r="S553" s="142"/>
      <c r="T553" s="141">
        <v>11400135</v>
      </c>
      <c r="V553" s="43" t="s">
        <v>8176</v>
      </c>
      <c r="AF553" s="42">
        <v>2115088</v>
      </c>
      <c r="AG553" s="42" t="s">
        <v>6671</v>
      </c>
    </row>
    <row r="554" spans="6:33" ht="15.75" customHeight="1">
      <c r="F554" s="40" t="s">
        <v>1311</v>
      </c>
      <c r="G554" s="40" t="s">
        <v>1312</v>
      </c>
      <c r="H554" s="40" t="s">
        <v>564</v>
      </c>
      <c r="I554" s="40" t="s">
        <v>6851</v>
      </c>
      <c r="J554" s="140">
        <v>2103929</v>
      </c>
      <c r="K554" s="141" t="s">
        <v>1313</v>
      </c>
      <c r="L554" s="141">
        <v>3300009519</v>
      </c>
      <c r="M554" s="141">
        <v>5032248</v>
      </c>
      <c r="N554" s="141" t="s">
        <v>7200</v>
      </c>
      <c r="O554" s="142"/>
      <c r="P554" s="142"/>
      <c r="Q554" s="142"/>
      <c r="R554" s="142"/>
      <c r="S554" s="142"/>
      <c r="T554" s="141" t="s">
        <v>6800</v>
      </c>
      <c r="V554" s="43" t="s">
        <v>561</v>
      </c>
      <c r="AF554" s="42">
        <v>2115090</v>
      </c>
      <c r="AG554" s="42" t="s">
        <v>6671</v>
      </c>
    </row>
    <row r="555" spans="6:33" ht="15.75" customHeight="1">
      <c r="F555" s="40" t="s">
        <v>7717</v>
      </c>
      <c r="G555" s="40" t="s">
        <v>7880</v>
      </c>
      <c r="H555" s="40" t="s">
        <v>8208</v>
      </c>
      <c r="I555" s="40" t="s">
        <v>6850</v>
      </c>
      <c r="J555" s="140">
        <v>2082970</v>
      </c>
      <c r="K555" s="141">
        <v>2096060</v>
      </c>
      <c r="L555" s="141" t="s">
        <v>8041</v>
      </c>
      <c r="M555" s="141" t="s">
        <v>8042</v>
      </c>
      <c r="N555" s="141">
        <v>3300012830</v>
      </c>
      <c r="O555" s="142"/>
      <c r="P555" s="142"/>
      <c r="Q555" s="142"/>
      <c r="R555" s="142"/>
      <c r="S555" s="142"/>
      <c r="T555" s="141">
        <v>11300019</v>
      </c>
      <c r="V555" s="43" t="s">
        <v>610</v>
      </c>
      <c r="AF555" s="42">
        <v>2115633</v>
      </c>
      <c r="AG555" s="42" t="s">
        <v>6528</v>
      </c>
    </row>
    <row r="556" spans="6:33" ht="15.75" customHeight="1">
      <c r="F556" s="40" t="s">
        <v>5821</v>
      </c>
      <c r="G556" s="40" t="s">
        <v>5822</v>
      </c>
      <c r="H556" s="40" t="s">
        <v>761</v>
      </c>
      <c r="I556" s="40" t="s">
        <v>6848</v>
      </c>
      <c r="J556" s="138"/>
      <c r="K556" s="139" t="s">
        <v>5823</v>
      </c>
      <c r="L556" s="139">
        <v>3300006792</v>
      </c>
      <c r="M556" s="139">
        <v>2103807</v>
      </c>
      <c r="N556" s="141"/>
      <c r="O556" s="142"/>
      <c r="P556" s="142"/>
      <c r="Q556" s="142"/>
      <c r="R556" s="142"/>
      <c r="S556" s="142"/>
      <c r="T556" s="139" t="s">
        <v>6747</v>
      </c>
      <c r="V556" s="43" t="s">
        <v>766</v>
      </c>
      <c r="AF556" s="42">
        <v>2115634</v>
      </c>
      <c r="AG556" s="42" t="s">
        <v>6528</v>
      </c>
    </row>
    <row r="557" spans="6:33" ht="15.75" customHeight="1">
      <c r="F557" s="40" t="s">
        <v>5213</v>
      </c>
      <c r="G557" s="40" t="s">
        <v>5214</v>
      </c>
      <c r="H557" s="40" t="s">
        <v>761</v>
      </c>
      <c r="I557" s="40" t="s">
        <v>6848</v>
      </c>
      <c r="J557" s="138">
        <v>2116247</v>
      </c>
      <c r="K557" s="139" t="s">
        <v>5216</v>
      </c>
      <c r="L557" s="141">
        <v>2116263</v>
      </c>
      <c r="M557" s="141">
        <v>3300002934</v>
      </c>
      <c r="N557" s="141"/>
      <c r="O557" s="142"/>
      <c r="P557" s="142"/>
      <c r="Q557" s="142"/>
      <c r="R557" s="142"/>
      <c r="S557" s="142"/>
      <c r="T557" s="139" t="s">
        <v>5217</v>
      </c>
      <c r="V557" s="43" t="s">
        <v>695</v>
      </c>
      <c r="AF557" s="42">
        <v>2115635</v>
      </c>
      <c r="AG557" s="42" t="s">
        <v>6528</v>
      </c>
    </row>
    <row r="558" spans="6:33" ht="15.75" customHeight="1">
      <c r="F558" s="40" t="s">
        <v>3542</v>
      </c>
      <c r="G558" s="40" t="s">
        <v>3543</v>
      </c>
      <c r="H558" s="40" t="s">
        <v>6841</v>
      </c>
      <c r="I558" s="40" t="s">
        <v>6852</v>
      </c>
      <c r="J558" s="140">
        <v>3300002954</v>
      </c>
      <c r="K558" s="141">
        <v>2103449</v>
      </c>
      <c r="L558" s="141" t="s">
        <v>3544</v>
      </c>
      <c r="M558" s="141"/>
      <c r="N558" s="141"/>
      <c r="O558" s="142"/>
      <c r="P558" s="142"/>
      <c r="Q558" s="142"/>
      <c r="R558" s="142"/>
      <c r="S558" s="142"/>
      <c r="T558" s="141" t="s">
        <v>3545</v>
      </c>
      <c r="V558" s="43" t="s">
        <v>682</v>
      </c>
      <c r="AF558" s="42">
        <v>2115636</v>
      </c>
      <c r="AG558" s="42" t="s">
        <v>6528</v>
      </c>
    </row>
    <row r="559" spans="6:33" ht="15.75" customHeight="1">
      <c r="F559" s="40" t="s">
        <v>5195</v>
      </c>
      <c r="G559" s="40" t="s">
        <v>5088</v>
      </c>
      <c r="H559" s="40" t="s">
        <v>761</v>
      </c>
      <c r="I559" s="40" t="s">
        <v>6848</v>
      </c>
      <c r="J559" s="140">
        <v>3300002978</v>
      </c>
      <c r="K559" s="141" t="s">
        <v>5196</v>
      </c>
      <c r="L559" s="141">
        <v>2177350</v>
      </c>
      <c r="M559" s="141"/>
      <c r="N559" s="141"/>
      <c r="O559" s="142"/>
      <c r="P559" s="142"/>
      <c r="Q559" s="142"/>
      <c r="R559" s="142"/>
      <c r="S559" s="142"/>
      <c r="T559" s="141" t="s">
        <v>5197</v>
      </c>
      <c r="V559" s="43" t="s">
        <v>697</v>
      </c>
      <c r="AF559" s="42">
        <v>2115637</v>
      </c>
      <c r="AG559" s="42" t="s">
        <v>6528</v>
      </c>
    </row>
    <row r="560" spans="6:33" ht="15.75" customHeight="1">
      <c r="F560" s="40" t="s">
        <v>5087</v>
      </c>
      <c r="G560" s="40" t="s">
        <v>5088</v>
      </c>
      <c r="H560" s="40" t="s">
        <v>761</v>
      </c>
      <c r="I560" s="40" t="s">
        <v>6848</v>
      </c>
      <c r="J560" s="140">
        <v>3300009737</v>
      </c>
      <c r="K560" s="141" t="s">
        <v>5089</v>
      </c>
      <c r="L560" s="141">
        <v>2177348</v>
      </c>
      <c r="M560" s="141" t="s">
        <v>8547</v>
      </c>
      <c r="N560" s="141"/>
      <c r="O560" s="142"/>
      <c r="P560" s="142"/>
      <c r="Q560" s="142"/>
      <c r="R560" s="142"/>
      <c r="S560" s="142"/>
      <c r="T560" s="141" t="s">
        <v>6764</v>
      </c>
      <c r="V560" s="43" t="s">
        <v>671</v>
      </c>
      <c r="AF560" s="42">
        <v>2115638</v>
      </c>
      <c r="AG560" s="42" t="s">
        <v>6528</v>
      </c>
    </row>
    <row r="561" spans="6:33" ht="15.75" customHeight="1">
      <c r="F561" s="40" t="s">
        <v>7718</v>
      </c>
      <c r="G561" s="40" t="s">
        <v>7881</v>
      </c>
      <c r="H561" s="40" t="s">
        <v>8208</v>
      </c>
      <c r="I561" s="40" t="s">
        <v>6850</v>
      </c>
      <c r="J561" s="140">
        <v>2191169</v>
      </c>
      <c r="K561" s="141">
        <v>5053816</v>
      </c>
      <c r="L561" s="141">
        <v>3300010911</v>
      </c>
      <c r="M561" s="141" t="s">
        <v>8043</v>
      </c>
      <c r="N561" s="141"/>
      <c r="O561" s="142"/>
      <c r="P561" s="142"/>
      <c r="Q561" s="142"/>
      <c r="R561" s="142"/>
      <c r="S561" s="142"/>
      <c r="T561" s="141">
        <v>91300092</v>
      </c>
      <c r="V561" s="43" t="s">
        <v>687</v>
      </c>
      <c r="AF561" s="42">
        <v>2115639</v>
      </c>
      <c r="AG561" s="42" t="s">
        <v>6528</v>
      </c>
    </row>
    <row r="562" spans="6:33" ht="15.75" customHeight="1">
      <c r="F562" s="40" t="s">
        <v>7719</v>
      </c>
      <c r="G562" s="40" t="s">
        <v>7882</v>
      </c>
      <c r="H562" s="40" t="s">
        <v>8208</v>
      </c>
      <c r="I562" s="40" t="s">
        <v>6850</v>
      </c>
      <c r="J562" s="140">
        <v>2096100</v>
      </c>
      <c r="K562" s="141">
        <v>5051906</v>
      </c>
      <c r="L562" s="141">
        <v>3300011786</v>
      </c>
      <c r="M562" s="141" t="s">
        <v>8044</v>
      </c>
      <c r="N562" s="141"/>
      <c r="O562" s="142"/>
      <c r="P562" s="142"/>
      <c r="Q562" s="142"/>
      <c r="R562" s="142"/>
      <c r="S562" s="142"/>
      <c r="T562" s="141">
        <v>11400132</v>
      </c>
      <c r="V562" s="43" t="s">
        <v>8186</v>
      </c>
      <c r="AF562" s="42">
        <v>2115640</v>
      </c>
      <c r="AG562" s="42" t="s">
        <v>6528</v>
      </c>
    </row>
    <row r="563" spans="6:33" ht="15.75" customHeight="1">
      <c r="F563" s="40" t="s">
        <v>7720</v>
      </c>
      <c r="G563" s="40" t="s">
        <v>7883</v>
      </c>
      <c r="H563" s="40" t="s">
        <v>8208</v>
      </c>
      <c r="I563" s="40" t="s">
        <v>6850</v>
      </c>
      <c r="J563" s="140">
        <v>3300012840</v>
      </c>
      <c r="K563" s="141">
        <v>2117509</v>
      </c>
      <c r="L563" s="141">
        <v>5038133</v>
      </c>
      <c r="M563" s="141" t="s">
        <v>8045</v>
      </c>
      <c r="N563" s="141"/>
      <c r="O563" s="142"/>
      <c r="P563" s="142"/>
      <c r="Q563" s="142"/>
      <c r="R563" s="142"/>
      <c r="S563" s="142"/>
      <c r="T563" s="141">
        <v>51300100</v>
      </c>
      <c r="V563" s="43" t="s">
        <v>610</v>
      </c>
      <c r="AF563" s="42">
        <v>2115641</v>
      </c>
      <c r="AG563" s="42" t="s">
        <v>6528</v>
      </c>
    </row>
    <row r="564" spans="6:33" ht="15.75" customHeight="1">
      <c r="F564" s="40" t="s">
        <v>4613</v>
      </c>
      <c r="G564" s="40" t="s">
        <v>4614</v>
      </c>
      <c r="H564" s="40" t="s">
        <v>761</v>
      </c>
      <c r="I564" s="40" t="s">
        <v>6848</v>
      </c>
      <c r="J564" s="138">
        <v>2114725</v>
      </c>
      <c r="K564" s="139">
        <v>5006421</v>
      </c>
      <c r="L564" s="139" t="s">
        <v>4615</v>
      </c>
      <c r="M564" s="139">
        <v>3300009771</v>
      </c>
      <c r="N564" s="141">
        <v>3300009736</v>
      </c>
      <c r="O564" s="142"/>
      <c r="P564" s="142"/>
      <c r="Q564" s="142"/>
      <c r="R564" s="142"/>
      <c r="S564" s="142"/>
      <c r="T564" s="139" t="s">
        <v>4616</v>
      </c>
      <c r="V564" s="43" t="s">
        <v>704</v>
      </c>
      <c r="AF564" s="42">
        <v>2115642</v>
      </c>
      <c r="AG564" s="42" t="s">
        <v>6528</v>
      </c>
    </row>
    <row r="565" spans="6:33" ht="15.75" customHeight="1">
      <c r="F565" s="40" t="s">
        <v>6984</v>
      </c>
      <c r="G565" s="40" t="s">
        <v>6990</v>
      </c>
      <c r="H565" s="40" t="s">
        <v>595</v>
      </c>
      <c r="I565" s="40" t="s">
        <v>6847</v>
      </c>
      <c r="J565" s="140">
        <v>3300002996</v>
      </c>
      <c r="K565" s="141" t="s">
        <v>7538</v>
      </c>
      <c r="L565" s="141" t="s">
        <v>7007</v>
      </c>
      <c r="M565" s="141" t="s">
        <v>3442</v>
      </c>
      <c r="N565" s="141">
        <v>3300003019</v>
      </c>
      <c r="O565" s="142"/>
      <c r="P565" s="142"/>
      <c r="Q565" s="142"/>
      <c r="R565" s="142"/>
      <c r="S565" s="142"/>
      <c r="T565" s="141" t="s">
        <v>6546</v>
      </c>
      <c r="V565" s="43" t="s">
        <v>7016</v>
      </c>
      <c r="AF565" s="42">
        <v>2115643</v>
      </c>
      <c r="AG565" s="42" t="s">
        <v>6528</v>
      </c>
    </row>
    <row r="566" spans="6:33" ht="15.75" customHeight="1">
      <c r="F566" s="40" t="s">
        <v>7721</v>
      </c>
      <c r="G566" s="40" t="s">
        <v>7884</v>
      </c>
      <c r="H566" s="40" t="s">
        <v>8208</v>
      </c>
      <c r="I566" s="40" t="s">
        <v>6850</v>
      </c>
      <c r="J566" s="140">
        <v>2081828</v>
      </c>
      <c r="K566" s="141">
        <v>2081882</v>
      </c>
      <c r="L566" s="141" t="s">
        <v>8046</v>
      </c>
      <c r="M566" s="141" t="s">
        <v>8047</v>
      </c>
      <c r="N566" s="141">
        <v>3300001645</v>
      </c>
      <c r="O566" s="142"/>
      <c r="P566" s="142"/>
      <c r="Q566" s="142"/>
      <c r="R566" s="142"/>
      <c r="S566" s="142"/>
      <c r="T566" s="141">
        <v>101200041</v>
      </c>
      <c r="V566" s="43" t="s">
        <v>8187</v>
      </c>
      <c r="AF566" s="42">
        <v>2115644</v>
      </c>
      <c r="AG566" s="42" t="s">
        <v>6528</v>
      </c>
    </row>
    <row r="567" spans="6:33" ht="15.75" customHeight="1">
      <c r="F567" s="40" t="s">
        <v>7722</v>
      </c>
      <c r="G567" s="40" t="s">
        <v>7885</v>
      </c>
      <c r="H567" s="40" t="s">
        <v>8208</v>
      </c>
      <c r="I567" s="40" t="s">
        <v>6850</v>
      </c>
      <c r="J567" s="140">
        <v>2172414</v>
      </c>
      <c r="K567" s="141">
        <v>3300002900</v>
      </c>
      <c r="L567" s="141" t="s">
        <v>8048</v>
      </c>
      <c r="M567" s="141"/>
      <c r="N567" s="141"/>
      <c r="O567" s="142"/>
      <c r="P567" s="142"/>
      <c r="Q567" s="142"/>
      <c r="R567" s="142"/>
      <c r="S567" s="142"/>
      <c r="T567" s="141">
        <v>101300061</v>
      </c>
      <c r="V567" s="43" t="s">
        <v>7593</v>
      </c>
      <c r="AF567" s="42">
        <v>2115645</v>
      </c>
      <c r="AG567" s="42" t="s">
        <v>6528</v>
      </c>
    </row>
    <row r="568" spans="6:33" ht="15.75" customHeight="1">
      <c r="F568" s="40" t="s">
        <v>7723</v>
      </c>
      <c r="G568" s="40" t="s">
        <v>7886</v>
      </c>
      <c r="H568" s="40" t="s">
        <v>8208</v>
      </c>
      <c r="I568" s="40" t="s">
        <v>6850</v>
      </c>
      <c r="J568" s="140">
        <v>3300011193</v>
      </c>
      <c r="K568" s="141">
        <v>5045644</v>
      </c>
      <c r="L568" s="141" t="s">
        <v>8049</v>
      </c>
      <c r="M568" s="141"/>
      <c r="N568" s="141"/>
      <c r="O568" s="142"/>
      <c r="P568" s="142"/>
      <c r="Q568" s="142"/>
      <c r="R568" s="142"/>
      <c r="S568" s="142"/>
      <c r="T568" s="141">
        <v>91300093</v>
      </c>
      <c r="V568" s="43" t="s">
        <v>687</v>
      </c>
      <c r="AF568" s="42">
        <v>2115646</v>
      </c>
      <c r="AG568" s="42" t="s">
        <v>6528</v>
      </c>
    </row>
    <row r="569" spans="6:33" ht="15.75" customHeight="1">
      <c r="F569" s="40" t="s">
        <v>928</v>
      </c>
      <c r="G569" s="40" t="s">
        <v>7</v>
      </c>
      <c r="H569" s="40" t="s">
        <v>564</v>
      </c>
      <c r="I569" s="40" t="s">
        <v>6851</v>
      </c>
      <c r="J569" s="140">
        <v>3300009471</v>
      </c>
      <c r="K569" s="141" t="s">
        <v>8548</v>
      </c>
      <c r="L569" s="141" t="s">
        <v>930</v>
      </c>
      <c r="M569" s="141">
        <v>2110079</v>
      </c>
      <c r="N569" s="141" t="s">
        <v>931</v>
      </c>
      <c r="O569" s="142"/>
      <c r="P569" s="142"/>
      <c r="Q569" s="142"/>
      <c r="R569" s="142"/>
      <c r="S569" s="142"/>
      <c r="T569" s="141" t="s">
        <v>932</v>
      </c>
      <c r="V569" s="43" t="s">
        <v>547</v>
      </c>
      <c r="AF569" s="42">
        <v>2115647</v>
      </c>
      <c r="AG569" s="42" t="s">
        <v>6528</v>
      </c>
    </row>
    <row r="570" spans="6:33" ht="15.75" customHeight="1">
      <c r="F570" s="40" t="s">
        <v>7472</v>
      </c>
      <c r="G570" s="40" t="s">
        <v>7473</v>
      </c>
      <c r="H570" s="40" t="s">
        <v>564</v>
      </c>
      <c r="I570" s="40" t="s">
        <v>6851</v>
      </c>
      <c r="J570" s="138">
        <v>2103928</v>
      </c>
      <c r="K570" s="141">
        <v>3300012803</v>
      </c>
      <c r="L570" s="141" t="s">
        <v>4477</v>
      </c>
      <c r="M570" s="141">
        <v>2087336</v>
      </c>
      <c r="N570" s="141"/>
      <c r="O570" s="142"/>
      <c r="P570" s="142"/>
      <c r="Q570" s="142"/>
      <c r="R570" s="142"/>
      <c r="S570" s="142"/>
      <c r="T570" s="141" t="s">
        <v>7576</v>
      </c>
      <c r="V570" s="43" t="s">
        <v>794</v>
      </c>
      <c r="AF570" s="42">
        <v>2115648</v>
      </c>
      <c r="AG570" s="42" t="s">
        <v>6528</v>
      </c>
    </row>
    <row r="571" spans="6:33" ht="15.75" customHeight="1">
      <c r="F571" s="40" t="s">
        <v>935</v>
      </c>
      <c r="G571" s="40" t="s">
        <v>936</v>
      </c>
      <c r="H571" s="40" t="s">
        <v>564</v>
      </c>
      <c r="I571" s="40" t="s">
        <v>6851</v>
      </c>
      <c r="J571" s="140">
        <v>3300010086</v>
      </c>
      <c r="K571" s="141">
        <v>2116003</v>
      </c>
      <c r="L571" s="141" t="s">
        <v>938</v>
      </c>
      <c r="M571" s="141">
        <v>5046329</v>
      </c>
      <c r="N571" s="141" t="s">
        <v>939</v>
      </c>
      <c r="O571" s="142"/>
      <c r="P571" s="142"/>
      <c r="Q571" s="142"/>
      <c r="R571" s="142"/>
      <c r="S571" s="142"/>
      <c r="T571" s="141" t="s">
        <v>940</v>
      </c>
      <c r="V571" s="43" t="s">
        <v>547</v>
      </c>
      <c r="AF571" s="42">
        <v>2115649</v>
      </c>
      <c r="AG571" s="42" t="s">
        <v>6528</v>
      </c>
    </row>
    <row r="572" spans="6:33" ht="15.75" customHeight="1">
      <c r="F572" s="40" t="s">
        <v>3947</v>
      </c>
      <c r="G572" s="40" t="s">
        <v>3948</v>
      </c>
      <c r="H572" s="40" t="s">
        <v>553</v>
      </c>
      <c r="I572" s="40" t="s">
        <v>6853</v>
      </c>
      <c r="J572" s="140">
        <v>2103502</v>
      </c>
      <c r="K572" s="141" t="s">
        <v>3951</v>
      </c>
      <c r="L572" s="141" t="s">
        <v>3952</v>
      </c>
      <c r="M572" s="141"/>
      <c r="N572" s="141"/>
      <c r="O572" s="142"/>
      <c r="P572" s="142"/>
      <c r="Q572" s="142"/>
      <c r="R572" s="142"/>
      <c r="S572" s="142"/>
      <c r="T572" s="141" t="s">
        <v>3953</v>
      </c>
      <c r="V572" s="43" t="s">
        <v>3950</v>
      </c>
      <c r="AF572" s="42">
        <v>2115650</v>
      </c>
      <c r="AG572" s="42" t="s">
        <v>6528</v>
      </c>
    </row>
    <row r="573" spans="6:33" ht="15.75" customHeight="1">
      <c r="F573" s="40" t="s">
        <v>8346</v>
      </c>
      <c r="G573" s="40" t="s">
        <v>8372</v>
      </c>
      <c r="H573" s="40" t="s">
        <v>564</v>
      </c>
      <c r="I573" s="40" t="s">
        <v>6851</v>
      </c>
      <c r="J573" s="140">
        <v>3400003868</v>
      </c>
      <c r="K573" s="141" t="s">
        <v>8385</v>
      </c>
      <c r="L573" s="141">
        <v>5104314</v>
      </c>
      <c r="M573" s="141">
        <v>2096128</v>
      </c>
      <c r="N573" s="141" t="s">
        <v>6715</v>
      </c>
      <c r="O573" s="142"/>
      <c r="P573" s="142"/>
      <c r="Q573" s="142"/>
      <c r="R573" s="142"/>
      <c r="S573" s="142"/>
      <c r="T573" s="141" t="s">
        <v>2021</v>
      </c>
      <c r="V573" s="43" t="s">
        <v>8410</v>
      </c>
      <c r="AF573" s="42">
        <v>2115651</v>
      </c>
      <c r="AG573" s="42" t="s">
        <v>6528</v>
      </c>
    </row>
    <row r="574" spans="6:33" ht="15.75" customHeight="1">
      <c r="F574" s="40" t="s">
        <v>7250</v>
      </c>
      <c r="G574" s="40" t="s">
        <v>7268</v>
      </c>
      <c r="H574" s="40" t="s">
        <v>564</v>
      </c>
      <c r="I574" s="40" t="s">
        <v>6851</v>
      </c>
      <c r="J574" s="140" t="s">
        <v>970</v>
      </c>
      <c r="K574" s="141">
        <v>1763220</v>
      </c>
      <c r="L574" s="141">
        <v>2226066</v>
      </c>
      <c r="M574" s="141">
        <v>5008434</v>
      </c>
      <c r="N574" s="141" t="s">
        <v>3880</v>
      </c>
      <c r="O574" s="142"/>
      <c r="P574" s="142"/>
      <c r="Q574" s="142"/>
      <c r="R574" s="142"/>
      <c r="S574" s="142"/>
      <c r="T574" s="141" t="s">
        <v>7283</v>
      </c>
      <c r="V574" s="43" t="s">
        <v>577</v>
      </c>
      <c r="AF574" s="42">
        <v>2115652</v>
      </c>
      <c r="AG574" s="42" t="s">
        <v>6528</v>
      </c>
    </row>
    <row r="575" spans="6:33" ht="15.75" customHeight="1">
      <c r="F575" s="40" t="s">
        <v>7024</v>
      </c>
      <c r="G575" s="40" t="s">
        <v>7028</v>
      </c>
      <c r="H575" s="40" t="s">
        <v>564</v>
      </c>
      <c r="I575" s="40" t="s">
        <v>6851</v>
      </c>
      <c r="J575" s="140">
        <v>2096034</v>
      </c>
      <c r="K575" s="141" t="s">
        <v>7036</v>
      </c>
      <c r="L575" s="141" t="s">
        <v>6006</v>
      </c>
      <c r="M575" s="141">
        <v>3300006800</v>
      </c>
      <c r="N575" s="141">
        <v>2114726</v>
      </c>
      <c r="O575" s="142"/>
      <c r="P575" s="142"/>
      <c r="Q575" s="142"/>
      <c r="R575" s="142"/>
      <c r="S575" s="142"/>
      <c r="T575" s="141" t="s">
        <v>6547</v>
      </c>
      <c r="V575" s="43" t="s">
        <v>7042</v>
      </c>
      <c r="AF575" s="42">
        <v>2115653</v>
      </c>
      <c r="AG575" s="42" t="s">
        <v>6528</v>
      </c>
    </row>
    <row r="576" spans="6:33" ht="15.75" customHeight="1">
      <c r="F576" s="40" t="s">
        <v>7724</v>
      </c>
      <c r="G576" s="40" t="s">
        <v>7887</v>
      </c>
      <c r="H576" s="40" t="s">
        <v>8208</v>
      </c>
      <c r="I576" s="40" t="s">
        <v>6850</v>
      </c>
      <c r="J576" s="140" t="s">
        <v>8386</v>
      </c>
      <c r="K576" s="141" t="s">
        <v>8387</v>
      </c>
      <c r="L576" s="141" t="s">
        <v>8388</v>
      </c>
      <c r="M576" s="141" t="s">
        <v>8389</v>
      </c>
      <c r="N576" s="141" t="s">
        <v>8051</v>
      </c>
      <c r="O576" s="142"/>
      <c r="P576" s="142"/>
      <c r="Q576" s="142"/>
      <c r="R576" s="142"/>
      <c r="S576" s="142"/>
      <c r="T576" s="141" t="s">
        <v>8401</v>
      </c>
      <c r="V576" s="43" t="s">
        <v>2787</v>
      </c>
      <c r="AF576" s="42">
        <v>2115654</v>
      </c>
      <c r="AG576" s="42" t="s">
        <v>6528</v>
      </c>
    </row>
    <row r="577" spans="6:33" ht="15.75" customHeight="1">
      <c r="F577" s="40" t="s">
        <v>8447</v>
      </c>
      <c r="G577" s="40" t="s">
        <v>7888</v>
      </c>
      <c r="H577" s="40" t="s">
        <v>8208</v>
      </c>
      <c r="I577" s="40" t="s">
        <v>6850</v>
      </c>
      <c r="J577" s="140">
        <v>2188797</v>
      </c>
      <c r="K577" s="141">
        <v>3300010915</v>
      </c>
      <c r="L577" s="141" t="s">
        <v>8052</v>
      </c>
      <c r="M577" s="141" t="s">
        <v>8053</v>
      </c>
      <c r="N577" s="141" t="s">
        <v>8054</v>
      </c>
      <c r="O577" s="142"/>
      <c r="P577" s="142"/>
      <c r="Q577" s="142"/>
      <c r="R577" s="142"/>
      <c r="S577" s="142"/>
      <c r="T577" s="141">
        <v>101200109</v>
      </c>
      <c r="V577" s="43" t="s">
        <v>687</v>
      </c>
      <c r="AF577" s="42">
        <v>2115655</v>
      </c>
      <c r="AG577" s="42" t="s">
        <v>6528</v>
      </c>
    </row>
    <row r="578" spans="6:33" ht="15.75" customHeight="1">
      <c r="F578" s="40" t="s">
        <v>4407</v>
      </c>
      <c r="G578" s="40" t="s">
        <v>4408</v>
      </c>
      <c r="H578" s="40" t="s">
        <v>761</v>
      </c>
      <c r="I578" s="40" t="s">
        <v>6848</v>
      </c>
      <c r="J578" s="140" t="s">
        <v>7021</v>
      </c>
      <c r="K578" s="141" t="s">
        <v>4409</v>
      </c>
      <c r="L578" s="141" t="s">
        <v>4410</v>
      </c>
      <c r="M578" s="141">
        <v>3300009757</v>
      </c>
      <c r="N578" s="141">
        <v>2115650</v>
      </c>
      <c r="O578" s="142"/>
      <c r="P578" s="142"/>
      <c r="Q578" s="142"/>
      <c r="R578" s="142"/>
      <c r="S578" s="142"/>
      <c r="T578" s="141" t="s">
        <v>4411</v>
      </c>
      <c r="V578" s="43" t="s">
        <v>654</v>
      </c>
      <c r="AF578" s="42">
        <v>2115656</v>
      </c>
      <c r="AG578" s="42" t="s">
        <v>6528</v>
      </c>
    </row>
    <row r="579" spans="6:33" ht="15.75" customHeight="1">
      <c r="F579" s="40" t="s">
        <v>4374</v>
      </c>
      <c r="G579" s="40" t="s">
        <v>65</v>
      </c>
      <c r="H579" s="40" t="s">
        <v>553</v>
      </c>
      <c r="I579" s="40" t="s">
        <v>6853</v>
      </c>
      <c r="J579" s="140" t="s">
        <v>8549</v>
      </c>
      <c r="K579" s="141" t="s">
        <v>4375</v>
      </c>
      <c r="L579" s="141">
        <v>3300002833</v>
      </c>
      <c r="M579" s="141" t="s">
        <v>4376</v>
      </c>
      <c r="N579" s="141">
        <v>2087286</v>
      </c>
      <c r="O579" s="142"/>
      <c r="P579" s="142"/>
      <c r="Q579" s="142"/>
      <c r="R579" s="142"/>
      <c r="S579" s="142"/>
      <c r="T579" s="141" t="s">
        <v>4377</v>
      </c>
      <c r="V579" s="43" t="s">
        <v>818</v>
      </c>
      <c r="AF579" s="42">
        <v>2115657</v>
      </c>
      <c r="AG579" s="42" t="s">
        <v>6528</v>
      </c>
    </row>
    <row r="580" spans="6:33" ht="15.75" customHeight="1">
      <c r="F580" s="40" t="s">
        <v>7046</v>
      </c>
      <c r="G580" s="40" t="s">
        <v>7048</v>
      </c>
      <c r="H580" s="40" t="s">
        <v>564</v>
      </c>
      <c r="I580" s="40" t="s">
        <v>6851</v>
      </c>
      <c r="J580" s="140">
        <v>2116211</v>
      </c>
      <c r="K580" s="141" t="s">
        <v>7037</v>
      </c>
      <c r="L580" s="141">
        <v>3300001693</v>
      </c>
      <c r="M580" s="141" t="s">
        <v>6667</v>
      </c>
      <c r="N580" s="141"/>
      <c r="O580" s="142"/>
      <c r="P580" s="142"/>
      <c r="Q580" s="142"/>
      <c r="R580" s="142"/>
      <c r="S580" s="142"/>
      <c r="T580" s="141" t="s">
        <v>6568</v>
      </c>
      <c r="V580" s="43" t="s">
        <v>618</v>
      </c>
      <c r="AF580" s="42">
        <v>2115658</v>
      </c>
      <c r="AG580" s="42" t="s">
        <v>6528</v>
      </c>
    </row>
    <row r="581" spans="6:33" ht="15.75" customHeight="1">
      <c r="F581" s="40" t="s">
        <v>5876</v>
      </c>
      <c r="G581" s="40" t="s">
        <v>5877</v>
      </c>
      <c r="H581" s="40" t="s">
        <v>8208</v>
      </c>
      <c r="I581" s="40" t="s">
        <v>6850</v>
      </c>
      <c r="J581" s="140">
        <v>3300001708</v>
      </c>
      <c r="K581" s="141">
        <v>5045689</v>
      </c>
      <c r="L581" s="141">
        <v>3300001709</v>
      </c>
      <c r="M581" s="141" t="s">
        <v>5878</v>
      </c>
      <c r="N581" s="141">
        <v>5097597</v>
      </c>
      <c r="O581" s="142"/>
      <c r="P581" s="142"/>
      <c r="Q581" s="142"/>
      <c r="R581" s="142"/>
      <c r="S581" s="142"/>
      <c r="T581" s="141" t="s">
        <v>5880</v>
      </c>
      <c r="V581" s="43" t="s">
        <v>530</v>
      </c>
      <c r="AF581" s="42">
        <v>2115659</v>
      </c>
      <c r="AG581" s="42" t="s">
        <v>6528</v>
      </c>
    </row>
    <row r="582" spans="6:33" ht="15.75" customHeight="1">
      <c r="F582" s="40" t="s">
        <v>4213</v>
      </c>
      <c r="G582" s="40" t="s">
        <v>4214</v>
      </c>
      <c r="H582" s="40" t="s">
        <v>553</v>
      </c>
      <c r="I582" s="40" t="s">
        <v>6853</v>
      </c>
      <c r="J582" s="140">
        <v>5039008</v>
      </c>
      <c r="K582" s="141">
        <v>3300011494</v>
      </c>
      <c r="L582" s="141" t="s">
        <v>4215</v>
      </c>
      <c r="M582" s="141">
        <v>5105534</v>
      </c>
      <c r="N582" s="141">
        <v>2171903</v>
      </c>
      <c r="O582" s="142"/>
      <c r="P582" s="142"/>
      <c r="Q582" s="142"/>
      <c r="R582" s="142"/>
      <c r="S582" s="142"/>
      <c r="T582" s="141" t="s">
        <v>4216</v>
      </c>
      <c r="V582" s="43" t="s">
        <v>553</v>
      </c>
      <c r="AF582" s="42">
        <v>2115660</v>
      </c>
      <c r="AG582" s="42" t="s">
        <v>6528</v>
      </c>
    </row>
    <row r="583" spans="6:33" ht="15.75" customHeight="1">
      <c r="F583" s="40" t="s">
        <v>4219</v>
      </c>
      <c r="G583" s="40" t="s">
        <v>4214</v>
      </c>
      <c r="H583" s="40" t="s">
        <v>553</v>
      </c>
      <c r="I583" s="40" t="s">
        <v>6853</v>
      </c>
      <c r="J583" s="140" t="s">
        <v>6636</v>
      </c>
      <c r="K583" s="141" t="s">
        <v>4221</v>
      </c>
      <c r="L583" s="141">
        <v>2115639</v>
      </c>
      <c r="M583" s="141">
        <v>5105526</v>
      </c>
      <c r="N583" s="141">
        <v>3300004123</v>
      </c>
      <c r="O583" s="142"/>
      <c r="P583" s="142"/>
      <c r="Q583" s="142"/>
      <c r="R583" s="142"/>
      <c r="S583" s="142"/>
      <c r="T583" s="141" t="s">
        <v>4222</v>
      </c>
      <c r="V583" s="43" t="s">
        <v>553</v>
      </c>
      <c r="AF583" s="42">
        <v>2115661</v>
      </c>
      <c r="AG583" s="42" t="s">
        <v>6528</v>
      </c>
    </row>
    <row r="584" spans="6:33" ht="15.75" customHeight="1">
      <c r="F584" s="40" t="s">
        <v>7725</v>
      </c>
      <c r="G584" s="40" t="s">
        <v>7889</v>
      </c>
      <c r="H584" s="40" t="s">
        <v>8208</v>
      </c>
      <c r="I584" s="40" t="s">
        <v>6850</v>
      </c>
      <c r="J584" s="140">
        <v>2197773</v>
      </c>
      <c r="K584" s="139">
        <v>2191196</v>
      </c>
      <c r="L584" s="141">
        <v>5087347</v>
      </c>
      <c r="M584" s="139">
        <v>3300012684</v>
      </c>
      <c r="N584" s="141" t="s">
        <v>8055</v>
      </c>
      <c r="O584" s="142"/>
      <c r="P584" s="142"/>
      <c r="Q584" s="142"/>
      <c r="R584" s="142"/>
      <c r="S584" s="142"/>
      <c r="T584" s="141">
        <v>51500012</v>
      </c>
      <c r="V584" s="43" t="s">
        <v>7597</v>
      </c>
      <c r="AF584" s="42">
        <v>2115662</v>
      </c>
      <c r="AG584" s="42" t="s">
        <v>6528</v>
      </c>
    </row>
    <row r="585" spans="6:33" ht="15.75" customHeight="1">
      <c r="F585" s="40" t="s">
        <v>1148</v>
      </c>
      <c r="G585" s="40" t="s">
        <v>1149</v>
      </c>
      <c r="H585" s="40" t="s">
        <v>564</v>
      </c>
      <c r="I585" s="40" t="s">
        <v>6851</v>
      </c>
      <c r="J585" s="140">
        <v>2183589</v>
      </c>
      <c r="K585" s="141">
        <v>5059330</v>
      </c>
      <c r="L585" s="141" t="s">
        <v>1151</v>
      </c>
      <c r="M585" s="141"/>
      <c r="N585" s="141"/>
      <c r="O585" s="142"/>
      <c r="P585" s="142"/>
      <c r="Q585" s="142"/>
      <c r="R585" s="142"/>
      <c r="S585" s="142"/>
      <c r="T585" s="141" t="s">
        <v>1152</v>
      </c>
      <c r="V585" s="43" t="s">
        <v>662</v>
      </c>
      <c r="AF585" s="42">
        <v>2115663</v>
      </c>
      <c r="AG585" s="42" t="s">
        <v>6528</v>
      </c>
    </row>
    <row r="586" spans="6:33" ht="15.75" customHeight="1">
      <c r="F586" s="40" t="s">
        <v>7417</v>
      </c>
      <c r="G586" s="40" t="s">
        <v>7425</v>
      </c>
      <c r="H586" s="40" t="s">
        <v>564</v>
      </c>
      <c r="I586" s="40" t="s">
        <v>6851</v>
      </c>
      <c r="J586" s="140">
        <v>2228723</v>
      </c>
      <c r="K586" s="141" t="s">
        <v>7342</v>
      </c>
      <c r="L586" s="141">
        <v>2183556</v>
      </c>
      <c r="M586" s="141">
        <v>5050436</v>
      </c>
      <c r="N586" s="141">
        <v>2228735</v>
      </c>
      <c r="O586" s="142"/>
      <c r="P586" s="142"/>
      <c r="Q586" s="142"/>
      <c r="R586" s="142"/>
      <c r="S586" s="142"/>
      <c r="T586" s="141" t="s">
        <v>5940</v>
      </c>
      <c r="V586" s="43" t="s">
        <v>7430</v>
      </c>
      <c r="AF586" s="42">
        <v>2115664</v>
      </c>
      <c r="AG586" s="42" t="s">
        <v>6528</v>
      </c>
    </row>
    <row r="587" spans="6:33" ht="15.75" customHeight="1">
      <c r="F587" s="40" t="s">
        <v>3956</v>
      </c>
      <c r="G587" s="40" t="s">
        <v>3957</v>
      </c>
      <c r="H587" s="40" t="s">
        <v>553</v>
      </c>
      <c r="I587" s="40" t="s">
        <v>6853</v>
      </c>
      <c r="J587" s="140">
        <v>5031835</v>
      </c>
      <c r="K587" s="141">
        <v>2171980</v>
      </c>
      <c r="L587" s="141">
        <v>3300009527</v>
      </c>
      <c r="M587" s="141" t="s">
        <v>7008</v>
      </c>
      <c r="N587" s="141"/>
      <c r="O587" s="142"/>
      <c r="P587" s="142"/>
      <c r="Q587" s="142"/>
      <c r="R587" s="142"/>
      <c r="S587" s="142"/>
      <c r="T587" s="141" t="s">
        <v>6802</v>
      </c>
      <c r="V587" s="43" t="s">
        <v>759</v>
      </c>
      <c r="AF587" s="42">
        <v>2115665</v>
      </c>
      <c r="AG587" s="42" t="s">
        <v>6528</v>
      </c>
    </row>
    <row r="588" spans="6:33" ht="15.75" customHeight="1">
      <c r="F588" s="40" t="s">
        <v>4871</v>
      </c>
      <c r="G588" s="40" t="s">
        <v>4872</v>
      </c>
      <c r="H588" s="40" t="s">
        <v>761</v>
      </c>
      <c r="I588" s="40" t="s">
        <v>6848</v>
      </c>
      <c r="J588" s="140" t="s">
        <v>7009</v>
      </c>
      <c r="K588" s="141" t="s">
        <v>4874</v>
      </c>
      <c r="L588" s="141">
        <v>2103453</v>
      </c>
      <c r="M588" s="141" t="s">
        <v>4875</v>
      </c>
      <c r="N588" s="141">
        <v>3300003622</v>
      </c>
      <c r="O588" s="142"/>
      <c r="P588" s="142"/>
      <c r="Q588" s="142"/>
      <c r="R588" s="142"/>
      <c r="S588" s="142"/>
      <c r="T588" s="141" t="s">
        <v>4876</v>
      </c>
      <c r="V588" s="43" t="s">
        <v>588</v>
      </c>
      <c r="AF588" s="42">
        <v>2115666</v>
      </c>
      <c r="AG588" s="42" t="s">
        <v>6528</v>
      </c>
    </row>
    <row r="589" spans="6:33" ht="15.75" customHeight="1">
      <c r="F589" s="40" t="s">
        <v>6401</v>
      </c>
      <c r="G589" s="40" t="s">
        <v>6402</v>
      </c>
      <c r="H589" s="40" t="s">
        <v>8208</v>
      </c>
      <c r="I589" s="40" t="s">
        <v>6850</v>
      </c>
      <c r="J589" s="140" t="s">
        <v>6404</v>
      </c>
      <c r="K589" s="141">
        <v>5032241</v>
      </c>
      <c r="L589" s="141">
        <v>2103479</v>
      </c>
      <c r="M589" s="141">
        <v>5050425</v>
      </c>
      <c r="N589" s="139"/>
      <c r="O589" s="142"/>
      <c r="P589" s="142"/>
      <c r="Q589" s="142"/>
      <c r="R589" s="142"/>
      <c r="S589" s="142"/>
      <c r="T589" s="141" t="s">
        <v>6405</v>
      </c>
      <c r="V589" s="43" t="s">
        <v>798</v>
      </c>
      <c r="AF589" s="42">
        <v>2115667</v>
      </c>
      <c r="AG589" s="42" t="s">
        <v>6528</v>
      </c>
    </row>
    <row r="590" spans="6:33" ht="15.75" customHeight="1">
      <c r="F590" s="40" t="s">
        <v>5699</v>
      </c>
      <c r="G590" s="40" t="s">
        <v>5700</v>
      </c>
      <c r="H590" s="40" t="s">
        <v>761</v>
      </c>
      <c r="I590" s="40" t="s">
        <v>6848</v>
      </c>
      <c r="J590" s="140" t="s">
        <v>5703</v>
      </c>
      <c r="K590" s="141" t="s">
        <v>7621</v>
      </c>
      <c r="L590" s="141" t="s">
        <v>5704</v>
      </c>
      <c r="M590" s="141"/>
      <c r="N590" s="141"/>
      <c r="O590" s="142"/>
      <c r="P590" s="142"/>
      <c r="Q590" s="142"/>
      <c r="R590" s="142"/>
      <c r="S590" s="142"/>
      <c r="T590" s="141" t="s">
        <v>5705</v>
      </c>
      <c r="V590" s="43" t="s">
        <v>5702</v>
      </c>
      <c r="AF590" s="42">
        <v>2115668</v>
      </c>
      <c r="AG590" s="42" t="s">
        <v>6528</v>
      </c>
    </row>
    <row r="591" spans="6:33" ht="15.75" customHeight="1">
      <c r="F591" s="40" t="s">
        <v>7474</v>
      </c>
      <c r="G591" s="40" t="s">
        <v>7475</v>
      </c>
      <c r="H591" s="40" t="s">
        <v>761</v>
      </c>
      <c r="I591" s="40" t="s">
        <v>6848</v>
      </c>
      <c r="J591" s="140">
        <v>2103898</v>
      </c>
      <c r="K591" s="141" t="s">
        <v>4530</v>
      </c>
      <c r="L591" s="141" t="s">
        <v>4531</v>
      </c>
      <c r="M591" s="141">
        <v>3300003627</v>
      </c>
      <c r="N591" s="141"/>
      <c r="O591" s="142"/>
      <c r="P591" s="142"/>
      <c r="Q591" s="142"/>
      <c r="R591" s="142"/>
      <c r="S591" s="142"/>
      <c r="T591" s="141" t="s">
        <v>4532</v>
      </c>
      <c r="V591" s="43" t="s">
        <v>599</v>
      </c>
      <c r="AF591" s="42">
        <v>2115669</v>
      </c>
      <c r="AG591" s="42" t="s">
        <v>6528</v>
      </c>
    </row>
    <row r="592" spans="6:33" ht="15.75" customHeight="1">
      <c r="F592" s="40" t="s">
        <v>2439</v>
      </c>
      <c r="G592" s="40" t="s">
        <v>2440</v>
      </c>
      <c r="H592" s="40" t="s">
        <v>670</v>
      </c>
      <c r="I592" s="40" t="s">
        <v>6849</v>
      </c>
      <c r="J592" s="140">
        <v>2255172</v>
      </c>
      <c r="K592" s="141" t="s">
        <v>2443</v>
      </c>
      <c r="L592" s="141">
        <v>3300002987</v>
      </c>
      <c r="M592" s="141" t="s">
        <v>7010</v>
      </c>
      <c r="N592" s="141">
        <v>2149685</v>
      </c>
      <c r="O592" s="142"/>
      <c r="P592" s="142"/>
      <c r="Q592" s="142"/>
      <c r="R592" s="142"/>
      <c r="S592" s="142"/>
      <c r="T592" s="141" t="s">
        <v>2444</v>
      </c>
      <c r="V592" s="43" t="s">
        <v>2442</v>
      </c>
      <c r="AF592" s="42">
        <v>2115670</v>
      </c>
      <c r="AG592" s="42" t="s">
        <v>6528</v>
      </c>
    </row>
    <row r="593" spans="6:33" ht="15.75" customHeight="1">
      <c r="F593" s="40" t="s">
        <v>5970</v>
      </c>
      <c r="G593" s="40" t="s">
        <v>8494</v>
      </c>
      <c r="H593" s="40" t="s">
        <v>8208</v>
      </c>
      <c r="I593" s="40" t="s">
        <v>6850</v>
      </c>
      <c r="J593" s="140">
        <v>2110074</v>
      </c>
      <c r="K593" s="141" t="s">
        <v>5972</v>
      </c>
      <c r="L593" s="141">
        <v>2103950</v>
      </c>
      <c r="M593" s="141">
        <v>3300003613</v>
      </c>
      <c r="N593" s="141">
        <v>2103862</v>
      </c>
      <c r="O593" s="142"/>
      <c r="P593" s="142"/>
      <c r="Q593" s="142"/>
      <c r="R593" s="142"/>
      <c r="S593" s="142"/>
      <c r="T593" s="141" t="s">
        <v>5973</v>
      </c>
      <c r="V593" s="43" t="s">
        <v>611</v>
      </c>
      <c r="AF593" s="42">
        <v>2115671</v>
      </c>
      <c r="AG593" s="42" t="s">
        <v>6528</v>
      </c>
    </row>
    <row r="594" spans="6:33" ht="15.75" customHeight="1">
      <c r="F594" s="40" t="s">
        <v>5480</v>
      </c>
      <c r="G594" s="40" t="s">
        <v>5481</v>
      </c>
      <c r="H594" s="40" t="s">
        <v>761</v>
      </c>
      <c r="I594" s="40" t="s">
        <v>6848</v>
      </c>
      <c r="J594" s="140">
        <v>5042653</v>
      </c>
      <c r="K594" s="141">
        <v>2119184</v>
      </c>
      <c r="L594" s="141" t="s">
        <v>5483</v>
      </c>
      <c r="M594" s="141">
        <v>5042648</v>
      </c>
      <c r="N594" s="141"/>
      <c r="O594" s="142"/>
      <c r="P594" s="142"/>
      <c r="Q594" s="142"/>
      <c r="R594" s="142"/>
      <c r="S594" s="142"/>
      <c r="T594" s="141" t="s">
        <v>5484</v>
      </c>
      <c r="V594" s="43" t="s">
        <v>693</v>
      </c>
      <c r="AF594" s="42">
        <v>2115672</v>
      </c>
      <c r="AG594" s="42" t="s">
        <v>6528</v>
      </c>
    </row>
    <row r="595" spans="6:33" ht="15.75" customHeight="1">
      <c r="F595" s="40" t="s">
        <v>4686</v>
      </c>
      <c r="G595" s="40" t="s">
        <v>4687</v>
      </c>
      <c r="H595" s="40" t="s">
        <v>761</v>
      </c>
      <c r="I595" s="40" t="s">
        <v>6848</v>
      </c>
      <c r="J595" s="140">
        <v>2103729</v>
      </c>
      <c r="K595" s="141">
        <v>5001440</v>
      </c>
      <c r="L595" s="141" t="s">
        <v>4688</v>
      </c>
      <c r="M595" s="141" t="s">
        <v>4689</v>
      </c>
      <c r="N595" s="141">
        <v>2228734</v>
      </c>
      <c r="O595" s="142"/>
      <c r="P595" s="142"/>
      <c r="Q595" s="142"/>
      <c r="R595" s="142"/>
      <c r="S595" s="142"/>
      <c r="T595" s="141" t="s">
        <v>4690</v>
      </c>
      <c r="V595" s="43" t="s">
        <v>708</v>
      </c>
      <c r="AF595" s="42">
        <v>2115866</v>
      </c>
      <c r="AG595" s="42" t="s">
        <v>6528</v>
      </c>
    </row>
    <row r="596" spans="6:33" ht="15.75" customHeight="1">
      <c r="F596" s="40" t="s">
        <v>2561</v>
      </c>
      <c r="G596" s="40" t="s">
        <v>2562</v>
      </c>
      <c r="H596" s="40" t="s">
        <v>670</v>
      </c>
      <c r="I596" s="40" t="s">
        <v>6849</v>
      </c>
      <c r="J596" s="140" t="s">
        <v>2563</v>
      </c>
      <c r="K596" s="141">
        <v>3300001668</v>
      </c>
      <c r="L596" s="141">
        <v>2114772</v>
      </c>
      <c r="M596" s="141" t="s">
        <v>2564</v>
      </c>
      <c r="N596" s="141">
        <v>5031820</v>
      </c>
      <c r="O596" s="142"/>
      <c r="P596" s="142"/>
      <c r="Q596" s="142"/>
      <c r="R596" s="142"/>
      <c r="S596" s="142"/>
      <c r="T596" s="141" t="s">
        <v>2565</v>
      </c>
      <c r="V596" s="43" t="s">
        <v>640</v>
      </c>
      <c r="AF596" s="42">
        <v>2115870</v>
      </c>
      <c r="AG596" s="42" t="s">
        <v>6528</v>
      </c>
    </row>
    <row r="597" spans="6:33" ht="15.75" customHeight="1">
      <c r="F597" s="40" t="s">
        <v>2051</v>
      </c>
      <c r="G597" s="40" t="s">
        <v>2051</v>
      </c>
      <c r="H597" s="40" t="s">
        <v>564</v>
      </c>
      <c r="I597" s="40" t="s">
        <v>6851</v>
      </c>
      <c r="J597" s="140">
        <v>3300009534</v>
      </c>
      <c r="K597" s="141" t="s">
        <v>2052</v>
      </c>
      <c r="L597" s="141">
        <v>5050432</v>
      </c>
      <c r="M597" s="141">
        <v>2084077</v>
      </c>
      <c r="N597" s="141" t="s">
        <v>7539</v>
      </c>
      <c r="O597" s="142"/>
      <c r="P597" s="142"/>
      <c r="Q597" s="142"/>
      <c r="R597" s="142"/>
      <c r="S597" s="142"/>
      <c r="T597" s="141" t="s">
        <v>6808</v>
      </c>
      <c r="V597" s="43" t="s">
        <v>577</v>
      </c>
      <c r="AF597" s="42">
        <v>2115891</v>
      </c>
      <c r="AG597" s="42" t="s">
        <v>6528</v>
      </c>
    </row>
    <row r="598" spans="6:33" ht="15.75" customHeight="1">
      <c r="F598" s="40" t="s">
        <v>4813</v>
      </c>
      <c r="G598" s="40" t="s">
        <v>4813</v>
      </c>
      <c r="H598" s="40" t="s">
        <v>761</v>
      </c>
      <c r="I598" s="40" t="s">
        <v>6848</v>
      </c>
      <c r="J598" s="138">
        <v>5049687</v>
      </c>
      <c r="K598" s="141">
        <v>2177329</v>
      </c>
      <c r="L598" s="139">
        <v>3300003621</v>
      </c>
      <c r="M598" s="141"/>
      <c r="N598" s="141"/>
      <c r="O598" s="142"/>
      <c r="P598" s="142"/>
      <c r="Q598" s="142"/>
      <c r="R598" s="142"/>
      <c r="S598" s="142"/>
      <c r="T598" s="139" t="s">
        <v>4815</v>
      </c>
      <c r="V598" s="43" t="s">
        <v>700</v>
      </c>
      <c r="AF598" s="42">
        <v>2115899</v>
      </c>
      <c r="AG598" s="42" t="s">
        <v>6528</v>
      </c>
    </row>
    <row r="599" spans="6:33" ht="15.75" customHeight="1">
      <c r="F599" s="40" t="s">
        <v>3295</v>
      </c>
      <c r="G599" s="40" t="s">
        <v>3296</v>
      </c>
      <c r="H599" s="40" t="s">
        <v>6841</v>
      </c>
      <c r="I599" s="40" t="s">
        <v>6852</v>
      </c>
      <c r="J599" s="138">
        <v>3300004159</v>
      </c>
      <c r="K599" s="139">
        <v>2096443</v>
      </c>
      <c r="L599" s="141">
        <v>5004783</v>
      </c>
      <c r="M599" s="141" t="s">
        <v>3297</v>
      </c>
      <c r="N599" s="139" t="s">
        <v>3298</v>
      </c>
      <c r="O599" s="142"/>
      <c r="P599" s="142"/>
      <c r="Q599" s="142"/>
      <c r="R599" s="142"/>
      <c r="S599" s="142"/>
      <c r="T599" s="139" t="s">
        <v>6751</v>
      </c>
      <c r="V599" s="43" t="s">
        <v>660</v>
      </c>
      <c r="AF599" s="42">
        <v>2115904</v>
      </c>
      <c r="AG599" s="42" t="s">
        <v>6528</v>
      </c>
    </row>
    <row r="600" spans="6:33" ht="15.75" customHeight="1">
      <c r="F600" s="40" t="s">
        <v>4692</v>
      </c>
      <c r="G600" s="40" t="s">
        <v>4693</v>
      </c>
      <c r="H600" s="40" t="s">
        <v>761</v>
      </c>
      <c r="I600" s="40" t="s">
        <v>6848</v>
      </c>
      <c r="J600" s="138">
        <v>3300016384</v>
      </c>
      <c r="K600" s="139" t="s">
        <v>4695</v>
      </c>
      <c r="L600" s="139">
        <v>5059307</v>
      </c>
      <c r="M600" s="141"/>
      <c r="N600" s="141"/>
      <c r="O600" s="142"/>
      <c r="P600" s="142"/>
      <c r="Q600" s="142"/>
      <c r="R600" s="142"/>
      <c r="S600" s="142"/>
      <c r="T600" s="139" t="s">
        <v>4696</v>
      </c>
      <c r="V600" s="43" t="s">
        <v>708</v>
      </c>
      <c r="AF600" s="42">
        <v>2116003</v>
      </c>
      <c r="AG600" s="42" t="s">
        <v>6528</v>
      </c>
    </row>
    <row r="601" spans="6:33" ht="15.75" customHeight="1">
      <c r="F601" s="40" t="s">
        <v>1174</v>
      </c>
      <c r="G601" s="40" t="s">
        <v>1175</v>
      </c>
      <c r="H601" s="40" t="s">
        <v>564</v>
      </c>
      <c r="I601" s="40" t="s">
        <v>6851</v>
      </c>
      <c r="J601" s="140">
        <v>3300009824</v>
      </c>
      <c r="K601" s="141"/>
      <c r="L601" s="141">
        <v>2171919</v>
      </c>
      <c r="M601" s="141">
        <v>5049679</v>
      </c>
      <c r="N601" s="141"/>
      <c r="O601" s="142"/>
      <c r="P601" s="142"/>
      <c r="Q601" s="142"/>
      <c r="R601" s="142"/>
      <c r="S601" s="142"/>
      <c r="T601" s="141" t="s">
        <v>1177</v>
      </c>
      <c r="V601" s="43" t="s">
        <v>809</v>
      </c>
      <c r="AF601" s="42">
        <v>2116010</v>
      </c>
      <c r="AG601" s="42" t="s">
        <v>6528</v>
      </c>
    </row>
    <row r="602" spans="6:33" ht="15.75" customHeight="1">
      <c r="F602" s="40" t="s">
        <v>3850</v>
      </c>
      <c r="G602" s="40" t="s">
        <v>3851</v>
      </c>
      <c r="H602" s="40" t="s">
        <v>553</v>
      </c>
      <c r="I602" s="40" t="s">
        <v>6853</v>
      </c>
      <c r="J602" s="140" t="s">
        <v>7090</v>
      </c>
      <c r="K602" s="141">
        <v>5050455</v>
      </c>
      <c r="L602" s="141">
        <v>2171907</v>
      </c>
      <c r="M602" s="141">
        <v>3300002810</v>
      </c>
      <c r="N602" s="141" t="s">
        <v>3853</v>
      </c>
      <c r="O602" s="142"/>
      <c r="P602" s="142"/>
      <c r="Q602" s="142"/>
      <c r="R602" s="142"/>
      <c r="S602" s="142"/>
      <c r="T602" s="141" t="s">
        <v>6769</v>
      </c>
      <c r="V602" s="43" t="s">
        <v>549</v>
      </c>
      <c r="AF602" s="42">
        <v>2116013</v>
      </c>
      <c r="AG602" s="42" t="s">
        <v>6528</v>
      </c>
    </row>
    <row r="603" spans="6:33" ht="15.75" customHeight="1">
      <c r="F603" s="40" t="s">
        <v>4733</v>
      </c>
      <c r="G603" s="40" t="s">
        <v>4733</v>
      </c>
      <c r="H603" s="40" t="s">
        <v>761</v>
      </c>
      <c r="I603" s="40" t="s">
        <v>6848</v>
      </c>
      <c r="J603" s="140" t="s">
        <v>4736</v>
      </c>
      <c r="K603" s="141">
        <v>3300002832</v>
      </c>
      <c r="L603" s="141">
        <v>2183513</v>
      </c>
      <c r="M603" s="141" t="s">
        <v>4737</v>
      </c>
      <c r="N603" s="141">
        <v>2199638</v>
      </c>
      <c r="O603" s="142"/>
      <c r="P603" s="142"/>
      <c r="Q603" s="142"/>
      <c r="R603" s="142"/>
      <c r="S603" s="142"/>
      <c r="T603" s="141" t="s">
        <v>4738</v>
      </c>
      <c r="V603" s="43" t="s">
        <v>4735</v>
      </c>
      <c r="AF603" s="42">
        <v>2116022</v>
      </c>
      <c r="AG603" s="42" t="s">
        <v>6528</v>
      </c>
    </row>
    <row r="604" spans="6:33" ht="15.75" customHeight="1">
      <c r="F604" s="40" t="s">
        <v>4733</v>
      </c>
      <c r="G604" s="40" t="s">
        <v>4733</v>
      </c>
      <c r="H604" s="40" t="s">
        <v>761</v>
      </c>
      <c r="I604" s="40" t="s">
        <v>6848</v>
      </c>
      <c r="J604" s="138" t="s">
        <v>4800</v>
      </c>
      <c r="K604" s="141" t="s">
        <v>4801</v>
      </c>
      <c r="L604" s="141">
        <v>3300011493</v>
      </c>
      <c r="M604" s="139" t="s">
        <v>4802</v>
      </c>
      <c r="N604" s="141" t="s">
        <v>4803</v>
      </c>
      <c r="O604" s="142"/>
      <c r="P604" s="142"/>
      <c r="Q604" s="142"/>
      <c r="R604" s="142"/>
      <c r="S604" s="142"/>
      <c r="T604" s="141" t="s">
        <v>4804</v>
      </c>
      <c r="V604" s="43" t="s">
        <v>4799</v>
      </c>
      <c r="AF604" s="42">
        <v>2116035</v>
      </c>
      <c r="AG604" s="42" t="s">
        <v>6528</v>
      </c>
    </row>
    <row r="605" spans="6:33" ht="15.75" customHeight="1">
      <c r="F605" s="40" t="s">
        <v>5266</v>
      </c>
      <c r="G605" s="40" t="s">
        <v>5267</v>
      </c>
      <c r="H605" s="40" t="s">
        <v>761</v>
      </c>
      <c r="I605" s="40" t="s">
        <v>6848</v>
      </c>
      <c r="J605" s="140">
        <v>5070884</v>
      </c>
      <c r="K605" s="141">
        <v>2103861</v>
      </c>
      <c r="L605" s="141">
        <v>3300008164</v>
      </c>
      <c r="M605" s="141"/>
      <c r="N605" s="141"/>
      <c r="O605" s="142"/>
      <c r="P605" s="142"/>
      <c r="Q605" s="142"/>
      <c r="R605" s="142"/>
      <c r="S605" s="142"/>
      <c r="T605" s="141" t="s">
        <v>5269</v>
      </c>
      <c r="V605" s="43" t="s">
        <v>790</v>
      </c>
      <c r="AF605" s="42">
        <v>2116042</v>
      </c>
      <c r="AG605" s="42" t="s">
        <v>6528</v>
      </c>
    </row>
    <row r="606" spans="6:33" ht="15.75" customHeight="1">
      <c r="F606" s="40" t="s">
        <v>2244</v>
      </c>
      <c r="G606" s="40" t="s">
        <v>55</v>
      </c>
      <c r="H606" s="40" t="s">
        <v>564</v>
      </c>
      <c r="I606" s="40" t="s">
        <v>6851</v>
      </c>
      <c r="J606" s="140">
        <v>5031876</v>
      </c>
      <c r="K606" s="141">
        <v>3300002936</v>
      </c>
      <c r="L606" s="141" t="s">
        <v>2246</v>
      </c>
      <c r="M606" s="141">
        <v>2114724</v>
      </c>
      <c r="N606" s="141">
        <v>5004781</v>
      </c>
      <c r="O606" s="142"/>
      <c r="P606" s="142"/>
      <c r="Q606" s="142"/>
      <c r="R606" s="142"/>
      <c r="S606" s="142"/>
      <c r="T606" s="141" t="s">
        <v>2247</v>
      </c>
      <c r="V606" s="43" t="s">
        <v>805</v>
      </c>
      <c r="AF606" s="42">
        <v>2116043</v>
      </c>
      <c r="AG606" s="42" t="s">
        <v>6528</v>
      </c>
    </row>
    <row r="607" spans="6:33" ht="15.75" customHeight="1">
      <c r="F607" s="40" t="s">
        <v>1462</v>
      </c>
      <c r="G607" s="40" t="s">
        <v>1463</v>
      </c>
      <c r="H607" s="40" t="s">
        <v>564</v>
      </c>
      <c r="I607" s="40" t="s">
        <v>6851</v>
      </c>
      <c r="J607" s="138">
        <v>2103884</v>
      </c>
      <c r="K607" s="139">
        <v>2103892</v>
      </c>
      <c r="L607" s="141">
        <v>3300009746</v>
      </c>
      <c r="M607" s="141">
        <v>5050439</v>
      </c>
      <c r="N607" s="141" t="s">
        <v>1465</v>
      </c>
      <c r="O607" s="142"/>
      <c r="P607" s="142"/>
      <c r="Q607" s="142"/>
      <c r="R607" s="142"/>
      <c r="S607" s="142"/>
      <c r="T607" s="139" t="s">
        <v>1466</v>
      </c>
      <c r="V607" s="43" t="s">
        <v>566</v>
      </c>
      <c r="AF607" s="42">
        <v>2116046</v>
      </c>
      <c r="AG607" s="42" t="s">
        <v>6528</v>
      </c>
    </row>
    <row r="608" spans="6:33" ht="15.75" customHeight="1">
      <c r="F608" s="40" t="s">
        <v>7476</v>
      </c>
      <c r="G608" s="40" t="s">
        <v>7477</v>
      </c>
      <c r="H608" s="40" t="s">
        <v>8208</v>
      </c>
      <c r="I608" s="40" t="s">
        <v>6850</v>
      </c>
      <c r="J608" s="140">
        <v>2087316</v>
      </c>
      <c r="K608" s="141">
        <v>3300016404</v>
      </c>
      <c r="L608" s="141" t="s">
        <v>7345</v>
      </c>
      <c r="M608" s="141">
        <v>2103952</v>
      </c>
      <c r="N608" s="141"/>
      <c r="O608" s="142"/>
      <c r="P608" s="142"/>
      <c r="Q608" s="142"/>
      <c r="R608" s="142"/>
      <c r="S608" s="142"/>
      <c r="T608" s="141" t="s">
        <v>5252</v>
      </c>
      <c r="V608" s="43" t="s">
        <v>7597</v>
      </c>
      <c r="AF608" s="42">
        <v>2116052</v>
      </c>
      <c r="AG608" s="42" t="s">
        <v>6528</v>
      </c>
    </row>
    <row r="609" spans="6:33" ht="15.75" customHeight="1">
      <c r="F609" s="40" t="s">
        <v>5127</v>
      </c>
      <c r="G609" s="40" t="s">
        <v>5128</v>
      </c>
      <c r="H609" s="40" t="s">
        <v>761</v>
      </c>
      <c r="I609" s="40" t="s">
        <v>6848</v>
      </c>
      <c r="J609" s="140">
        <v>41740</v>
      </c>
      <c r="K609" s="141" t="s">
        <v>5130</v>
      </c>
      <c r="L609" s="141"/>
      <c r="M609" s="141"/>
      <c r="N609" s="141" t="s">
        <v>5131</v>
      </c>
      <c r="O609" s="142"/>
      <c r="P609" s="142"/>
      <c r="Q609" s="142"/>
      <c r="R609" s="142"/>
      <c r="S609" s="142"/>
      <c r="T609" s="141" t="s">
        <v>5132</v>
      </c>
      <c r="V609" s="43" t="s">
        <v>686</v>
      </c>
      <c r="AF609" s="42">
        <v>2116054</v>
      </c>
      <c r="AG609" s="42" t="s">
        <v>6528</v>
      </c>
    </row>
    <row r="610" spans="6:33" ht="15.75" customHeight="1">
      <c r="F610" s="40" t="s">
        <v>1896</v>
      </c>
      <c r="G610" s="40" t="s">
        <v>1897</v>
      </c>
      <c r="H610" s="40" t="s">
        <v>564</v>
      </c>
      <c r="I610" s="40" t="s">
        <v>6851</v>
      </c>
      <c r="J610" s="140" t="s">
        <v>1898</v>
      </c>
      <c r="K610" s="141">
        <v>3300002829</v>
      </c>
      <c r="L610" s="141" t="s">
        <v>1899</v>
      </c>
      <c r="M610" s="141">
        <v>2103872</v>
      </c>
      <c r="N610" s="141">
        <v>5045673</v>
      </c>
      <c r="O610" s="142"/>
      <c r="P610" s="142"/>
      <c r="Q610" s="142"/>
      <c r="R610" s="142"/>
      <c r="S610" s="142"/>
      <c r="T610" s="141" t="s">
        <v>1900</v>
      </c>
      <c r="V610" s="43" t="s">
        <v>721</v>
      </c>
      <c r="AF610" s="42">
        <v>2116065</v>
      </c>
      <c r="AG610" s="42" t="s">
        <v>6528</v>
      </c>
    </row>
    <row r="611" spans="6:33" ht="15.75" customHeight="1">
      <c r="F611" s="40" t="s">
        <v>5715</v>
      </c>
      <c r="G611" s="40" t="s">
        <v>5716</v>
      </c>
      <c r="H611" s="40" t="s">
        <v>761</v>
      </c>
      <c r="I611" s="40" t="s">
        <v>6848</v>
      </c>
      <c r="J611" s="140" t="s">
        <v>7220</v>
      </c>
      <c r="K611" s="141">
        <v>3300002962</v>
      </c>
      <c r="L611" s="141">
        <v>2114769</v>
      </c>
      <c r="M611" s="141" t="s">
        <v>7003</v>
      </c>
      <c r="N611" s="141"/>
      <c r="O611" s="142"/>
      <c r="P611" s="142"/>
      <c r="Q611" s="142"/>
      <c r="R611" s="142"/>
      <c r="S611" s="142"/>
      <c r="T611" s="141" t="s">
        <v>5718</v>
      </c>
      <c r="V611" s="43" t="s">
        <v>720</v>
      </c>
      <c r="AF611" s="42">
        <v>2116070</v>
      </c>
      <c r="AG611" s="42" t="s">
        <v>6528</v>
      </c>
    </row>
    <row r="612" spans="6:33" ht="15.75" customHeight="1">
      <c r="F612" s="40" t="s">
        <v>1868</v>
      </c>
      <c r="G612" s="40" t="s">
        <v>31</v>
      </c>
      <c r="H612" s="40" t="s">
        <v>564</v>
      </c>
      <c r="I612" s="40" t="s">
        <v>6851</v>
      </c>
      <c r="J612" s="140">
        <v>2159910</v>
      </c>
      <c r="K612" s="141" t="s">
        <v>1870</v>
      </c>
      <c r="L612" s="141">
        <v>2159521</v>
      </c>
      <c r="M612" s="141">
        <v>3300002944</v>
      </c>
      <c r="N612" s="141" t="s">
        <v>1871</v>
      </c>
      <c r="O612" s="142"/>
      <c r="P612" s="142"/>
      <c r="Q612" s="142"/>
      <c r="R612" s="142"/>
      <c r="S612" s="142"/>
      <c r="T612" s="141" t="s">
        <v>1872</v>
      </c>
      <c r="V612" s="43" t="s">
        <v>797</v>
      </c>
      <c r="AF612" s="42">
        <v>2116071</v>
      </c>
      <c r="AG612" s="42" t="s">
        <v>6528</v>
      </c>
    </row>
    <row r="613" spans="6:33" ht="15.75" customHeight="1">
      <c r="F613" s="40" t="s">
        <v>7045</v>
      </c>
      <c r="G613" s="40" t="s">
        <v>7049</v>
      </c>
      <c r="H613" s="40" t="s">
        <v>6841</v>
      </c>
      <c r="I613" s="40" t="s">
        <v>6852</v>
      </c>
      <c r="J613" s="140">
        <v>3300013109</v>
      </c>
      <c r="K613" s="141">
        <v>3300010895</v>
      </c>
      <c r="L613" s="141">
        <v>2171961</v>
      </c>
      <c r="M613" s="141" t="s">
        <v>7052</v>
      </c>
      <c r="N613" s="141" t="s">
        <v>7053</v>
      </c>
      <c r="O613" s="142"/>
      <c r="P613" s="142"/>
      <c r="Q613" s="142"/>
      <c r="R613" s="142"/>
      <c r="S613" s="142"/>
      <c r="T613" s="141" t="s">
        <v>6566</v>
      </c>
      <c r="V613" s="43" t="s">
        <v>656</v>
      </c>
      <c r="AF613" s="42">
        <v>2116188</v>
      </c>
      <c r="AG613" s="42" t="s">
        <v>6528</v>
      </c>
    </row>
    <row r="614" spans="6:33" ht="15.75" customHeight="1">
      <c r="F614" s="40" t="s">
        <v>4329</v>
      </c>
      <c r="G614" s="40" t="s">
        <v>4330</v>
      </c>
      <c r="H614" s="40" t="s">
        <v>553</v>
      </c>
      <c r="I614" s="40" t="s">
        <v>6853</v>
      </c>
      <c r="J614" s="140">
        <v>2177693</v>
      </c>
      <c r="K614" s="141" t="s">
        <v>4331</v>
      </c>
      <c r="L614" s="141" t="s">
        <v>4332</v>
      </c>
      <c r="M614" s="141">
        <v>3400001175</v>
      </c>
      <c r="N614" s="141" t="s">
        <v>7324</v>
      </c>
      <c r="O614" s="142"/>
      <c r="P614" s="142"/>
      <c r="Q614" s="142"/>
      <c r="R614" s="142"/>
      <c r="S614" s="142"/>
      <c r="T614" s="141" t="s">
        <v>4333</v>
      </c>
      <c r="V614" s="43" t="s">
        <v>765</v>
      </c>
      <c r="AF614" s="42">
        <v>2116209</v>
      </c>
      <c r="AG614" s="42" t="s">
        <v>6528</v>
      </c>
    </row>
    <row r="615" spans="6:33" ht="15.75" customHeight="1">
      <c r="F615" s="40" t="s">
        <v>4336</v>
      </c>
      <c r="G615" s="40" t="s">
        <v>4337</v>
      </c>
      <c r="H615" s="40" t="s">
        <v>553</v>
      </c>
      <c r="I615" s="40" t="s">
        <v>6853</v>
      </c>
      <c r="J615" s="140" t="s">
        <v>7326</v>
      </c>
      <c r="K615" s="141">
        <v>3300009751</v>
      </c>
      <c r="L615" s="141" t="s">
        <v>4339</v>
      </c>
      <c r="M615" s="141">
        <v>5031840</v>
      </c>
      <c r="N615" s="141">
        <v>2183542</v>
      </c>
      <c r="O615" s="142"/>
      <c r="P615" s="142"/>
      <c r="Q615" s="142"/>
      <c r="R615" s="142"/>
      <c r="S615" s="142"/>
      <c r="T615" s="141" t="s">
        <v>4340</v>
      </c>
      <c r="V615" s="43" t="s">
        <v>765</v>
      </c>
      <c r="AF615" s="42">
        <v>2116211</v>
      </c>
      <c r="AG615" s="42" t="s">
        <v>6528</v>
      </c>
    </row>
    <row r="616" spans="6:33" ht="15.75" customHeight="1">
      <c r="F616" s="40" t="s">
        <v>8347</v>
      </c>
      <c r="G616" s="40" t="s">
        <v>2674</v>
      </c>
      <c r="H616" s="40" t="s">
        <v>670</v>
      </c>
      <c r="I616" s="40" t="s">
        <v>6849</v>
      </c>
      <c r="J616" s="140" t="s">
        <v>1271</v>
      </c>
      <c r="K616" s="141">
        <v>2119173</v>
      </c>
      <c r="L616" s="141">
        <v>3300009747</v>
      </c>
      <c r="M616" s="141">
        <v>2226111</v>
      </c>
      <c r="N616" s="141" t="s">
        <v>6638</v>
      </c>
      <c r="O616" s="142"/>
      <c r="P616" s="142"/>
      <c r="Q616" s="142"/>
      <c r="R616" s="142"/>
      <c r="S616" s="142"/>
      <c r="T616" s="141" t="s">
        <v>8228</v>
      </c>
      <c r="V616" s="43" t="s">
        <v>8409</v>
      </c>
      <c r="AF616" s="42">
        <v>2116223</v>
      </c>
      <c r="AG616" s="42" t="s">
        <v>6528</v>
      </c>
    </row>
    <row r="617" spans="6:33" ht="15.75" customHeight="1">
      <c r="F617" s="40" t="s">
        <v>4884</v>
      </c>
      <c r="G617" s="40" t="s">
        <v>4885</v>
      </c>
      <c r="H617" s="40" t="s">
        <v>761</v>
      </c>
      <c r="I617" s="40" t="s">
        <v>6848</v>
      </c>
      <c r="J617" s="140" t="s">
        <v>4887</v>
      </c>
      <c r="K617" s="141">
        <v>3300009528</v>
      </c>
      <c r="L617" s="141">
        <v>2171989</v>
      </c>
      <c r="M617" s="141"/>
      <c r="N617" s="141"/>
      <c r="O617" s="142"/>
      <c r="P617" s="142"/>
      <c r="Q617" s="142"/>
      <c r="R617" s="142"/>
      <c r="S617" s="142"/>
      <c r="T617" s="141" t="s">
        <v>4888</v>
      </c>
      <c r="V617" s="43" t="s">
        <v>800</v>
      </c>
      <c r="AF617" s="42">
        <v>2116236</v>
      </c>
      <c r="AG617" s="42" t="s">
        <v>6528</v>
      </c>
    </row>
    <row r="618" spans="6:33" ht="15.75" customHeight="1">
      <c r="F618" s="40" t="s">
        <v>8448</v>
      </c>
      <c r="G618" s="40" t="s">
        <v>8495</v>
      </c>
      <c r="H618" s="40" t="s">
        <v>761</v>
      </c>
      <c r="I618" s="40" t="s">
        <v>6848</v>
      </c>
      <c r="J618" s="140" t="s">
        <v>8550</v>
      </c>
      <c r="K618" s="141">
        <v>5097604</v>
      </c>
      <c r="L618" s="141">
        <v>2141081</v>
      </c>
      <c r="M618" s="141">
        <v>2075123</v>
      </c>
      <c r="N618" s="141" t="s">
        <v>8551</v>
      </c>
      <c r="O618" s="142"/>
      <c r="P618" s="142"/>
      <c r="Q618" s="142"/>
      <c r="R618" s="142"/>
      <c r="S618" s="142"/>
      <c r="T618" s="141" t="s">
        <v>4253</v>
      </c>
      <c r="V618" s="43" t="s">
        <v>8607</v>
      </c>
      <c r="AF618" s="42">
        <v>2116237</v>
      </c>
      <c r="AG618" s="42" t="s">
        <v>6528</v>
      </c>
    </row>
    <row r="619" spans="6:33" ht="15.75" customHeight="1">
      <c r="F619" s="40" t="s">
        <v>7182</v>
      </c>
      <c r="G619" s="40" t="s">
        <v>7183</v>
      </c>
      <c r="H619" s="40" t="s">
        <v>553</v>
      </c>
      <c r="I619" s="40" t="s">
        <v>6853</v>
      </c>
      <c r="J619" s="140">
        <v>3400003010</v>
      </c>
      <c r="K619" s="141" t="s">
        <v>4580</v>
      </c>
      <c r="L619" s="141" t="s">
        <v>7104</v>
      </c>
      <c r="M619" s="141">
        <v>2183592</v>
      </c>
      <c r="N619" s="141">
        <v>5008418</v>
      </c>
      <c r="O619" s="142"/>
      <c r="P619" s="142"/>
      <c r="Q619" s="142"/>
      <c r="R619" s="142"/>
      <c r="S619" s="142"/>
      <c r="T619" s="141" t="s">
        <v>3673</v>
      </c>
      <c r="V619" s="43" t="s">
        <v>625</v>
      </c>
      <c r="AF619" s="42">
        <v>2116238</v>
      </c>
      <c r="AG619" s="42" t="s">
        <v>6528</v>
      </c>
    </row>
    <row r="620" spans="6:33" ht="15.75" customHeight="1">
      <c r="F620" s="40" t="s">
        <v>7726</v>
      </c>
      <c r="G620" s="40" t="s">
        <v>7890</v>
      </c>
      <c r="H620" s="40" t="s">
        <v>8208</v>
      </c>
      <c r="I620" s="40" t="s">
        <v>6850</v>
      </c>
      <c r="J620" s="138">
        <v>2087402</v>
      </c>
      <c r="K620" s="139"/>
      <c r="L620" s="139">
        <v>5010224</v>
      </c>
      <c r="M620" s="141"/>
      <c r="N620" s="141" t="s">
        <v>8056</v>
      </c>
      <c r="O620" s="142"/>
      <c r="P620" s="142"/>
      <c r="Q620" s="142"/>
      <c r="R620" s="142"/>
      <c r="S620" s="142"/>
      <c r="T620" s="139">
        <v>21300002</v>
      </c>
      <c r="V620" s="43" t="s">
        <v>8188</v>
      </c>
      <c r="AF620" s="42">
        <v>2116240</v>
      </c>
      <c r="AG620" s="42" t="s">
        <v>6528</v>
      </c>
    </row>
    <row r="621" spans="6:33" ht="15.75" customHeight="1">
      <c r="F621" s="40" t="s">
        <v>7727</v>
      </c>
      <c r="G621" s="40" t="s">
        <v>7891</v>
      </c>
      <c r="H621" s="40" t="s">
        <v>8208</v>
      </c>
      <c r="I621" s="40" t="s">
        <v>6850</v>
      </c>
      <c r="J621" s="140">
        <v>2081898</v>
      </c>
      <c r="K621" s="141">
        <v>5050606</v>
      </c>
      <c r="L621" s="141" t="s">
        <v>8057</v>
      </c>
      <c r="M621" s="141" t="s">
        <v>8058</v>
      </c>
      <c r="N621" s="141">
        <v>3300002194</v>
      </c>
      <c r="O621" s="142"/>
      <c r="P621" s="142"/>
      <c r="Q621" s="142"/>
      <c r="R621" s="142"/>
      <c r="S621" s="142"/>
      <c r="T621" s="141">
        <v>101200035</v>
      </c>
      <c r="V621" s="43" t="s">
        <v>6303</v>
      </c>
      <c r="AF621" s="42">
        <v>2116241</v>
      </c>
      <c r="AG621" s="42" t="s">
        <v>6528</v>
      </c>
    </row>
    <row r="622" spans="6:33" ht="15.75" customHeight="1">
      <c r="F622" s="40" t="s">
        <v>6042</v>
      </c>
      <c r="G622" s="40" t="s">
        <v>6043</v>
      </c>
      <c r="H622" s="40" t="s">
        <v>8208</v>
      </c>
      <c r="I622" s="40" t="s">
        <v>6850</v>
      </c>
      <c r="J622" s="140">
        <v>5031861</v>
      </c>
      <c r="K622" s="141" t="s">
        <v>6044</v>
      </c>
      <c r="L622" s="141">
        <v>2110153</v>
      </c>
      <c r="M622" s="141">
        <v>2228738</v>
      </c>
      <c r="N622" s="141"/>
      <c r="O622" s="142"/>
      <c r="P622" s="142"/>
      <c r="Q622" s="142"/>
      <c r="R622" s="142"/>
      <c r="S622" s="142"/>
      <c r="T622" s="141" t="s">
        <v>6045</v>
      </c>
      <c r="V622" s="43" t="s">
        <v>667</v>
      </c>
      <c r="AF622" s="42">
        <v>2116242</v>
      </c>
      <c r="AG622" s="42" t="s">
        <v>6528</v>
      </c>
    </row>
    <row r="623" spans="6:33" ht="15.75" customHeight="1">
      <c r="F623" s="40" t="s">
        <v>943</v>
      </c>
      <c r="G623" s="40" t="s">
        <v>944</v>
      </c>
      <c r="H623" s="40" t="s">
        <v>564</v>
      </c>
      <c r="I623" s="40" t="s">
        <v>6851</v>
      </c>
      <c r="J623" s="140">
        <v>3300010698</v>
      </c>
      <c r="K623" s="141">
        <v>2177125</v>
      </c>
      <c r="L623" s="141" t="s">
        <v>946</v>
      </c>
      <c r="M623" s="141">
        <v>5050502</v>
      </c>
      <c r="N623" s="141" t="s">
        <v>947</v>
      </c>
      <c r="O623" s="142"/>
      <c r="P623" s="142"/>
      <c r="Q623" s="142"/>
      <c r="R623" s="142"/>
      <c r="S623" s="142"/>
      <c r="T623" s="141" t="s">
        <v>948</v>
      </c>
      <c r="V623" s="43" t="s">
        <v>547</v>
      </c>
      <c r="AF623" s="42">
        <v>2116243</v>
      </c>
      <c r="AG623" s="42" t="s">
        <v>6528</v>
      </c>
    </row>
    <row r="624" spans="6:33" ht="15.75" customHeight="1">
      <c r="F624" s="40" t="s">
        <v>7728</v>
      </c>
      <c r="G624" s="40" t="s">
        <v>7892</v>
      </c>
      <c r="H624" s="40" t="s">
        <v>761</v>
      </c>
      <c r="I624" s="40" t="s">
        <v>6848</v>
      </c>
      <c r="J624" s="140">
        <v>2103949</v>
      </c>
      <c r="K624" s="141" t="s">
        <v>7120</v>
      </c>
      <c r="L624" s="141" t="s">
        <v>7632</v>
      </c>
      <c r="M624" s="141" t="s">
        <v>7616</v>
      </c>
      <c r="N624" s="141">
        <v>2103877</v>
      </c>
      <c r="O624" s="142"/>
      <c r="P624" s="142"/>
      <c r="Q624" s="142"/>
      <c r="R624" s="142"/>
      <c r="S624" s="142"/>
      <c r="T624" s="141" t="s">
        <v>7609</v>
      </c>
      <c r="V624" s="43" t="s">
        <v>688</v>
      </c>
      <c r="AF624" s="42">
        <v>2116244</v>
      </c>
      <c r="AG624" s="42" t="s">
        <v>6528</v>
      </c>
    </row>
    <row r="625" spans="6:33" ht="15.75" customHeight="1">
      <c r="F625" s="40" t="s">
        <v>5301</v>
      </c>
      <c r="G625" s="40" t="s">
        <v>5302</v>
      </c>
      <c r="H625" s="40" t="s">
        <v>761</v>
      </c>
      <c r="I625" s="40" t="s">
        <v>6848</v>
      </c>
      <c r="J625" s="140" t="s">
        <v>5304</v>
      </c>
      <c r="K625" s="141">
        <v>5103084</v>
      </c>
      <c r="L625" s="141" t="s">
        <v>2775</v>
      </c>
      <c r="M625" s="141" t="s">
        <v>5307</v>
      </c>
      <c r="N625" s="141">
        <v>3300012285</v>
      </c>
      <c r="O625" s="142"/>
      <c r="P625" s="142"/>
      <c r="Q625" s="142"/>
      <c r="R625" s="142"/>
      <c r="S625" s="142"/>
      <c r="T625" s="141" t="s">
        <v>5308</v>
      </c>
      <c r="V625" s="43" t="s">
        <v>5032</v>
      </c>
      <c r="AF625" s="42">
        <v>2116245</v>
      </c>
      <c r="AG625" s="42" t="s">
        <v>6528</v>
      </c>
    </row>
    <row r="626" spans="6:33" ht="15.75" customHeight="1">
      <c r="F626" s="40" t="s">
        <v>6941</v>
      </c>
      <c r="G626" s="40" t="s">
        <v>6942</v>
      </c>
      <c r="H626" s="40" t="s">
        <v>564</v>
      </c>
      <c r="I626" s="40" t="s">
        <v>6851</v>
      </c>
      <c r="J626" s="140">
        <v>2103427</v>
      </c>
      <c r="K626" s="141">
        <v>3300013114</v>
      </c>
      <c r="L626" s="141">
        <v>5001452</v>
      </c>
      <c r="M626" s="141">
        <v>3300012507</v>
      </c>
      <c r="N626" s="141" t="s">
        <v>3963</v>
      </c>
      <c r="O626" s="142"/>
      <c r="P626" s="142"/>
      <c r="Q626" s="142"/>
      <c r="R626" s="142"/>
      <c r="S626" s="142"/>
      <c r="T626" s="141" t="s">
        <v>6834</v>
      </c>
      <c r="V626" s="43" t="s">
        <v>6962</v>
      </c>
      <c r="AF626" s="42">
        <v>2116246</v>
      </c>
      <c r="AG626" s="42" t="s">
        <v>6528</v>
      </c>
    </row>
    <row r="627" spans="6:33" ht="15.75" customHeight="1">
      <c r="F627" s="40" t="s">
        <v>1351</v>
      </c>
      <c r="G627" s="40" t="s">
        <v>1216</v>
      </c>
      <c r="H627" s="40" t="s">
        <v>564</v>
      </c>
      <c r="I627" s="40" t="s">
        <v>6851</v>
      </c>
      <c r="J627" s="140" t="s">
        <v>1352</v>
      </c>
      <c r="K627" s="141">
        <v>2171924</v>
      </c>
      <c r="L627" s="141">
        <v>5045665</v>
      </c>
      <c r="M627" s="141">
        <v>3300002983</v>
      </c>
      <c r="N627" s="141"/>
      <c r="O627" s="142"/>
      <c r="P627" s="142"/>
      <c r="Q627" s="142"/>
      <c r="R627" s="142"/>
      <c r="S627" s="142"/>
      <c r="T627" s="141" t="s">
        <v>1353</v>
      </c>
      <c r="V627" s="43" t="s">
        <v>551</v>
      </c>
      <c r="AF627" s="42">
        <v>2116247</v>
      </c>
      <c r="AG627" s="42" t="s">
        <v>6528</v>
      </c>
    </row>
    <row r="628" spans="6:33" ht="15.75" customHeight="1">
      <c r="F628" s="40" t="s">
        <v>1351</v>
      </c>
      <c r="G628" s="40" t="s">
        <v>7893</v>
      </c>
      <c r="H628" s="40" t="s">
        <v>6841</v>
      </c>
      <c r="I628" s="40" t="s">
        <v>6852</v>
      </c>
      <c r="J628" s="140">
        <v>2160121</v>
      </c>
      <c r="K628" s="141">
        <v>3300006840</v>
      </c>
      <c r="L628" s="141" t="s">
        <v>8060</v>
      </c>
      <c r="M628" s="141"/>
      <c r="N628" s="141"/>
      <c r="O628" s="142"/>
      <c r="P628" s="142"/>
      <c r="Q628" s="142"/>
      <c r="R628" s="142"/>
      <c r="S628" s="142"/>
      <c r="T628" s="141">
        <v>11400150</v>
      </c>
      <c r="V628" s="43" t="s">
        <v>682</v>
      </c>
      <c r="AF628" s="42">
        <v>2116248</v>
      </c>
      <c r="AG628" s="42" t="s">
        <v>6528</v>
      </c>
    </row>
    <row r="629" spans="6:33" ht="15.75" customHeight="1">
      <c r="F629" s="40" t="s">
        <v>1617</v>
      </c>
      <c r="G629" s="40" t="s">
        <v>1618</v>
      </c>
      <c r="H629" s="40" t="s">
        <v>564</v>
      </c>
      <c r="I629" s="40" t="s">
        <v>6851</v>
      </c>
      <c r="J629" s="140">
        <v>2171943</v>
      </c>
      <c r="K629" s="141">
        <v>3300010055</v>
      </c>
      <c r="L629" s="141"/>
      <c r="M629" s="141"/>
      <c r="N629" s="141"/>
      <c r="O629" s="142"/>
      <c r="P629" s="142"/>
      <c r="Q629" s="142"/>
      <c r="R629" s="142"/>
      <c r="S629" s="142"/>
      <c r="T629" s="141" t="s">
        <v>6209</v>
      </c>
      <c r="V629" s="43" t="s">
        <v>568</v>
      </c>
      <c r="AF629" s="42">
        <v>2116249</v>
      </c>
      <c r="AG629" s="42" t="s">
        <v>6528</v>
      </c>
    </row>
    <row r="630" spans="6:33" ht="15.75" customHeight="1">
      <c r="F630" s="40" t="s">
        <v>3152</v>
      </c>
      <c r="G630" s="40" t="s">
        <v>3153</v>
      </c>
      <c r="H630" s="40" t="s">
        <v>6841</v>
      </c>
      <c r="I630" s="40" t="s">
        <v>6852</v>
      </c>
      <c r="J630" s="140" t="s">
        <v>3155</v>
      </c>
      <c r="K630" s="141">
        <v>2115671</v>
      </c>
      <c r="L630" s="141">
        <v>3300009819</v>
      </c>
      <c r="M630" s="141" t="s">
        <v>6678</v>
      </c>
      <c r="N630" s="141"/>
      <c r="O630" s="142"/>
      <c r="P630" s="142"/>
      <c r="Q630" s="142"/>
      <c r="R630" s="142"/>
      <c r="S630" s="142"/>
      <c r="T630" s="141" t="s">
        <v>3156</v>
      </c>
      <c r="V630" s="43" t="s">
        <v>656</v>
      </c>
      <c r="AF630" s="42">
        <v>2116250</v>
      </c>
      <c r="AG630" s="42" t="s">
        <v>6528</v>
      </c>
    </row>
    <row r="631" spans="6:33" ht="15.75" customHeight="1">
      <c r="F631" s="40" t="s">
        <v>7478</v>
      </c>
      <c r="G631" s="40" t="s">
        <v>7479</v>
      </c>
      <c r="H631" s="40" t="s">
        <v>8208</v>
      </c>
      <c r="I631" s="40" t="s">
        <v>6850</v>
      </c>
      <c r="J631" s="140">
        <v>2116305</v>
      </c>
      <c r="K631" s="141" t="s">
        <v>7540</v>
      </c>
      <c r="L631" s="141">
        <v>5047873</v>
      </c>
      <c r="M631" s="141"/>
      <c r="N631" s="141"/>
      <c r="O631" s="142"/>
      <c r="P631" s="142"/>
      <c r="Q631" s="142"/>
      <c r="R631" s="142"/>
      <c r="S631" s="142"/>
      <c r="T631" s="141" t="s">
        <v>6583</v>
      </c>
      <c r="V631" s="43" t="s">
        <v>7598</v>
      </c>
      <c r="AF631" s="42">
        <v>2116251</v>
      </c>
      <c r="AG631" s="42" t="s">
        <v>6528</v>
      </c>
    </row>
    <row r="632" spans="6:33" ht="15.75" customHeight="1">
      <c r="F632" s="40" t="s">
        <v>7480</v>
      </c>
      <c r="G632" s="40" t="s">
        <v>7481</v>
      </c>
      <c r="H632" s="40" t="s">
        <v>761</v>
      </c>
      <c r="I632" s="40" t="s">
        <v>6848</v>
      </c>
      <c r="J632" s="140">
        <v>2110140</v>
      </c>
      <c r="K632" s="141">
        <v>2150987</v>
      </c>
      <c r="L632" s="141" t="s">
        <v>7541</v>
      </c>
      <c r="M632" s="141"/>
      <c r="N632" s="141"/>
      <c r="O632" s="142"/>
      <c r="P632" s="142"/>
      <c r="Q632" s="142"/>
      <c r="R632" s="142"/>
      <c r="S632" s="142"/>
      <c r="T632" s="141" t="s">
        <v>7577</v>
      </c>
      <c r="V632" s="43" t="s">
        <v>7158</v>
      </c>
      <c r="AF632" s="42">
        <v>2116252</v>
      </c>
      <c r="AG632" s="42" t="s">
        <v>6528</v>
      </c>
    </row>
    <row r="633" spans="6:33" ht="15.75" customHeight="1">
      <c r="F633" s="40" t="s">
        <v>7482</v>
      </c>
      <c r="G633" s="40" t="s">
        <v>1876</v>
      </c>
      <c r="H633" s="40" t="s">
        <v>564</v>
      </c>
      <c r="I633" s="40" t="s">
        <v>6851</v>
      </c>
      <c r="J633" s="140" t="s">
        <v>4397</v>
      </c>
      <c r="K633" s="141" t="s">
        <v>1877</v>
      </c>
      <c r="L633" s="141">
        <v>3300006525</v>
      </c>
      <c r="M633" s="141">
        <v>2119232</v>
      </c>
      <c r="N633" s="141"/>
      <c r="O633" s="142"/>
      <c r="P633" s="142"/>
      <c r="Q633" s="142"/>
      <c r="R633" s="142"/>
      <c r="S633" s="142"/>
      <c r="T633" s="141" t="s">
        <v>6798</v>
      </c>
      <c r="V633" s="43" t="s">
        <v>751</v>
      </c>
      <c r="AF633" s="42">
        <v>2116253</v>
      </c>
      <c r="AG633" s="42" t="s">
        <v>6528</v>
      </c>
    </row>
    <row r="634" spans="6:33" ht="15.75" customHeight="1">
      <c r="F634" s="40" t="s">
        <v>3474</v>
      </c>
      <c r="G634" s="40" t="s">
        <v>3475</v>
      </c>
      <c r="H634" s="40" t="s">
        <v>6841</v>
      </c>
      <c r="I634" s="40" t="s">
        <v>6852</v>
      </c>
      <c r="J634" s="140">
        <v>2183461</v>
      </c>
      <c r="K634" s="141" t="s">
        <v>3476</v>
      </c>
      <c r="L634" s="141">
        <v>3300010893</v>
      </c>
      <c r="M634" s="141">
        <v>2183603</v>
      </c>
      <c r="N634" s="141"/>
      <c r="O634" s="142"/>
      <c r="P634" s="142"/>
      <c r="Q634" s="142"/>
      <c r="R634" s="142"/>
      <c r="S634" s="142"/>
      <c r="T634" s="141" t="s">
        <v>3477</v>
      </c>
      <c r="V634" s="43" t="s">
        <v>538</v>
      </c>
      <c r="AF634" s="42">
        <v>2116254</v>
      </c>
      <c r="AG634" s="42" t="s">
        <v>6528</v>
      </c>
    </row>
    <row r="635" spans="6:33" ht="15.75" customHeight="1">
      <c r="F635" s="40" t="s">
        <v>3682</v>
      </c>
      <c r="G635" s="40" t="s">
        <v>3683</v>
      </c>
      <c r="H635" s="40" t="s">
        <v>8513</v>
      </c>
      <c r="I635" s="40" t="s">
        <v>6853</v>
      </c>
      <c r="J635" s="140">
        <v>3400001165</v>
      </c>
      <c r="K635" s="141">
        <v>2239802</v>
      </c>
      <c r="L635" s="141">
        <v>3400001166</v>
      </c>
      <c r="M635" s="141" t="s">
        <v>3684</v>
      </c>
      <c r="N635" s="141">
        <v>5070895</v>
      </c>
      <c r="O635" s="142"/>
      <c r="P635" s="142"/>
      <c r="Q635" s="142"/>
      <c r="R635" s="142"/>
      <c r="S635" s="142"/>
      <c r="T635" s="141" t="s">
        <v>3685</v>
      </c>
      <c r="V635" s="43" t="s">
        <v>563</v>
      </c>
      <c r="AF635" s="42">
        <v>2116255</v>
      </c>
      <c r="AG635" s="42" t="s">
        <v>6528</v>
      </c>
    </row>
    <row r="636" spans="6:33" ht="15.75" customHeight="1">
      <c r="F636" s="40" t="s">
        <v>3856</v>
      </c>
      <c r="G636" s="40" t="s">
        <v>3857</v>
      </c>
      <c r="H636" s="40" t="s">
        <v>553</v>
      </c>
      <c r="I636" s="40" t="s">
        <v>6853</v>
      </c>
      <c r="J636" s="140" t="s">
        <v>8552</v>
      </c>
      <c r="K636" s="141">
        <v>5049685</v>
      </c>
      <c r="L636" s="141">
        <v>2171973</v>
      </c>
      <c r="M636" s="141"/>
      <c r="N636" s="141"/>
      <c r="O636" s="142"/>
      <c r="P636" s="142"/>
      <c r="Q636" s="142"/>
      <c r="R636" s="142"/>
      <c r="S636" s="142"/>
      <c r="T636" s="141" t="s">
        <v>3859</v>
      </c>
      <c r="V636" s="43" t="s">
        <v>549</v>
      </c>
      <c r="AF636" s="42">
        <v>2116256</v>
      </c>
      <c r="AG636" s="42" t="s">
        <v>6528</v>
      </c>
    </row>
    <row r="637" spans="6:33" ht="15.75" customHeight="1">
      <c r="F637" s="40" t="s">
        <v>3072</v>
      </c>
      <c r="G637" s="40" t="s">
        <v>3073</v>
      </c>
      <c r="H637" s="40" t="s">
        <v>595</v>
      </c>
      <c r="I637" s="40" t="s">
        <v>6847</v>
      </c>
      <c r="J637" s="140">
        <v>3300011501</v>
      </c>
      <c r="K637" s="141" t="s">
        <v>3074</v>
      </c>
      <c r="L637" s="141">
        <v>2119280</v>
      </c>
      <c r="M637" s="141">
        <v>5031865</v>
      </c>
      <c r="N637" s="141" t="s">
        <v>954</v>
      </c>
      <c r="O637" s="142"/>
      <c r="P637" s="142"/>
      <c r="Q637" s="142"/>
      <c r="R637" s="142"/>
      <c r="S637" s="142"/>
      <c r="T637" s="141" t="s">
        <v>3075</v>
      </c>
      <c r="V637" s="43" t="s">
        <v>595</v>
      </c>
      <c r="AF637" s="42">
        <v>2116257</v>
      </c>
      <c r="AG637" s="42" t="s">
        <v>6528</v>
      </c>
    </row>
    <row r="638" spans="6:33" ht="15.75" customHeight="1">
      <c r="F638" s="40" t="s">
        <v>3616</v>
      </c>
      <c r="G638" s="40" t="s">
        <v>3617</v>
      </c>
      <c r="H638" s="40" t="s">
        <v>8513</v>
      </c>
      <c r="I638" s="40" t="s">
        <v>6853</v>
      </c>
      <c r="J638" s="140">
        <v>3300002943</v>
      </c>
      <c r="K638" s="141">
        <v>2103529</v>
      </c>
      <c r="L638" s="141" t="s">
        <v>3618</v>
      </c>
      <c r="M638" s="141">
        <v>2103908</v>
      </c>
      <c r="N638" s="141"/>
      <c r="O638" s="142"/>
      <c r="P638" s="142"/>
      <c r="Q638" s="142"/>
      <c r="R638" s="142"/>
      <c r="S638" s="142"/>
      <c r="T638" s="141" t="s">
        <v>3619</v>
      </c>
      <c r="V638" s="43" t="s">
        <v>544</v>
      </c>
      <c r="AF638" s="42">
        <v>2116258</v>
      </c>
      <c r="AG638" s="42" t="s">
        <v>6528</v>
      </c>
    </row>
    <row r="639" spans="6:33" ht="15.75" customHeight="1">
      <c r="F639" s="40" t="s">
        <v>1559</v>
      </c>
      <c r="G639" s="40" t="s">
        <v>1560</v>
      </c>
      <c r="H639" s="40" t="s">
        <v>564</v>
      </c>
      <c r="I639" s="40" t="s">
        <v>6851</v>
      </c>
      <c r="J639" s="140">
        <v>2183517</v>
      </c>
      <c r="K639" s="141">
        <v>3300011502</v>
      </c>
      <c r="L639" s="141">
        <v>5040892</v>
      </c>
      <c r="M639" s="141" t="s">
        <v>1561</v>
      </c>
      <c r="N639" s="141" t="s">
        <v>8240</v>
      </c>
      <c r="O639" s="142"/>
      <c r="P639" s="142"/>
      <c r="Q639" s="142"/>
      <c r="R639" s="142"/>
      <c r="S639" s="142"/>
      <c r="T639" s="141" t="s">
        <v>6782</v>
      </c>
      <c r="V639" s="43" t="s">
        <v>580</v>
      </c>
      <c r="AF639" s="42">
        <v>2116259</v>
      </c>
      <c r="AG639" s="42" t="s">
        <v>6528</v>
      </c>
    </row>
    <row r="640" spans="6:33" ht="15.75" customHeight="1">
      <c r="F640" s="40" t="s">
        <v>1577</v>
      </c>
      <c r="G640" s="40" t="s">
        <v>1578</v>
      </c>
      <c r="H640" s="40" t="s">
        <v>564</v>
      </c>
      <c r="I640" s="40" t="s">
        <v>6851</v>
      </c>
      <c r="J640" s="140" t="s">
        <v>1580</v>
      </c>
      <c r="K640" s="141">
        <v>2116188</v>
      </c>
      <c r="L640" s="141" t="s">
        <v>1581</v>
      </c>
      <c r="M640" s="141">
        <v>3300010088</v>
      </c>
      <c r="N640" s="141"/>
      <c r="O640" s="142"/>
      <c r="P640" s="142"/>
      <c r="Q640" s="142"/>
      <c r="R640" s="142"/>
      <c r="S640" s="142"/>
      <c r="T640" s="141" t="s">
        <v>1582</v>
      </c>
      <c r="V640" s="43" t="s">
        <v>1579</v>
      </c>
      <c r="AF640" s="42">
        <v>2116260</v>
      </c>
      <c r="AG640" s="42" t="s">
        <v>6528</v>
      </c>
    </row>
    <row r="641" spans="6:33" ht="15.75" customHeight="1">
      <c r="F641" s="40" t="s">
        <v>7729</v>
      </c>
      <c r="G641" s="40" t="s">
        <v>7894</v>
      </c>
      <c r="H641" s="40" t="s">
        <v>8208</v>
      </c>
      <c r="I641" s="40" t="s">
        <v>6850</v>
      </c>
      <c r="J641" s="140">
        <v>2081344</v>
      </c>
      <c r="K641" s="141">
        <v>5045647</v>
      </c>
      <c r="L641" s="141">
        <v>3300002896</v>
      </c>
      <c r="M641" s="141" t="s">
        <v>8061</v>
      </c>
      <c r="N641" s="141"/>
      <c r="O641" s="142"/>
      <c r="P641" s="142"/>
      <c r="Q641" s="142"/>
      <c r="R641" s="142"/>
      <c r="S641" s="142"/>
      <c r="T641" s="141">
        <v>111300136</v>
      </c>
      <c r="V641" s="43" t="s">
        <v>610</v>
      </c>
      <c r="AF641" s="42">
        <v>2116261</v>
      </c>
      <c r="AG641" s="42" t="s">
        <v>6528</v>
      </c>
    </row>
    <row r="642" spans="6:33" ht="15.75" customHeight="1">
      <c r="F642" s="40" t="s">
        <v>1714</v>
      </c>
      <c r="G642" s="40" t="s">
        <v>63</v>
      </c>
      <c r="H642" s="40" t="s">
        <v>564</v>
      </c>
      <c r="I642" s="40" t="s">
        <v>6851</v>
      </c>
      <c r="J642" s="140" t="s">
        <v>1716</v>
      </c>
      <c r="K642" s="141">
        <v>3300012802</v>
      </c>
      <c r="L642" s="141">
        <v>2117432</v>
      </c>
      <c r="M642" s="141" t="s">
        <v>1717</v>
      </c>
      <c r="N642" s="141" t="s">
        <v>7542</v>
      </c>
      <c r="O642" s="142"/>
      <c r="P642" s="142"/>
      <c r="Q642" s="142"/>
      <c r="R642" s="142"/>
      <c r="S642" s="142"/>
      <c r="T642" s="141" t="s">
        <v>1718</v>
      </c>
      <c r="V642" s="43" t="s">
        <v>817</v>
      </c>
      <c r="AF642" s="42">
        <v>2116262</v>
      </c>
      <c r="AG642" s="42" t="s">
        <v>6528</v>
      </c>
    </row>
    <row r="643" spans="6:33" ht="15.75" customHeight="1">
      <c r="F643" s="40" t="s">
        <v>4716</v>
      </c>
      <c r="G643" s="40" t="s">
        <v>4717</v>
      </c>
      <c r="H643" s="40" t="s">
        <v>761</v>
      </c>
      <c r="I643" s="40" t="s">
        <v>6848</v>
      </c>
      <c r="J643" s="140">
        <v>2114753</v>
      </c>
      <c r="K643" s="141" t="s">
        <v>4719</v>
      </c>
      <c r="L643" s="141">
        <v>5059318</v>
      </c>
      <c r="M643" s="141"/>
      <c r="N643" s="141"/>
      <c r="O643" s="142"/>
      <c r="P643" s="142"/>
      <c r="Q643" s="142"/>
      <c r="R643" s="142"/>
      <c r="S643" s="142"/>
      <c r="T643" s="141" t="s">
        <v>4720</v>
      </c>
      <c r="V643" s="43" t="s">
        <v>796</v>
      </c>
      <c r="AF643" s="42">
        <v>2116263</v>
      </c>
      <c r="AG643" s="42" t="s">
        <v>6528</v>
      </c>
    </row>
    <row r="644" spans="6:33" ht="15.75" customHeight="1">
      <c r="F644" s="40" t="s">
        <v>4930</v>
      </c>
      <c r="G644" s="40" t="s">
        <v>4931</v>
      </c>
      <c r="H644" s="40" t="s">
        <v>761</v>
      </c>
      <c r="I644" s="40" t="s">
        <v>6848</v>
      </c>
      <c r="J644" s="140">
        <v>3300005136</v>
      </c>
      <c r="K644" s="141" t="s">
        <v>4932</v>
      </c>
      <c r="L644" s="141">
        <v>2119233</v>
      </c>
      <c r="M644" s="141">
        <v>5001458</v>
      </c>
      <c r="N644" s="141"/>
      <c r="O644" s="142"/>
      <c r="P644" s="142"/>
      <c r="Q644" s="142"/>
      <c r="R644" s="142"/>
      <c r="S644" s="142"/>
      <c r="T644" s="141" t="s">
        <v>4933</v>
      </c>
      <c r="V644" s="43" t="s">
        <v>588</v>
      </c>
      <c r="AF644" s="42">
        <v>2116264</v>
      </c>
      <c r="AG644" s="42" t="s">
        <v>6528</v>
      </c>
    </row>
    <row r="645" spans="6:33" ht="15.75" customHeight="1">
      <c r="F645" s="40" t="s">
        <v>7418</v>
      </c>
      <c r="G645" s="40" t="s">
        <v>7426</v>
      </c>
      <c r="H645" s="40" t="s">
        <v>761</v>
      </c>
      <c r="I645" s="40" t="s">
        <v>6848</v>
      </c>
      <c r="J645" s="138">
        <v>2119291</v>
      </c>
      <c r="K645" s="141">
        <v>3300001223</v>
      </c>
      <c r="L645" s="141"/>
      <c r="M645" s="141"/>
      <c r="N645" s="141"/>
      <c r="O645" s="142"/>
      <c r="P645" s="142"/>
      <c r="Q645" s="142"/>
      <c r="R645" s="142"/>
      <c r="S645" s="142"/>
      <c r="T645" s="139" t="s">
        <v>2537</v>
      </c>
      <c r="V645" s="43" t="s">
        <v>588</v>
      </c>
      <c r="AF645" s="42">
        <v>2116265</v>
      </c>
      <c r="AG645" s="42" t="s">
        <v>6528</v>
      </c>
    </row>
    <row r="646" spans="6:33" ht="15.75" customHeight="1">
      <c r="F646" s="40" t="s">
        <v>7483</v>
      </c>
      <c r="G646" s="40" t="s">
        <v>7484</v>
      </c>
      <c r="H646" s="40" t="s">
        <v>761</v>
      </c>
      <c r="I646" s="40" t="s">
        <v>6848</v>
      </c>
      <c r="J646" s="140">
        <v>3300016393</v>
      </c>
      <c r="K646" s="141">
        <v>2172357</v>
      </c>
      <c r="L646" s="141"/>
      <c r="M646" s="141"/>
      <c r="N646" s="141"/>
      <c r="O646" s="142"/>
      <c r="P646" s="142"/>
      <c r="Q646" s="142"/>
      <c r="R646" s="142"/>
      <c r="S646" s="142"/>
      <c r="T646" s="141" t="s">
        <v>7578</v>
      </c>
      <c r="V646" s="43" t="s">
        <v>4650</v>
      </c>
      <c r="AF646" s="42">
        <v>2116266</v>
      </c>
      <c r="AG646" s="42" t="s">
        <v>6528</v>
      </c>
    </row>
    <row r="647" spans="6:33" ht="15.75" customHeight="1">
      <c r="F647" s="40" t="s">
        <v>7730</v>
      </c>
      <c r="G647" s="40" t="s">
        <v>7484</v>
      </c>
      <c r="H647" s="40" t="s">
        <v>761</v>
      </c>
      <c r="I647" s="40" t="s">
        <v>6848</v>
      </c>
      <c r="J647" s="140">
        <v>2150977</v>
      </c>
      <c r="K647" s="141">
        <v>2183568</v>
      </c>
      <c r="L647" s="141" t="s">
        <v>7620</v>
      </c>
      <c r="M647" s="141"/>
      <c r="N647" s="141"/>
      <c r="O647" s="142"/>
      <c r="P647" s="142"/>
      <c r="Q647" s="142"/>
      <c r="R647" s="142"/>
      <c r="S647" s="142"/>
      <c r="T647" s="141" t="s">
        <v>1187</v>
      </c>
      <c r="V647" s="43" t="s">
        <v>588</v>
      </c>
      <c r="AF647" s="42">
        <v>2116267</v>
      </c>
      <c r="AG647" s="42" t="s">
        <v>6528</v>
      </c>
    </row>
    <row r="648" spans="6:33" ht="15.75" customHeight="1">
      <c r="F648" s="40" t="s">
        <v>6260</v>
      </c>
      <c r="G648" s="40" t="s">
        <v>6261</v>
      </c>
      <c r="H648" s="40" t="s">
        <v>8208</v>
      </c>
      <c r="I648" s="40" t="s">
        <v>6850</v>
      </c>
      <c r="J648" s="138">
        <v>2183505</v>
      </c>
      <c r="K648" s="139">
        <v>5001472</v>
      </c>
      <c r="L648" s="141" t="s">
        <v>6262</v>
      </c>
      <c r="M648" s="141"/>
      <c r="N648" s="141"/>
      <c r="O648" s="142"/>
      <c r="P648" s="142"/>
      <c r="Q648" s="142"/>
      <c r="R648" s="142"/>
      <c r="S648" s="142"/>
      <c r="T648" s="139" t="s">
        <v>6263</v>
      </c>
      <c r="V648" s="43" t="s">
        <v>650</v>
      </c>
      <c r="AF648" s="42">
        <v>2116268</v>
      </c>
      <c r="AG648" s="42" t="s">
        <v>6528</v>
      </c>
    </row>
    <row r="649" spans="6:33" ht="15.75" customHeight="1">
      <c r="F649" s="40" t="s">
        <v>7485</v>
      </c>
      <c r="G649" s="40" t="s">
        <v>1597</v>
      </c>
      <c r="H649" s="40" t="s">
        <v>564</v>
      </c>
      <c r="I649" s="40" t="s">
        <v>6851</v>
      </c>
      <c r="J649" s="140">
        <v>2116308</v>
      </c>
      <c r="K649" s="141" t="s">
        <v>1598</v>
      </c>
      <c r="L649" s="141">
        <v>2115664</v>
      </c>
      <c r="M649" s="141">
        <v>3300008150</v>
      </c>
      <c r="N649" s="141"/>
      <c r="O649" s="142"/>
      <c r="P649" s="142"/>
      <c r="Q649" s="142"/>
      <c r="R649" s="142"/>
      <c r="S649" s="142"/>
      <c r="T649" s="141" t="s">
        <v>1599</v>
      </c>
      <c r="V649" s="43" t="s">
        <v>602</v>
      </c>
      <c r="AF649" s="42">
        <v>2116269</v>
      </c>
      <c r="AG649" s="42" t="s">
        <v>6528</v>
      </c>
    </row>
    <row r="650" spans="6:33" ht="15.75" customHeight="1">
      <c r="F650" s="40" t="s">
        <v>2137</v>
      </c>
      <c r="G650" s="40" t="s">
        <v>2137</v>
      </c>
      <c r="H650" s="40" t="s">
        <v>564</v>
      </c>
      <c r="I650" s="40" t="s">
        <v>6851</v>
      </c>
      <c r="J650" s="138">
        <v>2183588</v>
      </c>
      <c r="K650" s="139">
        <v>5104327</v>
      </c>
      <c r="L650" s="141">
        <v>3300002813</v>
      </c>
      <c r="M650" s="141">
        <v>2103960</v>
      </c>
      <c r="N650" s="141" t="s">
        <v>2139</v>
      </c>
      <c r="O650" s="142"/>
      <c r="P650" s="142"/>
      <c r="Q650" s="142"/>
      <c r="R650" s="142"/>
      <c r="S650" s="142"/>
      <c r="T650" s="139" t="s">
        <v>2140</v>
      </c>
      <c r="V650" s="43" t="s">
        <v>729</v>
      </c>
      <c r="AF650" s="42">
        <v>2116270</v>
      </c>
      <c r="AG650" s="42" t="s">
        <v>6528</v>
      </c>
    </row>
    <row r="651" spans="6:33" ht="15.75" customHeight="1">
      <c r="F651" s="40" t="s">
        <v>7731</v>
      </c>
      <c r="G651" s="40" t="s">
        <v>7895</v>
      </c>
      <c r="H651" s="40" t="s">
        <v>6841</v>
      </c>
      <c r="I651" s="40" t="s">
        <v>6852</v>
      </c>
      <c r="J651" s="140">
        <v>2103720</v>
      </c>
      <c r="K651" s="141">
        <v>2149690</v>
      </c>
      <c r="L651" s="141" t="s">
        <v>7626</v>
      </c>
      <c r="M651" s="141"/>
      <c r="N651" s="141"/>
      <c r="O651" s="142"/>
      <c r="P651" s="142"/>
      <c r="Q651" s="142"/>
      <c r="R651" s="142"/>
      <c r="S651" s="142"/>
      <c r="T651" s="141" t="s">
        <v>7612</v>
      </c>
      <c r="V651" s="43" t="s">
        <v>683</v>
      </c>
      <c r="AF651" s="42">
        <v>2116271</v>
      </c>
      <c r="AG651" s="42" t="s">
        <v>6528</v>
      </c>
    </row>
    <row r="652" spans="6:33" ht="15.75" customHeight="1">
      <c r="F652" s="40" t="s">
        <v>6143</v>
      </c>
      <c r="G652" s="40" t="s">
        <v>6144</v>
      </c>
      <c r="H652" s="40" t="s">
        <v>8208</v>
      </c>
      <c r="I652" s="40" t="s">
        <v>6850</v>
      </c>
      <c r="J652" s="140">
        <v>5045697</v>
      </c>
      <c r="K652" s="141">
        <v>3300001295</v>
      </c>
      <c r="L652" s="141" t="s">
        <v>6145</v>
      </c>
      <c r="M652" s="141">
        <v>2116054</v>
      </c>
      <c r="N652" s="141" t="s">
        <v>7124</v>
      </c>
      <c r="O652" s="142"/>
      <c r="P652" s="142"/>
      <c r="Q652" s="142"/>
      <c r="R652" s="142"/>
      <c r="S652" s="142"/>
      <c r="T652" s="141" t="s">
        <v>6146</v>
      </c>
      <c r="V652" s="43" t="s">
        <v>645</v>
      </c>
      <c r="AF652" s="42">
        <v>2116272</v>
      </c>
      <c r="AG652" s="42" t="s">
        <v>6528</v>
      </c>
    </row>
    <row r="653" spans="6:33" ht="15.75" customHeight="1">
      <c r="F653" s="40" t="s">
        <v>4226</v>
      </c>
      <c r="G653" s="40" t="s">
        <v>4227</v>
      </c>
      <c r="H653" s="40" t="s">
        <v>553</v>
      </c>
      <c r="I653" s="40" t="s">
        <v>6853</v>
      </c>
      <c r="J653" s="140">
        <v>5059297</v>
      </c>
      <c r="K653" s="141">
        <v>3300001221</v>
      </c>
      <c r="L653" s="141">
        <v>2115643</v>
      </c>
      <c r="M653" s="141" t="s">
        <v>6641</v>
      </c>
      <c r="N653" s="141">
        <v>3300001220</v>
      </c>
      <c r="O653" s="142"/>
      <c r="P653" s="142"/>
      <c r="Q653" s="142"/>
      <c r="R653" s="142"/>
      <c r="S653" s="142"/>
      <c r="T653" s="141" t="s">
        <v>4228</v>
      </c>
      <c r="V653" s="43" t="s">
        <v>553</v>
      </c>
      <c r="AF653" s="42">
        <v>2116273</v>
      </c>
      <c r="AG653" s="42" t="s">
        <v>6528</v>
      </c>
    </row>
    <row r="654" spans="6:33" ht="15.75" customHeight="1">
      <c r="F654" s="40" t="s">
        <v>4073</v>
      </c>
      <c r="G654" s="40" t="s">
        <v>4074</v>
      </c>
      <c r="H654" s="40" t="s">
        <v>553</v>
      </c>
      <c r="I654" s="40" t="s">
        <v>6853</v>
      </c>
      <c r="J654" s="140">
        <v>2103922</v>
      </c>
      <c r="K654" s="141">
        <v>5059366</v>
      </c>
      <c r="L654" s="141">
        <v>3300004132</v>
      </c>
      <c r="M654" s="141"/>
      <c r="N654" s="141"/>
      <c r="O654" s="142"/>
      <c r="P654" s="142"/>
      <c r="Q654" s="142"/>
      <c r="R654" s="142"/>
      <c r="S654" s="142"/>
      <c r="T654" s="141" t="s">
        <v>6729</v>
      </c>
      <c r="V654" s="43" t="s">
        <v>567</v>
      </c>
      <c r="AF654" s="42">
        <v>2116274</v>
      </c>
      <c r="AG654" s="42" t="s">
        <v>6528</v>
      </c>
    </row>
    <row r="655" spans="6:33" ht="15.75" customHeight="1">
      <c r="F655" s="40" t="s">
        <v>5017</v>
      </c>
      <c r="G655" s="40" t="s">
        <v>5018</v>
      </c>
      <c r="H655" s="40" t="s">
        <v>761</v>
      </c>
      <c r="I655" s="40" t="s">
        <v>6848</v>
      </c>
      <c r="J655" s="140">
        <v>3300002960</v>
      </c>
      <c r="K655" s="141" t="s">
        <v>5019</v>
      </c>
      <c r="L655" s="141">
        <v>2103919</v>
      </c>
      <c r="M655" s="141" t="s">
        <v>5020</v>
      </c>
      <c r="N655" s="141">
        <v>3300005167</v>
      </c>
      <c r="O655" s="142"/>
      <c r="P655" s="142"/>
      <c r="Q655" s="142"/>
      <c r="R655" s="142"/>
      <c r="S655" s="142"/>
      <c r="T655" s="141" t="s">
        <v>6805</v>
      </c>
      <c r="V655" s="43" t="s">
        <v>761</v>
      </c>
      <c r="AF655" s="42">
        <v>2116275</v>
      </c>
      <c r="AG655" s="42" t="s">
        <v>6528</v>
      </c>
    </row>
    <row r="656" spans="6:33" ht="15.75" customHeight="1">
      <c r="F656" s="40" t="s">
        <v>1415</v>
      </c>
      <c r="G656" s="40" t="s">
        <v>1416</v>
      </c>
      <c r="H656" s="40" t="s">
        <v>564</v>
      </c>
      <c r="I656" s="40" t="s">
        <v>6851</v>
      </c>
      <c r="J656" s="140">
        <v>2116277</v>
      </c>
      <c r="K656" s="141">
        <v>3300002959</v>
      </c>
      <c r="L656" s="141" t="s">
        <v>1419</v>
      </c>
      <c r="M656" s="141">
        <v>2116280</v>
      </c>
      <c r="N656" s="141">
        <v>5070904</v>
      </c>
      <c r="O656" s="142"/>
      <c r="P656" s="142"/>
      <c r="Q656" s="142"/>
      <c r="R656" s="142"/>
      <c r="S656" s="142"/>
      <c r="T656" s="141" t="s">
        <v>1420</v>
      </c>
      <c r="V656" s="43" t="s">
        <v>1418</v>
      </c>
      <c r="AF656" s="42">
        <v>2116276</v>
      </c>
      <c r="AG656" s="42" t="s">
        <v>6528</v>
      </c>
    </row>
    <row r="657" spans="6:33" ht="15.75" customHeight="1">
      <c r="F657" s="40" t="s">
        <v>4643</v>
      </c>
      <c r="G657" s="40" t="s">
        <v>4644</v>
      </c>
      <c r="H657" s="40" t="s">
        <v>761</v>
      </c>
      <c r="I657" s="40" t="s">
        <v>6848</v>
      </c>
      <c r="J657" s="140" t="s">
        <v>7543</v>
      </c>
      <c r="K657" s="141">
        <v>2171915</v>
      </c>
      <c r="L657" s="141">
        <v>3300001255</v>
      </c>
      <c r="M657" s="141" t="s">
        <v>4645</v>
      </c>
      <c r="N657" s="141">
        <v>5049684</v>
      </c>
      <c r="O657" s="142"/>
      <c r="P657" s="142"/>
      <c r="Q657" s="142"/>
      <c r="R657" s="142"/>
      <c r="S657" s="142"/>
      <c r="T657" s="141" t="s">
        <v>4646</v>
      </c>
      <c r="V657" s="43" t="s">
        <v>725</v>
      </c>
      <c r="AF657" s="42">
        <v>2116277</v>
      </c>
      <c r="AG657" s="42" t="s">
        <v>6528</v>
      </c>
    </row>
    <row r="658" spans="6:33" ht="15.75" customHeight="1">
      <c r="F658" s="40" t="s">
        <v>6266</v>
      </c>
      <c r="G658" s="40" t="s">
        <v>6267</v>
      </c>
      <c r="H658" s="40" t="s">
        <v>8208</v>
      </c>
      <c r="I658" s="40" t="s">
        <v>6850</v>
      </c>
      <c r="J658" s="140">
        <v>2114784</v>
      </c>
      <c r="K658" s="141">
        <v>5001447</v>
      </c>
      <c r="L658" s="141"/>
      <c r="M658" s="141"/>
      <c r="N658" s="141"/>
      <c r="O658" s="142"/>
      <c r="P658" s="142"/>
      <c r="Q658" s="142"/>
      <c r="R658" s="142"/>
      <c r="S658" s="142"/>
      <c r="T658" s="141" t="s">
        <v>6268</v>
      </c>
      <c r="V658" s="43" t="s">
        <v>650</v>
      </c>
      <c r="AF658" s="42">
        <v>2116279</v>
      </c>
      <c r="AG658" s="42" t="s">
        <v>6528</v>
      </c>
    </row>
    <row r="659" spans="6:33" ht="15.75" customHeight="1">
      <c r="F659" s="40" t="s">
        <v>8449</v>
      </c>
      <c r="G659" s="40" t="s">
        <v>7879</v>
      </c>
      <c r="H659" s="40" t="s">
        <v>8208</v>
      </c>
      <c r="I659" s="40" t="s">
        <v>6850</v>
      </c>
      <c r="J659" s="140">
        <v>3300013074</v>
      </c>
      <c r="K659" s="141">
        <v>2096106</v>
      </c>
      <c r="L659" s="141">
        <v>5010217</v>
      </c>
      <c r="M659" s="141" t="s">
        <v>8039</v>
      </c>
      <c r="N659" s="141" t="s">
        <v>8040</v>
      </c>
      <c r="O659" s="142"/>
      <c r="P659" s="142"/>
      <c r="Q659" s="142"/>
      <c r="R659" s="142"/>
      <c r="S659" s="142"/>
      <c r="T659" s="141">
        <v>91200005</v>
      </c>
      <c r="V659" s="43" t="s">
        <v>6448</v>
      </c>
      <c r="AF659" s="42">
        <v>2116280</v>
      </c>
      <c r="AG659" s="42" t="s">
        <v>6528</v>
      </c>
    </row>
    <row r="660" spans="6:33" ht="15.75" customHeight="1">
      <c r="F660" s="40" t="s">
        <v>8303</v>
      </c>
      <c r="G660" s="40" t="s">
        <v>8321</v>
      </c>
      <c r="H660" s="40" t="s">
        <v>564</v>
      </c>
      <c r="I660" s="40" t="s">
        <v>6851</v>
      </c>
      <c r="J660" s="140" t="s">
        <v>8252</v>
      </c>
      <c r="K660" s="141">
        <v>5100182</v>
      </c>
      <c r="L660" s="141" t="s">
        <v>8276</v>
      </c>
      <c r="M660" s="141">
        <v>2236042</v>
      </c>
      <c r="N660" s="141">
        <v>3400003791</v>
      </c>
      <c r="O660" s="142"/>
      <c r="P660" s="142"/>
      <c r="Q660" s="142"/>
      <c r="R660" s="142"/>
      <c r="S660" s="142"/>
      <c r="T660" s="141" t="s">
        <v>8227</v>
      </c>
      <c r="V660" s="43" t="s">
        <v>568</v>
      </c>
      <c r="AF660" s="42">
        <v>2116281</v>
      </c>
      <c r="AG660" s="42" t="s">
        <v>6528</v>
      </c>
    </row>
    <row r="661" spans="6:33" ht="15.75" customHeight="1">
      <c r="F661" s="40" t="s">
        <v>5524</v>
      </c>
      <c r="G661" s="40" t="s">
        <v>5525</v>
      </c>
      <c r="H661" s="40" t="s">
        <v>761</v>
      </c>
      <c r="I661" s="40" t="s">
        <v>6848</v>
      </c>
      <c r="J661" s="140">
        <v>5040902</v>
      </c>
      <c r="K661" s="141">
        <v>2119189</v>
      </c>
      <c r="L661" s="141" t="s">
        <v>7981</v>
      </c>
      <c r="M661" s="141">
        <v>2119211</v>
      </c>
      <c r="N661" s="141"/>
      <c r="O661" s="142"/>
      <c r="P661" s="142"/>
      <c r="Q661" s="142"/>
      <c r="R661" s="142"/>
      <c r="S661" s="142"/>
      <c r="T661" s="141" t="s">
        <v>5527</v>
      </c>
      <c r="V661" s="43" t="s">
        <v>692</v>
      </c>
      <c r="AF661" s="42">
        <v>2116282</v>
      </c>
      <c r="AG661" s="42" t="s">
        <v>6528</v>
      </c>
    </row>
    <row r="662" spans="6:33" ht="15.75" customHeight="1">
      <c r="F662" s="40" t="s">
        <v>5541</v>
      </c>
      <c r="G662" s="40" t="s">
        <v>5542</v>
      </c>
      <c r="H662" s="40" t="s">
        <v>761</v>
      </c>
      <c r="I662" s="40" t="s">
        <v>6848</v>
      </c>
      <c r="J662" s="140">
        <v>3300006517</v>
      </c>
      <c r="K662" s="141">
        <v>3300006522</v>
      </c>
      <c r="L662" s="141" t="s">
        <v>5544</v>
      </c>
      <c r="M662" s="141">
        <v>2083217</v>
      </c>
      <c r="N662" s="141"/>
      <c r="O662" s="142"/>
      <c r="P662" s="142"/>
      <c r="Q662" s="142"/>
      <c r="R662" s="142"/>
      <c r="S662" s="142"/>
      <c r="T662" s="141" t="s">
        <v>5545</v>
      </c>
      <c r="V662" s="43" t="s">
        <v>731</v>
      </c>
      <c r="AF662" s="42">
        <v>2116283</v>
      </c>
      <c r="AG662" s="42" t="s">
        <v>6528</v>
      </c>
    </row>
    <row r="663" spans="6:33" ht="15.75" customHeight="1">
      <c r="F663" s="40" t="s">
        <v>3259</v>
      </c>
      <c r="G663" s="40" t="s">
        <v>3260</v>
      </c>
      <c r="H663" s="40" t="s">
        <v>6841</v>
      </c>
      <c r="I663" s="40" t="s">
        <v>6852</v>
      </c>
      <c r="J663" s="140">
        <v>2116256</v>
      </c>
      <c r="K663" s="141">
        <v>5031829</v>
      </c>
      <c r="L663" s="141" t="s">
        <v>3262</v>
      </c>
      <c r="M663" s="141">
        <v>3300008131</v>
      </c>
      <c r="N663" s="141">
        <v>2117073</v>
      </c>
      <c r="O663" s="142"/>
      <c r="P663" s="142"/>
      <c r="Q663" s="142"/>
      <c r="R663" s="142"/>
      <c r="S663" s="142"/>
      <c r="T663" s="141" t="s">
        <v>3263</v>
      </c>
      <c r="V663" s="43" t="s">
        <v>724</v>
      </c>
      <c r="AF663" s="42">
        <v>2116284</v>
      </c>
      <c r="AG663" s="42" t="s">
        <v>6528</v>
      </c>
    </row>
    <row r="664" spans="6:33" ht="15.75" customHeight="1">
      <c r="F664" s="40" t="s">
        <v>3267</v>
      </c>
      <c r="G664" s="40" t="s">
        <v>3268</v>
      </c>
      <c r="H664" s="40" t="s">
        <v>6841</v>
      </c>
      <c r="I664" s="40" t="s">
        <v>6852</v>
      </c>
      <c r="J664" s="140">
        <v>2177542</v>
      </c>
      <c r="K664" s="141"/>
      <c r="L664" s="141">
        <v>5014459</v>
      </c>
      <c r="M664" s="141">
        <v>3300005181</v>
      </c>
      <c r="N664" s="141" t="s">
        <v>3270</v>
      </c>
      <c r="O664" s="142"/>
      <c r="P664" s="142"/>
      <c r="Q664" s="142"/>
      <c r="R664" s="142"/>
      <c r="S664" s="142"/>
      <c r="T664" s="141" t="s">
        <v>3271</v>
      </c>
      <c r="V664" s="43" t="s">
        <v>724</v>
      </c>
      <c r="AF664" s="42">
        <v>2116285</v>
      </c>
      <c r="AG664" s="42" t="s">
        <v>6528</v>
      </c>
    </row>
    <row r="665" spans="6:33" ht="15.75" customHeight="1">
      <c r="F665" s="40" t="s">
        <v>7732</v>
      </c>
      <c r="G665" s="40" t="s">
        <v>7896</v>
      </c>
      <c r="H665" s="40" t="s">
        <v>553</v>
      </c>
      <c r="I665" s="40" t="s">
        <v>6853</v>
      </c>
      <c r="J665" s="140">
        <v>2103876</v>
      </c>
      <c r="K665" s="141">
        <v>2150975</v>
      </c>
      <c r="L665" s="141" t="s">
        <v>3613</v>
      </c>
      <c r="M665" s="141" t="s">
        <v>7629</v>
      </c>
      <c r="N665" s="141">
        <v>2081970</v>
      </c>
      <c r="O665" s="142"/>
      <c r="P665" s="142"/>
      <c r="Q665" s="142"/>
      <c r="R665" s="142"/>
      <c r="S665" s="142"/>
      <c r="T665" s="141" t="s">
        <v>8155</v>
      </c>
      <c r="V665" s="43" t="s">
        <v>529</v>
      </c>
      <c r="AF665" s="42">
        <v>2116286</v>
      </c>
      <c r="AG665" s="42" t="s">
        <v>6528</v>
      </c>
    </row>
    <row r="666" spans="6:33" ht="15.75" customHeight="1">
      <c r="F666" s="40" t="s">
        <v>5095</v>
      </c>
      <c r="G666" s="40" t="s">
        <v>5095</v>
      </c>
      <c r="H666" s="40" t="s">
        <v>761</v>
      </c>
      <c r="I666" s="40" t="s">
        <v>6848</v>
      </c>
      <c r="J666" s="140">
        <v>2114782</v>
      </c>
      <c r="K666" s="141">
        <v>3300002937</v>
      </c>
      <c r="L666" s="141" t="s">
        <v>5096</v>
      </c>
      <c r="M666" s="141" t="s">
        <v>4284</v>
      </c>
      <c r="N666" s="141"/>
      <c r="O666" s="142"/>
      <c r="P666" s="142"/>
      <c r="Q666" s="142"/>
      <c r="R666" s="142"/>
      <c r="S666" s="142"/>
      <c r="T666" s="141" t="s">
        <v>6789</v>
      </c>
      <c r="V666" s="43" t="s">
        <v>671</v>
      </c>
      <c r="AF666" s="42">
        <v>2116287</v>
      </c>
      <c r="AG666" s="42" t="s">
        <v>6528</v>
      </c>
    </row>
    <row r="667" spans="6:33" ht="15.75" customHeight="1">
      <c r="F667" s="40" t="s">
        <v>7733</v>
      </c>
      <c r="G667" s="40" t="s">
        <v>7897</v>
      </c>
      <c r="H667" s="40" t="s">
        <v>8208</v>
      </c>
      <c r="I667" s="40" t="s">
        <v>6850</v>
      </c>
      <c r="J667" s="140">
        <v>2096142</v>
      </c>
      <c r="K667" s="141" t="s">
        <v>8062</v>
      </c>
      <c r="L667" s="141"/>
      <c r="M667" s="141"/>
      <c r="N667" s="141"/>
      <c r="O667" s="142"/>
      <c r="P667" s="142"/>
      <c r="Q667" s="142"/>
      <c r="R667" s="142"/>
      <c r="S667" s="142"/>
      <c r="T667" s="141">
        <v>101200108</v>
      </c>
      <c r="V667" s="43" t="s">
        <v>8189</v>
      </c>
      <c r="AF667" s="42">
        <v>2116288</v>
      </c>
      <c r="AG667" s="42" t="s">
        <v>6528</v>
      </c>
    </row>
    <row r="668" spans="6:33" ht="15.75" customHeight="1">
      <c r="F668" s="40" t="s">
        <v>2153</v>
      </c>
      <c r="G668" s="40" t="s">
        <v>2154</v>
      </c>
      <c r="H668" s="40" t="s">
        <v>564</v>
      </c>
      <c r="I668" s="40" t="s">
        <v>6851</v>
      </c>
      <c r="J668" s="140">
        <v>33000010657</v>
      </c>
      <c r="K668" s="141">
        <v>2182982</v>
      </c>
      <c r="L668" s="141" t="s">
        <v>2156</v>
      </c>
      <c r="M668" s="141">
        <v>5051811</v>
      </c>
      <c r="N668" s="141" t="s">
        <v>2157</v>
      </c>
      <c r="O668" s="142"/>
      <c r="P668" s="142"/>
      <c r="Q668" s="142"/>
      <c r="R668" s="142"/>
      <c r="S668" s="142"/>
      <c r="T668" s="141" t="s">
        <v>2158</v>
      </c>
      <c r="V668" s="43" t="s">
        <v>2147</v>
      </c>
      <c r="AF668" s="42">
        <v>2116289</v>
      </c>
      <c r="AG668" s="42" t="s">
        <v>6528</v>
      </c>
    </row>
    <row r="669" spans="6:33" ht="15.75" customHeight="1">
      <c r="F669" s="40" t="s">
        <v>958</v>
      </c>
      <c r="G669" s="40" t="s">
        <v>959</v>
      </c>
      <c r="H669" s="40" t="s">
        <v>564</v>
      </c>
      <c r="I669" s="40" t="s">
        <v>6851</v>
      </c>
      <c r="J669" s="140" t="s">
        <v>961</v>
      </c>
      <c r="K669" s="141">
        <v>2116223</v>
      </c>
      <c r="L669" s="141" t="s">
        <v>962</v>
      </c>
      <c r="M669" s="141">
        <v>3300010671</v>
      </c>
      <c r="N669" s="141">
        <v>2116236</v>
      </c>
      <c r="O669" s="142"/>
      <c r="P669" s="142"/>
      <c r="Q669" s="142"/>
      <c r="R669" s="142"/>
      <c r="S669" s="142"/>
      <c r="T669" s="141" t="s">
        <v>963</v>
      </c>
      <c r="V669" s="43" t="s">
        <v>547</v>
      </c>
      <c r="AF669" s="42">
        <v>2116290</v>
      </c>
      <c r="AG669" s="42" t="s">
        <v>6528</v>
      </c>
    </row>
    <row r="670" spans="6:33" ht="15.75" customHeight="1">
      <c r="F670" s="40" t="s">
        <v>7734</v>
      </c>
      <c r="G670" s="40" t="s">
        <v>7898</v>
      </c>
      <c r="H670" s="40" t="s">
        <v>8208</v>
      </c>
      <c r="I670" s="40" t="s">
        <v>6850</v>
      </c>
      <c r="J670" s="140">
        <v>2191195</v>
      </c>
      <c r="K670" s="141">
        <v>3300012849</v>
      </c>
      <c r="L670" s="141" t="s">
        <v>8063</v>
      </c>
      <c r="M670" s="141"/>
      <c r="N670" s="141"/>
      <c r="O670" s="142"/>
      <c r="P670" s="142"/>
      <c r="Q670" s="142"/>
      <c r="R670" s="142"/>
      <c r="S670" s="142"/>
      <c r="T670" s="141">
        <v>61500005</v>
      </c>
      <c r="V670" s="43" t="s">
        <v>771</v>
      </c>
      <c r="AF670" s="42">
        <v>2116291</v>
      </c>
      <c r="AG670" s="42" t="s">
        <v>6528</v>
      </c>
    </row>
    <row r="671" spans="6:33" ht="15.75" customHeight="1">
      <c r="F671" s="40" t="s">
        <v>8450</v>
      </c>
      <c r="G671" s="40" t="s">
        <v>8496</v>
      </c>
      <c r="H671" s="40" t="s">
        <v>553</v>
      </c>
      <c r="I671" s="40" t="s">
        <v>6853</v>
      </c>
      <c r="J671" s="138">
        <v>2084772</v>
      </c>
      <c r="K671" s="139" t="s">
        <v>7204</v>
      </c>
      <c r="L671" s="141">
        <v>5050438</v>
      </c>
      <c r="M671" s="141" t="s">
        <v>3125</v>
      </c>
      <c r="N671" s="141"/>
      <c r="O671" s="142"/>
      <c r="P671" s="142"/>
      <c r="Q671" s="142"/>
      <c r="R671" s="142"/>
      <c r="S671" s="142"/>
      <c r="T671" s="139" t="s">
        <v>7067</v>
      </c>
      <c r="V671" s="43" t="s">
        <v>606</v>
      </c>
      <c r="AF671" s="42">
        <v>2116292</v>
      </c>
      <c r="AG671" s="42" t="s">
        <v>6528</v>
      </c>
    </row>
    <row r="672" spans="6:33" ht="15.75" customHeight="1">
      <c r="F672" s="40" t="s">
        <v>7735</v>
      </c>
      <c r="G672" s="40" t="s">
        <v>7899</v>
      </c>
      <c r="H672" s="40" t="s">
        <v>8208</v>
      </c>
      <c r="I672" s="40" t="s">
        <v>6850</v>
      </c>
      <c r="J672" s="140">
        <v>2084136</v>
      </c>
      <c r="K672" s="141">
        <v>5050609</v>
      </c>
      <c r="L672" s="141" t="s">
        <v>8064</v>
      </c>
      <c r="M672" s="141"/>
      <c r="N672" s="141"/>
      <c r="O672" s="142"/>
      <c r="P672" s="142"/>
      <c r="Q672" s="142"/>
      <c r="R672" s="142"/>
      <c r="S672" s="142"/>
      <c r="T672" s="141">
        <v>121300120</v>
      </c>
      <c r="V672" s="43" t="s">
        <v>8190</v>
      </c>
      <c r="AF672" s="42">
        <v>2116293</v>
      </c>
      <c r="AG672" s="42" t="s">
        <v>6528</v>
      </c>
    </row>
    <row r="673" spans="6:33" ht="15.75" customHeight="1">
      <c r="F673" s="40" t="s">
        <v>7486</v>
      </c>
      <c r="G673" s="40" t="s">
        <v>7487</v>
      </c>
      <c r="H673" s="40" t="s">
        <v>553</v>
      </c>
      <c r="I673" s="40" t="s">
        <v>6853</v>
      </c>
      <c r="J673" s="140">
        <v>2114760</v>
      </c>
      <c r="K673" s="141" t="s">
        <v>7544</v>
      </c>
      <c r="L673" s="141" t="s">
        <v>2536</v>
      </c>
      <c r="M673" s="141">
        <v>3300009712</v>
      </c>
      <c r="N673" s="141"/>
      <c r="O673" s="142"/>
      <c r="P673" s="142"/>
      <c r="Q673" s="142"/>
      <c r="R673" s="142"/>
      <c r="S673" s="142"/>
      <c r="T673" s="141" t="s">
        <v>7579</v>
      </c>
      <c r="V673" s="43" t="s">
        <v>779</v>
      </c>
      <c r="AF673" s="42">
        <v>2116294</v>
      </c>
      <c r="AG673" s="42" t="s">
        <v>6528</v>
      </c>
    </row>
    <row r="674" spans="6:33" ht="15.75" customHeight="1">
      <c r="F674" s="40" t="s">
        <v>4022</v>
      </c>
      <c r="G674" s="40" t="s">
        <v>7238</v>
      </c>
      <c r="H674" s="40" t="s">
        <v>553</v>
      </c>
      <c r="I674" s="40" t="s">
        <v>6853</v>
      </c>
      <c r="J674" s="140" t="s">
        <v>4024</v>
      </c>
      <c r="K674" s="141" t="s">
        <v>4025</v>
      </c>
      <c r="L674" s="141" t="s">
        <v>4026</v>
      </c>
      <c r="M674" s="141" t="s">
        <v>4027</v>
      </c>
      <c r="N674" s="141" t="s">
        <v>6633</v>
      </c>
      <c r="O674" s="142"/>
      <c r="P674" s="142"/>
      <c r="Q674" s="142"/>
      <c r="R674" s="142"/>
      <c r="S674" s="142"/>
      <c r="T674" s="141" t="s">
        <v>4029</v>
      </c>
      <c r="V674" s="43" t="s">
        <v>543</v>
      </c>
      <c r="AF674" s="42">
        <v>2116295</v>
      </c>
      <c r="AG674" s="42" t="s">
        <v>6528</v>
      </c>
    </row>
    <row r="675" spans="6:33" ht="15.75" customHeight="1">
      <c r="F675" s="40" t="s">
        <v>6171</v>
      </c>
      <c r="G675" s="40" t="s">
        <v>6172</v>
      </c>
      <c r="H675" s="40" t="s">
        <v>8208</v>
      </c>
      <c r="I675" s="40" t="s">
        <v>6850</v>
      </c>
      <c r="J675" s="140">
        <v>2115669</v>
      </c>
      <c r="K675" s="141">
        <v>5031828</v>
      </c>
      <c r="L675" s="141" t="s">
        <v>6174</v>
      </c>
      <c r="M675" s="141">
        <v>3300002931</v>
      </c>
      <c r="N675" s="141" t="s">
        <v>6175</v>
      </c>
      <c r="O675" s="142"/>
      <c r="P675" s="142"/>
      <c r="Q675" s="142"/>
      <c r="R675" s="142"/>
      <c r="S675" s="142"/>
      <c r="T675" s="141" t="s">
        <v>6176</v>
      </c>
      <c r="V675" s="43" t="s">
        <v>747</v>
      </c>
      <c r="AF675" s="42">
        <v>2116296</v>
      </c>
      <c r="AG675" s="42" t="s">
        <v>6528</v>
      </c>
    </row>
    <row r="676" spans="6:33" ht="15.75" customHeight="1">
      <c r="F676" s="40" t="s">
        <v>7237</v>
      </c>
      <c r="G676" s="40" t="s">
        <v>7239</v>
      </c>
      <c r="H676" s="40" t="s">
        <v>761</v>
      </c>
      <c r="I676" s="40" t="s">
        <v>6848</v>
      </c>
      <c r="J676" s="140">
        <v>2177364</v>
      </c>
      <c r="K676" s="141" t="s">
        <v>7210</v>
      </c>
      <c r="L676" s="141" t="s">
        <v>3124</v>
      </c>
      <c r="M676" s="141" t="s">
        <v>7212</v>
      </c>
      <c r="N676" s="141">
        <v>2103716</v>
      </c>
      <c r="O676" s="142"/>
      <c r="P676" s="142"/>
      <c r="Q676" s="142"/>
      <c r="R676" s="142"/>
      <c r="S676" s="142"/>
      <c r="T676" s="141" t="s">
        <v>7241</v>
      </c>
      <c r="V676" s="43" t="s">
        <v>7243</v>
      </c>
      <c r="AF676" s="42">
        <v>2116297</v>
      </c>
      <c r="AG676" s="42" t="s">
        <v>6528</v>
      </c>
    </row>
    <row r="677" spans="6:33" ht="15.75" customHeight="1">
      <c r="F677" s="40" t="s">
        <v>3982</v>
      </c>
      <c r="G677" s="40" t="s">
        <v>3982</v>
      </c>
      <c r="H677" s="40" t="s">
        <v>553</v>
      </c>
      <c r="I677" s="40" t="s">
        <v>6853</v>
      </c>
      <c r="J677" s="140">
        <v>5070882</v>
      </c>
      <c r="K677" s="141">
        <v>3300001209</v>
      </c>
      <c r="L677" s="141" t="s">
        <v>3984</v>
      </c>
      <c r="M677" s="141">
        <v>2183483</v>
      </c>
      <c r="N677" s="141" t="s">
        <v>3985</v>
      </c>
      <c r="O677" s="142"/>
      <c r="P677" s="142"/>
      <c r="Q677" s="142"/>
      <c r="R677" s="142"/>
      <c r="S677" s="142"/>
      <c r="T677" s="141" t="s">
        <v>3986</v>
      </c>
      <c r="V677" s="43" t="s">
        <v>712</v>
      </c>
      <c r="AF677" s="42">
        <v>2116298</v>
      </c>
      <c r="AG677" s="42" t="s">
        <v>6528</v>
      </c>
    </row>
    <row r="678" spans="6:33" ht="15.75" customHeight="1">
      <c r="F678" s="40" t="s">
        <v>6096</v>
      </c>
      <c r="G678" s="40" t="s">
        <v>6097</v>
      </c>
      <c r="H678" s="40" t="s">
        <v>8208</v>
      </c>
      <c r="I678" s="40" t="s">
        <v>6850</v>
      </c>
      <c r="J678" s="140">
        <v>5070905</v>
      </c>
      <c r="K678" s="141">
        <v>3300010897</v>
      </c>
      <c r="L678" s="141">
        <v>2183586</v>
      </c>
      <c r="M678" s="141">
        <v>5032240</v>
      </c>
      <c r="N678" s="141"/>
      <c r="O678" s="142"/>
      <c r="P678" s="142"/>
      <c r="Q678" s="142"/>
      <c r="R678" s="142"/>
      <c r="S678" s="142"/>
      <c r="T678" s="141" t="s">
        <v>6098</v>
      </c>
      <c r="V678" s="43" t="s">
        <v>532</v>
      </c>
      <c r="AF678" s="42">
        <v>2116299</v>
      </c>
      <c r="AG678" s="42" t="s">
        <v>6528</v>
      </c>
    </row>
    <row r="679" spans="6:33" ht="15.75" customHeight="1">
      <c r="F679" s="40" t="s">
        <v>2686</v>
      </c>
      <c r="G679" s="40" t="s">
        <v>2687</v>
      </c>
      <c r="H679" s="40" t="s">
        <v>670</v>
      </c>
      <c r="I679" s="40" t="s">
        <v>6849</v>
      </c>
      <c r="J679" s="140" t="s">
        <v>2689</v>
      </c>
      <c r="K679" s="141">
        <v>5059316</v>
      </c>
      <c r="L679" s="141">
        <v>3300012262</v>
      </c>
      <c r="M679" s="141">
        <v>2183578</v>
      </c>
      <c r="N679" s="141" t="s">
        <v>2690</v>
      </c>
      <c r="O679" s="142"/>
      <c r="P679" s="142"/>
      <c r="Q679" s="142"/>
      <c r="R679" s="142"/>
      <c r="S679" s="142"/>
      <c r="T679" s="141" t="s">
        <v>2691</v>
      </c>
      <c r="V679" s="43" t="s">
        <v>617</v>
      </c>
      <c r="AF679" s="42">
        <v>2116300</v>
      </c>
      <c r="AG679" s="42" t="s">
        <v>6528</v>
      </c>
    </row>
    <row r="680" spans="6:33" ht="15.75" customHeight="1">
      <c r="F680" s="40" t="s">
        <v>6217</v>
      </c>
      <c r="G680" s="40" t="s">
        <v>6218</v>
      </c>
      <c r="H680" s="40" t="s">
        <v>8208</v>
      </c>
      <c r="I680" s="40" t="s">
        <v>6850</v>
      </c>
      <c r="J680" s="140">
        <v>2177156</v>
      </c>
      <c r="K680" s="141">
        <v>3300001710</v>
      </c>
      <c r="L680" s="141" t="s">
        <v>6219</v>
      </c>
      <c r="M680" s="141"/>
      <c r="N680" s="141"/>
      <c r="O680" s="142"/>
      <c r="P680" s="142"/>
      <c r="Q680" s="142"/>
      <c r="R680" s="142"/>
      <c r="S680" s="142"/>
      <c r="T680" s="141" t="s">
        <v>6220</v>
      </c>
      <c r="V680" s="43" t="s">
        <v>531</v>
      </c>
      <c r="AF680" s="42">
        <v>2116301</v>
      </c>
      <c r="AG680" s="42" t="s">
        <v>6528</v>
      </c>
    </row>
    <row r="681" spans="6:33" ht="15.75" customHeight="1">
      <c r="F681" s="40" t="s">
        <v>2708</v>
      </c>
      <c r="G681" s="40" t="s">
        <v>30</v>
      </c>
      <c r="H681" s="40" t="s">
        <v>670</v>
      </c>
      <c r="I681" s="40" t="s">
        <v>6849</v>
      </c>
      <c r="J681" s="140" t="s">
        <v>2709</v>
      </c>
      <c r="K681" s="141">
        <v>3300005144</v>
      </c>
      <c r="L681" s="141"/>
      <c r="M681" s="141"/>
      <c r="N681" s="141"/>
      <c r="O681" s="142"/>
      <c r="P681" s="142"/>
      <c r="Q681" s="142"/>
      <c r="R681" s="142"/>
      <c r="S681" s="142"/>
      <c r="T681" s="141" t="s">
        <v>2710</v>
      </c>
      <c r="V681" s="43" t="s">
        <v>723</v>
      </c>
      <c r="AF681" s="42">
        <v>2116302</v>
      </c>
      <c r="AG681" s="42" t="s">
        <v>6528</v>
      </c>
    </row>
    <row r="682" spans="6:33" ht="15.75" customHeight="1">
      <c r="F682" s="40" t="s">
        <v>7389</v>
      </c>
      <c r="G682" s="40" t="s">
        <v>7402</v>
      </c>
      <c r="H682" s="40" t="s">
        <v>564</v>
      </c>
      <c r="I682" s="40" t="s">
        <v>6851</v>
      </c>
      <c r="J682" s="140" t="s">
        <v>1281</v>
      </c>
      <c r="K682" s="141">
        <v>2183607</v>
      </c>
      <c r="L682" s="141">
        <v>2228716</v>
      </c>
      <c r="M682" s="141"/>
      <c r="N682" s="141"/>
      <c r="O682" s="142"/>
      <c r="P682" s="142"/>
      <c r="Q682" s="142"/>
      <c r="R682" s="142"/>
      <c r="S682" s="142"/>
      <c r="T682" s="141" t="s">
        <v>7301</v>
      </c>
      <c r="V682" s="43" t="s">
        <v>574</v>
      </c>
      <c r="AF682" s="42">
        <v>2116303</v>
      </c>
      <c r="AG682" s="42" t="s">
        <v>6528</v>
      </c>
    </row>
    <row r="683" spans="6:33" ht="15.75" customHeight="1">
      <c r="F683" s="40" t="s">
        <v>3863</v>
      </c>
      <c r="G683" s="40" t="s">
        <v>3864</v>
      </c>
      <c r="H683" s="40" t="s">
        <v>553</v>
      </c>
      <c r="I683" s="40" t="s">
        <v>6853</v>
      </c>
      <c r="J683" s="138">
        <v>3300003634</v>
      </c>
      <c r="K683" s="139" t="s">
        <v>3865</v>
      </c>
      <c r="L683" s="139">
        <v>2103901</v>
      </c>
      <c r="M683" s="141" t="s">
        <v>3866</v>
      </c>
      <c r="N683" s="141">
        <v>1766133</v>
      </c>
      <c r="O683" s="142"/>
      <c r="P683" s="142"/>
      <c r="Q683" s="142"/>
      <c r="R683" s="142"/>
      <c r="S683" s="142"/>
      <c r="T683" s="139" t="s">
        <v>3867</v>
      </c>
      <c r="V683" s="43" t="s">
        <v>549</v>
      </c>
      <c r="AF683" s="42">
        <v>2116304</v>
      </c>
      <c r="AG683" s="42" t="s">
        <v>6528</v>
      </c>
    </row>
    <row r="684" spans="6:33" ht="15.75" customHeight="1">
      <c r="F684" s="40" t="s">
        <v>4839</v>
      </c>
      <c r="G684" s="40" t="s">
        <v>4840</v>
      </c>
      <c r="H684" s="40" t="s">
        <v>761</v>
      </c>
      <c r="I684" s="40" t="s">
        <v>6848</v>
      </c>
      <c r="J684" s="140" t="s">
        <v>4842</v>
      </c>
      <c r="K684" s="141">
        <v>2141087</v>
      </c>
      <c r="L684" s="141" t="s">
        <v>6398</v>
      </c>
      <c r="M684" s="141">
        <v>3300002966</v>
      </c>
      <c r="N684" s="141">
        <v>2116257</v>
      </c>
      <c r="O684" s="142"/>
      <c r="P684" s="142"/>
      <c r="Q684" s="142"/>
      <c r="R684" s="142"/>
      <c r="S684" s="142"/>
      <c r="T684" s="141" t="s">
        <v>4844</v>
      </c>
      <c r="V684" s="43" t="s">
        <v>4834</v>
      </c>
      <c r="AF684" s="42">
        <v>2116305</v>
      </c>
      <c r="AG684" s="42" t="s">
        <v>6528</v>
      </c>
    </row>
    <row r="685" spans="6:33" ht="15.75" customHeight="1">
      <c r="F685" s="40" t="s">
        <v>1470</v>
      </c>
      <c r="G685" s="40" t="s">
        <v>1470</v>
      </c>
      <c r="H685" s="40" t="s">
        <v>564</v>
      </c>
      <c r="I685" s="40" t="s">
        <v>6851</v>
      </c>
      <c r="J685" s="140">
        <v>3300009557</v>
      </c>
      <c r="K685" s="141" t="s">
        <v>1471</v>
      </c>
      <c r="L685" s="141">
        <v>5050462</v>
      </c>
      <c r="M685" s="141">
        <v>2177177</v>
      </c>
      <c r="N685" s="141">
        <v>3300011797</v>
      </c>
      <c r="O685" s="142"/>
      <c r="P685" s="142"/>
      <c r="Q685" s="142"/>
      <c r="R685" s="142"/>
      <c r="S685" s="142"/>
      <c r="T685" s="141" t="s">
        <v>1472</v>
      </c>
      <c r="V685" s="43" t="s">
        <v>566</v>
      </c>
      <c r="AF685" s="42">
        <v>2116306</v>
      </c>
      <c r="AG685" s="42" t="s">
        <v>6528</v>
      </c>
    </row>
    <row r="686" spans="6:33" ht="15.75" customHeight="1">
      <c r="F686" s="40" t="s">
        <v>5436</v>
      </c>
      <c r="G686" s="40" t="s">
        <v>5437</v>
      </c>
      <c r="H686" s="40" t="s">
        <v>761</v>
      </c>
      <c r="I686" s="40" t="s">
        <v>6848</v>
      </c>
      <c r="J686" s="140">
        <v>3300001259</v>
      </c>
      <c r="K686" s="141">
        <v>3300001260</v>
      </c>
      <c r="L686" s="141">
        <v>2183564</v>
      </c>
      <c r="M686" s="141" t="s">
        <v>5438</v>
      </c>
      <c r="N686" s="141">
        <v>2103447</v>
      </c>
      <c r="O686" s="142"/>
      <c r="P686" s="142"/>
      <c r="Q686" s="142"/>
      <c r="R686" s="142"/>
      <c r="S686" s="142"/>
      <c r="T686" s="141" t="s">
        <v>6684</v>
      </c>
      <c r="V686" s="43" t="s">
        <v>576</v>
      </c>
      <c r="AF686" s="42">
        <v>2116307</v>
      </c>
      <c r="AG686" s="42" t="s">
        <v>6528</v>
      </c>
    </row>
    <row r="687" spans="6:33" ht="15.75" customHeight="1">
      <c r="F687" s="40" t="s">
        <v>3202</v>
      </c>
      <c r="G687" s="40" t="s">
        <v>3203</v>
      </c>
      <c r="H687" s="40" t="s">
        <v>6841</v>
      </c>
      <c r="I687" s="40" t="s">
        <v>6852</v>
      </c>
      <c r="J687" s="138" t="s">
        <v>3205</v>
      </c>
      <c r="K687" s="139">
        <v>3300009529</v>
      </c>
      <c r="L687" s="141">
        <v>2115655</v>
      </c>
      <c r="M687" s="141" t="s">
        <v>3206</v>
      </c>
      <c r="N687" s="141"/>
      <c r="O687" s="142"/>
      <c r="P687" s="142"/>
      <c r="Q687" s="142"/>
      <c r="R687" s="142"/>
      <c r="S687" s="142"/>
      <c r="T687" s="139" t="s">
        <v>3207</v>
      </c>
      <c r="V687" s="43" t="s">
        <v>545</v>
      </c>
      <c r="AF687" s="42">
        <v>2116308</v>
      </c>
      <c r="AG687" s="42" t="s">
        <v>6528</v>
      </c>
    </row>
    <row r="688" spans="6:33" ht="15.75" customHeight="1">
      <c r="F688" s="40" t="s">
        <v>2359</v>
      </c>
      <c r="G688" s="40" t="s">
        <v>2360</v>
      </c>
      <c r="H688" s="40" t="s">
        <v>564</v>
      </c>
      <c r="I688" s="40" t="s">
        <v>6851</v>
      </c>
      <c r="J688" s="140">
        <v>2183557</v>
      </c>
      <c r="K688" s="141" t="s">
        <v>2362</v>
      </c>
      <c r="L688" s="141">
        <v>3300002964</v>
      </c>
      <c r="M688" s="141" t="s">
        <v>5939</v>
      </c>
      <c r="N688" s="141" t="s">
        <v>2363</v>
      </c>
      <c r="O688" s="142"/>
      <c r="P688" s="142"/>
      <c r="Q688" s="142"/>
      <c r="R688" s="142"/>
      <c r="S688" s="142"/>
      <c r="T688" s="141" t="s">
        <v>2364</v>
      </c>
      <c r="V688" s="43" t="s">
        <v>557</v>
      </c>
      <c r="AF688" s="42">
        <v>2116309</v>
      </c>
      <c r="AG688" s="42" t="s">
        <v>6528</v>
      </c>
    </row>
    <row r="689" spans="6:33" ht="15.75" customHeight="1">
      <c r="F689" s="40" t="s">
        <v>3302</v>
      </c>
      <c r="G689" s="40" t="s">
        <v>6</v>
      </c>
      <c r="H689" s="40" t="s">
        <v>6841</v>
      </c>
      <c r="I689" s="40" t="s">
        <v>6852</v>
      </c>
      <c r="J689" s="140">
        <v>5031880</v>
      </c>
      <c r="K689" s="141">
        <v>2119273</v>
      </c>
      <c r="L689" s="141" t="s">
        <v>3304</v>
      </c>
      <c r="M689" s="141">
        <v>3300016121</v>
      </c>
      <c r="N689" s="141"/>
      <c r="O689" s="142"/>
      <c r="P689" s="142"/>
      <c r="Q689" s="142"/>
      <c r="R689" s="142"/>
      <c r="S689" s="142"/>
      <c r="T689" s="141" t="s">
        <v>3305</v>
      </c>
      <c r="V689" s="43" t="s">
        <v>660</v>
      </c>
      <c r="AF689" s="42">
        <v>2116310</v>
      </c>
      <c r="AG689" s="42" t="s">
        <v>6528</v>
      </c>
    </row>
    <row r="690" spans="6:33" ht="15.75" customHeight="1">
      <c r="F690" s="40" t="s">
        <v>7251</v>
      </c>
      <c r="G690" s="40" t="s">
        <v>7269</v>
      </c>
      <c r="H690" s="40" t="s">
        <v>6841</v>
      </c>
      <c r="I690" s="40" t="s">
        <v>6852</v>
      </c>
      <c r="J690" s="140">
        <v>2103954</v>
      </c>
      <c r="K690" s="141" t="s">
        <v>7223</v>
      </c>
      <c r="L690" s="141">
        <v>2226052</v>
      </c>
      <c r="M690" s="141">
        <v>2115637</v>
      </c>
      <c r="N690" s="141"/>
      <c r="O690" s="142"/>
      <c r="P690" s="142"/>
      <c r="Q690" s="142"/>
      <c r="R690" s="142"/>
      <c r="S690" s="142"/>
      <c r="T690" s="141" t="s">
        <v>7284</v>
      </c>
      <c r="V690" s="43" t="s">
        <v>656</v>
      </c>
      <c r="AF690" s="42">
        <v>2116311</v>
      </c>
      <c r="AG690" s="42" t="s">
        <v>6528</v>
      </c>
    </row>
    <row r="691" spans="6:33" ht="15.75" customHeight="1">
      <c r="F691" s="40" t="s">
        <v>7736</v>
      </c>
      <c r="G691" s="40" t="s">
        <v>7900</v>
      </c>
      <c r="H691" s="40" t="s">
        <v>8208</v>
      </c>
      <c r="I691" s="40" t="s">
        <v>6850</v>
      </c>
      <c r="J691" s="140">
        <v>2096115</v>
      </c>
      <c r="K691" s="141">
        <v>2096080</v>
      </c>
      <c r="L691" s="141" t="s">
        <v>8065</v>
      </c>
      <c r="M691" s="141" t="s">
        <v>8066</v>
      </c>
      <c r="N691" s="141" t="s">
        <v>8067</v>
      </c>
      <c r="O691" s="142"/>
      <c r="P691" s="142"/>
      <c r="Q691" s="142"/>
      <c r="R691" s="142"/>
      <c r="S691" s="142"/>
      <c r="T691" s="141">
        <v>101200093</v>
      </c>
      <c r="V691" s="43" t="s">
        <v>687</v>
      </c>
      <c r="AF691" s="42">
        <v>2116312</v>
      </c>
      <c r="AG691" s="42" t="s">
        <v>6528</v>
      </c>
    </row>
    <row r="692" spans="6:33" ht="15.75" customHeight="1">
      <c r="F692" s="40" t="s">
        <v>4055</v>
      </c>
      <c r="G692" s="40" t="s">
        <v>4056</v>
      </c>
      <c r="H692" s="40" t="s">
        <v>553</v>
      </c>
      <c r="I692" s="40" t="s">
        <v>6853</v>
      </c>
      <c r="J692" s="140">
        <v>2172359</v>
      </c>
      <c r="K692" s="141" t="s">
        <v>4057</v>
      </c>
      <c r="L692" s="141">
        <v>3300006557</v>
      </c>
      <c r="M692" s="141" t="s">
        <v>7201</v>
      </c>
      <c r="N692" s="141"/>
      <c r="O692" s="142"/>
      <c r="P692" s="142"/>
      <c r="Q692" s="142"/>
      <c r="R692" s="142"/>
      <c r="S692" s="142"/>
      <c r="T692" s="141" t="s">
        <v>4058</v>
      </c>
      <c r="V692" s="43" t="s">
        <v>644</v>
      </c>
      <c r="AF692" s="42">
        <v>2116313</v>
      </c>
      <c r="AG692" s="42" t="s">
        <v>6528</v>
      </c>
    </row>
    <row r="693" spans="6:33" ht="15.75" customHeight="1">
      <c r="F693" s="40" t="s">
        <v>1680</v>
      </c>
      <c r="G693" s="40" t="s">
        <v>1681</v>
      </c>
      <c r="H693" s="40" t="s">
        <v>564</v>
      </c>
      <c r="I693" s="40" t="s">
        <v>6851</v>
      </c>
      <c r="J693" s="140">
        <v>2119279</v>
      </c>
      <c r="K693" s="141" t="s">
        <v>1682</v>
      </c>
      <c r="L693" s="141">
        <v>3300001676</v>
      </c>
      <c r="M693" s="141">
        <v>5042647</v>
      </c>
      <c r="N693" s="141" t="s">
        <v>1683</v>
      </c>
      <c r="O693" s="142"/>
      <c r="P693" s="142"/>
      <c r="Q693" s="142"/>
      <c r="R693" s="142"/>
      <c r="S693" s="142"/>
      <c r="T693" s="141" t="s">
        <v>1684</v>
      </c>
      <c r="V693" s="43" t="s">
        <v>605</v>
      </c>
      <c r="AF693" s="42">
        <v>2116315</v>
      </c>
      <c r="AG693" s="42" t="s">
        <v>6528</v>
      </c>
    </row>
    <row r="694" spans="6:33" ht="15.75" customHeight="1">
      <c r="F694" s="40" t="s">
        <v>3581</v>
      </c>
      <c r="G694" s="40" t="s">
        <v>3582</v>
      </c>
      <c r="H694" s="40" t="s">
        <v>8513</v>
      </c>
      <c r="I694" s="40" t="s">
        <v>6853</v>
      </c>
      <c r="J694" s="140">
        <v>3300003010</v>
      </c>
      <c r="K694" s="141">
        <v>2183531</v>
      </c>
      <c r="L694" s="141" t="s">
        <v>3583</v>
      </c>
      <c r="M694" s="141" t="s">
        <v>3584</v>
      </c>
      <c r="N694" s="141">
        <v>2119192</v>
      </c>
      <c r="O694" s="142"/>
      <c r="P694" s="142"/>
      <c r="Q694" s="142"/>
      <c r="R694" s="142"/>
      <c r="S694" s="142"/>
      <c r="T694" s="141" t="s">
        <v>3585</v>
      </c>
      <c r="V694" s="43" t="s">
        <v>572</v>
      </c>
      <c r="AF694" s="42">
        <v>2116316</v>
      </c>
      <c r="AG694" s="42" t="s">
        <v>6528</v>
      </c>
    </row>
    <row r="695" spans="6:33" ht="15.75" customHeight="1">
      <c r="F695" s="40" t="s">
        <v>7184</v>
      </c>
      <c r="G695" s="40" t="s">
        <v>7185</v>
      </c>
      <c r="H695" s="40" t="s">
        <v>564</v>
      </c>
      <c r="I695" s="40" t="s">
        <v>6851</v>
      </c>
      <c r="J695" s="140">
        <v>5008433</v>
      </c>
      <c r="K695" s="141">
        <v>2087317</v>
      </c>
      <c r="L695" s="141" t="s">
        <v>7107</v>
      </c>
      <c r="M695" s="141">
        <v>2115635</v>
      </c>
      <c r="N695" s="141">
        <v>3300010894</v>
      </c>
      <c r="O695" s="142"/>
      <c r="P695" s="142"/>
      <c r="Q695" s="142"/>
      <c r="R695" s="142"/>
      <c r="S695" s="142"/>
      <c r="T695" s="141" t="s">
        <v>7078</v>
      </c>
      <c r="V695" s="43" t="s">
        <v>763</v>
      </c>
      <c r="AF695" s="42">
        <v>2116651</v>
      </c>
      <c r="AG695" s="42" t="s">
        <v>6671</v>
      </c>
    </row>
    <row r="696" spans="6:33" ht="15.75" customHeight="1">
      <c r="F696" s="40" t="s">
        <v>7019</v>
      </c>
      <c r="G696" s="40" t="s">
        <v>3662</v>
      </c>
      <c r="H696" s="40" t="s">
        <v>8513</v>
      </c>
      <c r="I696" s="40" t="s">
        <v>6853</v>
      </c>
      <c r="J696" s="140">
        <v>2103523</v>
      </c>
      <c r="K696" s="141" t="s">
        <v>7339</v>
      </c>
      <c r="L696" s="141">
        <v>3300003635</v>
      </c>
      <c r="M696" s="141" t="s">
        <v>3665</v>
      </c>
      <c r="N696" s="141">
        <v>5031836</v>
      </c>
      <c r="O696" s="142"/>
      <c r="P696" s="142"/>
      <c r="Q696" s="142"/>
      <c r="R696" s="142"/>
      <c r="S696" s="142"/>
      <c r="T696" s="141" t="s">
        <v>3666</v>
      </c>
      <c r="V696" s="43" t="s">
        <v>799</v>
      </c>
      <c r="AF696" s="42">
        <v>2116782</v>
      </c>
      <c r="AG696" s="42" t="s">
        <v>6673</v>
      </c>
    </row>
    <row r="697" spans="6:33" ht="15.75" customHeight="1">
      <c r="F697" s="40" t="s">
        <v>1692</v>
      </c>
      <c r="G697" s="40" t="s">
        <v>1693</v>
      </c>
      <c r="H697" s="40" t="s">
        <v>564</v>
      </c>
      <c r="I697" s="40" t="s">
        <v>6851</v>
      </c>
      <c r="J697" s="140" t="s">
        <v>1695</v>
      </c>
      <c r="K697" s="141">
        <v>3300005161</v>
      </c>
      <c r="L697" s="141">
        <v>2171956</v>
      </c>
      <c r="M697" s="141" t="s">
        <v>6752</v>
      </c>
      <c r="N697" s="141">
        <v>5059365</v>
      </c>
      <c r="O697" s="142"/>
      <c r="P697" s="142"/>
      <c r="Q697" s="142"/>
      <c r="R697" s="142"/>
      <c r="S697" s="142"/>
      <c r="T697" s="141" t="s">
        <v>1696</v>
      </c>
      <c r="V697" s="43" t="s">
        <v>615</v>
      </c>
      <c r="AF697" s="42">
        <v>2117067</v>
      </c>
      <c r="AG697" s="42" t="s">
        <v>6528</v>
      </c>
    </row>
    <row r="698" spans="6:33" ht="15.75" customHeight="1">
      <c r="F698" s="40" t="s">
        <v>1692</v>
      </c>
      <c r="G698" s="40" t="s">
        <v>2</v>
      </c>
      <c r="H698" s="40" t="s">
        <v>761</v>
      </c>
      <c r="I698" s="40" t="s">
        <v>6848</v>
      </c>
      <c r="J698" s="140" t="s">
        <v>5442</v>
      </c>
      <c r="K698" s="141">
        <v>3300005184</v>
      </c>
      <c r="L698" s="141">
        <v>2119292</v>
      </c>
      <c r="M698" s="141">
        <v>2183485</v>
      </c>
      <c r="N698" s="141"/>
      <c r="O698" s="142"/>
      <c r="P698" s="142"/>
      <c r="Q698" s="142"/>
      <c r="R698" s="142"/>
      <c r="S698" s="142"/>
      <c r="T698" s="141" t="s">
        <v>5443</v>
      </c>
      <c r="V698" s="43" t="s">
        <v>576</v>
      </c>
      <c r="AF698" s="42">
        <v>2117068</v>
      </c>
      <c r="AG698" s="42" t="s">
        <v>6528</v>
      </c>
    </row>
    <row r="699" spans="6:33" ht="15.75" customHeight="1">
      <c r="F699" s="40" t="s">
        <v>7488</v>
      </c>
      <c r="G699" s="40" t="s">
        <v>7489</v>
      </c>
      <c r="H699" s="40" t="s">
        <v>595</v>
      </c>
      <c r="I699" s="40" t="s">
        <v>6847</v>
      </c>
      <c r="J699" s="140">
        <v>2172024</v>
      </c>
      <c r="K699" s="141">
        <v>5049677</v>
      </c>
      <c r="L699" s="141">
        <v>3300002970</v>
      </c>
      <c r="M699" s="141" t="s">
        <v>2948</v>
      </c>
      <c r="N699" s="141"/>
      <c r="O699" s="142"/>
      <c r="P699" s="142"/>
      <c r="Q699" s="142"/>
      <c r="R699" s="142"/>
      <c r="S699" s="142"/>
      <c r="T699" s="141" t="s">
        <v>2949</v>
      </c>
      <c r="V699" s="43" t="s">
        <v>740</v>
      </c>
      <c r="AF699" s="42">
        <v>2117069</v>
      </c>
      <c r="AG699" s="42" t="s">
        <v>6528</v>
      </c>
    </row>
    <row r="700" spans="6:33" ht="15.75" customHeight="1">
      <c r="F700" s="40" t="s">
        <v>4365</v>
      </c>
      <c r="G700" s="40" t="s">
        <v>4366</v>
      </c>
      <c r="H700" s="40" t="s">
        <v>553</v>
      </c>
      <c r="I700" s="40" t="s">
        <v>6853</v>
      </c>
      <c r="J700" s="138" t="s">
        <v>4368</v>
      </c>
      <c r="K700" s="139">
        <v>3300009786</v>
      </c>
      <c r="L700" s="141" t="s">
        <v>4369</v>
      </c>
      <c r="M700" s="141">
        <v>2116312</v>
      </c>
      <c r="N700" s="141" t="s">
        <v>4370</v>
      </c>
      <c r="O700" s="142"/>
      <c r="P700" s="142"/>
      <c r="Q700" s="142"/>
      <c r="R700" s="142"/>
      <c r="S700" s="142"/>
      <c r="T700" s="139" t="s">
        <v>4371</v>
      </c>
      <c r="V700" s="43" t="s">
        <v>791</v>
      </c>
      <c r="AF700" s="42">
        <v>2117070</v>
      </c>
      <c r="AG700" s="42" t="s">
        <v>6528</v>
      </c>
    </row>
    <row r="701" spans="6:33" ht="15.75" customHeight="1">
      <c r="F701" s="40" t="s">
        <v>7252</v>
      </c>
      <c r="G701" s="40" t="s">
        <v>7270</v>
      </c>
      <c r="H701" s="40" t="s">
        <v>8513</v>
      </c>
      <c r="I701" s="40" t="s">
        <v>6853</v>
      </c>
      <c r="J701" s="140" t="s">
        <v>5057</v>
      </c>
      <c r="K701" s="141" t="s">
        <v>7231</v>
      </c>
      <c r="L701" s="141">
        <v>2083276</v>
      </c>
      <c r="M701" s="141">
        <v>2226073</v>
      </c>
      <c r="N701" s="141"/>
      <c r="O701" s="142"/>
      <c r="P701" s="142"/>
      <c r="Q701" s="142"/>
      <c r="R701" s="142"/>
      <c r="S701" s="142"/>
      <c r="T701" s="141" t="s">
        <v>3973</v>
      </c>
      <c r="V701" s="43" t="s">
        <v>657</v>
      </c>
      <c r="AF701" s="42">
        <v>2117071</v>
      </c>
      <c r="AG701" s="42" t="s">
        <v>6528</v>
      </c>
    </row>
    <row r="702" spans="6:33" ht="15.75" customHeight="1">
      <c r="F702" s="40" t="s">
        <v>7737</v>
      </c>
      <c r="G702" s="40" t="s">
        <v>7901</v>
      </c>
      <c r="H702" s="40" t="s">
        <v>8208</v>
      </c>
      <c r="I702" s="40" t="s">
        <v>6850</v>
      </c>
      <c r="J702" s="140">
        <v>2082971</v>
      </c>
      <c r="K702" s="141">
        <v>5045646</v>
      </c>
      <c r="L702" s="141">
        <v>3300002903</v>
      </c>
      <c r="M702" s="141"/>
      <c r="N702" s="141"/>
      <c r="O702" s="142"/>
      <c r="P702" s="142"/>
      <c r="Q702" s="142"/>
      <c r="R702" s="142"/>
      <c r="S702" s="142"/>
      <c r="T702" s="141">
        <v>101300063</v>
      </c>
      <c r="V702" s="43" t="s">
        <v>705</v>
      </c>
      <c r="AF702" s="42">
        <v>2117072</v>
      </c>
      <c r="AG702" s="42" t="s">
        <v>6528</v>
      </c>
    </row>
    <row r="703" spans="6:33" ht="15.75" customHeight="1">
      <c r="F703" s="40" t="s">
        <v>4238</v>
      </c>
      <c r="G703" s="40" t="s">
        <v>4239</v>
      </c>
      <c r="H703" s="40" t="s">
        <v>553</v>
      </c>
      <c r="I703" s="40" t="s">
        <v>6853</v>
      </c>
      <c r="J703" s="140" t="s">
        <v>4240</v>
      </c>
      <c r="K703" s="141">
        <v>2115641</v>
      </c>
      <c r="L703" s="141" t="s">
        <v>4241</v>
      </c>
      <c r="M703" s="141" t="s">
        <v>4242</v>
      </c>
      <c r="N703" s="141">
        <v>3300009754</v>
      </c>
      <c r="O703" s="142"/>
      <c r="P703" s="142"/>
      <c r="Q703" s="142"/>
      <c r="R703" s="142"/>
      <c r="S703" s="142"/>
      <c r="T703" s="141" t="s">
        <v>4243</v>
      </c>
      <c r="V703" s="43" t="s">
        <v>553</v>
      </c>
      <c r="AF703" s="42">
        <v>2117073</v>
      </c>
      <c r="AG703" s="42" t="s">
        <v>6528</v>
      </c>
    </row>
    <row r="704" spans="6:33" ht="15.75" customHeight="1">
      <c r="F704" s="40" t="s">
        <v>7738</v>
      </c>
      <c r="G704" s="40" t="s">
        <v>7902</v>
      </c>
      <c r="H704" s="40" t="s">
        <v>564</v>
      </c>
      <c r="I704" s="40" t="s">
        <v>6851</v>
      </c>
      <c r="J704" s="140">
        <v>2143301</v>
      </c>
      <c r="K704" s="141" t="s">
        <v>8068</v>
      </c>
      <c r="L704" s="141" t="s">
        <v>8069</v>
      </c>
      <c r="M704" s="141">
        <v>5100176</v>
      </c>
      <c r="N704" s="141">
        <v>2117471</v>
      </c>
      <c r="O704" s="142"/>
      <c r="P704" s="142"/>
      <c r="Q704" s="142"/>
      <c r="R704" s="142"/>
      <c r="S704" s="142"/>
      <c r="T704" s="141" t="s">
        <v>8156</v>
      </c>
      <c r="V704" s="43" t="s">
        <v>568</v>
      </c>
      <c r="AF704" s="42">
        <v>2117074</v>
      </c>
      <c r="AG704" s="42" t="s">
        <v>6528</v>
      </c>
    </row>
    <row r="705" spans="6:33" ht="15.75" customHeight="1">
      <c r="F705" s="40" t="s">
        <v>2630</v>
      </c>
      <c r="G705" s="40" t="s">
        <v>2631</v>
      </c>
      <c r="H705" s="40" t="s">
        <v>670</v>
      </c>
      <c r="I705" s="40" t="s">
        <v>6849</v>
      </c>
      <c r="J705" s="140">
        <v>5012462</v>
      </c>
      <c r="K705" s="141" t="s">
        <v>2633</v>
      </c>
      <c r="L705" s="141">
        <v>2116022</v>
      </c>
      <c r="M705" s="141">
        <v>2149683</v>
      </c>
      <c r="N705" s="141">
        <v>5012463</v>
      </c>
      <c r="O705" s="142"/>
      <c r="P705" s="142"/>
      <c r="Q705" s="142"/>
      <c r="R705" s="142"/>
      <c r="S705" s="142"/>
      <c r="T705" s="141" t="s">
        <v>2634</v>
      </c>
      <c r="V705" s="43" t="s">
        <v>680</v>
      </c>
      <c r="AF705" s="42">
        <v>2117075</v>
      </c>
      <c r="AG705" s="42" t="s">
        <v>6528</v>
      </c>
    </row>
    <row r="706" spans="6:33" ht="15.75" customHeight="1">
      <c r="F706" s="40" t="s">
        <v>7739</v>
      </c>
      <c r="G706" s="40" t="s">
        <v>7903</v>
      </c>
      <c r="H706" s="40" t="s">
        <v>8208</v>
      </c>
      <c r="I706" s="40" t="s">
        <v>6850</v>
      </c>
      <c r="J706" s="140">
        <v>2096134</v>
      </c>
      <c r="K706" s="141">
        <v>3300002904</v>
      </c>
      <c r="L706" s="141"/>
      <c r="M706" s="141" t="s">
        <v>8071</v>
      </c>
      <c r="N706" s="141"/>
      <c r="O706" s="142"/>
      <c r="P706" s="142"/>
      <c r="Q706" s="142"/>
      <c r="R706" s="142"/>
      <c r="S706" s="142"/>
      <c r="T706" s="141">
        <v>101300064</v>
      </c>
      <c r="V706" s="43" t="s">
        <v>8191</v>
      </c>
      <c r="AF706" s="42">
        <v>2117076</v>
      </c>
      <c r="AG706" s="42" t="s">
        <v>6528</v>
      </c>
    </row>
    <row r="707" spans="6:33" ht="15.75" customHeight="1">
      <c r="F707" s="40" t="s">
        <v>8451</v>
      </c>
      <c r="G707" s="40" t="s">
        <v>8497</v>
      </c>
      <c r="H707" s="40" t="s">
        <v>8208</v>
      </c>
      <c r="I707" s="40" t="s">
        <v>6850</v>
      </c>
      <c r="J707" s="140">
        <v>3300002999</v>
      </c>
      <c r="K707" s="141">
        <v>2183552</v>
      </c>
      <c r="L707" s="141">
        <v>5103018</v>
      </c>
      <c r="M707" s="141">
        <v>3300012816</v>
      </c>
      <c r="N707" s="141" t="s">
        <v>8254</v>
      </c>
      <c r="O707" s="142"/>
      <c r="P707" s="142"/>
      <c r="Q707" s="142"/>
      <c r="R707" s="142"/>
      <c r="S707" s="142"/>
      <c r="T707" s="141" t="s">
        <v>8596</v>
      </c>
      <c r="V707" s="43" t="s">
        <v>7412</v>
      </c>
      <c r="AF707" s="42">
        <v>2117077</v>
      </c>
      <c r="AG707" s="42" t="s">
        <v>6528</v>
      </c>
    </row>
    <row r="708" spans="6:33" ht="15.75" customHeight="1">
      <c r="F708" s="40" t="s">
        <v>840</v>
      </c>
      <c r="G708" s="40" t="s">
        <v>841</v>
      </c>
      <c r="H708" s="40" t="s">
        <v>564</v>
      </c>
      <c r="I708" s="40" t="s">
        <v>6851</v>
      </c>
      <c r="J708" s="140">
        <v>2119276</v>
      </c>
      <c r="K708" s="141">
        <v>5042646</v>
      </c>
      <c r="L708" s="141">
        <v>3300006795</v>
      </c>
      <c r="M708" s="141" t="s">
        <v>845</v>
      </c>
      <c r="N708" s="141">
        <v>3300009820</v>
      </c>
      <c r="O708" s="142"/>
      <c r="P708" s="142"/>
      <c r="Q708" s="142"/>
      <c r="R708" s="142"/>
      <c r="S708" s="142"/>
      <c r="T708" s="141" t="s">
        <v>846</v>
      </c>
      <c r="V708" s="43" t="s">
        <v>843</v>
      </c>
      <c r="AF708" s="42">
        <v>2117078</v>
      </c>
      <c r="AG708" s="42" t="s">
        <v>6528</v>
      </c>
    </row>
    <row r="709" spans="6:33" ht="15.75" customHeight="1">
      <c r="F709" s="40" t="s">
        <v>2994</v>
      </c>
      <c r="G709" s="40" t="s">
        <v>9</v>
      </c>
      <c r="H709" s="40" t="s">
        <v>595</v>
      </c>
      <c r="I709" s="40" t="s">
        <v>6847</v>
      </c>
      <c r="J709" s="140">
        <v>5031850</v>
      </c>
      <c r="K709" s="139" t="s">
        <v>2996</v>
      </c>
      <c r="L709" s="141">
        <v>2119289</v>
      </c>
      <c r="M709" s="141">
        <v>3300001235</v>
      </c>
      <c r="N709" s="141">
        <v>5001456</v>
      </c>
      <c r="O709" s="142"/>
      <c r="P709" s="142"/>
      <c r="Q709" s="142"/>
      <c r="R709" s="142"/>
      <c r="S709" s="142"/>
      <c r="T709" s="139" t="s">
        <v>2997</v>
      </c>
      <c r="V709" s="43" t="s">
        <v>2995</v>
      </c>
      <c r="AF709" s="42">
        <v>2117079</v>
      </c>
      <c r="AG709" s="42" t="s">
        <v>6528</v>
      </c>
    </row>
    <row r="710" spans="6:33" ht="15.75" customHeight="1">
      <c r="F710" s="40" t="s">
        <v>5200</v>
      </c>
      <c r="G710" s="40" t="s">
        <v>5201</v>
      </c>
      <c r="H710" s="40" t="s">
        <v>761</v>
      </c>
      <c r="I710" s="40" t="s">
        <v>6848</v>
      </c>
      <c r="J710" s="140" t="s">
        <v>5203</v>
      </c>
      <c r="K710" s="141">
        <v>3300002826</v>
      </c>
      <c r="L710" s="141" t="s">
        <v>5204</v>
      </c>
      <c r="M710" s="141">
        <v>3300002814</v>
      </c>
      <c r="N710" s="141">
        <v>2183470</v>
      </c>
      <c r="O710" s="142"/>
      <c r="P710" s="142"/>
      <c r="Q710" s="142"/>
      <c r="R710" s="142"/>
      <c r="S710" s="142"/>
      <c r="T710" s="141" t="s">
        <v>5273</v>
      </c>
      <c r="V710" s="43" t="s">
        <v>697</v>
      </c>
      <c r="AF710" s="42">
        <v>2117080</v>
      </c>
      <c r="AG710" s="42" t="s">
        <v>6528</v>
      </c>
    </row>
    <row r="711" spans="6:33" ht="15.75" customHeight="1">
      <c r="F711" s="40" t="s">
        <v>6289</v>
      </c>
      <c r="G711" s="40" t="s">
        <v>6290</v>
      </c>
      <c r="H711" s="40" t="s">
        <v>8208</v>
      </c>
      <c r="I711" s="40" t="s">
        <v>6850</v>
      </c>
      <c r="J711" s="140">
        <v>2171940</v>
      </c>
      <c r="K711" s="141" t="s">
        <v>6291</v>
      </c>
      <c r="L711" s="141"/>
      <c r="M711" s="141"/>
      <c r="N711" s="141"/>
      <c r="O711" s="142"/>
      <c r="P711" s="142"/>
      <c r="Q711" s="142"/>
      <c r="R711" s="142"/>
      <c r="S711" s="142"/>
      <c r="T711" s="141" t="s">
        <v>7081</v>
      </c>
      <c r="V711" s="43" t="s">
        <v>641</v>
      </c>
      <c r="AF711" s="42">
        <v>2117081</v>
      </c>
      <c r="AG711" s="42" t="s">
        <v>6528</v>
      </c>
    </row>
    <row r="712" spans="6:33" ht="15.75" customHeight="1">
      <c r="F712" s="40" t="s">
        <v>3796</v>
      </c>
      <c r="G712" s="40" t="s">
        <v>3797</v>
      </c>
      <c r="H712" s="40" t="s">
        <v>553</v>
      </c>
      <c r="I712" s="40" t="s">
        <v>6853</v>
      </c>
      <c r="J712" s="140">
        <v>2103437</v>
      </c>
      <c r="K712" s="141" t="s">
        <v>3798</v>
      </c>
      <c r="L712" s="141">
        <v>2103543</v>
      </c>
      <c r="M712" s="141">
        <v>5059364</v>
      </c>
      <c r="N712" s="141"/>
      <c r="O712" s="142"/>
      <c r="P712" s="142"/>
      <c r="Q712" s="142"/>
      <c r="R712" s="142"/>
      <c r="S712" s="142"/>
      <c r="T712" s="141" t="s">
        <v>3799</v>
      </c>
      <c r="V712" s="43" t="s">
        <v>571</v>
      </c>
      <c r="AF712" s="42">
        <v>2117082</v>
      </c>
      <c r="AG712" s="42" t="s">
        <v>6528</v>
      </c>
    </row>
    <row r="713" spans="6:33" ht="15.75" customHeight="1">
      <c r="F713" s="40" t="s">
        <v>8452</v>
      </c>
      <c r="G713" s="40" t="s">
        <v>8498</v>
      </c>
      <c r="H713" s="40" t="s">
        <v>670</v>
      </c>
      <c r="I713" s="40" t="s">
        <v>6849</v>
      </c>
      <c r="J713" s="138" t="s">
        <v>8553</v>
      </c>
      <c r="K713" s="139" t="s">
        <v>8554</v>
      </c>
      <c r="L713" s="141">
        <v>3300001433</v>
      </c>
      <c r="M713" s="141">
        <v>2103911</v>
      </c>
      <c r="N713" s="141"/>
      <c r="O713" s="142"/>
      <c r="P713" s="142"/>
      <c r="Q713" s="142"/>
      <c r="R713" s="142"/>
      <c r="S713" s="142"/>
      <c r="T713" s="139" t="s">
        <v>8597</v>
      </c>
      <c r="V713" s="43" t="s">
        <v>2703</v>
      </c>
      <c r="AF713" s="42">
        <v>2117084</v>
      </c>
      <c r="AG713" s="42" t="s">
        <v>6528</v>
      </c>
    </row>
    <row r="714" spans="6:33" ht="15.75" customHeight="1">
      <c r="F714" s="40" t="s">
        <v>5099</v>
      </c>
      <c r="G714" s="40" t="s">
        <v>5100</v>
      </c>
      <c r="H714" s="40" t="s">
        <v>761</v>
      </c>
      <c r="I714" s="40" t="s">
        <v>6848</v>
      </c>
      <c r="J714" s="140">
        <v>2117477</v>
      </c>
      <c r="K714" s="141" t="s">
        <v>5101</v>
      </c>
      <c r="L714" s="141">
        <v>3300009764</v>
      </c>
      <c r="M714" s="141">
        <v>2103942</v>
      </c>
      <c r="N714" s="141" t="s">
        <v>5102</v>
      </c>
      <c r="O714" s="142"/>
      <c r="P714" s="142"/>
      <c r="Q714" s="142"/>
      <c r="R714" s="142"/>
      <c r="S714" s="142"/>
      <c r="T714" s="141" t="s">
        <v>5103</v>
      </c>
      <c r="V714" s="43" t="s">
        <v>671</v>
      </c>
      <c r="AF714" s="42">
        <v>2117085</v>
      </c>
      <c r="AG714" s="42" t="s">
        <v>6528</v>
      </c>
    </row>
    <row r="715" spans="6:33" ht="15.75" customHeight="1">
      <c r="F715" s="40" t="s">
        <v>2290</v>
      </c>
      <c r="G715" s="40" t="s">
        <v>2291</v>
      </c>
      <c r="H715" s="40" t="s">
        <v>564</v>
      </c>
      <c r="I715" s="40" t="s">
        <v>6851</v>
      </c>
      <c r="J715" s="140">
        <v>2116651</v>
      </c>
      <c r="K715" s="141">
        <v>2066109</v>
      </c>
      <c r="L715" s="141"/>
      <c r="M715" s="141"/>
      <c r="N715" s="141"/>
      <c r="O715" s="142"/>
      <c r="P715" s="142"/>
      <c r="Q715" s="142"/>
      <c r="R715" s="142"/>
      <c r="S715" s="142"/>
      <c r="T715" s="141" t="s">
        <v>2292</v>
      </c>
      <c r="V715" s="43" t="s">
        <v>564</v>
      </c>
      <c r="AF715" s="42">
        <v>2117086</v>
      </c>
      <c r="AG715" s="42" t="s">
        <v>6528</v>
      </c>
    </row>
    <row r="716" spans="6:33" ht="15.75" customHeight="1">
      <c r="F716" s="40" t="s">
        <v>1624</v>
      </c>
      <c r="G716" s="40" t="s">
        <v>47</v>
      </c>
      <c r="H716" s="40" t="s">
        <v>564</v>
      </c>
      <c r="I716" s="40" t="s">
        <v>6851</v>
      </c>
      <c r="J716" s="140" t="s">
        <v>1625</v>
      </c>
      <c r="K716" s="141">
        <v>3300009546</v>
      </c>
      <c r="L716" s="141">
        <v>2172011</v>
      </c>
      <c r="M716" s="141" t="s">
        <v>7127</v>
      </c>
      <c r="N716" s="141" t="s">
        <v>1626</v>
      </c>
      <c r="O716" s="142"/>
      <c r="P716" s="142"/>
      <c r="Q716" s="142"/>
      <c r="R716" s="142"/>
      <c r="S716" s="142"/>
      <c r="T716" s="141" t="s">
        <v>1627</v>
      </c>
      <c r="V716" s="43" t="s">
        <v>568</v>
      </c>
      <c r="AF716" s="42">
        <v>2117087</v>
      </c>
      <c r="AG716" s="42" t="s">
        <v>6528</v>
      </c>
    </row>
    <row r="717" spans="6:33" ht="15.75" customHeight="1">
      <c r="F717" s="40" t="s">
        <v>3209</v>
      </c>
      <c r="G717" s="40" t="s">
        <v>3210</v>
      </c>
      <c r="H717" s="40" t="s">
        <v>6841</v>
      </c>
      <c r="I717" s="40" t="s">
        <v>6852</v>
      </c>
      <c r="J717" s="140" t="s">
        <v>3211</v>
      </c>
      <c r="K717" s="141">
        <v>3300004152</v>
      </c>
      <c r="L717" s="141">
        <v>2096458</v>
      </c>
      <c r="M717" s="141">
        <v>3300004155</v>
      </c>
      <c r="N717" s="141" t="s">
        <v>3212</v>
      </c>
      <c r="O717" s="142"/>
      <c r="P717" s="142"/>
      <c r="Q717" s="142"/>
      <c r="R717" s="142"/>
      <c r="S717" s="142"/>
      <c r="T717" s="141" t="s">
        <v>3213</v>
      </c>
      <c r="V717" s="43" t="s">
        <v>545</v>
      </c>
      <c r="AF717" s="42">
        <v>2117088</v>
      </c>
      <c r="AG717" s="42" t="s">
        <v>6528</v>
      </c>
    </row>
    <row r="718" spans="6:33" ht="15.75" customHeight="1">
      <c r="F718" s="40" t="s">
        <v>5680</v>
      </c>
      <c r="G718" s="40" t="s">
        <v>5681</v>
      </c>
      <c r="H718" s="40" t="s">
        <v>761</v>
      </c>
      <c r="I718" s="40" t="s">
        <v>6848</v>
      </c>
      <c r="J718" s="140">
        <v>2114762</v>
      </c>
      <c r="K718" s="141">
        <v>3300004154</v>
      </c>
      <c r="L718" s="141">
        <v>2103499</v>
      </c>
      <c r="M718" s="141">
        <v>5059339</v>
      </c>
      <c r="N718" s="141"/>
      <c r="O718" s="142"/>
      <c r="P718" s="142"/>
      <c r="Q718" s="142"/>
      <c r="R718" s="142"/>
      <c r="S718" s="142"/>
      <c r="T718" s="141" t="s">
        <v>5682</v>
      </c>
      <c r="V718" s="43" t="s">
        <v>688</v>
      </c>
      <c r="AF718" s="42">
        <v>2117089</v>
      </c>
      <c r="AG718" s="42" t="s">
        <v>6528</v>
      </c>
    </row>
    <row r="719" spans="6:33" ht="15.75" customHeight="1">
      <c r="F719" s="40" t="s">
        <v>5833</v>
      </c>
      <c r="G719" s="40" t="s">
        <v>5834</v>
      </c>
      <c r="H719" s="40" t="s">
        <v>761</v>
      </c>
      <c r="I719" s="40" t="s">
        <v>6848</v>
      </c>
      <c r="J719" s="140" t="s">
        <v>5835</v>
      </c>
      <c r="K719" s="141" t="s">
        <v>5836</v>
      </c>
      <c r="L719" s="141" t="s">
        <v>5837</v>
      </c>
      <c r="M719" s="141">
        <v>2171902</v>
      </c>
      <c r="N719" s="141">
        <v>3300001671</v>
      </c>
      <c r="O719" s="142"/>
      <c r="P719" s="142"/>
      <c r="Q719" s="142"/>
      <c r="R719" s="142"/>
      <c r="S719" s="142"/>
      <c r="T719" s="141" t="s">
        <v>5838</v>
      </c>
      <c r="V719" s="43" t="s">
        <v>535</v>
      </c>
      <c r="AF719" s="42">
        <v>2117090</v>
      </c>
      <c r="AG719" s="42" t="s">
        <v>6528</v>
      </c>
    </row>
    <row r="720" spans="6:33" ht="15.75" customHeight="1">
      <c r="F720" s="40" t="s">
        <v>1372</v>
      </c>
      <c r="G720" s="40" t="s">
        <v>26</v>
      </c>
      <c r="H720" s="40" t="s">
        <v>564</v>
      </c>
      <c r="I720" s="40" t="s">
        <v>6851</v>
      </c>
      <c r="J720" s="140" t="s">
        <v>1374</v>
      </c>
      <c r="K720" s="141">
        <v>3300002984</v>
      </c>
      <c r="L720" s="141">
        <v>5046333</v>
      </c>
      <c r="M720" s="141" t="s">
        <v>7545</v>
      </c>
      <c r="N720" s="141"/>
      <c r="O720" s="142"/>
      <c r="P720" s="142"/>
      <c r="Q720" s="142"/>
      <c r="R720" s="142"/>
      <c r="S720" s="142"/>
      <c r="T720" s="141" t="s">
        <v>1375</v>
      </c>
      <c r="V720" s="43" t="s">
        <v>714</v>
      </c>
      <c r="AF720" s="42">
        <v>2117091</v>
      </c>
      <c r="AG720" s="42" t="s">
        <v>6528</v>
      </c>
    </row>
    <row r="721" spans="6:33" ht="15.75" customHeight="1">
      <c r="F721" s="40" t="s">
        <v>7740</v>
      </c>
      <c r="G721" s="40" t="s">
        <v>7904</v>
      </c>
      <c r="H721" s="40" t="s">
        <v>8208</v>
      </c>
      <c r="I721" s="40" t="s">
        <v>6850</v>
      </c>
      <c r="J721" s="138">
        <v>3300011188</v>
      </c>
      <c r="K721" s="139">
        <v>2082945</v>
      </c>
      <c r="L721" s="141" t="s">
        <v>8073</v>
      </c>
      <c r="M721" s="141" t="s">
        <v>8074</v>
      </c>
      <c r="N721" s="141"/>
      <c r="O721" s="142"/>
      <c r="P721" s="142"/>
      <c r="Q721" s="142"/>
      <c r="R721" s="142"/>
      <c r="S721" s="142"/>
      <c r="T721" s="139">
        <v>101200092</v>
      </c>
      <c r="V721" s="43" t="s">
        <v>6365</v>
      </c>
      <c r="AF721" s="42">
        <v>2117092</v>
      </c>
      <c r="AG721" s="42" t="s">
        <v>6528</v>
      </c>
    </row>
    <row r="722" spans="6:33" ht="15.75" customHeight="1">
      <c r="F722" s="40" t="s">
        <v>2372</v>
      </c>
      <c r="G722" s="40" t="s">
        <v>2373</v>
      </c>
      <c r="H722" s="40" t="s">
        <v>564</v>
      </c>
      <c r="I722" s="40" t="s">
        <v>6851</v>
      </c>
      <c r="J722" s="140">
        <v>3300008126</v>
      </c>
      <c r="K722" s="141" t="s">
        <v>2375</v>
      </c>
      <c r="L722" s="141">
        <v>2183508</v>
      </c>
      <c r="M722" s="141">
        <v>3300008134</v>
      </c>
      <c r="N722" s="141" t="s">
        <v>2376</v>
      </c>
      <c r="O722" s="142"/>
      <c r="P722" s="142"/>
      <c r="Q722" s="142"/>
      <c r="R722" s="142"/>
      <c r="S722" s="142"/>
      <c r="T722" s="141" t="s">
        <v>2377</v>
      </c>
      <c r="V722" s="43" t="s">
        <v>557</v>
      </c>
      <c r="AF722" s="42">
        <v>2117093</v>
      </c>
      <c r="AG722" s="42" t="s">
        <v>6528</v>
      </c>
    </row>
    <row r="723" spans="6:33" ht="15.75" customHeight="1">
      <c r="F723" s="40" t="s">
        <v>5631</v>
      </c>
      <c r="G723" s="40" t="s">
        <v>5632</v>
      </c>
      <c r="H723" s="40" t="s">
        <v>761</v>
      </c>
      <c r="I723" s="40" t="s">
        <v>6848</v>
      </c>
      <c r="J723" s="140" t="s">
        <v>6627</v>
      </c>
      <c r="K723" s="141" t="s">
        <v>5633</v>
      </c>
      <c r="L723" s="141">
        <v>2177331</v>
      </c>
      <c r="M723" s="141"/>
      <c r="N723" s="141"/>
      <c r="O723" s="142"/>
      <c r="P723" s="142"/>
      <c r="Q723" s="142"/>
      <c r="R723" s="142"/>
      <c r="S723" s="142"/>
      <c r="T723" s="141" t="s">
        <v>5634</v>
      </c>
      <c r="V723" s="43" t="s">
        <v>773</v>
      </c>
      <c r="AF723" s="42">
        <v>2117094</v>
      </c>
      <c r="AG723" s="42" t="s">
        <v>6528</v>
      </c>
    </row>
    <row r="724" spans="6:33" ht="15.75" customHeight="1">
      <c r="F724" s="40" t="s">
        <v>7490</v>
      </c>
      <c r="G724" s="40" t="s">
        <v>7491</v>
      </c>
      <c r="H724" s="40" t="s">
        <v>553</v>
      </c>
      <c r="I724" s="40" t="s">
        <v>6853</v>
      </c>
      <c r="J724" s="140">
        <v>2115652</v>
      </c>
      <c r="K724" s="141">
        <v>5001461</v>
      </c>
      <c r="L724" s="141" t="s">
        <v>7325</v>
      </c>
      <c r="M724" s="141">
        <v>3300004122</v>
      </c>
      <c r="N724" s="141">
        <v>5001451</v>
      </c>
      <c r="O724" s="142"/>
      <c r="P724" s="142"/>
      <c r="Q724" s="142"/>
      <c r="R724" s="142"/>
      <c r="S724" s="142"/>
      <c r="T724" s="141" t="s">
        <v>4247</v>
      </c>
      <c r="V724" s="43" t="s">
        <v>553</v>
      </c>
      <c r="AF724" s="42">
        <v>2117095</v>
      </c>
      <c r="AG724" s="42" t="s">
        <v>6528</v>
      </c>
    </row>
    <row r="725" spans="6:33" ht="15.75" customHeight="1">
      <c r="F725" s="40" t="s">
        <v>3480</v>
      </c>
      <c r="G725" s="40" t="s">
        <v>3481</v>
      </c>
      <c r="H725" s="40" t="s">
        <v>6841</v>
      </c>
      <c r="I725" s="40" t="s">
        <v>6852</v>
      </c>
      <c r="J725" s="140" t="s">
        <v>8555</v>
      </c>
      <c r="K725" s="141">
        <v>5050453</v>
      </c>
      <c r="L725" s="141">
        <v>2171981</v>
      </c>
      <c r="M725" s="141">
        <v>3300005727</v>
      </c>
      <c r="N725" s="141" t="s">
        <v>3483</v>
      </c>
      <c r="O725" s="142"/>
      <c r="P725" s="142"/>
      <c r="Q725" s="142"/>
      <c r="R725" s="142"/>
      <c r="S725" s="142"/>
      <c r="T725" s="141" t="s">
        <v>6741</v>
      </c>
      <c r="V725" s="43" t="s">
        <v>538</v>
      </c>
      <c r="AF725" s="42">
        <v>2117096</v>
      </c>
      <c r="AG725" s="42" t="s">
        <v>6528</v>
      </c>
    </row>
    <row r="726" spans="6:33" ht="15.75" customHeight="1">
      <c r="F726" s="40" t="s">
        <v>6101</v>
      </c>
      <c r="G726" s="40" t="s">
        <v>6102</v>
      </c>
      <c r="H726" s="40" t="s">
        <v>8208</v>
      </c>
      <c r="I726" s="40" t="s">
        <v>6850</v>
      </c>
      <c r="J726" s="140">
        <v>3300003007</v>
      </c>
      <c r="K726" s="141">
        <v>5001469</v>
      </c>
      <c r="L726" s="141" t="s">
        <v>6103</v>
      </c>
      <c r="M726" s="141">
        <v>5001445</v>
      </c>
      <c r="N726" s="141">
        <v>3300002997</v>
      </c>
      <c r="O726" s="142"/>
      <c r="P726" s="142"/>
      <c r="Q726" s="142"/>
      <c r="R726" s="142"/>
      <c r="S726" s="142"/>
      <c r="T726" s="141" t="s">
        <v>6104</v>
      </c>
      <c r="V726" s="43" t="s">
        <v>532</v>
      </c>
      <c r="AF726" s="42">
        <v>2117097</v>
      </c>
      <c r="AG726" s="42" t="s">
        <v>6528</v>
      </c>
    </row>
    <row r="727" spans="6:33" ht="15.75" customHeight="1">
      <c r="F727" s="40" t="s">
        <v>4030</v>
      </c>
      <c r="G727" s="40" t="s">
        <v>4031</v>
      </c>
      <c r="H727" s="40" t="s">
        <v>553</v>
      </c>
      <c r="I727" s="40" t="s">
        <v>6853</v>
      </c>
      <c r="J727" s="140">
        <v>3300011490</v>
      </c>
      <c r="K727" s="141" t="s">
        <v>4032</v>
      </c>
      <c r="L727" s="141" t="s">
        <v>4033</v>
      </c>
      <c r="M727" s="141">
        <v>2119203</v>
      </c>
      <c r="N727" s="141" t="s">
        <v>6722</v>
      </c>
      <c r="O727" s="142"/>
      <c r="P727" s="142"/>
      <c r="Q727" s="142"/>
      <c r="R727" s="142"/>
      <c r="S727" s="142"/>
      <c r="T727" s="141" t="s">
        <v>4034</v>
      </c>
      <c r="V727" s="43" t="s">
        <v>543</v>
      </c>
      <c r="AF727" s="42">
        <v>2117098</v>
      </c>
      <c r="AG727" s="42" t="s">
        <v>6528</v>
      </c>
    </row>
    <row r="728" spans="6:33" ht="15.75" customHeight="1">
      <c r="F728" s="40" t="s">
        <v>6439</v>
      </c>
      <c r="G728" s="40" t="s">
        <v>6440</v>
      </c>
      <c r="H728" s="40" t="s">
        <v>8208</v>
      </c>
      <c r="I728" s="40" t="s">
        <v>6850</v>
      </c>
      <c r="J728" s="140">
        <v>2110118</v>
      </c>
      <c r="K728" s="141">
        <v>5014450</v>
      </c>
      <c r="L728" s="141">
        <v>3300005174</v>
      </c>
      <c r="M728" s="141" t="s">
        <v>6441</v>
      </c>
      <c r="N728" s="141"/>
      <c r="O728" s="142"/>
      <c r="P728" s="142"/>
      <c r="Q728" s="142"/>
      <c r="R728" s="142"/>
      <c r="S728" s="142"/>
      <c r="T728" s="141" t="s">
        <v>6442</v>
      </c>
      <c r="V728" s="43" t="s">
        <v>554</v>
      </c>
      <c r="AF728" s="42">
        <v>2117099</v>
      </c>
      <c r="AG728" s="42" t="s">
        <v>6528</v>
      </c>
    </row>
    <row r="729" spans="6:33" ht="15.75" customHeight="1">
      <c r="F729" s="40" t="s">
        <v>7741</v>
      </c>
      <c r="G729" s="40" t="s">
        <v>7741</v>
      </c>
      <c r="H729" s="40" t="s">
        <v>8208</v>
      </c>
      <c r="I729" s="40" t="s">
        <v>6850</v>
      </c>
      <c r="J729" s="140"/>
      <c r="K729" s="141">
        <v>5051904</v>
      </c>
      <c r="L729" s="141"/>
      <c r="M729" s="141"/>
      <c r="N729" s="141"/>
      <c r="O729" s="142"/>
      <c r="P729" s="142"/>
      <c r="Q729" s="142"/>
      <c r="R729" s="142"/>
      <c r="S729" s="142"/>
      <c r="T729" s="141">
        <v>11400149</v>
      </c>
      <c r="V729" s="43" t="s">
        <v>781</v>
      </c>
      <c r="AF729" s="42">
        <v>2117100</v>
      </c>
      <c r="AG729" s="42" t="s">
        <v>6528</v>
      </c>
    </row>
    <row r="730" spans="6:33" ht="15.75" customHeight="1">
      <c r="F730" s="40" t="s">
        <v>2568</v>
      </c>
      <c r="G730" s="40" t="s">
        <v>2569</v>
      </c>
      <c r="H730" s="40" t="s">
        <v>670</v>
      </c>
      <c r="I730" s="40" t="s">
        <v>6849</v>
      </c>
      <c r="J730" s="140">
        <v>3300011513</v>
      </c>
      <c r="K730" s="141">
        <v>2119178</v>
      </c>
      <c r="L730" s="141" t="s">
        <v>2570</v>
      </c>
      <c r="M730" s="141">
        <v>5031859</v>
      </c>
      <c r="N730" s="141" t="s">
        <v>7114</v>
      </c>
      <c r="O730" s="142"/>
      <c r="P730" s="142"/>
      <c r="Q730" s="142"/>
      <c r="R730" s="142"/>
      <c r="S730" s="142"/>
      <c r="T730" s="141" t="s">
        <v>2571</v>
      </c>
      <c r="V730" s="43" t="s">
        <v>640</v>
      </c>
      <c r="AF730" s="42">
        <v>2117101</v>
      </c>
      <c r="AG730" s="42" t="s">
        <v>6528</v>
      </c>
    </row>
    <row r="731" spans="6:33" ht="15.75" customHeight="1">
      <c r="F731" s="40" t="s">
        <v>6985</v>
      </c>
      <c r="G731" s="40" t="s">
        <v>6991</v>
      </c>
      <c r="H731" s="40" t="s">
        <v>8208</v>
      </c>
      <c r="I731" s="40" t="s">
        <v>6850</v>
      </c>
      <c r="J731" s="140">
        <v>2083301</v>
      </c>
      <c r="K731" s="141" t="s">
        <v>7328</v>
      </c>
      <c r="L731" s="141">
        <v>5040894</v>
      </c>
      <c r="M731" s="141">
        <v>41709</v>
      </c>
      <c r="N731" s="141"/>
      <c r="O731" s="142"/>
      <c r="P731" s="142"/>
      <c r="Q731" s="142"/>
      <c r="R731" s="142"/>
      <c r="S731" s="142"/>
      <c r="T731" s="141" t="s">
        <v>6609</v>
      </c>
      <c r="V731" s="43" t="s">
        <v>7017</v>
      </c>
      <c r="AF731" s="42">
        <v>2117102</v>
      </c>
      <c r="AG731" s="42" t="s">
        <v>6528</v>
      </c>
    </row>
    <row r="732" spans="6:33" ht="15.75" customHeight="1">
      <c r="F732" s="40" t="s">
        <v>5976</v>
      </c>
      <c r="G732" s="40" t="s">
        <v>5977</v>
      </c>
      <c r="H732" s="40" t="s">
        <v>8208</v>
      </c>
      <c r="I732" s="40" t="s">
        <v>6850</v>
      </c>
      <c r="J732" s="140">
        <v>2183579</v>
      </c>
      <c r="K732" s="141">
        <v>5059324</v>
      </c>
      <c r="L732" s="141"/>
      <c r="M732" s="141"/>
      <c r="N732" s="141"/>
      <c r="O732" s="142"/>
      <c r="P732" s="142"/>
      <c r="Q732" s="142"/>
      <c r="R732" s="142"/>
      <c r="S732" s="142"/>
      <c r="T732" s="141" t="s">
        <v>6736</v>
      </c>
      <c r="V732" s="43" t="s">
        <v>611</v>
      </c>
      <c r="AF732" s="42">
        <v>2117103</v>
      </c>
      <c r="AG732" s="42" t="s">
        <v>6528</v>
      </c>
    </row>
    <row r="733" spans="6:33" ht="15.75" customHeight="1">
      <c r="F733" s="40" t="s">
        <v>8453</v>
      </c>
      <c r="G733" s="40" t="s">
        <v>8499</v>
      </c>
      <c r="H733" s="40" t="s">
        <v>8208</v>
      </c>
      <c r="I733" s="40" t="s">
        <v>6850</v>
      </c>
      <c r="J733" s="138">
        <v>2172030</v>
      </c>
      <c r="K733" s="139" t="s">
        <v>8288</v>
      </c>
      <c r="L733" s="141">
        <v>5105523</v>
      </c>
      <c r="M733" s="141">
        <v>3300012693</v>
      </c>
      <c r="N733" s="141" t="s">
        <v>862</v>
      </c>
      <c r="O733" s="142"/>
      <c r="P733" s="142"/>
      <c r="Q733" s="142"/>
      <c r="R733" s="142"/>
      <c r="S733" s="142"/>
      <c r="T733" s="139" t="s">
        <v>1655</v>
      </c>
      <c r="V733" s="43" t="s">
        <v>610</v>
      </c>
      <c r="AF733" s="42">
        <v>2117104</v>
      </c>
      <c r="AG733" s="42" t="s">
        <v>6528</v>
      </c>
    </row>
    <row r="734" spans="6:33" ht="15.75" customHeight="1">
      <c r="F734" s="40" t="s">
        <v>7742</v>
      </c>
      <c r="G734" s="40" t="s">
        <v>7905</v>
      </c>
      <c r="H734" s="40" t="s">
        <v>8208</v>
      </c>
      <c r="I734" s="40" t="s">
        <v>6850</v>
      </c>
      <c r="J734" s="140">
        <v>2114670</v>
      </c>
      <c r="K734" s="141">
        <v>5050601</v>
      </c>
      <c r="L734" s="141"/>
      <c r="M734" s="141"/>
      <c r="N734" s="141"/>
      <c r="O734" s="142"/>
      <c r="P734" s="142"/>
      <c r="Q734" s="142"/>
      <c r="R734" s="142"/>
      <c r="S734" s="142"/>
      <c r="T734" s="141">
        <v>111300135</v>
      </c>
      <c r="V734" s="43" t="s">
        <v>687</v>
      </c>
      <c r="AF734" s="42">
        <v>2117105</v>
      </c>
      <c r="AG734" s="42" t="s">
        <v>6528</v>
      </c>
    </row>
    <row r="735" spans="6:33" ht="15.75" customHeight="1">
      <c r="F735" s="40" t="s">
        <v>2965</v>
      </c>
      <c r="G735" s="40" t="s">
        <v>2966</v>
      </c>
      <c r="H735" s="40" t="s">
        <v>595</v>
      </c>
      <c r="I735" s="40" t="s">
        <v>6847</v>
      </c>
      <c r="J735" s="140" t="s">
        <v>2968</v>
      </c>
      <c r="K735" s="141">
        <v>2119200</v>
      </c>
      <c r="L735" s="141">
        <v>3300002977</v>
      </c>
      <c r="M735" s="141" t="s">
        <v>2969</v>
      </c>
      <c r="N735" s="141"/>
      <c r="O735" s="142"/>
      <c r="P735" s="142"/>
      <c r="Q735" s="142"/>
      <c r="R735" s="142"/>
      <c r="S735" s="142"/>
      <c r="T735" s="141" t="s">
        <v>2970</v>
      </c>
      <c r="V735" s="43" t="s">
        <v>685</v>
      </c>
      <c r="AF735" s="42">
        <v>2117106</v>
      </c>
      <c r="AG735" s="42" t="s">
        <v>6528</v>
      </c>
    </row>
    <row r="736" spans="6:33" ht="15.75" customHeight="1">
      <c r="F736" s="40" t="s">
        <v>1386</v>
      </c>
      <c r="G736" s="40" t="s">
        <v>1387</v>
      </c>
      <c r="H736" s="40" t="s">
        <v>564</v>
      </c>
      <c r="I736" s="40" t="s">
        <v>6851</v>
      </c>
      <c r="J736" s="140" t="s">
        <v>1388</v>
      </c>
      <c r="K736" s="141" t="s">
        <v>1389</v>
      </c>
      <c r="L736" s="141" t="s">
        <v>1390</v>
      </c>
      <c r="M736" s="141">
        <v>5031860</v>
      </c>
      <c r="N736" s="141">
        <v>2119205</v>
      </c>
      <c r="O736" s="142"/>
      <c r="P736" s="142"/>
      <c r="Q736" s="142"/>
      <c r="R736" s="142"/>
      <c r="S736" s="142"/>
      <c r="T736" s="141" t="s">
        <v>1391</v>
      </c>
      <c r="V736" s="43" t="s">
        <v>540</v>
      </c>
      <c r="AF736" s="42">
        <v>2117371</v>
      </c>
      <c r="AG736" s="42" t="s">
        <v>6528</v>
      </c>
    </row>
    <row r="737" spans="6:33" ht="15.75" customHeight="1">
      <c r="F737" s="40" t="s">
        <v>2250</v>
      </c>
      <c r="G737" s="40" t="s">
        <v>2251</v>
      </c>
      <c r="H737" s="40" t="s">
        <v>564</v>
      </c>
      <c r="I737" s="40" t="s">
        <v>6851</v>
      </c>
      <c r="J737" s="140" t="s">
        <v>2253</v>
      </c>
      <c r="K737" s="141">
        <v>3300005164</v>
      </c>
      <c r="L737" s="141">
        <v>5059304</v>
      </c>
      <c r="M737" s="141">
        <v>3300002822</v>
      </c>
      <c r="N737" s="141">
        <v>2183577</v>
      </c>
      <c r="O737" s="142"/>
      <c r="P737" s="142"/>
      <c r="Q737" s="142"/>
      <c r="R737" s="142"/>
      <c r="S737" s="142"/>
      <c r="T737" s="141" t="s">
        <v>2254</v>
      </c>
      <c r="V737" s="43" t="s">
        <v>805</v>
      </c>
      <c r="AF737" s="42">
        <v>2117377</v>
      </c>
      <c r="AG737" s="42" t="s">
        <v>6528</v>
      </c>
    </row>
    <row r="738" spans="6:33" ht="15.75" customHeight="1">
      <c r="F738" s="40" t="s">
        <v>3514</v>
      </c>
      <c r="G738" s="40" t="s">
        <v>3515</v>
      </c>
      <c r="H738" s="40" t="s">
        <v>6841</v>
      </c>
      <c r="I738" s="40" t="s">
        <v>6852</v>
      </c>
      <c r="J738" s="140" t="s">
        <v>3517</v>
      </c>
      <c r="K738" s="141">
        <v>2116302</v>
      </c>
      <c r="L738" s="141" t="s">
        <v>3518</v>
      </c>
      <c r="M738" s="141"/>
      <c r="N738" s="141"/>
      <c r="O738" s="142"/>
      <c r="P738" s="142"/>
      <c r="Q738" s="142"/>
      <c r="R738" s="142"/>
      <c r="S738" s="142"/>
      <c r="T738" s="141" t="s">
        <v>3519</v>
      </c>
      <c r="V738" s="43" t="s">
        <v>661</v>
      </c>
      <c r="AF738" s="42">
        <v>2117379</v>
      </c>
      <c r="AG738" s="42" t="s">
        <v>6528</v>
      </c>
    </row>
    <row r="739" spans="6:33" ht="15.75" customHeight="1">
      <c r="F739" s="40" t="s">
        <v>1207</v>
      </c>
      <c r="G739" s="40" t="s">
        <v>1208</v>
      </c>
      <c r="H739" s="40" t="s">
        <v>564</v>
      </c>
      <c r="I739" s="40" t="s">
        <v>6851</v>
      </c>
      <c r="J739" s="140">
        <v>2116288</v>
      </c>
      <c r="K739" s="141" t="s">
        <v>1798</v>
      </c>
      <c r="L739" s="141">
        <v>2116309</v>
      </c>
      <c r="M739" s="141">
        <v>3300008124</v>
      </c>
      <c r="N739" s="141">
        <v>5050459</v>
      </c>
      <c r="O739" s="142"/>
      <c r="P739" s="142"/>
      <c r="Q739" s="142"/>
      <c r="R739" s="142"/>
      <c r="S739" s="142"/>
      <c r="T739" s="141" t="s">
        <v>1211</v>
      </c>
      <c r="V739" s="43" t="s">
        <v>664</v>
      </c>
      <c r="AF739" s="42">
        <v>2117380</v>
      </c>
      <c r="AG739" s="42" t="s">
        <v>6528</v>
      </c>
    </row>
    <row r="740" spans="6:33" ht="15.75" customHeight="1">
      <c r="F740" s="40" t="s">
        <v>1903</v>
      </c>
      <c r="G740" s="40" t="s">
        <v>1904</v>
      </c>
      <c r="H740" s="40" t="s">
        <v>564</v>
      </c>
      <c r="I740" s="40" t="s">
        <v>6851</v>
      </c>
      <c r="J740" s="140">
        <v>3300009498</v>
      </c>
      <c r="K740" s="141" t="s">
        <v>1906</v>
      </c>
      <c r="L740" s="141" t="s">
        <v>7321</v>
      </c>
      <c r="M740" s="141">
        <v>2186855</v>
      </c>
      <c r="N740" s="141" t="s">
        <v>1908</v>
      </c>
      <c r="O740" s="142"/>
      <c r="P740" s="142"/>
      <c r="Q740" s="142"/>
      <c r="R740" s="142"/>
      <c r="S740" s="142"/>
      <c r="T740" s="141" t="s">
        <v>1909</v>
      </c>
      <c r="V740" s="43" t="s">
        <v>721</v>
      </c>
      <c r="AF740" s="42">
        <v>2117387</v>
      </c>
      <c r="AG740" s="42" t="s">
        <v>6528</v>
      </c>
    </row>
    <row r="741" spans="6:33" ht="15.75" customHeight="1">
      <c r="F741" s="40" t="s">
        <v>1249</v>
      </c>
      <c r="G741" s="40" t="s">
        <v>1250</v>
      </c>
      <c r="H741" s="40" t="s">
        <v>564</v>
      </c>
      <c r="I741" s="40" t="s">
        <v>6851</v>
      </c>
      <c r="J741" s="140">
        <v>5049721</v>
      </c>
      <c r="K741" s="141" t="s">
        <v>1252</v>
      </c>
      <c r="L741" s="141">
        <v>2103546</v>
      </c>
      <c r="M741" s="141" t="s">
        <v>1253</v>
      </c>
      <c r="N741" s="141"/>
      <c r="O741" s="142"/>
      <c r="P741" s="142"/>
      <c r="Q741" s="142"/>
      <c r="R741" s="142"/>
      <c r="S741" s="142"/>
      <c r="T741" s="141" t="s">
        <v>1254</v>
      </c>
      <c r="V741" s="43" t="s">
        <v>703</v>
      </c>
      <c r="AF741" s="42">
        <v>2117389</v>
      </c>
      <c r="AG741" s="42" t="s">
        <v>6528</v>
      </c>
    </row>
    <row r="742" spans="6:33" ht="15.75" customHeight="1">
      <c r="F742" s="40" t="s">
        <v>7743</v>
      </c>
      <c r="G742" s="40" t="s">
        <v>7906</v>
      </c>
      <c r="H742" s="40" t="s">
        <v>8208</v>
      </c>
      <c r="I742" s="40" t="s">
        <v>6850</v>
      </c>
      <c r="J742" s="140">
        <v>2096179</v>
      </c>
      <c r="K742" s="141">
        <v>3300001678</v>
      </c>
      <c r="L742" s="141" t="s">
        <v>8075</v>
      </c>
      <c r="M742" s="141"/>
      <c r="N742" s="141"/>
      <c r="O742" s="142"/>
      <c r="P742" s="142"/>
      <c r="Q742" s="142"/>
      <c r="R742" s="142"/>
      <c r="S742" s="142"/>
      <c r="T742" s="141">
        <v>11300012</v>
      </c>
      <c r="V742" s="43" t="s">
        <v>6365</v>
      </c>
      <c r="AF742" s="42">
        <v>2117426</v>
      </c>
      <c r="AG742" s="42" t="s">
        <v>6528</v>
      </c>
    </row>
    <row r="743" spans="6:33" ht="15.75" customHeight="1">
      <c r="F743" s="40" t="s">
        <v>4250</v>
      </c>
      <c r="G743" s="40" t="s">
        <v>4251</v>
      </c>
      <c r="H743" s="40" t="s">
        <v>553</v>
      </c>
      <c r="I743" s="40" t="s">
        <v>6853</v>
      </c>
      <c r="J743" s="140">
        <v>3300012838</v>
      </c>
      <c r="K743" s="141">
        <v>2087267</v>
      </c>
      <c r="L743" s="141">
        <v>5033027</v>
      </c>
      <c r="M743" s="141"/>
      <c r="N743" s="141"/>
      <c r="O743" s="142"/>
      <c r="P743" s="142"/>
      <c r="Q743" s="142"/>
      <c r="R743" s="142"/>
      <c r="S743" s="142"/>
      <c r="T743" s="141" t="s">
        <v>5891</v>
      </c>
      <c r="V743" s="43" t="s">
        <v>553</v>
      </c>
      <c r="AF743" s="42">
        <v>2117430</v>
      </c>
      <c r="AG743" s="42" t="s">
        <v>6528</v>
      </c>
    </row>
    <row r="744" spans="6:33" ht="15.75" customHeight="1">
      <c r="F744" s="40" t="s">
        <v>7492</v>
      </c>
      <c r="G744" s="40" t="s">
        <v>7493</v>
      </c>
      <c r="H744" s="40" t="s">
        <v>6841</v>
      </c>
      <c r="I744" s="40" t="s">
        <v>6852</v>
      </c>
      <c r="J744" s="140">
        <v>2087315</v>
      </c>
      <c r="K744" s="141" t="s">
        <v>7546</v>
      </c>
      <c r="L744" s="141">
        <v>5049673</v>
      </c>
      <c r="M744" s="141">
        <v>3300009517</v>
      </c>
      <c r="N744" s="141"/>
      <c r="O744" s="142"/>
      <c r="P744" s="142"/>
      <c r="Q744" s="142"/>
      <c r="R744" s="142"/>
      <c r="S744" s="142"/>
      <c r="T744" s="141" t="s">
        <v>7580</v>
      </c>
      <c r="V744" s="43" t="s">
        <v>807</v>
      </c>
      <c r="AF744" s="42">
        <v>2117431</v>
      </c>
      <c r="AG744" s="42" t="s">
        <v>6528</v>
      </c>
    </row>
    <row r="745" spans="6:33" ht="15.75" customHeight="1">
      <c r="F745" s="40" t="s">
        <v>6943</v>
      </c>
      <c r="G745" s="40" t="s">
        <v>6944</v>
      </c>
      <c r="H745" s="40" t="s">
        <v>8208</v>
      </c>
      <c r="I745" s="40" t="s">
        <v>6850</v>
      </c>
      <c r="J745" s="140">
        <v>5059325</v>
      </c>
      <c r="K745" s="141">
        <v>2087344</v>
      </c>
      <c r="L745" s="141">
        <v>3300012517</v>
      </c>
      <c r="M745" s="141" t="s">
        <v>6637</v>
      </c>
      <c r="N745" s="141" t="s">
        <v>8556</v>
      </c>
      <c r="O745" s="142"/>
      <c r="P745" s="142"/>
      <c r="Q745" s="142"/>
      <c r="R745" s="142"/>
      <c r="S745" s="142"/>
      <c r="T745" s="141" t="s">
        <v>6552</v>
      </c>
      <c r="V745" s="43" t="s">
        <v>532</v>
      </c>
      <c r="AF745" s="42">
        <v>2117432</v>
      </c>
      <c r="AG745" s="42" t="s">
        <v>6528</v>
      </c>
    </row>
    <row r="746" spans="6:33" ht="15.75" customHeight="1">
      <c r="F746" s="40" t="s">
        <v>1719</v>
      </c>
      <c r="G746" s="40" t="s">
        <v>1720</v>
      </c>
      <c r="H746" s="40" t="s">
        <v>564</v>
      </c>
      <c r="I746" s="40" t="s">
        <v>6851</v>
      </c>
      <c r="J746" s="138">
        <v>5033022</v>
      </c>
      <c r="K746" s="139">
        <v>2116052</v>
      </c>
      <c r="L746" s="139" t="s">
        <v>1722</v>
      </c>
      <c r="M746" s="141">
        <v>2228718</v>
      </c>
      <c r="N746" s="141">
        <v>5033026</v>
      </c>
      <c r="O746" s="142"/>
      <c r="P746" s="142"/>
      <c r="Q746" s="142"/>
      <c r="R746" s="142"/>
      <c r="S746" s="142"/>
      <c r="T746" s="139" t="s">
        <v>6818</v>
      </c>
      <c r="V746" s="43" t="s">
        <v>817</v>
      </c>
      <c r="AF746" s="42">
        <v>2117460</v>
      </c>
      <c r="AG746" s="42" t="s">
        <v>6528</v>
      </c>
    </row>
    <row r="747" spans="6:33" ht="15.75" customHeight="1">
      <c r="F747" s="40" t="s">
        <v>5982</v>
      </c>
      <c r="G747" s="40" t="s">
        <v>5983</v>
      </c>
      <c r="H747" s="40" t="s">
        <v>8208</v>
      </c>
      <c r="I747" s="40" t="s">
        <v>6850</v>
      </c>
      <c r="J747" s="140">
        <v>5040881</v>
      </c>
      <c r="K747" s="141" t="s">
        <v>5985</v>
      </c>
      <c r="L747" s="141">
        <v>2119282</v>
      </c>
      <c r="M747" s="141">
        <v>3300006807</v>
      </c>
      <c r="N747" s="141">
        <v>5040889</v>
      </c>
      <c r="O747" s="142"/>
      <c r="P747" s="142"/>
      <c r="Q747" s="142"/>
      <c r="R747" s="142"/>
      <c r="S747" s="142"/>
      <c r="T747" s="141" t="s">
        <v>5986</v>
      </c>
      <c r="V747" s="43" t="s">
        <v>611</v>
      </c>
      <c r="AF747" s="42">
        <v>2117471</v>
      </c>
      <c r="AG747" s="42" t="s">
        <v>6528</v>
      </c>
    </row>
    <row r="748" spans="6:33" ht="15.75" customHeight="1">
      <c r="F748" s="40" t="s">
        <v>5799</v>
      </c>
      <c r="G748" s="40" t="s">
        <v>5800</v>
      </c>
      <c r="H748" s="40" t="s">
        <v>761</v>
      </c>
      <c r="I748" s="40" t="s">
        <v>6848</v>
      </c>
      <c r="J748" s="140">
        <v>2117095</v>
      </c>
      <c r="K748" s="141" t="s">
        <v>5801</v>
      </c>
      <c r="L748" s="141">
        <v>3300009762</v>
      </c>
      <c r="M748" s="141">
        <v>2119229</v>
      </c>
      <c r="N748" s="141"/>
      <c r="O748" s="142"/>
      <c r="P748" s="142"/>
      <c r="Q748" s="142"/>
      <c r="R748" s="142"/>
      <c r="S748" s="142"/>
      <c r="T748" s="141" t="s">
        <v>5802</v>
      </c>
      <c r="V748" s="43" t="s">
        <v>583</v>
      </c>
      <c r="AF748" s="42">
        <v>2117476</v>
      </c>
      <c r="AG748" s="42" t="s">
        <v>6528</v>
      </c>
    </row>
    <row r="749" spans="6:33" ht="15.75" customHeight="1">
      <c r="F749" s="40" t="s">
        <v>1781</v>
      </c>
      <c r="G749" s="40" t="s">
        <v>1782</v>
      </c>
      <c r="H749" s="40" t="s">
        <v>564</v>
      </c>
      <c r="I749" s="40" t="s">
        <v>6851</v>
      </c>
      <c r="J749" s="140">
        <v>5042662</v>
      </c>
      <c r="K749" s="141" t="s">
        <v>1784</v>
      </c>
      <c r="L749" s="141">
        <v>2119182</v>
      </c>
      <c r="M749" s="141" t="s">
        <v>6643</v>
      </c>
      <c r="N749" s="141">
        <v>3300016367</v>
      </c>
      <c r="O749" s="142"/>
      <c r="P749" s="142"/>
      <c r="Q749" s="142"/>
      <c r="R749" s="142"/>
      <c r="S749" s="142"/>
      <c r="T749" s="141" t="s">
        <v>1785</v>
      </c>
      <c r="V749" s="43" t="s">
        <v>620</v>
      </c>
      <c r="AF749" s="42">
        <v>2117477</v>
      </c>
      <c r="AG749" s="42" t="s">
        <v>6528</v>
      </c>
    </row>
    <row r="750" spans="6:33" ht="15.75" customHeight="1">
      <c r="F750" s="40" t="s">
        <v>3335</v>
      </c>
      <c r="G750" s="40" t="s">
        <v>3336</v>
      </c>
      <c r="H750" s="40" t="s">
        <v>6841</v>
      </c>
      <c r="I750" s="40" t="s">
        <v>6852</v>
      </c>
      <c r="J750" s="138" t="s">
        <v>3337</v>
      </c>
      <c r="K750" s="139">
        <v>5014451</v>
      </c>
      <c r="L750" s="141">
        <v>3300005162</v>
      </c>
      <c r="M750" s="141" t="s">
        <v>3338</v>
      </c>
      <c r="N750" s="141"/>
      <c r="O750" s="142"/>
      <c r="P750" s="142"/>
      <c r="Q750" s="142"/>
      <c r="R750" s="142"/>
      <c r="S750" s="142"/>
      <c r="T750" s="139" t="s">
        <v>3339</v>
      </c>
      <c r="V750" s="43" t="s">
        <v>598</v>
      </c>
      <c r="AF750" s="42">
        <v>2117485</v>
      </c>
      <c r="AG750" s="42" t="s">
        <v>6528</v>
      </c>
    </row>
    <row r="751" spans="6:33" ht="15.75" customHeight="1">
      <c r="F751" s="40" t="s">
        <v>1924</v>
      </c>
      <c r="G751" s="40" t="s">
        <v>1925</v>
      </c>
      <c r="H751" s="40" t="s">
        <v>564</v>
      </c>
      <c r="I751" s="40" t="s">
        <v>6851</v>
      </c>
      <c r="J751" s="140">
        <v>3300002806</v>
      </c>
      <c r="K751" s="141">
        <v>5014458</v>
      </c>
      <c r="L751" s="141" t="s">
        <v>1926</v>
      </c>
      <c r="M751" s="141"/>
      <c r="N751" s="141"/>
      <c r="O751" s="142"/>
      <c r="P751" s="142"/>
      <c r="Q751" s="142"/>
      <c r="R751" s="142"/>
      <c r="S751" s="142"/>
      <c r="T751" s="141" t="s">
        <v>1927</v>
      </c>
      <c r="V751" s="43" t="s">
        <v>689</v>
      </c>
      <c r="AF751" s="42">
        <v>2117489</v>
      </c>
      <c r="AG751" s="42" t="s">
        <v>6528</v>
      </c>
    </row>
    <row r="752" spans="6:33" ht="15.75" customHeight="1">
      <c r="F752" s="40" t="s">
        <v>7140</v>
      </c>
      <c r="G752" s="40" t="s">
        <v>7154</v>
      </c>
      <c r="H752" s="40" t="s">
        <v>564</v>
      </c>
      <c r="I752" s="40" t="s">
        <v>6851</v>
      </c>
      <c r="J752" s="140">
        <v>2103461</v>
      </c>
      <c r="K752" s="141" t="s">
        <v>7116</v>
      </c>
      <c r="L752" s="141" t="s">
        <v>6727</v>
      </c>
      <c r="M752" s="141">
        <v>3300016061</v>
      </c>
      <c r="N752" s="141">
        <v>5031841</v>
      </c>
      <c r="O752" s="142"/>
      <c r="P752" s="142"/>
      <c r="Q752" s="142"/>
      <c r="R752" s="142"/>
      <c r="S752" s="142"/>
      <c r="T752" s="141" t="s">
        <v>7068</v>
      </c>
      <c r="V752" s="43" t="s">
        <v>7163</v>
      </c>
      <c r="AF752" s="42">
        <v>2117493</v>
      </c>
      <c r="AG752" s="42" t="s">
        <v>6528</v>
      </c>
    </row>
    <row r="753" spans="6:33" ht="15.75" customHeight="1">
      <c r="F753" s="40" t="s">
        <v>7744</v>
      </c>
      <c r="G753" s="40" t="s">
        <v>7907</v>
      </c>
      <c r="H753" s="40" t="s">
        <v>8208</v>
      </c>
      <c r="I753" s="40" t="s">
        <v>6850</v>
      </c>
      <c r="J753" s="140">
        <v>3300012839</v>
      </c>
      <c r="K753" s="141">
        <v>2082972</v>
      </c>
      <c r="L753" s="141"/>
      <c r="M753" s="141" t="s">
        <v>8078</v>
      </c>
      <c r="N753" s="141" t="s">
        <v>8079</v>
      </c>
      <c r="O753" s="142"/>
      <c r="P753" s="142"/>
      <c r="Q753" s="142"/>
      <c r="R753" s="142"/>
      <c r="S753" s="142"/>
      <c r="T753" s="141">
        <v>101200086</v>
      </c>
      <c r="V753" s="43" t="s">
        <v>771</v>
      </c>
      <c r="AF753" s="42">
        <v>2117498</v>
      </c>
      <c r="AG753" s="42" t="s">
        <v>6528</v>
      </c>
    </row>
    <row r="754" spans="6:33" ht="15.75" customHeight="1">
      <c r="F754" s="40" t="s">
        <v>7025</v>
      </c>
      <c r="G754" s="40" t="s">
        <v>7029</v>
      </c>
      <c r="H754" s="40" t="s">
        <v>564</v>
      </c>
      <c r="I754" s="40" t="s">
        <v>6851</v>
      </c>
      <c r="J754" s="138" t="s">
        <v>7038</v>
      </c>
      <c r="K754" s="139">
        <v>3400002963</v>
      </c>
      <c r="L754" s="139">
        <v>2171894</v>
      </c>
      <c r="M754" s="141" t="s">
        <v>7039</v>
      </c>
      <c r="N754" s="139" t="s">
        <v>2020</v>
      </c>
      <c r="O754" s="142"/>
      <c r="P754" s="142"/>
      <c r="Q754" s="142"/>
      <c r="R754" s="142"/>
      <c r="S754" s="142"/>
      <c r="T754" s="139" t="s">
        <v>6540</v>
      </c>
      <c r="V754" s="43" t="s">
        <v>7043</v>
      </c>
      <c r="AF754" s="42">
        <v>2117499</v>
      </c>
      <c r="AG754" s="42" t="s">
        <v>6528</v>
      </c>
    </row>
    <row r="755" spans="6:33" ht="15.75" customHeight="1">
      <c r="F755" s="40" t="s">
        <v>3487</v>
      </c>
      <c r="G755" s="40" t="s">
        <v>3488</v>
      </c>
      <c r="H755" s="40" t="s">
        <v>6841</v>
      </c>
      <c r="I755" s="40" t="s">
        <v>6852</v>
      </c>
      <c r="J755" s="140" t="s">
        <v>3489</v>
      </c>
      <c r="K755" s="141">
        <v>5103021</v>
      </c>
      <c r="L755" s="141" t="s">
        <v>3490</v>
      </c>
      <c r="M755" s="141">
        <v>2183502</v>
      </c>
      <c r="N755" s="141" t="s">
        <v>3491</v>
      </c>
      <c r="O755" s="142"/>
      <c r="P755" s="142"/>
      <c r="Q755" s="142"/>
      <c r="R755" s="142"/>
      <c r="S755" s="142"/>
      <c r="T755" s="141" t="s">
        <v>3492</v>
      </c>
      <c r="V755" s="43" t="s">
        <v>538</v>
      </c>
      <c r="AF755" s="42">
        <v>2117509</v>
      </c>
      <c r="AG755" s="42" t="s">
        <v>6528</v>
      </c>
    </row>
    <row r="756" spans="6:33" ht="15.75" customHeight="1">
      <c r="F756" s="40" t="s">
        <v>2379</v>
      </c>
      <c r="G756" s="40" t="s">
        <v>2380</v>
      </c>
      <c r="H756" s="40" t="s">
        <v>564</v>
      </c>
      <c r="I756" s="40" t="s">
        <v>6851</v>
      </c>
      <c r="J756" s="140">
        <v>5014449</v>
      </c>
      <c r="K756" s="141">
        <v>3400001163</v>
      </c>
      <c r="L756" s="141" t="s">
        <v>2383</v>
      </c>
      <c r="M756" s="141">
        <v>3400001162</v>
      </c>
      <c r="N756" s="141">
        <v>2103924</v>
      </c>
      <c r="O756" s="142"/>
      <c r="P756" s="142"/>
      <c r="Q756" s="142"/>
      <c r="R756" s="142"/>
      <c r="S756" s="142"/>
      <c r="T756" s="141" t="s">
        <v>2384</v>
      </c>
      <c r="V756" s="43" t="s">
        <v>557</v>
      </c>
      <c r="AF756" s="42">
        <v>2117585</v>
      </c>
      <c r="AG756" s="42" t="s">
        <v>6673</v>
      </c>
    </row>
    <row r="757" spans="6:33" ht="15.75" customHeight="1">
      <c r="F757" s="40" t="s">
        <v>6270</v>
      </c>
      <c r="G757" s="40" t="s">
        <v>6271</v>
      </c>
      <c r="H757" s="40" t="s">
        <v>8208</v>
      </c>
      <c r="I757" s="40" t="s">
        <v>6850</v>
      </c>
      <c r="J757" s="140">
        <v>3300001254</v>
      </c>
      <c r="K757" s="141" t="s">
        <v>6273</v>
      </c>
      <c r="L757" s="141">
        <v>5031881</v>
      </c>
      <c r="M757" s="141"/>
      <c r="N757" s="141"/>
      <c r="O757" s="142"/>
      <c r="P757" s="142"/>
      <c r="Q757" s="142"/>
      <c r="R757" s="142"/>
      <c r="S757" s="142"/>
      <c r="T757" s="141" t="s">
        <v>6274</v>
      </c>
      <c r="V757" s="43" t="s">
        <v>650</v>
      </c>
      <c r="AF757" s="42">
        <v>2117587</v>
      </c>
      <c r="AG757" s="42" t="s">
        <v>6673</v>
      </c>
    </row>
    <row r="758" spans="6:33" ht="15.75" customHeight="1">
      <c r="F758" s="40" t="s">
        <v>3651</v>
      </c>
      <c r="G758" s="40" t="s">
        <v>3652</v>
      </c>
      <c r="H758" s="40" t="s">
        <v>8513</v>
      </c>
      <c r="I758" s="40" t="s">
        <v>6853</v>
      </c>
      <c r="J758" s="138">
        <v>3300002991</v>
      </c>
      <c r="K758" s="141">
        <v>5006428</v>
      </c>
      <c r="L758" s="141" t="s">
        <v>2405</v>
      </c>
      <c r="M758" s="141">
        <v>5006422</v>
      </c>
      <c r="N758" s="141" t="s">
        <v>3653</v>
      </c>
      <c r="O758" s="142"/>
      <c r="P758" s="142"/>
      <c r="Q758" s="142"/>
      <c r="R758" s="142"/>
      <c r="S758" s="142"/>
      <c r="T758" s="139" t="s">
        <v>1349</v>
      </c>
      <c r="V758" s="43" t="s">
        <v>560</v>
      </c>
      <c r="AF758" s="42">
        <v>2117594</v>
      </c>
      <c r="AG758" s="42" t="s">
        <v>6528</v>
      </c>
    </row>
    <row r="759" spans="6:33" ht="15.75" customHeight="1">
      <c r="F759" s="40" t="s">
        <v>8304</v>
      </c>
      <c r="G759" s="40" t="s">
        <v>8322</v>
      </c>
      <c r="H759" s="40" t="s">
        <v>564</v>
      </c>
      <c r="I759" s="40" t="s">
        <v>6851</v>
      </c>
      <c r="J759" s="140">
        <v>5100172</v>
      </c>
      <c r="K759" s="141" t="s">
        <v>8267</v>
      </c>
      <c r="L759" s="141">
        <v>2171890</v>
      </c>
      <c r="M759" s="141"/>
      <c r="N759" s="141"/>
      <c r="O759" s="142"/>
      <c r="P759" s="142"/>
      <c r="Q759" s="142"/>
      <c r="R759" s="142"/>
      <c r="S759" s="142"/>
      <c r="T759" s="141" t="s">
        <v>8231</v>
      </c>
      <c r="V759" s="43" t="s">
        <v>574</v>
      </c>
      <c r="AF759" s="42">
        <v>2117596</v>
      </c>
      <c r="AG759" s="42" t="s">
        <v>6528</v>
      </c>
    </row>
    <row r="760" spans="6:33" ht="15.75" customHeight="1">
      <c r="F760" s="40" t="s">
        <v>7745</v>
      </c>
      <c r="G760" s="40" t="s">
        <v>7908</v>
      </c>
      <c r="H760" s="40" t="s">
        <v>8208</v>
      </c>
      <c r="I760" s="40" t="s">
        <v>6850</v>
      </c>
      <c r="J760" s="140"/>
      <c r="K760" s="139"/>
      <c r="L760" s="141"/>
      <c r="M760" s="141"/>
      <c r="N760" s="141"/>
      <c r="O760" s="142"/>
      <c r="P760" s="142"/>
      <c r="Q760" s="142"/>
      <c r="R760" s="142"/>
      <c r="S760" s="142"/>
      <c r="T760" s="139" t="s">
        <v>7608</v>
      </c>
      <c r="V760" s="43" t="s">
        <v>6448</v>
      </c>
      <c r="AF760" s="42">
        <v>2117605</v>
      </c>
      <c r="AG760" s="42" t="s">
        <v>6528</v>
      </c>
    </row>
    <row r="761" spans="6:33" ht="15.75" customHeight="1">
      <c r="F761" s="40" t="s">
        <v>1155</v>
      </c>
      <c r="G761" s="40" t="s">
        <v>1156</v>
      </c>
      <c r="H761" s="40" t="s">
        <v>564</v>
      </c>
      <c r="I761" s="40" t="s">
        <v>6851</v>
      </c>
      <c r="J761" s="140">
        <v>3300005143</v>
      </c>
      <c r="K761" s="141">
        <v>5006426</v>
      </c>
      <c r="L761" s="141">
        <v>2084094</v>
      </c>
      <c r="M761" s="141" t="s">
        <v>6656</v>
      </c>
      <c r="N761" s="141"/>
      <c r="O761" s="142"/>
      <c r="P761" s="142"/>
      <c r="Q761" s="142"/>
      <c r="R761" s="142"/>
      <c r="S761" s="142"/>
      <c r="T761" s="141" t="s">
        <v>1157</v>
      </c>
      <c r="V761" s="43" t="s">
        <v>662</v>
      </c>
      <c r="AF761" s="42">
        <v>2117630</v>
      </c>
      <c r="AG761" s="42" t="s">
        <v>6528</v>
      </c>
    </row>
    <row r="762" spans="6:33" ht="15.75" customHeight="1">
      <c r="F762" s="40" t="s">
        <v>966</v>
      </c>
      <c r="G762" s="40" t="s">
        <v>3</v>
      </c>
      <c r="H762" s="40" t="s">
        <v>564</v>
      </c>
      <c r="I762" s="40" t="s">
        <v>6851</v>
      </c>
      <c r="J762" s="140">
        <v>3300009476</v>
      </c>
      <c r="K762" s="141">
        <v>2183507</v>
      </c>
      <c r="L762" s="141" t="s">
        <v>968</v>
      </c>
      <c r="M762" s="141" t="s">
        <v>969</v>
      </c>
      <c r="N762" s="141" t="s">
        <v>7106</v>
      </c>
      <c r="O762" s="142"/>
      <c r="P762" s="142"/>
      <c r="Q762" s="142"/>
      <c r="R762" s="142"/>
      <c r="S762" s="142"/>
      <c r="T762" s="141" t="s">
        <v>971</v>
      </c>
      <c r="V762" s="43" t="s">
        <v>547</v>
      </c>
      <c r="AF762" s="42">
        <v>2119173</v>
      </c>
      <c r="AG762" s="42" t="s">
        <v>6528</v>
      </c>
    </row>
    <row r="763" spans="6:33" ht="15.75" customHeight="1">
      <c r="F763" s="40" t="s">
        <v>6107</v>
      </c>
      <c r="G763" s="40" t="s">
        <v>6108</v>
      </c>
      <c r="H763" s="40" t="s">
        <v>8208</v>
      </c>
      <c r="I763" s="40" t="s">
        <v>6850</v>
      </c>
      <c r="J763" s="140">
        <v>2152554</v>
      </c>
      <c r="K763" s="141">
        <v>5001471</v>
      </c>
      <c r="L763" s="141">
        <v>3300015870</v>
      </c>
      <c r="M763" s="141" t="s">
        <v>6109</v>
      </c>
      <c r="N763" s="141">
        <v>5031878</v>
      </c>
      <c r="O763" s="142"/>
      <c r="P763" s="142"/>
      <c r="Q763" s="142"/>
      <c r="R763" s="142"/>
      <c r="S763" s="142"/>
      <c r="T763" s="141" t="s">
        <v>6110</v>
      </c>
      <c r="V763" s="43" t="s">
        <v>532</v>
      </c>
      <c r="AF763" s="42">
        <v>2119174</v>
      </c>
      <c r="AG763" s="42" t="s">
        <v>6528</v>
      </c>
    </row>
    <row r="764" spans="6:33" ht="15.75" customHeight="1">
      <c r="F764" s="40" t="s">
        <v>8348</v>
      </c>
      <c r="G764" s="40" t="s">
        <v>8348</v>
      </c>
      <c r="H764" s="40" t="s">
        <v>553</v>
      </c>
      <c r="I764" s="40" t="s">
        <v>6853</v>
      </c>
      <c r="J764" s="140">
        <v>3400003860</v>
      </c>
      <c r="K764" s="141" t="s">
        <v>4712</v>
      </c>
      <c r="L764" s="141" t="s">
        <v>8273</v>
      </c>
      <c r="M764" s="141">
        <v>5103019</v>
      </c>
      <c r="N764" s="141">
        <v>2236030</v>
      </c>
      <c r="O764" s="142"/>
      <c r="P764" s="142"/>
      <c r="Q764" s="142"/>
      <c r="R764" s="142"/>
      <c r="S764" s="142"/>
      <c r="T764" s="141" t="s">
        <v>8402</v>
      </c>
      <c r="V764" s="43" t="s">
        <v>555</v>
      </c>
      <c r="AF764" s="42">
        <v>2119175</v>
      </c>
      <c r="AG764" s="42" t="s">
        <v>6528</v>
      </c>
    </row>
    <row r="765" spans="6:33" ht="15.75" customHeight="1">
      <c r="F765" s="40" t="s">
        <v>3046</v>
      </c>
      <c r="G765" s="40" t="s">
        <v>3047</v>
      </c>
      <c r="H765" s="40" t="s">
        <v>595</v>
      </c>
      <c r="I765" s="40" t="s">
        <v>6847</v>
      </c>
      <c r="J765" s="138" t="s">
        <v>3048</v>
      </c>
      <c r="K765" s="139">
        <v>2177351</v>
      </c>
      <c r="L765" s="141">
        <v>3300001233</v>
      </c>
      <c r="M765" s="141">
        <v>5059344</v>
      </c>
      <c r="N765" s="141"/>
      <c r="O765" s="142"/>
      <c r="P765" s="142"/>
      <c r="Q765" s="142"/>
      <c r="R765" s="142"/>
      <c r="S765" s="142"/>
      <c r="T765" s="139" t="s">
        <v>3049</v>
      </c>
      <c r="V765" s="43" t="s">
        <v>590</v>
      </c>
      <c r="AF765" s="42">
        <v>2119176</v>
      </c>
      <c r="AG765" s="42" t="s">
        <v>6528</v>
      </c>
    </row>
    <row r="766" spans="6:33" ht="15.75" customHeight="1">
      <c r="F766" s="40" t="s">
        <v>6332</v>
      </c>
      <c r="G766" s="40" t="s">
        <v>6333</v>
      </c>
      <c r="H766" s="40" t="s">
        <v>8208</v>
      </c>
      <c r="I766" s="40" t="s">
        <v>6850</v>
      </c>
      <c r="J766" s="140" t="s">
        <v>6334</v>
      </c>
      <c r="K766" s="141">
        <v>3300009705</v>
      </c>
      <c r="L766" s="141">
        <v>2172005</v>
      </c>
      <c r="M766" s="141"/>
      <c r="N766" s="141"/>
      <c r="O766" s="142"/>
      <c r="P766" s="142"/>
      <c r="Q766" s="142"/>
      <c r="R766" s="142"/>
      <c r="S766" s="142"/>
      <c r="T766" s="141" t="s">
        <v>6335</v>
      </c>
      <c r="V766" s="43" t="s">
        <v>610</v>
      </c>
      <c r="AF766" s="42">
        <v>2119177</v>
      </c>
      <c r="AG766" s="42" t="s">
        <v>6528</v>
      </c>
    </row>
    <row r="767" spans="6:33" ht="15.75" customHeight="1">
      <c r="F767" s="40" t="s">
        <v>1795</v>
      </c>
      <c r="G767" s="40" t="s">
        <v>1796</v>
      </c>
      <c r="H767" s="40" t="s">
        <v>564</v>
      </c>
      <c r="I767" s="40" t="s">
        <v>6851</v>
      </c>
      <c r="J767" s="138" t="s">
        <v>7219</v>
      </c>
      <c r="K767" s="139">
        <v>2171947</v>
      </c>
      <c r="L767" s="139">
        <v>5059385</v>
      </c>
      <c r="M767" s="139">
        <v>3400003024</v>
      </c>
      <c r="N767" s="141"/>
      <c r="O767" s="142"/>
      <c r="P767" s="142"/>
      <c r="Q767" s="142"/>
      <c r="R767" s="142"/>
      <c r="S767" s="142"/>
      <c r="T767" s="139" t="s">
        <v>1799</v>
      </c>
      <c r="V767" s="43" t="s">
        <v>587</v>
      </c>
      <c r="AF767" s="42">
        <v>2119178</v>
      </c>
      <c r="AG767" s="42" t="s">
        <v>6528</v>
      </c>
    </row>
    <row r="768" spans="6:33" ht="15.75" customHeight="1">
      <c r="F768" s="40" t="s">
        <v>1802</v>
      </c>
      <c r="G768" s="40" t="s">
        <v>1803</v>
      </c>
      <c r="H768" s="40" t="s">
        <v>564</v>
      </c>
      <c r="I768" s="40" t="s">
        <v>6851</v>
      </c>
      <c r="J768" s="140">
        <v>5049699</v>
      </c>
      <c r="K768" s="141">
        <v>2171941</v>
      </c>
      <c r="L768" s="141">
        <v>3300011780</v>
      </c>
      <c r="M768" s="141" t="s">
        <v>7547</v>
      </c>
      <c r="N768" s="141"/>
      <c r="O768" s="142"/>
      <c r="P768" s="142"/>
      <c r="Q768" s="142"/>
      <c r="R768" s="142"/>
      <c r="S768" s="142"/>
      <c r="T768" s="141" t="s">
        <v>1804</v>
      </c>
      <c r="V768" s="43" t="s">
        <v>587</v>
      </c>
      <c r="AF768" s="42">
        <v>2119179</v>
      </c>
      <c r="AG768" s="42" t="s">
        <v>6528</v>
      </c>
    </row>
    <row r="769" spans="6:33" ht="15.75" customHeight="1">
      <c r="F769" s="40" t="s">
        <v>5136</v>
      </c>
      <c r="G769" s="40" t="s">
        <v>5137</v>
      </c>
      <c r="H769" s="40" t="s">
        <v>761</v>
      </c>
      <c r="I769" s="40" t="s">
        <v>6848</v>
      </c>
      <c r="J769" s="140" t="s">
        <v>5138</v>
      </c>
      <c r="K769" s="141" t="s">
        <v>6435</v>
      </c>
      <c r="L769" s="141">
        <v>5050466</v>
      </c>
      <c r="M769" s="141">
        <v>2171953</v>
      </c>
      <c r="N769" s="141" t="s">
        <v>3269</v>
      </c>
      <c r="O769" s="142"/>
      <c r="P769" s="142"/>
      <c r="Q769" s="142"/>
      <c r="R769" s="142"/>
      <c r="S769" s="142"/>
      <c r="T769" s="141" t="s">
        <v>6758</v>
      </c>
      <c r="V769" s="43" t="s">
        <v>686</v>
      </c>
      <c r="AF769" s="42">
        <v>2119180</v>
      </c>
      <c r="AG769" s="42" t="s">
        <v>6528</v>
      </c>
    </row>
    <row r="770" spans="6:33" ht="15.75" customHeight="1">
      <c r="F770" s="40" t="s">
        <v>7746</v>
      </c>
      <c r="G770" s="40" t="s">
        <v>7909</v>
      </c>
      <c r="H770" s="40" t="s">
        <v>8208</v>
      </c>
      <c r="I770" s="40" t="s">
        <v>6850</v>
      </c>
      <c r="J770" s="140">
        <v>2180626</v>
      </c>
      <c r="K770" s="141">
        <v>5051908</v>
      </c>
      <c r="L770" s="141" t="s">
        <v>8080</v>
      </c>
      <c r="M770" s="141"/>
      <c r="N770" s="141"/>
      <c r="O770" s="142"/>
      <c r="P770" s="142"/>
      <c r="Q770" s="142"/>
      <c r="R770" s="142"/>
      <c r="S770" s="142"/>
      <c r="T770" s="141">
        <v>21400102</v>
      </c>
      <c r="V770" s="43" t="s">
        <v>687</v>
      </c>
      <c r="AF770" s="42">
        <v>2119181</v>
      </c>
      <c r="AG770" s="42" t="s">
        <v>6528</v>
      </c>
    </row>
    <row r="771" spans="6:33" ht="15.75" customHeight="1">
      <c r="F771" s="40" t="s">
        <v>7494</v>
      </c>
      <c r="G771" s="40" t="s">
        <v>1121</v>
      </c>
      <c r="H771" s="40" t="s">
        <v>564</v>
      </c>
      <c r="I771" s="40" t="s">
        <v>6851</v>
      </c>
      <c r="J771" s="140">
        <v>5014444</v>
      </c>
      <c r="K771" s="141" t="s">
        <v>1123</v>
      </c>
      <c r="L771" s="141">
        <v>3300005183</v>
      </c>
      <c r="M771" s="141">
        <v>2183503</v>
      </c>
      <c r="N771" s="141"/>
      <c r="O771" s="142"/>
      <c r="P771" s="142"/>
      <c r="Q771" s="142"/>
      <c r="R771" s="142"/>
      <c r="S771" s="142"/>
      <c r="T771" s="141" t="s">
        <v>1124</v>
      </c>
      <c r="V771" s="43" t="s">
        <v>597</v>
      </c>
      <c r="AF771" s="42">
        <v>2119182</v>
      </c>
      <c r="AG771" s="42" t="s">
        <v>6528</v>
      </c>
    </row>
    <row r="772" spans="6:33" ht="15.75" customHeight="1">
      <c r="F772" s="40" t="s">
        <v>6224</v>
      </c>
      <c r="G772" s="40" t="s">
        <v>6225</v>
      </c>
      <c r="H772" s="40" t="s">
        <v>6841</v>
      </c>
      <c r="I772" s="40" t="s">
        <v>6852</v>
      </c>
      <c r="J772" s="140">
        <v>2116271</v>
      </c>
      <c r="K772" s="141" t="s">
        <v>6228</v>
      </c>
      <c r="L772" s="141"/>
      <c r="M772" s="141"/>
      <c r="N772" s="141"/>
      <c r="O772" s="142"/>
      <c r="P772" s="142"/>
      <c r="Q772" s="142"/>
      <c r="R772" s="142"/>
      <c r="S772" s="142"/>
      <c r="T772" s="141" t="s">
        <v>6229</v>
      </c>
      <c r="V772" s="43" t="s">
        <v>6227</v>
      </c>
      <c r="AF772" s="42">
        <v>2119183</v>
      </c>
      <c r="AG772" s="42" t="s">
        <v>6528</v>
      </c>
    </row>
    <row r="773" spans="6:33" ht="15.75" customHeight="1">
      <c r="F773" s="40" t="s">
        <v>5733</v>
      </c>
      <c r="G773" s="40" t="s">
        <v>5734</v>
      </c>
      <c r="H773" s="40" t="s">
        <v>761</v>
      </c>
      <c r="I773" s="40" t="s">
        <v>6848</v>
      </c>
      <c r="J773" s="140">
        <v>3300009767</v>
      </c>
      <c r="K773" s="141" t="s">
        <v>5735</v>
      </c>
      <c r="L773" s="141">
        <v>2177382</v>
      </c>
      <c r="M773" s="141">
        <v>3300009720</v>
      </c>
      <c r="N773" s="141"/>
      <c r="O773" s="142"/>
      <c r="P773" s="142"/>
      <c r="Q773" s="142"/>
      <c r="R773" s="142"/>
      <c r="S773" s="142"/>
      <c r="T773" s="141" t="s">
        <v>6740</v>
      </c>
      <c r="V773" s="43" t="s">
        <v>628</v>
      </c>
      <c r="AF773" s="42">
        <v>2119184</v>
      </c>
      <c r="AG773" s="42" t="s">
        <v>6528</v>
      </c>
    </row>
    <row r="774" spans="6:33" ht="15.75" customHeight="1">
      <c r="F774" s="40" t="s">
        <v>7747</v>
      </c>
      <c r="G774" s="40" t="s">
        <v>7910</v>
      </c>
      <c r="H774" s="40" t="s">
        <v>8208</v>
      </c>
      <c r="I774" s="40" t="s">
        <v>6850</v>
      </c>
      <c r="J774" s="140">
        <v>2087388</v>
      </c>
      <c r="K774" s="141">
        <v>5036852</v>
      </c>
      <c r="L774" s="141">
        <v>3300002199</v>
      </c>
      <c r="M774" s="141" t="s">
        <v>8081</v>
      </c>
      <c r="N774" s="141">
        <v>3300016090</v>
      </c>
      <c r="O774" s="142"/>
      <c r="P774" s="142"/>
      <c r="Q774" s="142"/>
      <c r="R774" s="142"/>
      <c r="S774" s="142"/>
      <c r="T774" s="141">
        <v>71300091</v>
      </c>
      <c r="V774" s="43" t="s">
        <v>679</v>
      </c>
      <c r="AF774" s="42">
        <v>2119185</v>
      </c>
      <c r="AG774" s="42" t="s">
        <v>6528</v>
      </c>
    </row>
    <row r="775" spans="6:33" ht="15.75" customHeight="1">
      <c r="F775" s="40" t="s">
        <v>2077</v>
      </c>
      <c r="G775" s="40" t="s">
        <v>2078</v>
      </c>
      <c r="H775" s="40" t="s">
        <v>564</v>
      </c>
      <c r="I775" s="40" t="s">
        <v>6851</v>
      </c>
      <c r="J775" s="140">
        <v>2103957</v>
      </c>
      <c r="K775" s="141" t="s">
        <v>2079</v>
      </c>
      <c r="L775" s="141">
        <v>5049682</v>
      </c>
      <c r="M775" s="141">
        <v>3300011509</v>
      </c>
      <c r="N775" s="141" t="s">
        <v>8241</v>
      </c>
      <c r="O775" s="142"/>
      <c r="P775" s="142"/>
      <c r="Q775" s="142"/>
      <c r="R775" s="142"/>
      <c r="S775" s="142"/>
      <c r="T775" s="141" t="s">
        <v>6533</v>
      </c>
      <c r="V775" s="43" t="s">
        <v>736</v>
      </c>
      <c r="AF775" s="42">
        <v>2119186</v>
      </c>
      <c r="AG775" s="42" t="s">
        <v>6528</v>
      </c>
    </row>
    <row r="776" spans="6:33" ht="15.75" customHeight="1">
      <c r="F776" s="40" t="s">
        <v>5038</v>
      </c>
      <c r="G776" s="40" t="s">
        <v>5039</v>
      </c>
      <c r="H776" s="40" t="s">
        <v>761</v>
      </c>
      <c r="I776" s="40" t="s">
        <v>6848</v>
      </c>
      <c r="J776" s="140">
        <v>3300009718</v>
      </c>
      <c r="K776" s="141" t="s">
        <v>5040</v>
      </c>
      <c r="L776" s="141">
        <v>2171914</v>
      </c>
      <c r="M776" s="141">
        <v>5050461</v>
      </c>
      <c r="N776" s="141">
        <v>3300009790</v>
      </c>
      <c r="O776" s="142"/>
      <c r="P776" s="142"/>
      <c r="Q776" s="142"/>
      <c r="R776" s="142"/>
      <c r="S776" s="142"/>
      <c r="T776" s="141" t="s">
        <v>5041</v>
      </c>
      <c r="V776" s="43" t="s">
        <v>766</v>
      </c>
      <c r="AF776" s="42">
        <v>2119187</v>
      </c>
      <c r="AG776" s="42" t="s">
        <v>6528</v>
      </c>
    </row>
    <row r="777" spans="6:33" ht="15.75" customHeight="1">
      <c r="F777" s="40" t="s">
        <v>974</v>
      </c>
      <c r="G777" s="40" t="s">
        <v>975</v>
      </c>
      <c r="H777" s="40" t="s">
        <v>564</v>
      </c>
      <c r="I777" s="40" t="s">
        <v>6851</v>
      </c>
      <c r="J777" s="140">
        <v>3300011760</v>
      </c>
      <c r="K777" s="141">
        <v>2182991</v>
      </c>
      <c r="L777" s="141" t="s">
        <v>977</v>
      </c>
      <c r="M777" s="141">
        <v>5050531</v>
      </c>
      <c r="N777" s="141" t="s">
        <v>978</v>
      </c>
      <c r="O777" s="142"/>
      <c r="P777" s="142"/>
      <c r="Q777" s="142"/>
      <c r="R777" s="142"/>
      <c r="S777" s="142"/>
      <c r="T777" s="141" t="s">
        <v>979</v>
      </c>
      <c r="V777" s="43" t="s">
        <v>547</v>
      </c>
      <c r="AF777" s="42">
        <v>2119188</v>
      </c>
      <c r="AG777" s="42" t="s">
        <v>6528</v>
      </c>
    </row>
    <row r="778" spans="6:33" ht="15.75" customHeight="1">
      <c r="F778" s="40" t="s">
        <v>7748</v>
      </c>
      <c r="G778" s="40" t="s">
        <v>7911</v>
      </c>
      <c r="H778" s="40" t="s">
        <v>8208</v>
      </c>
      <c r="I778" s="40" t="s">
        <v>6850</v>
      </c>
      <c r="J778" s="140">
        <v>2172426</v>
      </c>
      <c r="K778" s="141" t="s">
        <v>8082</v>
      </c>
      <c r="L778" s="141"/>
      <c r="M778" s="141"/>
      <c r="N778" s="141"/>
      <c r="O778" s="142"/>
      <c r="P778" s="142"/>
      <c r="Q778" s="142"/>
      <c r="R778" s="142"/>
      <c r="S778" s="142"/>
      <c r="T778" s="141">
        <v>101300060</v>
      </c>
      <c r="V778" s="43" t="s">
        <v>8192</v>
      </c>
      <c r="AF778" s="42">
        <v>2119189</v>
      </c>
      <c r="AG778" s="42" t="s">
        <v>6528</v>
      </c>
    </row>
    <row r="779" spans="6:33" ht="15.75" customHeight="1">
      <c r="F779" s="40" t="s">
        <v>7495</v>
      </c>
      <c r="G779" s="40" t="s">
        <v>7495</v>
      </c>
      <c r="H779" s="40" t="s">
        <v>6841</v>
      </c>
      <c r="I779" s="40" t="s">
        <v>6852</v>
      </c>
      <c r="J779" s="140">
        <v>3300005140</v>
      </c>
      <c r="K779" s="141">
        <v>2103460</v>
      </c>
      <c r="L779" s="141" t="s">
        <v>2284</v>
      </c>
      <c r="M779" s="141">
        <v>2103651</v>
      </c>
      <c r="N779" s="141"/>
      <c r="O779" s="142"/>
      <c r="P779" s="142"/>
      <c r="Q779" s="142"/>
      <c r="R779" s="142"/>
      <c r="S779" s="142"/>
      <c r="T779" s="141" t="s">
        <v>3393</v>
      </c>
      <c r="V779" s="43" t="s">
        <v>673</v>
      </c>
      <c r="AF779" s="42">
        <v>2119190</v>
      </c>
      <c r="AG779" s="42" t="s">
        <v>6528</v>
      </c>
    </row>
    <row r="780" spans="6:33" ht="15.75" customHeight="1">
      <c r="F780" s="40" t="s">
        <v>7749</v>
      </c>
      <c r="G780" s="40" t="s">
        <v>7912</v>
      </c>
      <c r="H780" s="40" t="s">
        <v>8208</v>
      </c>
      <c r="I780" s="40" t="s">
        <v>6850</v>
      </c>
      <c r="J780" s="140"/>
      <c r="K780" s="141">
        <v>3300005760</v>
      </c>
      <c r="L780" s="141" t="s">
        <v>8083</v>
      </c>
      <c r="M780" s="141"/>
      <c r="N780" s="141"/>
      <c r="O780" s="142"/>
      <c r="P780" s="142"/>
      <c r="Q780" s="142"/>
      <c r="R780" s="142"/>
      <c r="S780" s="142"/>
      <c r="T780" s="141">
        <v>31300139</v>
      </c>
      <c r="V780" s="43" t="s">
        <v>687</v>
      </c>
      <c r="AF780" s="42">
        <v>2119191</v>
      </c>
      <c r="AG780" s="42" t="s">
        <v>6528</v>
      </c>
    </row>
    <row r="781" spans="6:33" ht="15.75" customHeight="1">
      <c r="F781" s="40" t="s">
        <v>7750</v>
      </c>
      <c r="G781" s="40" t="s">
        <v>7913</v>
      </c>
      <c r="H781" s="40" t="s">
        <v>564</v>
      </c>
      <c r="I781" s="40" t="s">
        <v>6851</v>
      </c>
      <c r="J781" s="140">
        <v>5050427</v>
      </c>
      <c r="K781" s="141" t="s">
        <v>8084</v>
      </c>
      <c r="L781" s="141">
        <v>2115870</v>
      </c>
      <c r="M781" s="141"/>
      <c r="N781" s="141"/>
      <c r="O781" s="142"/>
      <c r="P781" s="142"/>
      <c r="Q781" s="142"/>
      <c r="R781" s="142"/>
      <c r="S781" s="142"/>
      <c r="T781" s="141" t="s">
        <v>8157</v>
      </c>
      <c r="V781" s="43" t="s">
        <v>566</v>
      </c>
      <c r="AF781" s="42">
        <v>2119192</v>
      </c>
      <c r="AG781" s="42" t="s">
        <v>6528</v>
      </c>
    </row>
    <row r="782" spans="6:33" ht="15.75" customHeight="1">
      <c r="F782" s="40" t="s">
        <v>1762</v>
      </c>
      <c r="G782" s="40" t="s">
        <v>1763</v>
      </c>
      <c r="H782" s="40" t="s">
        <v>564</v>
      </c>
      <c r="I782" s="40" t="s">
        <v>6851</v>
      </c>
      <c r="J782" s="140"/>
      <c r="K782" s="141">
        <v>2114739</v>
      </c>
      <c r="L782" s="141">
        <v>3300005150</v>
      </c>
      <c r="M782" s="141" t="s">
        <v>1764</v>
      </c>
      <c r="N782" s="141">
        <v>5059327</v>
      </c>
      <c r="O782" s="142"/>
      <c r="P782" s="142"/>
      <c r="Q782" s="142"/>
      <c r="R782" s="142"/>
      <c r="S782" s="142"/>
      <c r="T782" s="141" t="s">
        <v>7581</v>
      </c>
      <c r="V782" s="43" t="s">
        <v>546</v>
      </c>
      <c r="AF782" s="42">
        <v>2119193</v>
      </c>
      <c r="AG782" s="42" t="s">
        <v>6528</v>
      </c>
    </row>
    <row r="783" spans="6:33" ht="15.75" customHeight="1">
      <c r="F783" s="40" t="s">
        <v>4807</v>
      </c>
      <c r="G783" s="40" t="s">
        <v>4808</v>
      </c>
      <c r="H783" s="40" t="s">
        <v>761</v>
      </c>
      <c r="I783" s="40" t="s">
        <v>6848</v>
      </c>
      <c r="J783" s="140">
        <v>5070890</v>
      </c>
      <c r="K783" s="141">
        <v>2183475</v>
      </c>
      <c r="L783" s="141">
        <v>3300008165</v>
      </c>
      <c r="M783" s="141" t="s">
        <v>4810</v>
      </c>
      <c r="N783" s="141">
        <v>5042666</v>
      </c>
      <c r="O783" s="142"/>
      <c r="P783" s="142"/>
      <c r="Q783" s="142"/>
      <c r="R783" s="142"/>
      <c r="S783" s="142"/>
      <c r="T783" s="141" t="s">
        <v>4811</v>
      </c>
      <c r="V783" s="43" t="s">
        <v>801</v>
      </c>
      <c r="AF783" s="42">
        <v>2119194</v>
      </c>
      <c r="AG783" s="42" t="s">
        <v>6528</v>
      </c>
    </row>
    <row r="784" spans="6:33" ht="15.75" customHeight="1">
      <c r="F784" s="40" t="s">
        <v>1839</v>
      </c>
      <c r="G784" s="40" t="s">
        <v>4</v>
      </c>
      <c r="H784" s="40" t="s">
        <v>564</v>
      </c>
      <c r="I784" s="40" t="s">
        <v>6851</v>
      </c>
      <c r="J784" s="140">
        <v>2119186</v>
      </c>
      <c r="K784" s="141" t="s">
        <v>1842</v>
      </c>
      <c r="L784" s="141">
        <v>3300002815</v>
      </c>
      <c r="M784" s="141" t="s">
        <v>1843</v>
      </c>
      <c r="N784" s="141" t="s">
        <v>4233</v>
      </c>
      <c r="O784" s="142"/>
      <c r="P784" s="142"/>
      <c r="Q784" s="142"/>
      <c r="R784" s="142"/>
      <c r="S784" s="142"/>
      <c r="T784" s="141" t="s">
        <v>1844</v>
      </c>
      <c r="V784" s="43" t="s">
        <v>1841</v>
      </c>
      <c r="AF784" s="42">
        <v>2119195</v>
      </c>
      <c r="AG784" s="42" t="s">
        <v>6528</v>
      </c>
    </row>
    <row r="785" spans="6:33" ht="15.75" customHeight="1">
      <c r="F785" s="40" t="s">
        <v>7751</v>
      </c>
      <c r="G785" s="40" t="s">
        <v>7914</v>
      </c>
      <c r="H785" s="40" t="s">
        <v>8208</v>
      </c>
      <c r="I785" s="40" t="s">
        <v>6850</v>
      </c>
      <c r="J785" s="140">
        <v>2082937</v>
      </c>
      <c r="K785" s="141">
        <v>5036855</v>
      </c>
      <c r="L785" s="141" t="s">
        <v>8085</v>
      </c>
      <c r="M785" s="141"/>
      <c r="N785" s="141" t="s">
        <v>8086</v>
      </c>
      <c r="O785" s="142"/>
      <c r="P785" s="142"/>
      <c r="Q785" s="142"/>
      <c r="R785" s="142"/>
      <c r="S785" s="142"/>
      <c r="T785" s="141">
        <v>81300043</v>
      </c>
      <c r="V785" s="43" t="s">
        <v>6448</v>
      </c>
      <c r="AF785" s="42">
        <v>2119196</v>
      </c>
      <c r="AG785" s="42" t="s">
        <v>6528</v>
      </c>
    </row>
    <row r="786" spans="6:33" ht="15.75" customHeight="1">
      <c r="F786" s="40" t="s">
        <v>2792</v>
      </c>
      <c r="G786" s="40" t="s">
        <v>2793</v>
      </c>
      <c r="H786" s="40" t="s">
        <v>670</v>
      </c>
      <c r="I786" s="40" t="s">
        <v>6849</v>
      </c>
      <c r="J786" s="140">
        <v>2103893</v>
      </c>
      <c r="K786" s="141" t="s">
        <v>2795</v>
      </c>
      <c r="L786" s="141">
        <v>5059362</v>
      </c>
      <c r="M786" s="141">
        <v>5014448</v>
      </c>
      <c r="N786" s="141" t="s">
        <v>6980</v>
      </c>
      <c r="O786" s="142"/>
      <c r="P786" s="142"/>
      <c r="Q786" s="142"/>
      <c r="R786" s="142"/>
      <c r="S786" s="142"/>
      <c r="T786" s="141" t="s">
        <v>2796</v>
      </c>
      <c r="V786" s="43" t="s">
        <v>666</v>
      </c>
      <c r="AF786" s="42">
        <v>2119197</v>
      </c>
      <c r="AG786" s="42" t="s">
        <v>6528</v>
      </c>
    </row>
    <row r="787" spans="6:33" ht="15.75" customHeight="1">
      <c r="F787" s="40" t="s">
        <v>7752</v>
      </c>
      <c r="G787" s="40" t="s">
        <v>7752</v>
      </c>
      <c r="H787" s="40" t="s">
        <v>8208</v>
      </c>
      <c r="I787" s="40" t="s">
        <v>6850</v>
      </c>
      <c r="J787" s="140">
        <v>2197765</v>
      </c>
      <c r="K787" s="141">
        <v>5105521</v>
      </c>
      <c r="L787" s="141">
        <v>3300010916</v>
      </c>
      <c r="M787" s="141">
        <v>3300010921</v>
      </c>
      <c r="N787" s="141" t="s">
        <v>8087</v>
      </c>
      <c r="O787" s="142"/>
      <c r="P787" s="142"/>
      <c r="Q787" s="142"/>
      <c r="R787" s="142"/>
      <c r="S787" s="142"/>
      <c r="T787" s="141">
        <v>111400005</v>
      </c>
      <c r="V787" s="43" t="s">
        <v>687</v>
      </c>
      <c r="AF787" s="42">
        <v>2119198</v>
      </c>
      <c r="AG787" s="42" t="s">
        <v>6528</v>
      </c>
    </row>
    <row r="788" spans="6:33" ht="15.75" customHeight="1">
      <c r="F788" s="40" t="s">
        <v>5142</v>
      </c>
      <c r="G788" s="40" t="s">
        <v>5143</v>
      </c>
      <c r="H788" s="40" t="s">
        <v>761</v>
      </c>
      <c r="I788" s="40" t="s">
        <v>6848</v>
      </c>
      <c r="J788" s="138">
        <v>2183534</v>
      </c>
      <c r="K788" s="141" t="s">
        <v>5144</v>
      </c>
      <c r="L788" s="141" t="s">
        <v>6707</v>
      </c>
      <c r="M788" s="141"/>
      <c r="N788" s="141"/>
      <c r="O788" s="142"/>
      <c r="P788" s="142"/>
      <c r="Q788" s="142"/>
      <c r="R788" s="142"/>
      <c r="S788" s="142"/>
      <c r="T788" s="139" t="s">
        <v>6761</v>
      </c>
      <c r="V788" s="43" t="s">
        <v>686</v>
      </c>
      <c r="AF788" s="42">
        <v>2119199</v>
      </c>
      <c r="AG788" s="42" t="s">
        <v>6528</v>
      </c>
    </row>
    <row r="789" spans="6:33" ht="15.75" customHeight="1">
      <c r="F789" s="40" t="s">
        <v>3688</v>
      </c>
      <c r="G789" s="40" t="s">
        <v>3689</v>
      </c>
      <c r="H789" s="40" t="s">
        <v>8513</v>
      </c>
      <c r="I789" s="40" t="s">
        <v>6853</v>
      </c>
      <c r="J789" s="140" t="s">
        <v>3690</v>
      </c>
      <c r="K789" s="141">
        <v>2171937</v>
      </c>
      <c r="L789" s="141">
        <v>3300011495</v>
      </c>
      <c r="M789" s="141" t="s">
        <v>3691</v>
      </c>
      <c r="N789" s="141" t="s">
        <v>3692</v>
      </c>
      <c r="O789" s="142"/>
      <c r="P789" s="142"/>
      <c r="Q789" s="142"/>
      <c r="R789" s="142"/>
      <c r="S789" s="142"/>
      <c r="T789" s="141" t="s">
        <v>3693</v>
      </c>
      <c r="V789" s="43" t="s">
        <v>563</v>
      </c>
      <c r="AF789" s="42">
        <v>2119200</v>
      </c>
      <c r="AG789" s="42" t="s">
        <v>6528</v>
      </c>
    </row>
    <row r="790" spans="6:33" ht="15.75" customHeight="1">
      <c r="F790" s="40" t="s">
        <v>3703</v>
      </c>
      <c r="G790" s="40" t="s">
        <v>3704</v>
      </c>
      <c r="H790" s="40" t="s">
        <v>8513</v>
      </c>
      <c r="I790" s="40" t="s">
        <v>6853</v>
      </c>
      <c r="J790" s="140">
        <v>2183604</v>
      </c>
      <c r="K790" s="141" t="s">
        <v>3707</v>
      </c>
      <c r="L790" s="141" t="s">
        <v>3708</v>
      </c>
      <c r="M790" s="141"/>
      <c r="N790" s="141"/>
      <c r="O790" s="142"/>
      <c r="P790" s="142"/>
      <c r="Q790" s="142"/>
      <c r="R790" s="142"/>
      <c r="S790" s="142"/>
      <c r="T790" s="141" t="s">
        <v>3882</v>
      </c>
      <c r="V790" s="43" t="s">
        <v>3706</v>
      </c>
      <c r="AF790" s="42">
        <v>2119201</v>
      </c>
      <c r="AG790" s="42" t="s">
        <v>6528</v>
      </c>
    </row>
    <row r="791" spans="6:33" ht="15.75" customHeight="1">
      <c r="F791" s="40" t="s">
        <v>4414</v>
      </c>
      <c r="G791" s="40" t="s">
        <v>4415</v>
      </c>
      <c r="H791" s="40" t="s">
        <v>761</v>
      </c>
      <c r="I791" s="40" t="s">
        <v>6848</v>
      </c>
      <c r="J791" s="140">
        <v>3300009723</v>
      </c>
      <c r="K791" s="141" t="s">
        <v>4416</v>
      </c>
      <c r="L791" s="141">
        <v>2177365</v>
      </c>
      <c r="M791" s="141" t="s">
        <v>6712</v>
      </c>
      <c r="N791" s="141"/>
      <c r="O791" s="142"/>
      <c r="P791" s="142"/>
      <c r="Q791" s="142"/>
      <c r="R791" s="142"/>
      <c r="S791" s="142"/>
      <c r="T791" s="141" t="s">
        <v>7307</v>
      </c>
      <c r="V791" s="43" t="s">
        <v>654</v>
      </c>
      <c r="AF791" s="42">
        <v>2119202</v>
      </c>
      <c r="AG791" s="42" t="s">
        <v>6528</v>
      </c>
    </row>
    <row r="792" spans="6:33" ht="15.75" customHeight="1">
      <c r="F792" s="40" t="s">
        <v>2951</v>
      </c>
      <c r="G792" s="40" t="s">
        <v>2952</v>
      </c>
      <c r="H792" s="40" t="s">
        <v>595</v>
      </c>
      <c r="I792" s="40" t="s">
        <v>6847</v>
      </c>
      <c r="J792" s="140">
        <v>2117082</v>
      </c>
      <c r="K792" s="141">
        <v>5031916</v>
      </c>
      <c r="L792" s="141"/>
      <c r="M792" s="141"/>
      <c r="N792" s="141"/>
      <c r="O792" s="142"/>
      <c r="P792" s="142"/>
      <c r="Q792" s="142"/>
      <c r="R792" s="142"/>
      <c r="S792" s="142"/>
      <c r="T792" s="141" t="s">
        <v>2954</v>
      </c>
      <c r="V792" s="43" t="s">
        <v>677</v>
      </c>
      <c r="AF792" s="42">
        <v>2119203</v>
      </c>
      <c r="AG792" s="42" t="s">
        <v>6528</v>
      </c>
    </row>
    <row r="793" spans="6:33" ht="15.75" customHeight="1">
      <c r="F793" s="40" t="s">
        <v>8454</v>
      </c>
      <c r="G793" s="40" t="s">
        <v>8500</v>
      </c>
      <c r="H793" s="40" t="s">
        <v>595</v>
      </c>
      <c r="I793" s="40" t="s">
        <v>6847</v>
      </c>
      <c r="J793" s="140">
        <v>2084810</v>
      </c>
      <c r="K793" s="141" t="s">
        <v>2106</v>
      </c>
      <c r="L793" s="141">
        <v>3300012290</v>
      </c>
      <c r="M793" s="141" t="s">
        <v>4595</v>
      </c>
      <c r="N793" s="141"/>
      <c r="O793" s="142"/>
      <c r="P793" s="142"/>
      <c r="Q793" s="142"/>
      <c r="R793" s="142"/>
      <c r="S793" s="142"/>
      <c r="T793" s="141" t="s">
        <v>4236</v>
      </c>
      <c r="V793" s="43" t="s">
        <v>595</v>
      </c>
      <c r="AF793" s="42">
        <v>2119204</v>
      </c>
      <c r="AG793" s="42" t="s">
        <v>6528</v>
      </c>
    </row>
    <row r="794" spans="6:33" ht="15.75" customHeight="1">
      <c r="F794" s="40" t="s">
        <v>8455</v>
      </c>
      <c r="G794" s="40" t="s">
        <v>2617</v>
      </c>
      <c r="H794" s="40" t="s">
        <v>670</v>
      </c>
      <c r="I794" s="40" t="s">
        <v>6849</v>
      </c>
      <c r="J794" s="140">
        <v>5059300</v>
      </c>
      <c r="K794" s="141">
        <v>2183581</v>
      </c>
      <c r="L794" s="141" t="s">
        <v>2618</v>
      </c>
      <c r="M794" s="141">
        <v>2171965</v>
      </c>
      <c r="N794" s="141">
        <v>3300011788</v>
      </c>
      <c r="O794" s="142"/>
      <c r="P794" s="142"/>
      <c r="Q794" s="142"/>
      <c r="R794" s="142"/>
      <c r="S794" s="142"/>
      <c r="T794" s="141" t="s">
        <v>2619</v>
      </c>
      <c r="V794" s="43" t="s">
        <v>680</v>
      </c>
      <c r="AF794" s="42">
        <v>2119205</v>
      </c>
      <c r="AG794" s="42" t="s">
        <v>6528</v>
      </c>
    </row>
    <row r="795" spans="6:33" ht="15.75" customHeight="1">
      <c r="F795" s="40" t="s">
        <v>2064</v>
      </c>
      <c r="G795" s="40" t="s">
        <v>8323</v>
      </c>
      <c r="H795" s="40" t="s">
        <v>564</v>
      </c>
      <c r="I795" s="40" t="s">
        <v>6851</v>
      </c>
      <c r="J795" s="140" t="s">
        <v>2066</v>
      </c>
      <c r="K795" s="141">
        <v>5049701</v>
      </c>
      <c r="L795" s="141">
        <v>2171968</v>
      </c>
      <c r="M795" s="141"/>
      <c r="N795" s="141"/>
      <c r="O795" s="142"/>
      <c r="P795" s="142"/>
      <c r="Q795" s="142"/>
      <c r="R795" s="142"/>
      <c r="S795" s="142"/>
      <c r="T795" s="141" t="s">
        <v>2067</v>
      </c>
      <c r="V795" s="43" t="s">
        <v>717</v>
      </c>
      <c r="AF795" s="42">
        <v>2119206</v>
      </c>
      <c r="AG795" s="42" t="s">
        <v>6528</v>
      </c>
    </row>
    <row r="796" spans="6:33" ht="15.75" customHeight="1">
      <c r="F796" s="40" t="s">
        <v>7253</v>
      </c>
      <c r="G796" s="40" t="s">
        <v>7496</v>
      </c>
      <c r="H796" s="40" t="s">
        <v>564</v>
      </c>
      <c r="I796" s="40" t="s">
        <v>6851</v>
      </c>
      <c r="J796" s="140">
        <v>3400003025</v>
      </c>
      <c r="K796" s="141">
        <v>2172031</v>
      </c>
      <c r="L796" s="141" t="s">
        <v>7088</v>
      </c>
      <c r="M796" s="141" t="s">
        <v>3852</v>
      </c>
      <c r="N796" s="141">
        <v>5008425</v>
      </c>
      <c r="O796" s="142"/>
      <c r="P796" s="142"/>
      <c r="Q796" s="142"/>
      <c r="R796" s="142"/>
      <c r="S796" s="142"/>
      <c r="T796" s="141" t="s">
        <v>6545</v>
      </c>
      <c r="V796" s="43" t="s">
        <v>577</v>
      </c>
      <c r="AF796" s="42">
        <v>2119207</v>
      </c>
      <c r="AG796" s="42" t="s">
        <v>6528</v>
      </c>
    </row>
    <row r="797" spans="6:33" ht="15.75" customHeight="1">
      <c r="F797" s="40" t="s">
        <v>8456</v>
      </c>
      <c r="G797" s="40" t="s">
        <v>8501</v>
      </c>
      <c r="H797" s="40" t="s">
        <v>8208</v>
      </c>
      <c r="I797" s="40" t="s">
        <v>6850</v>
      </c>
      <c r="J797" s="140">
        <v>2171990</v>
      </c>
      <c r="K797" s="141" t="s">
        <v>8557</v>
      </c>
      <c r="L797" s="141">
        <v>3300011491</v>
      </c>
      <c r="M797" s="141" t="s">
        <v>8558</v>
      </c>
      <c r="N797" s="141">
        <v>2171971</v>
      </c>
      <c r="O797" s="142"/>
      <c r="P797" s="142"/>
      <c r="Q797" s="142"/>
      <c r="R797" s="142"/>
      <c r="S797" s="142"/>
      <c r="T797" s="141">
        <v>91400041</v>
      </c>
      <c r="V797" s="43" t="s">
        <v>6365</v>
      </c>
      <c r="AF797" s="42">
        <v>2119208</v>
      </c>
      <c r="AG797" s="42" t="s">
        <v>6528</v>
      </c>
    </row>
    <row r="798" spans="6:33" ht="15.75" customHeight="1">
      <c r="F798" s="40" t="s">
        <v>5346</v>
      </c>
      <c r="G798" s="40" t="s">
        <v>5347</v>
      </c>
      <c r="H798" s="40" t="s">
        <v>761</v>
      </c>
      <c r="I798" s="40" t="s">
        <v>6848</v>
      </c>
      <c r="J798" s="140" t="s">
        <v>5348</v>
      </c>
      <c r="K798" s="141">
        <v>2172010</v>
      </c>
      <c r="L798" s="141">
        <v>3300010089</v>
      </c>
      <c r="M798" s="141"/>
      <c r="N798" s="141"/>
      <c r="O798" s="142"/>
      <c r="P798" s="142"/>
      <c r="Q798" s="142"/>
      <c r="R798" s="142"/>
      <c r="S798" s="142"/>
      <c r="T798" s="141" t="s">
        <v>6753</v>
      </c>
      <c r="V798" s="43" t="s">
        <v>668</v>
      </c>
      <c r="AF798" s="42">
        <v>2119209</v>
      </c>
      <c r="AG798" s="42" t="s">
        <v>6528</v>
      </c>
    </row>
    <row r="799" spans="6:33" ht="15.75" customHeight="1">
      <c r="F799" s="40" t="s">
        <v>3940</v>
      </c>
      <c r="G799" s="40" t="s">
        <v>3941</v>
      </c>
      <c r="H799" s="40" t="s">
        <v>553</v>
      </c>
      <c r="I799" s="40" t="s">
        <v>6853</v>
      </c>
      <c r="J799" s="140">
        <v>2103455</v>
      </c>
      <c r="K799" s="141" t="s">
        <v>3944</v>
      </c>
      <c r="L799" s="141">
        <v>3400001167</v>
      </c>
      <c r="M799" s="141"/>
      <c r="N799" s="141"/>
      <c r="O799" s="142"/>
      <c r="P799" s="142"/>
      <c r="Q799" s="142"/>
      <c r="R799" s="142"/>
      <c r="S799" s="142"/>
      <c r="T799" s="141" t="s">
        <v>3945</v>
      </c>
      <c r="V799" s="43" t="s">
        <v>3943</v>
      </c>
      <c r="AF799" s="42">
        <v>2119210</v>
      </c>
      <c r="AG799" s="42" t="s">
        <v>6528</v>
      </c>
    </row>
    <row r="800" spans="6:33" ht="15.75" customHeight="1">
      <c r="F800" s="40" t="s">
        <v>2574</v>
      </c>
      <c r="G800" s="40" t="s">
        <v>2527</v>
      </c>
      <c r="H800" s="40" t="s">
        <v>670</v>
      </c>
      <c r="I800" s="40" t="s">
        <v>6849</v>
      </c>
      <c r="J800" s="140">
        <v>3300009157</v>
      </c>
      <c r="K800" s="141" t="s">
        <v>2575</v>
      </c>
      <c r="L800" s="141">
        <v>2166996</v>
      </c>
      <c r="M800" s="141">
        <v>5031839</v>
      </c>
      <c r="N800" s="141">
        <v>3300009785</v>
      </c>
      <c r="O800" s="142"/>
      <c r="P800" s="142"/>
      <c r="Q800" s="142"/>
      <c r="R800" s="142"/>
      <c r="S800" s="142"/>
      <c r="T800" s="141" t="s">
        <v>6813</v>
      </c>
      <c r="V800" s="43" t="s">
        <v>640</v>
      </c>
      <c r="AF800" s="42">
        <v>2119211</v>
      </c>
      <c r="AG800" s="42" t="s">
        <v>6528</v>
      </c>
    </row>
    <row r="801" spans="6:33" ht="15.75" customHeight="1">
      <c r="F801" s="40" t="s">
        <v>5560</v>
      </c>
      <c r="G801" s="40" t="s">
        <v>5388</v>
      </c>
      <c r="H801" s="40" t="s">
        <v>761</v>
      </c>
      <c r="I801" s="40" t="s">
        <v>6848</v>
      </c>
      <c r="J801" s="140" t="s">
        <v>6341</v>
      </c>
      <c r="K801" s="141" t="s">
        <v>5561</v>
      </c>
      <c r="L801" s="141" t="s">
        <v>8559</v>
      </c>
      <c r="M801" s="141">
        <v>3300002831</v>
      </c>
      <c r="N801" s="141">
        <v>2183495</v>
      </c>
      <c r="O801" s="142"/>
      <c r="P801" s="142"/>
      <c r="Q801" s="142"/>
      <c r="R801" s="142"/>
      <c r="S801" s="142"/>
      <c r="T801" s="141" t="s">
        <v>5159</v>
      </c>
      <c r="V801" s="43" t="s">
        <v>622</v>
      </c>
      <c r="AF801" s="42">
        <v>2119212</v>
      </c>
      <c r="AG801" s="42" t="s">
        <v>6528</v>
      </c>
    </row>
    <row r="802" spans="6:33" ht="15.75" customHeight="1">
      <c r="F802" s="40" t="s">
        <v>7753</v>
      </c>
      <c r="G802" s="40" t="s">
        <v>7753</v>
      </c>
      <c r="H802" s="40" t="s">
        <v>8208</v>
      </c>
      <c r="I802" s="40" t="s">
        <v>6850</v>
      </c>
      <c r="J802" s="138"/>
      <c r="K802" s="139"/>
      <c r="L802" s="141"/>
      <c r="M802" s="141"/>
      <c r="N802" s="139"/>
      <c r="O802" s="142"/>
      <c r="P802" s="142"/>
      <c r="Q802" s="142"/>
      <c r="R802" s="142"/>
      <c r="S802" s="142"/>
      <c r="T802" s="139" t="s">
        <v>7607</v>
      </c>
      <c r="V802" s="43" t="s">
        <v>6434</v>
      </c>
      <c r="AF802" s="42">
        <v>2119213</v>
      </c>
      <c r="AG802" s="42" t="s">
        <v>6528</v>
      </c>
    </row>
    <row r="803" spans="6:33" ht="15.75" customHeight="1">
      <c r="F803" s="40" t="s">
        <v>2386</v>
      </c>
      <c r="G803" s="40" t="s">
        <v>2387</v>
      </c>
      <c r="H803" s="40" t="s">
        <v>564</v>
      </c>
      <c r="I803" s="40" t="s">
        <v>6851</v>
      </c>
      <c r="J803" s="140">
        <v>3300005137</v>
      </c>
      <c r="K803" s="141"/>
      <c r="L803" s="141">
        <v>3300005138</v>
      </c>
      <c r="M803" s="141"/>
      <c r="N803" s="141"/>
      <c r="O803" s="142"/>
      <c r="P803" s="142"/>
      <c r="Q803" s="142"/>
      <c r="R803" s="142"/>
      <c r="S803" s="142"/>
      <c r="T803" s="141" t="s">
        <v>2388</v>
      </c>
      <c r="V803" s="43" t="s">
        <v>557</v>
      </c>
      <c r="AF803" s="42">
        <v>2119217</v>
      </c>
      <c r="AG803" s="42" t="s">
        <v>6528</v>
      </c>
    </row>
    <row r="804" spans="6:33" ht="15.75" customHeight="1">
      <c r="F804" s="40" t="s">
        <v>3396</v>
      </c>
      <c r="G804" s="40" t="s">
        <v>3397</v>
      </c>
      <c r="H804" s="40" t="s">
        <v>6841</v>
      </c>
      <c r="I804" s="40" t="s">
        <v>6852</v>
      </c>
      <c r="J804" s="140" t="s">
        <v>3398</v>
      </c>
      <c r="K804" s="141">
        <v>2171892</v>
      </c>
      <c r="L804" s="141"/>
      <c r="M804" s="141"/>
      <c r="N804" s="141"/>
      <c r="O804" s="142"/>
      <c r="P804" s="142"/>
      <c r="Q804" s="142"/>
      <c r="R804" s="142"/>
      <c r="S804" s="142"/>
      <c r="T804" s="141" t="s">
        <v>6777</v>
      </c>
      <c r="V804" s="43" t="s">
        <v>673</v>
      </c>
      <c r="AF804" s="42">
        <v>2119219</v>
      </c>
      <c r="AG804" s="42" t="s">
        <v>6528</v>
      </c>
    </row>
    <row r="805" spans="6:33" ht="15.75" customHeight="1">
      <c r="F805" s="40" t="s">
        <v>6383</v>
      </c>
      <c r="G805" s="40" t="s">
        <v>6384</v>
      </c>
      <c r="H805" s="40" t="s">
        <v>8208</v>
      </c>
      <c r="I805" s="40" t="s">
        <v>6850</v>
      </c>
      <c r="J805" s="138">
        <v>2171932</v>
      </c>
      <c r="K805" s="139" t="s">
        <v>6385</v>
      </c>
      <c r="L805" s="141">
        <v>3300009524</v>
      </c>
      <c r="M805" s="141">
        <v>2171929</v>
      </c>
      <c r="N805" s="141"/>
      <c r="O805" s="142"/>
      <c r="P805" s="142"/>
      <c r="Q805" s="142"/>
      <c r="R805" s="142"/>
      <c r="S805" s="142"/>
      <c r="T805" s="139" t="s">
        <v>6787</v>
      </c>
      <c r="V805" s="43" t="s">
        <v>735</v>
      </c>
      <c r="AF805" s="42">
        <v>2119220</v>
      </c>
      <c r="AG805" s="42" t="s">
        <v>6528</v>
      </c>
    </row>
    <row r="806" spans="6:33" ht="15.75" customHeight="1">
      <c r="F806" s="40" t="s">
        <v>6390</v>
      </c>
      <c r="G806" s="40" t="s">
        <v>6391</v>
      </c>
      <c r="H806" s="40" t="s">
        <v>8208</v>
      </c>
      <c r="I806" s="40" t="s">
        <v>6850</v>
      </c>
      <c r="J806" s="140">
        <v>2117086</v>
      </c>
      <c r="K806" s="141">
        <v>5031909</v>
      </c>
      <c r="L806" s="141">
        <v>3300008139</v>
      </c>
      <c r="M806" s="141"/>
      <c r="N806" s="141"/>
      <c r="O806" s="142"/>
      <c r="P806" s="142"/>
      <c r="Q806" s="142"/>
      <c r="R806" s="142"/>
      <c r="S806" s="142"/>
      <c r="T806" s="141" t="s">
        <v>6393</v>
      </c>
      <c r="V806" s="43" t="s">
        <v>735</v>
      </c>
      <c r="AF806" s="42">
        <v>2119227</v>
      </c>
      <c r="AG806" s="42" t="s">
        <v>6528</v>
      </c>
    </row>
    <row r="807" spans="6:33" ht="15.75" customHeight="1">
      <c r="F807" s="40" t="s">
        <v>5651</v>
      </c>
      <c r="G807" s="40" t="s">
        <v>5652</v>
      </c>
      <c r="H807" s="40" t="s">
        <v>761</v>
      </c>
      <c r="I807" s="40" t="s">
        <v>6848</v>
      </c>
      <c r="J807" s="138">
        <v>2119198</v>
      </c>
      <c r="K807" s="139" t="s">
        <v>5653</v>
      </c>
      <c r="L807" s="141">
        <v>5001446</v>
      </c>
      <c r="M807" s="141">
        <v>2116237</v>
      </c>
      <c r="N807" s="139"/>
      <c r="O807" s="142"/>
      <c r="P807" s="142"/>
      <c r="Q807" s="142"/>
      <c r="R807" s="142"/>
      <c r="S807" s="142"/>
      <c r="T807" s="139" t="s">
        <v>5654</v>
      </c>
      <c r="V807" s="43" t="s">
        <v>698</v>
      </c>
      <c r="AF807" s="42">
        <v>2119229</v>
      </c>
      <c r="AG807" s="42" t="s">
        <v>6528</v>
      </c>
    </row>
    <row r="808" spans="6:33" ht="15.75" customHeight="1">
      <c r="F808" s="40" t="s">
        <v>7186</v>
      </c>
      <c r="G808" s="40" t="s">
        <v>7187</v>
      </c>
      <c r="H808" s="40" t="s">
        <v>564</v>
      </c>
      <c r="I808" s="40" t="s">
        <v>6851</v>
      </c>
      <c r="J808" s="140">
        <v>3300016497</v>
      </c>
      <c r="K808" s="141" t="s">
        <v>7094</v>
      </c>
      <c r="L808" s="141">
        <v>3300016134</v>
      </c>
      <c r="M808" s="141">
        <v>2183605</v>
      </c>
      <c r="N808" s="141">
        <v>5008435</v>
      </c>
      <c r="O808" s="142"/>
      <c r="P808" s="142"/>
      <c r="Q808" s="142"/>
      <c r="R808" s="142"/>
      <c r="S808" s="142"/>
      <c r="T808" s="141" t="s">
        <v>6750</v>
      </c>
      <c r="V808" s="43" t="s">
        <v>620</v>
      </c>
      <c r="AF808" s="42">
        <v>2119230</v>
      </c>
      <c r="AG808" s="42" t="s">
        <v>6528</v>
      </c>
    </row>
    <row r="809" spans="6:33" ht="15.75" customHeight="1">
      <c r="F809" s="40" t="s">
        <v>4823</v>
      </c>
      <c r="G809" s="40" t="s">
        <v>4824</v>
      </c>
      <c r="H809" s="40" t="s">
        <v>761</v>
      </c>
      <c r="I809" s="40" t="s">
        <v>6848</v>
      </c>
      <c r="J809" s="140">
        <v>2115651</v>
      </c>
      <c r="K809" s="141">
        <v>3300002947</v>
      </c>
      <c r="L809" s="141">
        <v>5001462</v>
      </c>
      <c r="M809" s="141" t="s">
        <v>7549</v>
      </c>
      <c r="N809" s="141" t="s">
        <v>4827</v>
      </c>
      <c r="O809" s="142"/>
      <c r="P809" s="142"/>
      <c r="Q809" s="142"/>
      <c r="R809" s="142"/>
      <c r="S809" s="142"/>
      <c r="T809" s="141" t="s">
        <v>4828</v>
      </c>
      <c r="V809" s="43" t="s">
        <v>636</v>
      </c>
      <c r="AF809" s="42">
        <v>2119232</v>
      </c>
      <c r="AG809" s="42" t="s">
        <v>6528</v>
      </c>
    </row>
    <row r="810" spans="6:33" ht="15.75" customHeight="1">
      <c r="F810" s="40" t="s">
        <v>7754</v>
      </c>
      <c r="G810" s="40" t="s">
        <v>7915</v>
      </c>
      <c r="H810" s="40" t="s">
        <v>8208</v>
      </c>
      <c r="I810" s="40" t="s">
        <v>6850</v>
      </c>
      <c r="J810" s="140">
        <v>2081860</v>
      </c>
      <c r="K810" s="141"/>
      <c r="L810" s="141"/>
      <c r="M810" s="141"/>
      <c r="N810" s="141" t="s">
        <v>8088</v>
      </c>
      <c r="O810" s="142"/>
      <c r="P810" s="142"/>
      <c r="Q810" s="142"/>
      <c r="R810" s="142"/>
      <c r="S810" s="142"/>
      <c r="T810" s="141">
        <v>111200062</v>
      </c>
      <c r="V810" s="43" t="s">
        <v>687</v>
      </c>
      <c r="AF810" s="42">
        <v>2119233</v>
      </c>
      <c r="AG810" s="42" t="s">
        <v>6528</v>
      </c>
    </row>
    <row r="811" spans="6:33" ht="15.75" customHeight="1">
      <c r="F811" s="40" t="s">
        <v>6114</v>
      </c>
      <c r="G811" s="40" t="s">
        <v>6115</v>
      </c>
      <c r="H811" s="40" t="s">
        <v>8208</v>
      </c>
      <c r="I811" s="40" t="s">
        <v>6850</v>
      </c>
      <c r="J811" s="138">
        <v>2183598</v>
      </c>
      <c r="K811" s="139">
        <v>5001477</v>
      </c>
      <c r="L811" s="139">
        <v>3300003003</v>
      </c>
      <c r="M811" s="141">
        <v>5104329</v>
      </c>
      <c r="N811" s="141" t="s">
        <v>6116</v>
      </c>
      <c r="O811" s="142"/>
      <c r="P811" s="142"/>
      <c r="Q811" s="142"/>
      <c r="R811" s="142"/>
      <c r="S811" s="142"/>
      <c r="T811" s="139" t="s">
        <v>6117</v>
      </c>
      <c r="V811" s="43" t="s">
        <v>532</v>
      </c>
      <c r="AF811" s="42">
        <v>2119239</v>
      </c>
      <c r="AG811" s="42" t="s">
        <v>6528</v>
      </c>
    </row>
    <row r="812" spans="6:33" ht="15.75" customHeight="1">
      <c r="F812" s="40" t="s">
        <v>5104</v>
      </c>
      <c r="G812" s="40" t="s">
        <v>5104</v>
      </c>
      <c r="H812" s="40" t="s">
        <v>761</v>
      </c>
      <c r="I812" s="40" t="s">
        <v>6848</v>
      </c>
      <c r="J812" s="140">
        <v>5045651</v>
      </c>
      <c r="K812" s="141">
        <v>2117585</v>
      </c>
      <c r="L812" s="141" t="s">
        <v>5105</v>
      </c>
      <c r="M812" s="141"/>
      <c r="N812" s="141"/>
      <c r="O812" s="142"/>
      <c r="P812" s="142"/>
      <c r="Q812" s="142"/>
      <c r="R812" s="142"/>
      <c r="S812" s="142"/>
      <c r="T812" s="141" t="s">
        <v>5106</v>
      </c>
      <c r="V812" s="43" t="s">
        <v>671</v>
      </c>
      <c r="AF812" s="42">
        <v>2119241</v>
      </c>
      <c r="AG812" s="42" t="s">
        <v>6528</v>
      </c>
    </row>
    <row r="813" spans="6:33" ht="15.75" customHeight="1">
      <c r="F813" s="40" t="s">
        <v>6238</v>
      </c>
      <c r="G813" s="40" t="s">
        <v>24</v>
      </c>
      <c r="H813" s="40" t="s">
        <v>8208</v>
      </c>
      <c r="I813" s="40" t="s">
        <v>6850</v>
      </c>
      <c r="J813" s="140">
        <v>5059294</v>
      </c>
      <c r="K813" s="141" t="s">
        <v>6240</v>
      </c>
      <c r="L813" s="141">
        <v>2115891</v>
      </c>
      <c r="M813" s="141">
        <v>2226102</v>
      </c>
      <c r="N813" s="141">
        <v>2177524</v>
      </c>
      <c r="O813" s="142"/>
      <c r="P813" s="142"/>
      <c r="Q813" s="142"/>
      <c r="R813" s="142"/>
      <c r="S813" s="142"/>
      <c r="T813" s="141" t="s">
        <v>6241</v>
      </c>
      <c r="V813" s="43" t="s">
        <v>3277</v>
      </c>
      <c r="AF813" s="42">
        <v>2119243</v>
      </c>
      <c r="AG813" s="42" t="s">
        <v>6528</v>
      </c>
    </row>
    <row r="814" spans="6:33" ht="15.75" customHeight="1">
      <c r="F814" s="40" t="s">
        <v>5108</v>
      </c>
      <c r="G814" s="40" t="s">
        <v>5109</v>
      </c>
      <c r="H814" s="40" t="s">
        <v>761</v>
      </c>
      <c r="I814" s="40" t="s">
        <v>6848</v>
      </c>
      <c r="J814" s="140">
        <v>2116243</v>
      </c>
      <c r="K814" s="141" t="s">
        <v>5111</v>
      </c>
      <c r="L814" s="141">
        <v>5059378</v>
      </c>
      <c r="M814" s="141"/>
      <c r="N814" s="141"/>
      <c r="O814" s="142"/>
      <c r="P814" s="142"/>
      <c r="Q814" s="142"/>
      <c r="R814" s="142"/>
      <c r="S814" s="142"/>
      <c r="T814" s="141" t="s">
        <v>5112</v>
      </c>
      <c r="V814" s="43" t="s">
        <v>671</v>
      </c>
      <c r="AF814" s="42">
        <v>2119244</v>
      </c>
      <c r="AG814" s="42" t="s">
        <v>6528</v>
      </c>
    </row>
    <row r="815" spans="6:33" ht="15.75" customHeight="1">
      <c r="F815" s="40" t="s">
        <v>2673</v>
      </c>
      <c r="G815" s="40" t="s">
        <v>2674</v>
      </c>
      <c r="H815" s="40" t="s">
        <v>670</v>
      </c>
      <c r="I815" s="40" t="s">
        <v>6849</v>
      </c>
      <c r="J815" s="140">
        <v>5042671</v>
      </c>
      <c r="K815" s="141" t="s">
        <v>2677</v>
      </c>
      <c r="L815" s="141">
        <v>3300008892</v>
      </c>
      <c r="M815" s="141">
        <v>2119246</v>
      </c>
      <c r="N815" s="141" t="s">
        <v>1674</v>
      </c>
      <c r="O815" s="142"/>
      <c r="P815" s="142"/>
      <c r="Q815" s="142"/>
      <c r="R815" s="142"/>
      <c r="S815" s="142"/>
      <c r="T815" s="141" t="s">
        <v>2678</v>
      </c>
      <c r="V815" s="43" t="s">
        <v>2676</v>
      </c>
      <c r="AF815" s="42">
        <v>2119246</v>
      </c>
      <c r="AG815" s="42" t="s">
        <v>6528</v>
      </c>
    </row>
    <row r="816" spans="6:33" ht="15.75" customHeight="1">
      <c r="F816" s="40" t="s">
        <v>7755</v>
      </c>
      <c r="G816" s="40" t="s">
        <v>7916</v>
      </c>
      <c r="H816" s="40" t="s">
        <v>670</v>
      </c>
      <c r="I816" s="40" t="s">
        <v>6849</v>
      </c>
      <c r="J816" s="138">
        <v>3400003773</v>
      </c>
      <c r="K816" s="139">
        <v>5100169</v>
      </c>
      <c r="L816" s="139" t="s">
        <v>8089</v>
      </c>
      <c r="M816" s="141" t="s">
        <v>8090</v>
      </c>
      <c r="N816" s="141">
        <v>2081843</v>
      </c>
      <c r="O816" s="142"/>
      <c r="P816" s="142"/>
      <c r="Q816" s="142"/>
      <c r="R816" s="142"/>
      <c r="S816" s="142"/>
      <c r="T816" s="141" t="s">
        <v>8158</v>
      </c>
      <c r="V816" s="43" t="s">
        <v>612</v>
      </c>
      <c r="AF816" s="42">
        <v>2119248</v>
      </c>
      <c r="AG816" s="42" t="s">
        <v>6528</v>
      </c>
    </row>
    <row r="817" spans="6:33" ht="15.75" customHeight="1">
      <c r="F817" s="40" t="s">
        <v>7497</v>
      </c>
      <c r="G817" s="40" t="s">
        <v>7498</v>
      </c>
      <c r="H817" s="40" t="s">
        <v>553</v>
      </c>
      <c r="I817" s="40" t="s">
        <v>6853</v>
      </c>
      <c r="J817" s="138">
        <v>3300009780</v>
      </c>
      <c r="K817" s="141" t="s">
        <v>7550</v>
      </c>
      <c r="L817" s="139">
        <v>2183512</v>
      </c>
      <c r="M817" s="141" t="s">
        <v>3248</v>
      </c>
      <c r="N817" s="141">
        <v>2150982</v>
      </c>
      <c r="O817" s="142"/>
      <c r="P817" s="142"/>
      <c r="Q817" s="142"/>
      <c r="R817" s="142"/>
      <c r="S817" s="142"/>
      <c r="T817" s="139" t="s">
        <v>7583</v>
      </c>
      <c r="V817" s="43" t="s">
        <v>712</v>
      </c>
      <c r="AF817" s="42">
        <v>2119252</v>
      </c>
      <c r="AG817" s="42" t="s">
        <v>6528</v>
      </c>
    </row>
    <row r="818" spans="6:33" ht="15.75" customHeight="1">
      <c r="F818" s="40" t="s">
        <v>5029</v>
      </c>
      <c r="G818" s="40" t="s">
        <v>5030</v>
      </c>
      <c r="H818" s="40" t="s">
        <v>761</v>
      </c>
      <c r="I818" s="40" t="s">
        <v>6848</v>
      </c>
      <c r="J818" s="138">
        <v>5031845</v>
      </c>
      <c r="K818" s="139" t="s">
        <v>5033</v>
      </c>
      <c r="L818" s="139">
        <v>2119262</v>
      </c>
      <c r="M818" s="141">
        <v>5031855</v>
      </c>
      <c r="N818" s="141"/>
      <c r="O818" s="142"/>
      <c r="P818" s="142"/>
      <c r="Q818" s="142"/>
      <c r="R818" s="142"/>
      <c r="S818" s="142"/>
      <c r="T818" s="139" t="s">
        <v>5034</v>
      </c>
      <c r="V818" s="43" t="s">
        <v>5032</v>
      </c>
      <c r="AF818" s="42">
        <v>2119253</v>
      </c>
      <c r="AG818" s="42" t="s">
        <v>6528</v>
      </c>
    </row>
    <row r="819" spans="6:33" ht="15.75" customHeight="1">
      <c r="F819" s="40" t="s">
        <v>3446</v>
      </c>
      <c r="G819" s="40" t="s">
        <v>3447</v>
      </c>
      <c r="H819" s="40" t="s">
        <v>6841</v>
      </c>
      <c r="I819" s="40" t="s">
        <v>6852</v>
      </c>
      <c r="J819" s="140">
        <v>5042658</v>
      </c>
      <c r="K819" s="141" t="s">
        <v>3450</v>
      </c>
      <c r="L819" s="141">
        <v>2117087</v>
      </c>
      <c r="M819" s="141">
        <v>3300002928</v>
      </c>
      <c r="N819" s="141"/>
      <c r="O819" s="142"/>
      <c r="P819" s="142"/>
      <c r="Q819" s="142"/>
      <c r="R819" s="142"/>
      <c r="S819" s="142"/>
      <c r="T819" s="141" t="s">
        <v>3451</v>
      </c>
      <c r="V819" s="43" t="s">
        <v>3449</v>
      </c>
      <c r="AF819" s="42">
        <v>2119254</v>
      </c>
      <c r="AG819" s="42" t="s">
        <v>6528</v>
      </c>
    </row>
    <row r="820" spans="6:33" ht="15.75" customHeight="1">
      <c r="F820" s="40" t="s">
        <v>6418</v>
      </c>
      <c r="G820" s="40" t="s">
        <v>6419</v>
      </c>
      <c r="H820" s="40" t="s">
        <v>8208</v>
      </c>
      <c r="I820" s="40" t="s">
        <v>6850</v>
      </c>
      <c r="J820" s="140" t="s">
        <v>6420</v>
      </c>
      <c r="K820" s="141">
        <v>5059369</v>
      </c>
      <c r="L820" s="141"/>
      <c r="M820" s="141"/>
      <c r="N820" s="141"/>
      <c r="O820" s="142"/>
      <c r="P820" s="142"/>
      <c r="Q820" s="142"/>
      <c r="R820" s="142"/>
      <c r="S820" s="142"/>
      <c r="T820" s="141" t="s">
        <v>6421</v>
      </c>
      <c r="V820" s="43" t="s">
        <v>638</v>
      </c>
      <c r="AF820" s="42">
        <v>2119255</v>
      </c>
      <c r="AG820" s="42" t="s">
        <v>6528</v>
      </c>
    </row>
    <row r="821" spans="6:33" ht="15.75" customHeight="1">
      <c r="F821" s="40" t="s">
        <v>8349</v>
      </c>
      <c r="G821" s="40" t="s">
        <v>8373</v>
      </c>
      <c r="H821" s="40" t="s">
        <v>8208</v>
      </c>
      <c r="I821" s="40" t="s">
        <v>6850</v>
      </c>
      <c r="J821" s="140">
        <v>2114675</v>
      </c>
      <c r="K821" s="141">
        <v>2141286</v>
      </c>
      <c r="L821" s="141" t="s">
        <v>6666</v>
      </c>
      <c r="M821" s="141"/>
      <c r="N821" s="141"/>
      <c r="O821" s="142"/>
      <c r="P821" s="142"/>
      <c r="Q821" s="142"/>
      <c r="R821" s="142"/>
      <c r="S821" s="142"/>
      <c r="T821" s="141" t="s">
        <v>6535</v>
      </c>
      <c r="V821" s="43" t="s">
        <v>8205</v>
      </c>
      <c r="AF821" s="42">
        <v>2119256</v>
      </c>
      <c r="AG821" s="42" t="s">
        <v>6528</v>
      </c>
    </row>
    <row r="822" spans="6:33" ht="15.75" customHeight="1">
      <c r="F822" s="40" t="s">
        <v>6945</v>
      </c>
      <c r="G822" s="40" t="s">
        <v>6946</v>
      </c>
      <c r="H822" s="40" t="s">
        <v>6841</v>
      </c>
      <c r="I822" s="40" t="s">
        <v>6852</v>
      </c>
      <c r="J822" s="140" t="s">
        <v>6662</v>
      </c>
      <c r="K822" s="141">
        <v>2103885</v>
      </c>
      <c r="L822" s="141"/>
      <c r="M822" s="141"/>
      <c r="N822" s="141"/>
      <c r="O822" s="142"/>
      <c r="P822" s="142"/>
      <c r="Q822" s="142"/>
      <c r="R822" s="142"/>
      <c r="S822" s="142"/>
      <c r="T822" s="141" t="s">
        <v>6601</v>
      </c>
      <c r="V822" s="43" t="s">
        <v>598</v>
      </c>
      <c r="AF822" s="42">
        <v>2119257</v>
      </c>
      <c r="AG822" s="42" t="s">
        <v>6528</v>
      </c>
    </row>
    <row r="823" spans="6:33" ht="15.75" customHeight="1">
      <c r="F823" s="40" t="s">
        <v>5120</v>
      </c>
      <c r="G823" s="40" t="s">
        <v>5121</v>
      </c>
      <c r="H823" s="40" t="s">
        <v>761</v>
      </c>
      <c r="I823" s="40" t="s">
        <v>6848</v>
      </c>
      <c r="J823" s="140">
        <v>2116251</v>
      </c>
      <c r="K823" s="141" t="s">
        <v>5123</v>
      </c>
      <c r="L823" s="141">
        <v>5050434</v>
      </c>
      <c r="M823" s="141">
        <v>3300009531</v>
      </c>
      <c r="N823" s="141"/>
      <c r="O823" s="142"/>
      <c r="P823" s="142"/>
      <c r="Q823" s="142"/>
      <c r="R823" s="142"/>
      <c r="S823" s="142"/>
      <c r="T823" s="141" t="s">
        <v>5124</v>
      </c>
      <c r="V823" s="43" t="s">
        <v>793</v>
      </c>
      <c r="AF823" s="42">
        <v>2119258</v>
      </c>
      <c r="AG823" s="42" t="s">
        <v>6528</v>
      </c>
    </row>
    <row r="824" spans="6:33" ht="15.75" customHeight="1">
      <c r="F824" s="40" t="s">
        <v>6011</v>
      </c>
      <c r="G824" s="40" t="s">
        <v>6012</v>
      </c>
      <c r="H824" s="40" t="s">
        <v>8208</v>
      </c>
      <c r="I824" s="40" t="s">
        <v>6850</v>
      </c>
      <c r="J824" s="140">
        <v>3300009758</v>
      </c>
      <c r="K824" s="141" t="s">
        <v>6013</v>
      </c>
      <c r="L824" s="141">
        <v>5049712</v>
      </c>
      <c r="M824" s="141">
        <v>2103496</v>
      </c>
      <c r="N824" s="141" t="s">
        <v>8560</v>
      </c>
      <c r="O824" s="142"/>
      <c r="P824" s="142"/>
      <c r="Q824" s="142"/>
      <c r="R824" s="142"/>
      <c r="S824" s="142"/>
      <c r="T824" s="141" t="s">
        <v>6014</v>
      </c>
      <c r="V824" s="43" t="s">
        <v>631</v>
      </c>
      <c r="AF824" s="42">
        <v>2119259</v>
      </c>
      <c r="AG824" s="42" t="s">
        <v>6528</v>
      </c>
    </row>
    <row r="825" spans="6:33" ht="15.75" customHeight="1">
      <c r="F825" s="40" t="s">
        <v>8305</v>
      </c>
      <c r="G825" s="40" t="s">
        <v>7964</v>
      </c>
      <c r="H825" s="40" t="s">
        <v>8208</v>
      </c>
      <c r="I825" s="40" t="s">
        <v>6850</v>
      </c>
      <c r="J825" s="140">
        <v>2081833</v>
      </c>
      <c r="K825" s="141">
        <v>5087340</v>
      </c>
      <c r="L825" s="141" t="s">
        <v>8137</v>
      </c>
      <c r="M825" s="141" t="s">
        <v>8138</v>
      </c>
      <c r="N825" s="141">
        <v>3300002193</v>
      </c>
      <c r="O825" s="142"/>
      <c r="P825" s="142"/>
      <c r="Q825" s="142"/>
      <c r="R825" s="142"/>
      <c r="S825" s="142"/>
      <c r="T825" s="141">
        <v>101200032</v>
      </c>
      <c r="V825" s="43" t="s">
        <v>771</v>
      </c>
      <c r="AF825" s="42">
        <v>2119260</v>
      </c>
      <c r="AG825" s="42" t="s">
        <v>6528</v>
      </c>
    </row>
    <row r="826" spans="6:33" ht="15.75" customHeight="1">
      <c r="F826" s="40" t="s">
        <v>4559</v>
      </c>
      <c r="G826" s="40" t="s">
        <v>4560</v>
      </c>
      <c r="H826" s="40" t="s">
        <v>761</v>
      </c>
      <c r="I826" s="40" t="s">
        <v>6848</v>
      </c>
      <c r="J826" s="140">
        <v>5006429</v>
      </c>
      <c r="K826" s="141" t="s">
        <v>4562</v>
      </c>
      <c r="L826" s="141">
        <v>3300008157</v>
      </c>
      <c r="M826" s="141">
        <v>5040899</v>
      </c>
      <c r="N826" s="141">
        <v>2103867</v>
      </c>
      <c r="O826" s="142"/>
      <c r="P826" s="142"/>
      <c r="Q826" s="142"/>
      <c r="R826" s="142"/>
      <c r="S826" s="142"/>
      <c r="T826" s="141" t="s">
        <v>4563</v>
      </c>
      <c r="V826" s="43" t="s">
        <v>776</v>
      </c>
      <c r="AF826" s="42">
        <v>2119261</v>
      </c>
      <c r="AG826" s="42" t="s">
        <v>6528</v>
      </c>
    </row>
    <row r="827" spans="6:33" ht="15.75" customHeight="1">
      <c r="F827" s="40" t="s">
        <v>3026</v>
      </c>
      <c r="G827" s="40" t="s">
        <v>3027</v>
      </c>
      <c r="H827" s="40" t="s">
        <v>595</v>
      </c>
      <c r="I827" s="40" t="s">
        <v>6847</v>
      </c>
      <c r="J827" s="140">
        <v>2117085</v>
      </c>
      <c r="K827" s="141">
        <v>5031914</v>
      </c>
      <c r="L827" s="141">
        <v>3300006809</v>
      </c>
      <c r="M827" s="141" t="s">
        <v>3029</v>
      </c>
      <c r="N827" s="141" t="s">
        <v>3030</v>
      </c>
      <c r="O827" s="142"/>
      <c r="P827" s="142"/>
      <c r="Q827" s="142"/>
      <c r="R827" s="142"/>
      <c r="S827" s="142"/>
      <c r="T827" s="141" t="s">
        <v>3031</v>
      </c>
      <c r="V827" s="43" t="s">
        <v>652</v>
      </c>
      <c r="AF827" s="42">
        <v>2119262</v>
      </c>
      <c r="AG827" s="42" t="s">
        <v>6528</v>
      </c>
    </row>
    <row r="828" spans="6:33" ht="15.75" customHeight="1">
      <c r="F828" s="40" t="s">
        <v>7756</v>
      </c>
      <c r="G828" s="40" t="s">
        <v>7917</v>
      </c>
      <c r="H828" s="40" t="s">
        <v>8208</v>
      </c>
      <c r="I828" s="40" t="s">
        <v>6850</v>
      </c>
      <c r="J828" s="140">
        <v>2180500</v>
      </c>
      <c r="K828" s="141">
        <v>3300006835</v>
      </c>
      <c r="L828" s="141" t="s">
        <v>8091</v>
      </c>
      <c r="M828" s="141"/>
      <c r="N828" s="141"/>
      <c r="O828" s="142"/>
      <c r="P828" s="142"/>
      <c r="Q828" s="142"/>
      <c r="R828" s="142"/>
      <c r="S828" s="142"/>
      <c r="T828" s="141">
        <v>111300137</v>
      </c>
      <c r="V828" s="43" t="s">
        <v>687</v>
      </c>
      <c r="AF828" s="42">
        <v>2119263</v>
      </c>
      <c r="AG828" s="42" t="s">
        <v>6528</v>
      </c>
    </row>
    <row r="829" spans="6:33" ht="15.75" customHeight="1">
      <c r="F829" s="40" t="s">
        <v>1296</v>
      </c>
      <c r="G829" s="40" t="s">
        <v>1297</v>
      </c>
      <c r="H829" s="40" t="s">
        <v>564</v>
      </c>
      <c r="I829" s="40" t="s">
        <v>6851</v>
      </c>
      <c r="J829" s="140" t="s">
        <v>8094</v>
      </c>
      <c r="K829" s="141">
        <v>5049692</v>
      </c>
      <c r="L829" s="141" t="s">
        <v>1298</v>
      </c>
      <c r="M829" s="141">
        <v>3300002834</v>
      </c>
      <c r="N829" s="141">
        <v>2172006</v>
      </c>
      <c r="O829" s="142"/>
      <c r="P829" s="142"/>
      <c r="Q829" s="142"/>
      <c r="R829" s="142"/>
      <c r="S829" s="142"/>
      <c r="T829" s="141" t="s">
        <v>1299</v>
      </c>
      <c r="V829" s="43" t="s">
        <v>745</v>
      </c>
      <c r="AF829" s="42">
        <v>2119264</v>
      </c>
      <c r="AG829" s="42" t="s">
        <v>6528</v>
      </c>
    </row>
    <row r="830" spans="6:33" ht="15.75" customHeight="1">
      <c r="F830" s="40" t="s">
        <v>7757</v>
      </c>
      <c r="G830" s="40" t="s">
        <v>7918</v>
      </c>
      <c r="H830" s="40" t="s">
        <v>8208</v>
      </c>
      <c r="I830" s="40" t="s">
        <v>6850</v>
      </c>
      <c r="J830" s="140">
        <v>2081819</v>
      </c>
      <c r="K830" s="141">
        <v>5087345</v>
      </c>
      <c r="L830" s="141" t="s">
        <v>8092</v>
      </c>
      <c r="M830" s="141" t="s">
        <v>8093</v>
      </c>
      <c r="N830" s="141">
        <v>3300002206</v>
      </c>
      <c r="O830" s="142"/>
      <c r="P830" s="142"/>
      <c r="Q830" s="142"/>
      <c r="R830" s="142"/>
      <c r="S830" s="142"/>
      <c r="T830" s="141">
        <v>101200073</v>
      </c>
      <c r="V830" s="43" t="s">
        <v>687</v>
      </c>
      <c r="AF830" s="42">
        <v>2119265</v>
      </c>
      <c r="AG830" s="42" t="s">
        <v>6528</v>
      </c>
    </row>
    <row r="831" spans="6:33" ht="15.75" customHeight="1">
      <c r="F831" s="40" t="s">
        <v>5739</v>
      </c>
      <c r="G831" s="40" t="s">
        <v>5740</v>
      </c>
      <c r="H831" s="40" t="s">
        <v>761</v>
      </c>
      <c r="I831" s="40" t="s">
        <v>6848</v>
      </c>
      <c r="J831" s="140">
        <v>2115638</v>
      </c>
      <c r="K831" s="141" t="s">
        <v>5742</v>
      </c>
      <c r="L831" s="141">
        <v>2115670</v>
      </c>
      <c r="M831" s="141" t="s">
        <v>5743</v>
      </c>
      <c r="N831" s="141">
        <v>5031868</v>
      </c>
      <c r="O831" s="142"/>
      <c r="P831" s="142"/>
      <c r="Q831" s="142"/>
      <c r="R831" s="142"/>
      <c r="S831" s="142"/>
      <c r="T831" s="141" t="s">
        <v>6828</v>
      </c>
      <c r="V831" s="43" t="s">
        <v>628</v>
      </c>
      <c r="AF831" s="42">
        <v>2119267</v>
      </c>
      <c r="AG831" s="42" t="s">
        <v>6528</v>
      </c>
    </row>
    <row r="832" spans="6:33" ht="15.75" customHeight="1">
      <c r="F832" s="40" t="s">
        <v>3777</v>
      </c>
      <c r="G832" s="40" t="s">
        <v>3778</v>
      </c>
      <c r="H832" s="40" t="s">
        <v>553</v>
      </c>
      <c r="I832" s="40" t="s">
        <v>6853</v>
      </c>
      <c r="J832" s="140">
        <v>5042645</v>
      </c>
      <c r="K832" s="141" t="s">
        <v>3780</v>
      </c>
      <c r="L832" s="141">
        <v>2117104</v>
      </c>
      <c r="M832" s="141">
        <v>5042661</v>
      </c>
      <c r="N832" s="141"/>
      <c r="O832" s="142"/>
      <c r="P832" s="142"/>
      <c r="Q832" s="142"/>
      <c r="R832" s="142"/>
      <c r="S832" s="142"/>
      <c r="T832" s="141" t="s">
        <v>3781</v>
      </c>
      <c r="V832" s="43" t="s">
        <v>716</v>
      </c>
      <c r="AF832" s="42">
        <v>2119268</v>
      </c>
      <c r="AG832" s="42" t="s">
        <v>6528</v>
      </c>
    </row>
    <row r="833" spans="6:33" ht="15.75" customHeight="1">
      <c r="F833" s="40" t="s">
        <v>8457</v>
      </c>
      <c r="G833" s="40" t="s">
        <v>7919</v>
      </c>
      <c r="H833" s="40" t="s">
        <v>8208</v>
      </c>
      <c r="I833" s="40" t="s">
        <v>6850</v>
      </c>
      <c r="J833" s="140">
        <v>2191126</v>
      </c>
      <c r="K833" s="141">
        <v>5053785</v>
      </c>
      <c r="L833" s="141">
        <v>3300013111</v>
      </c>
      <c r="M833" s="141"/>
      <c r="N833" s="141"/>
      <c r="O833" s="142"/>
      <c r="P833" s="142"/>
      <c r="Q833" s="142"/>
      <c r="R833" s="142"/>
      <c r="S833" s="142"/>
      <c r="T833" s="141">
        <v>91400043</v>
      </c>
      <c r="V833" s="43" t="s">
        <v>8192</v>
      </c>
      <c r="AF833" s="42">
        <v>2119269</v>
      </c>
      <c r="AG833" s="42" t="s">
        <v>6528</v>
      </c>
    </row>
    <row r="834" spans="6:33" ht="15.75" customHeight="1">
      <c r="F834" s="40" t="s">
        <v>3809</v>
      </c>
      <c r="G834" s="40" t="s">
        <v>3810</v>
      </c>
      <c r="H834" s="40" t="s">
        <v>553</v>
      </c>
      <c r="I834" s="40" t="s">
        <v>6853</v>
      </c>
      <c r="J834" s="140">
        <v>5045683</v>
      </c>
      <c r="K834" s="141" t="s">
        <v>3811</v>
      </c>
      <c r="L834" s="141">
        <v>3300001697</v>
      </c>
      <c r="M834" s="141">
        <v>3300001682</v>
      </c>
      <c r="N834" s="141">
        <v>2183562</v>
      </c>
      <c r="O834" s="142"/>
      <c r="P834" s="142"/>
      <c r="Q834" s="142"/>
      <c r="R834" s="142"/>
      <c r="S834" s="142"/>
      <c r="T834" s="141" t="s">
        <v>3812</v>
      </c>
      <c r="U834" s="36"/>
      <c r="V834" s="43" t="s">
        <v>633</v>
      </c>
      <c r="AF834" s="42">
        <v>2119270</v>
      </c>
      <c r="AG834" s="42" t="s">
        <v>6528</v>
      </c>
    </row>
    <row r="835" spans="6:33" ht="15.75" customHeight="1">
      <c r="F835" s="40" t="s">
        <v>8458</v>
      </c>
      <c r="G835" s="40" t="s">
        <v>8502</v>
      </c>
      <c r="H835" s="40" t="s">
        <v>564</v>
      </c>
      <c r="I835" s="40" t="s">
        <v>6851</v>
      </c>
      <c r="J835" s="140" t="s">
        <v>8561</v>
      </c>
      <c r="K835" s="141" t="s">
        <v>5776</v>
      </c>
      <c r="L835" s="141">
        <v>2141099</v>
      </c>
      <c r="M835" s="141" t="s">
        <v>8562</v>
      </c>
      <c r="N835" s="141"/>
      <c r="O835" s="142"/>
      <c r="P835" s="142"/>
      <c r="Q835" s="142"/>
      <c r="R835" s="142"/>
      <c r="S835" s="142"/>
      <c r="T835" s="141" t="s">
        <v>8598</v>
      </c>
      <c r="V835" s="43" t="s">
        <v>817</v>
      </c>
      <c r="AF835" s="42">
        <v>2119271</v>
      </c>
      <c r="AG835" s="42" t="s">
        <v>6528</v>
      </c>
    </row>
    <row r="836" spans="6:33" ht="15.75" customHeight="1">
      <c r="F836" s="40" t="s">
        <v>1887</v>
      </c>
      <c r="G836" s="40" t="s">
        <v>1888</v>
      </c>
      <c r="H836" s="40" t="s">
        <v>564</v>
      </c>
      <c r="I836" s="40" t="s">
        <v>6851</v>
      </c>
      <c r="J836" s="140" t="s">
        <v>1889</v>
      </c>
      <c r="K836" s="141" t="s">
        <v>1890</v>
      </c>
      <c r="L836" s="141" t="s">
        <v>1891</v>
      </c>
      <c r="M836" s="141" t="s">
        <v>1892</v>
      </c>
      <c r="N836" s="141">
        <v>2183558</v>
      </c>
      <c r="O836" s="142"/>
      <c r="P836" s="142"/>
      <c r="Q836" s="142"/>
      <c r="R836" s="142"/>
      <c r="S836" s="142"/>
      <c r="T836" s="141" t="s">
        <v>1027</v>
      </c>
      <c r="V836" s="43" t="s">
        <v>550</v>
      </c>
      <c r="AF836" s="42">
        <v>2119272</v>
      </c>
      <c r="AG836" s="42" t="s">
        <v>6528</v>
      </c>
    </row>
    <row r="837" spans="6:33" ht="15.75" customHeight="1">
      <c r="F837" s="40" t="s">
        <v>7499</v>
      </c>
      <c r="G837" s="40" t="s">
        <v>7499</v>
      </c>
      <c r="H837" s="40" t="s">
        <v>761</v>
      </c>
      <c r="I837" s="40" t="s">
        <v>6848</v>
      </c>
      <c r="J837" s="140">
        <v>5036847</v>
      </c>
      <c r="K837" s="141" t="s">
        <v>7551</v>
      </c>
      <c r="L837" s="141">
        <v>2177176</v>
      </c>
      <c r="M837" s="141"/>
      <c r="N837" s="141"/>
      <c r="O837" s="142"/>
      <c r="P837" s="142"/>
      <c r="Q837" s="142"/>
      <c r="R837" s="142"/>
      <c r="S837" s="142"/>
      <c r="T837" s="141" t="s">
        <v>6585</v>
      </c>
      <c r="V837" s="43" t="s">
        <v>628</v>
      </c>
      <c r="AF837" s="42">
        <v>2119273</v>
      </c>
      <c r="AG837" s="42" t="s">
        <v>6528</v>
      </c>
    </row>
    <row r="838" spans="6:33" ht="15.75" customHeight="1">
      <c r="F838" s="40" t="s">
        <v>1476</v>
      </c>
      <c r="G838" s="40" t="s">
        <v>1477</v>
      </c>
      <c r="H838" s="40" t="s">
        <v>564</v>
      </c>
      <c r="I838" s="40" t="s">
        <v>6851</v>
      </c>
      <c r="J838" s="140" t="s">
        <v>1479</v>
      </c>
      <c r="K838" s="141">
        <v>3300009518</v>
      </c>
      <c r="L838" s="141">
        <v>2171909</v>
      </c>
      <c r="M838" s="141"/>
      <c r="N838" s="141"/>
      <c r="O838" s="142"/>
      <c r="P838" s="142"/>
      <c r="Q838" s="142"/>
      <c r="R838" s="142"/>
      <c r="S838" s="142"/>
      <c r="T838" s="141" t="s">
        <v>1480</v>
      </c>
      <c r="V838" s="43" t="s">
        <v>566</v>
      </c>
      <c r="AF838" s="42">
        <v>2119274</v>
      </c>
      <c r="AG838" s="42" t="s">
        <v>6528</v>
      </c>
    </row>
    <row r="839" spans="6:33" ht="15.75" customHeight="1">
      <c r="F839" s="40" t="s">
        <v>7758</v>
      </c>
      <c r="G839" s="40" t="s">
        <v>7758</v>
      </c>
      <c r="H839" s="40" t="s">
        <v>8208</v>
      </c>
      <c r="I839" s="40" t="s">
        <v>6850</v>
      </c>
      <c r="J839" s="140">
        <v>2191136</v>
      </c>
      <c r="K839" s="141">
        <v>5038127</v>
      </c>
      <c r="L839" s="141">
        <v>3300001640</v>
      </c>
      <c r="M839" s="141"/>
      <c r="N839" s="141"/>
      <c r="O839" s="142"/>
      <c r="P839" s="142"/>
      <c r="Q839" s="142"/>
      <c r="R839" s="142"/>
      <c r="S839" s="142"/>
      <c r="T839" s="141" t="s">
        <v>1649</v>
      </c>
      <c r="V839" s="43" t="s">
        <v>648</v>
      </c>
      <c r="AF839" s="42">
        <v>2119275</v>
      </c>
      <c r="AG839" s="42" t="s">
        <v>6528</v>
      </c>
    </row>
    <row r="840" spans="6:33" ht="15.75" customHeight="1">
      <c r="F840" s="40" t="s">
        <v>7759</v>
      </c>
      <c r="G840" s="40" t="s">
        <v>7759</v>
      </c>
      <c r="H840" s="40" t="s">
        <v>8208</v>
      </c>
      <c r="I840" s="40" t="s">
        <v>6850</v>
      </c>
      <c r="J840" s="140">
        <v>2191185</v>
      </c>
      <c r="K840" s="141" t="s">
        <v>8095</v>
      </c>
      <c r="L840" s="141">
        <v>5053821</v>
      </c>
      <c r="M840" s="141"/>
      <c r="N840" s="141"/>
      <c r="O840" s="142"/>
      <c r="P840" s="142"/>
      <c r="Q840" s="142"/>
      <c r="R840" s="142"/>
      <c r="S840" s="142"/>
      <c r="T840" s="141">
        <v>121300184</v>
      </c>
      <c r="V840" s="43" t="s">
        <v>8193</v>
      </c>
      <c r="AF840" s="42">
        <v>2119276</v>
      </c>
      <c r="AG840" s="42" t="s">
        <v>6528</v>
      </c>
    </row>
    <row r="841" spans="6:33" ht="15.75" customHeight="1">
      <c r="F841" s="40" t="s">
        <v>7760</v>
      </c>
      <c r="G841" s="40" t="s">
        <v>7920</v>
      </c>
      <c r="H841" s="40" t="s">
        <v>8208</v>
      </c>
      <c r="I841" s="40" t="s">
        <v>6850</v>
      </c>
      <c r="J841" s="138">
        <v>2191117</v>
      </c>
      <c r="K841" s="139">
        <v>5053819</v>
      </c>
      <c r="L841" s="139">
        <v>3300012847</v>
      </c>
      <c r="M841" s="141" t="s">
        <v>8096</v>
      </c>
      <c r="N841" s="141"/>
      <c r="O841" s="142"/>
      <c r="P841" s="142"/>
      <c r="Q841" s="142"/>
      <c r="R841" s="142"/>
      <c r="S841" s="142"/>
      <c r="T841" s="139">
        <v>91400042</v>
      </c>
      <c r="V841" s="43" t="s">
        <v>6213</v>
      </c>
      <c r="AF841" s="42">
        <v>2119277</v>
      </c>
      <c r="AG841" s="42" t="s">
        <v>6528</v>
      </c>
    </row>
    <row r="842" spans="6:33" ht="15.75" customHeight="1">
      <c r="F842" s="40" t="s">
        <v>5547</v>
      </c>
      <c r="G842" s="40" t="s">
        <v>5548</v>
      </c>
      <c r="H842" s="40" t="s">
        <v>761</v>
      </c>
      <c r="I842" s="40" t="s">
        <v>6848</v>
      </c>
      <c r="J842" s="140" t="s">
        <v>5550</v>
      </c>
      <c r="K842" s="141">
        <v>5032246</v>
      </c>
      <c r="L842" s="141">
        <v>2115899</v>
      </c>
      <c r="M842" s="141">
        <v>3300012811</v>
      </c>
      <c r="N842" s="141">
        <v>2226054</v>
      </c>
      <c r="O842" s="142"/>
      <c r="P842" s="142"/>
      <c r="Q842" s="142"/>
      <c r="R842" s="142"/>
      <c r="S842" s="142"/>
      <c r="T842" s="141" t="s">
        <v>6794</v>
      </c>
      <c r="V842" s="43" t="s">
        <v>731</v>
      </c>
      <c r="AF842" s="42">
        <v>2119279</v>
      </c>
      <c r="AG842" s="42" t="s">
        <v>6528</v>
      </c>
    </row>
    <row r="843" spans="6:33" ht="15.75" customHeight="1">
      <c r="F843" s="40" t="s">
        <v>6947</v>
      </c>
      <c r="G843" s="40" t="s">
        <v>6948</v>
      </c>
      <c r="H843" s="40" t="s">
        <v>761</v>
      </c>
      <c r="I843" s="40" t="s">
        <v>6848</v>
      </c>
      <c r="J843" s="140">
        <v>2114727</v>
      </c>
      <c r="K843" s="141" t="s">
        <v>5171</v>
      </c>
      <c r="L843" s="141">
        <v>2103485</v>
      </c>
      <c r="M843" s="141">
        <v>5059356</v>
      </c>
      <c r="N843" s="141" t="s">
        <v>6650</v>
      </c>
      <c r="O843" s="142"/>
      <c r="P843" s="142"/>
      <c r="Q843" s="142"/>
      <c r="R843" s="142"/>
      <c r="S843" s="142"/>
      <c r="T843" s="141" t="s">
        <v>5172</v>
      </c>
      <c r="V843" s="43" t="s">
        <v>697</v>
      </c>
      <c r="AF843" s="42">
        <v>2119280</v>
      </c>
      <c r="AG843" s="42" t="s">
        <v>6528</v>
      </c>
    </row>
    <row r="844" spans="6:33" ht="15.75" customHeight="1">
      <c r="F844" s="40" t="s">
        <v>2203</v>
      </c>
      <c r="G844" s="40" t="s">
        <v>2204</v>
      </c>
      <c r="H844" s="40" t="s">
        <v>564</v>
      </c>
      <c r="I844" s="40" t="s">
        <v>6851</v>
      </c>
      <c r="J844" s="140" t="s">
        <v>2205</v>
      </c>
      <c r="K844" s="141">
        <v>3300012810</v>
      </c>
      <c r="L844" s="141">
        <v>2171928</v>
      </c>
      <c r="M844" s="141">
        <v>2114761</v>
      </c>
      <c r="N844" s="141"/>
      <c r="O844" s="142"/>
      <c r="P844" s="142"/>
      <c r="Q844" s="142"/>
      <c r="R844" s="142"/>
      <c r="S844" s="142"/>
      <c r="T844" s="141" t="s">
        <v>2206</v>
      </c>
      <c r="V844" s="43" t="s">
        <v>537</v>
      </c>
      <c r="AF844" s="42">
        <v>2119281</v>
      </c>
      <c r="AG844" s="42" t="s">
        <v>6528</v>
      </c>
    </row>
    <row r="845" spans="6:33" ht="15.75" customHeight="1">
      <c r="F845" s="40" t="s">
        <v>2868</v>
      </c>
      <c r="G845" s="40" t="s">
        <v>2868</v>
      </c>
      <c r="H845" s="40" t="s">
        <v>564</v>
      </c>
      <c r="I845" s="40" t="s">
        <v>6851</v>
      </c>
      <c r="J845" s="140">
        <v>2171884</v>
      </c>
      <c r="K845" s="141" t="s">
        <v>2869</v>
      </c>
      <c r="L845" s="141" t="s">
        <v>2127</v>
      </c>
      <c r="M845" s="141">
        <v>3300005166</v>
      </c>
      <c r="N845" s="141"/>
      <c r="O845" s="142"/>
      <c r="P845" s="142"/>
      <c r="Q845" s="142"/>
      <c r="R845" s="142"/>
      <c r="S845" s="142"/>
      <c r="T845" s="141" t="s">
        <v>6576</v>
      </c>
      <c r="V845" s="43" t="s">
        <v>630</v>
      </c>
      <c r="AF845" s="42">
        <v>2119282</v>
      </c>
      <c r="AG845" s="42" t="s">
        <v>6528</v>
      </c>
    </row>
    <row r="846" spans="6:33" ht="15.75" customHeight="1">
      <c r="F846" s="40" t="s">
        <v>7254</v>
      </c>
      <c r="G846" s="40" t="s">
        <v>7271</v>
      </c>
      <c r="H846" s="40" t="s">
        <v>564</v>
      </c>
      <c r="I846" s="40" t="s">
        <v>6851</v>
      </c>
      <c r="J846" s="140">
        <v>2172023</v>
      </c>
      <c r="K846" s="141">
        <v>2228721</v>
      </c>
      <c r="L846" s="141">
        <v>5045656</v>
      </c>
      <c r="M846" s="141">
        <v>2228722</v>
      </c>
      <c r="N846" s="141" t="s">
        <v>4667</v>
      </c>
      <c r="O846" s="142"/>
      <c r="P846" s="142"/>
      <c r="Q846" s="142"/>
      <c r="R846" s="142"/>
      <c r="S846" s="142"/>
      <c r="T846" s="141" t="s">
        <v>1544</v>
      </c>
      <c r="V846" s="43" t="s">
        <v>608</v>
      </c>
      <c r="AF846" s="42">
        <v>2119283</v>
      </c>
      <c r="AG846" s="42" t="s">
        <v>6528</v>
      </c>
    </row>
    <row r="847" spans="6:33" ht="15.75" customHeight="1">
      <c r="F847" s="40" t="s">
        <v>6197</v>
      </c>
      <c r="G847" s="40" t="s">
        <v>6198</v>
      </c>
      <c r="H847" s="40" t="s">
        <v>8208</v>
      </c>
      <c r="I847" s="40" t="s">
        <v>6850</v>
      </c>
      <c r="J847" s="140">
        <v>2117074</v>
      </c>
      <c r="K847" s="141">
        <v>5031915</v>
      </c>
      <c r="L847" s="141">
        <v>3300002972</v>
      </c>
      <c r="M847" s="141"/>
      <c r="N847" s="141"/>
      <c r="O847" s="142"/>
      <c r="P847" s="142"/>
      <c r="Q847" s="142"/>
      <c r="R847" s="142"/>
      <c r="S847" s="142"/>
      <c r="T847" s="141" t="s">
        <v>6200</v>
      </c>
      <c r="V847" s="43" t="s">
        <v>6188</v>
      </c>
      <c r="AF847" s="42">
        <v>2119284</v>
      </c>
      <c r="AG847" s="42" t="s">
        <v>6528</v>
      </c>
    </row>
    <row r="848" spans="6:33" ht="15.75" customHeight="1">
      <c r="F848" s="40" t="s">
        <v>2772</v>
      </c>
      <c r="G848" s="40" t="s">
        <v>2773</v>
      </c>
      <c r="H848" s="40" t="s">
        <v>670</v>
      </c>
      <c r="I848" s="40" t="s">
        <v>6849</v>
      </c>
      <c r="J848" s="140" t="s">
        <v>6705</v>
      </c>
      <c r="K848" s="141">
        <v>2096474</v>
      </c>
      <c r="L848" s="141" t="s">
        <v>2776</v>
      </c>
      <c r="M848" s="141">
        <v>5059289</v>
      </c>
      <c r="N848" s="141">
        <v>3300012284</v>
      </c>
      <c r="O848" s="142"/>
      <c r="P848" s="142"/>
      <c r="Q848" s="142"/>
      <c r="R848" s="142"/>
      <c r="S848" s="142"/>
      <c r="T848" s="141" t="s">
        <v>2777</v>
      </c>
      <c r="V848" s="43" t="s">
        <v>707</v>
      </c>
      <c r="AF848" s="42">
        <v>2119285</v>
      </c>
      <c r="AG848" s="42" t="s">
        <v>6528</v>
      </c>
    </row>
    <row r="849" spans="6:33" ht="15.75" customHeight="1">
      <c r="F849" s="40" t="s">
        <v>4598</v>
      </c>
      <c r="G849" s="40" t="s">
        <v>4593</v>
      </c>
      <c r="H849" s="40" t="s">
        <v>761</v>
      </c>
      <c r="I849" s="40" t="s">
        <v>6848</v>
      </c>
      <c r="J849" s="140">
        <v>5070885</v>
      </c>
      <c r="K849" s="141">
        <v>2183567</v>
      </c>
      <c r="L849" s="141">
        <v>3300009750</v>
      </c>
      <c r="M849" s="141" t="s">
        <v>7202</v>
      </c>
      <c r="N849" s="141" t="s">
        <v>1210</v>
      </c>
      <c r="O849" s="142"/>
      <c r="P849" s="142"/>
      <c r="Q849" s="142"/>
      <c r="R849" s="142"/>
      <c r="S849" s="142"/>
      <c r="T849" s="141" t="s">
        <v>4601</v>
      </c>
      <c r="V849" s="43" t="s">
        <v>4600</v>
      </c>
      <c r="AF849" s="42">
        <v>2119286</v>
      </c>
      <c r="AG849" s="42" t="s">
        <v>6528</v>
      </c>
    </row>
    <row r="850" spans="6:33" ht="15.75" customHeight="1">
      <c r="F850" s="40" t="s">
        <v>8350</v>
      </c>
      <c r="G850" s="40" t="s">
        <v>4593</v>
      </c>
      <c r="H850" s="40" t="s">
        <v>761</v>
      </c>
      <c r="I850" s="40" t="s">
        <v>6848</v>
      </c>
      <c r="J850" s="138">
        <v>2183466</v>
      </c>
      <c r="K850" s="141" t="s">
        <v>8285</v>
      </c>
      <c r="L850" s="141">
        <v>5103081</v>
      </c>
      <c r="M850" s="141">
        <v>3400003866</v>
      </c>
      <c r="N850" s="139">
        <v>3400003843</v>
      </c>
      <c r="O850" s="142"/>
      <c r="P850" s="142"/>
      <c r="Q850" s="142"/>
      <c r="R850" s="142"/>
      <c r="S850" s="142"/>
      <c r="T850" s="141" t="s">
        <v>8403</v>
      </c>
      <c r="V850" s="43" t="s">
        <v>8411</v>
      </c>
      <c r="AF850" s="42">
        <v>2119287</v>
      </c>
      <c r="AG850" s="42" t="s">
        <v>6528</v>
      </c>
    </row>
    <row r="851" spans="6:33" ht="15.75" customHeight="1">
      <c r="F851" s="40" t="s">
        <v>3416</v>
      </c>
      <c r="G851" s="40" t="s">
        <v>3417</v>
      </c>
      <c r="H851" s="40" t="s">
        <v>6841</v>
      </c>
      <c r="I851" s="40" t="s">
        <v>6852</v>
      </c>
      <c r="J851" s="140">
        <v>3300009535</v>
      </c>
      <c r="K851" s="141">
        <v>5050441</v>
      </c>
      <c r="L851" s="141" t="s">
        <v>3418</v>
      </c>
      <c r="M851" s="141">
        <v>2177181</v>
      </c>
      <c r="N851" s="141">
        <v>3300011803</v>
      </c>
      <c r="O851" s="142"/>
      <c r="P851" s="142"/>
      <c r="Q851" s="142"/>
      <c r="R851" s="142"/>
      <c r="S851" s="142"/>
      <c r="T851" s="141" t="s">
        <v>3419</v>
      </c>
      <c r="V851" s="43" t="s">
        <v>603</v>
      </c>
      <c r="AF851" s="42">
        <v>2119288</v>
      </c>
      <c r="AG851" s="42" t="s">
        <v>6528</v>
      </c>
    </row>
    <row r="852" spans="6:33" ht="15.75" customHeight="1">
      <c r="F852" s="40" t="s">
        <v>4260</v>
      </c>
      <c r="G852" s="40" t="s">
        <v>4261</v>
      </c>
      <c r="H852" s="40" t="s">
        <v>553</v>
      </c>
      <c r="I852" s="40" t="s">
        <v>6853</v>
      </c>
      <c r="J852" s="140">
        <v>5105524</v>
      </c>
      <c r="K852" s="141" t="s">
        <v>4263</v>
      </c>
      <c r="L852" s="141" t="s">
        <v>4264</v>
      </c>
      <c r="M852" s="141">
        <v>3300004124</v>
      </c>
      <c r="N852" s="141" t="s">
        <v>4265</v>
      </c>
      <c r="O852" s="142"/>
      <c r="P852" s="142"/>
      <c r="Q852" s="142"/>
      <c r="R852" s="142"/>
      <c r="S852" s="142"/>
      <c r="T852" s="141" t="s">
        <v>8222</v>
      </c>
      <c r="V852" s="43" t="s">
        <v>553</v>
      </c>
      <c r="AF852" s="42">
        <v>2119289</v>
      </c>
      <c r="AG852" s="42" t="s">
        <v>6528</v>
      </c>
    </row>
    <row r="853" spans="6:33" ht="15.75" customHeight="1">
      <c r="F853" s="40" t="s">
        <v>7761</v>
      </c>
      <c r="G853" s="40" t="s">
        <v>7761</v>
      </c>
      <c r="H853" s="40" t="s">
        <v>6841</v>
      </c>
      <c r="I853" s="40" t="s">
        <v>6852</v>
      </c>
      <c r="J853" s="140">
        <v>2119629</v>
      </c>
      <c r="K853" s="141">
        <v>2143298</v>
      </c>
      <c r="L853" s="141" t="s">
        <v>7637</v>
      </c>
      <c r="M853" s="141" t="s">
        <v>8097</v>
      </c>
      <c r="N853" s="141"/>
      <c r="O853" s="142"/>
      <c r="P853" s="142"/>
      <c r="Q853" s="142"/>
      <c r="R853" s="142"/>
      <c r="S853" s="142"/>
      <c r="T853" s="141" t="s">
        <v>8159</v>
      </c>
      <c r="V853" s="43" t="s">
        <v>7602</v>
      </c>
      <c r="AF853" s="42">
        <v>2119291</v>
      </c>
      <c r="AG853" s="42" t="s">
        <v>6528</v>
      </c>
    </row>
    <row r="854" spans="6:33" ht="15.75" customHeight="1">
      <c r="F854" s="40" t="s">
        <v>6035</v>
      </c>
      <c r="G854" s="40" t="s">
        <v>6036</v>
      </c>
      <c r="H854" s="40" t="s">
        <v>8208</v>
      </c>
      <c r="I854" s="40" t="s">
        <v>6850</v>
      </c>
      <c r="J854" s="140" t="s">
        <v>6037</v>
      </c>
      <c r="K854" s="141">
        <v>3300001703</v>
      </c>
      <c r="L854" s="141">
        <v>2177518</v>
      </c>
      <c r="M854" s="141">
        <v>5032244</v>
      </c>
      <c r="N854" s="141">
        <v>3300001702</v>
      </c>
      <c r="O854" s="142"/>
      <c r="P854" s="142"/>
      <c r="Q854" s="142"/>
      <c r="R854" s="142"/>
      <c r="S854" s="142"/>
      <c r="T854" s="141" t="s">
        <v>6038</v>
      </c>
      <c r="V854" s="43" t="s">
        <v>642</v>
      </c>
      <c r="AF854" s="42">
        <v>2119292</v>
      </c>
      <c r="AG854" s="42" t="s">
        <v>6528</v>
      </c>
    </row>
    <row r="855" spans="6:33" ht="15.75" customHeight="1">
      <c r="F855" s="40" t="s">
        <v>5949</v>
      </c>
      <c r="G855" s="40" t="s">
        <v>5950</v>
      </c>
      <c r="H855" s="40" t="s">
        <v>8208</v>
      </c>
      <c r="I855" s="40" t="s">
        <v>6850</v>
      </c>
      <c r="J855" s="140">
        <v>5045667</v>
      </c>
      <c r="K855" s="141" t="s">
        <v>5952</v>
      </c>
      <c r="L855" s="141">
        <v>2087281</v>
      </c>
      <c r="M855" s="141">
        <v>3300004119</v>
      </c>
      <c r="N855" s="141" t="s">
        <v>7213</v>
      </c>
      <c r="O855" s="142"/>
      <c r="P855" s="142"/>
      <c r="Q855" s="142"/>
      <c r="R855" s="142"/>
      <c r="S855" s="142"/>
      <c r="T855" s="141" t="s">
        <v>5953</v>
      </c>
      <c r="V855" s="43" t="s">
        <v>541</v>
      </c>
      <c r="AF855" s="42">
        <v>2119564</v>
      </c>
      <c r="AG855" s="42" t="s">
        <v>6528</v>
      </c>
    </row>
    <row r="856" spans="6:33" ht="15.75" customHeight="1">
      <c r="F856" s="40" t="s">
        <v>2579</v>
      </c>
      <c r="G856" s="40" t="s">
        <v>2580</v>
      </c>
      <c r="H856" s="40" t="s">
        <v>670</v>
      </c>
      <c r="I856" s="40" t="s">
        <v>6849</v>
      </c>
      <c r="J856" s="140">
        <v>2183506</v>
      </c>
      <c r="K856" s="141">
        <v>5059361</v>
      </c>
      <c r="L856" s="141" t="s">
        <v>2581</v>
      </c>
      <c r="M856" s="141">
        <v>5031874</v>
      </c>
      <c r="N856" s="141">
        <v>3300009730</v>
      </c>
      <c r="O856" s="142"/>
      <c r="P856" s="142"/>
      <c r="Q856" s="142"/>
      <c r="R856" s="142"/>
      <c r="S856" s="142"/>
      <c r="T856" s="141" t="s">
        <v>2582</v>
      </c>
      <c r="V856" s="43" t="s">
        <v>640</v>
      </c>
      <c r="AF856" s="42">
        <v>2119565</v>
      </c>
      <c r="AG856" s="42" t="s">
        <v>6528</v>
      </c>
    </row>
    <row r="857" spans="6:33" ht="15.75" customHeight="1">
      <c r="F857" s="40" t="s">
        <v>3052</v>
      </c>
      <c r="G857" s="40" t="s">
        <v>3053</v>
      </c>
      <c r="H857" s="40" t="s">
        <v>595</v>
      </c>
      <c r="I857" s="40" t="s">
        <v>6847</v>
      </c>
      <c r="J857" s="140" t="s">
        <v>3054</v>
      </c>
      <c r="K857" s="141">
        <v>2103920</v>
      </c>
      <c r="L857" s="141">
        <v>3300004134</v>
      </c>
      <c r="M857" s="141">
        <v>5050444</v>
      </c>
      <c r="N857" s="141"/>
      <c r="O857" s="142"/>
      <c r="P857" s="142"/>
      <c r="Q857" s="142"/>
      <c r="R857" s="142"/>
      <c r="S857" s="142"/>
      <c r="T857" s="141" t="s">
        <v>6732</v>
      </c>
      <c r="V857" s="43" t="s">
        <v>590</v>
      </c>
      <c r="AF857" s="42">
        <v>2119566</v>
      </c>
      <c r="AG857" s="42" t="s">
        <v>6528</v>
      </c>
    </row>
    <row r="858" spans="6:33" ht="15.75" customHeight="1">
      <c r="F858" s="40" t="s">
        <v>4268</v>
      </c>
      <c r="G858" s="40" t="s">
        <v>4269</v>
      </c>
      <c r="H858" s="40" t="s">
        <v>553</v>
      </c>
      <c r="I858" s="40" t="s">
        <v>6853</v>
      </c>
      <c r="J858" s="140">
        <v>2177514</v>
      </c>
      <c r="K858" s="141" t="s">
        <v>4270</v>
      </c>
      <c r="L858" s="141">
        <v>3300005158</v>
      </c>
      <c r="M858" s="141">
        <v>5033023</v>
      </c>
      <c r="N858" s="141">
        <v>2119241</v>
      </c>
      <c r="O858" s="142"/>
      <c r="P858" s="142"/>
      <c r="Q858" s="142"/>
      <c r="R858" s="142"/>
      <c r="S858" s="142"/>
      <c r="T858" s="141" t="s">
        <v>4271</v>
      </c>
      <c r="V858" s="43" t="s">
        <v>553</v>
      </c>
      <c r="AF858" s="42">
        <v>2119579</v>
      </c>
      <c r="AG858" s="42" t="s">
        <v>6528</v>
      </c>
    </row>
    <row r="859" spans="6:33" ht="15.75" customHeight="1">
      <c r="F859" s="40" t="s">
        <v>1967</v>
      </c>
      <c r="G859" s="40" t="s">
        <v>1968</v>
      </c>
      <c r="H859" s="40" t="s">
        <v>564</v>
      </c>
      <c r="I859" s="40" t="s">
        <v>6851</v>
      </c>
      <c r="J859" s="140">
        <v>2084087</v>
      </c>
      <c r="K859" s="141">
        <v>3300012249</v>
      </c>
      <c r="L859" s="141" t="s">
        <v>1970</v>
      </c>
      <c r="M859" s="141"/>
      <c r="N859" s="141"/>
      <c r="O859" s="142"/>
      <c r="P859" s="142"/>
      <c r="Q859" s="142"/>
      <c r="R859" s="142"/>
      <c r="S859" s="142"/>
      <c r="T859" s="141" t="s">
        <v>1971</v>
      </c>
      <c r="V859" s="43" t="s">
        <v>1954</v>
      </c>
      <c r="AF859" s="42">
        <v>2119581</v>
      </c>
      <c r="AG859" s="42" t="s">
        <v>6528</v>
      </c>
    </row>
    <row r="860" spans="6:33" ht="15.75" customHeight="1">
      <c r="F860" s="40" t="s">
        <v>3871</v>
      </c>
      <c r="G860" s="40" t="s">
        <v>3872</v>
      </c>
      <c r="H860" s="40" t="s">
        <v>553</v>
      </c>
      <c r="I860" s="40" t="s">
        <v>6853</v>
      </c>
      <c r="J860" s="140" t="s">
        <v>3874</v>
      </c>
      <c r="K860" s="141">
        <v>5059351</v>
      </c>
      <c r="L860" s="141">
        <v>3300011821</v>
      </c>
      <c r="M860" s="141">
        <v>5059337</v>
      </c>
      <c r="N860" s="141">
        <v>2183478</v>
      </c>
      <c r="O860" s="142"/>
      <c r="P860" s="142"/>
      <c r="Q860" s="142"/>
      <c r="R860" s="142"/>
      <c r="S860" s="142"/>
      <c r="T860" s="141" t="s">
        <v>3875</v>
      </c>
      <c r="V860" s="43" t="s">
        <v>549</v>
      </c>
      <c r="AF860" s="42">
        <v>2119597</v>
      </c>
      <c r="AG860" s="42" t="s">
        <v>6528</v>
      </c>
    </row>
    <row r="861" spans="6:33" ht="15.75" customHeight="1">
      <c r="F861" s="40" t="s">
        <v>8459</v>
      </c>
      <c r="G861" s="40" t="s">
        <v>8503</v>
      </c>
      <c r="H861" s="40" t="s">
        <v>761</v>
      </c>
      <c r="I861" s="40" t="s">
        <v>6848</v>
      </c>
      <c r="J861" s="140">
        <v>2103913</v>
      </c>
      <c r="K861" s="139" t="s">
        <v>4632</v>
      </c>
      <c r="L861" s="141">
        <v>3300003610</v>
      </c>
      <c r="M861" s="141" t="s">
        <v>8563</v>
      </c>
      <c r="N861" s="141">
        <v>2103934</v>
      </c>
      <c r="O861" s="142"/>
      <c r="P861" s="142"/>
      <c r="Q861" s="142"/>
      <c r="R861" s="142"/>
      <c r="S861" s="142"/>
      <c r="T861" s="139" t="s">
        <v>4633</v>
      </c>
      <c r="V861" s="43" t="s">
        <v>4631</v>
      </c>
      <c r="AF861" s="42">
        <v>2119629</v>
      </c>
      <c r="AG861" s="42" t="s">
        <v>6528</v>
      </c>
    </row>
    <row r="862" spans="6:33" ht="15.75" customHeight="1">
      <c r="F862" s="40" t="s">
        <v>2729</v>
      </c>
      <c r="G862" s="40" t="s">
        <v>2729</v>
      </c>
      <c r="H862" s="40" t="s">
        <v>670</v>
      </c>
      <c r="I862" s="40" t="s">
        <v>6849</v>
      </c>
      <c r="J862" s="138">
        <v>3300011489</v>
      </c>
      <c r="K862" s="141" t="s">
        <v>2730</v>
      </c>
      <c r="L862" s="141">
        <v>5040898</v>
      </c>
      <c r="M862" s="141">
        <v>2119270</v>
      </c>
      <c r="N862" s="141"/>
      <c r="O862" s="142"/>
      <c r="P862" s="142"/>
      <c r="Q862" s="142"/>
      <c r="R862" s="142"/>
      <c r="S862" s="142"/>
      <c r="T862" s="139" t="s">
        <v>2731</v>
      </c>
      <c r="V862" s="43" t="s">
        <v>613</v>
      </c>
      <c r="AF862" s="42">
        <v>2138583</v>
      </c>
      <c r="AG862" s="42" t="s">
        <v>6675</v>
      </c>
    </row>
    <row r="863" spans="6:33" ht="15.75" customHeight="1">
      <c r="F863" s="40" t="s">
        <v>7762</v>
      </c>
      <c r="G863" s="40" t="s">
        <v>7921</v>
      </c>
      <c r="H863" s="40" t="s">
        <v>564</v>
      </c>
      <c r="I863" s="40" t="s">
        <v>6851</v>
      </c>
      <c r="J863" s="140">
        <v>2236048</v>
      </c>
      <c r="K863" s="141" t="s">
        <v>7001</v>
      </c>
      <c r="L863" s="141">
        <v>5100155</v>
      </c>
      <c r="M863" s="141" t="s">
        <v>4404</v>
      </c>
      <c r="N863" s="141">
        <v>2138660</v>
      </c>
      <c r="O863" s="142"/>
      <c r="P863" s="142"/>
      <c r="Q863" s="142"/>
      <c r="R863" s="142"/>
      <c r="S863" s="142"/>
      <c r="T863" s="141" t="s">
        <v>8160</v>
      </c>
      <c r="V863" s="43" t="s">
        <v>629</v>
      </c>
      <c r="AF863" s="42">
        <v>2138584</v>
      </c>
      <c r="AG863" s="42" t="s">
        <v>6675</v>
      </c>
    </row>
    <row r="864" spans="6:33" ht="15.75" customHeight="1">
      <c r="F864" s="40" t="s">
        <v>1565</v>
      </c>
      <c r="G864" s="40" t="s">
        <v>1566</v>
      </c>
      <c r="H864" s="40" t="s">
        <v>564</v>
      </c>
      <c r="I864" s="40" t="s">
        <v>6851</v>
      </c>
      <c r="J864" s="140">
        <v>2114775</v>
      </c>
      <c r="K864" s="141" t="s">
        <v>1568</v>
      </c>
      <c r="L864" s="141">
        <v>5105532</v>
      </c>
      <c r="M864" s="141">
        <v>5031894</v>
      </c>
      <c r="N864" s="141" t="s">
        <v>7040</v>
      </c>
      <c r="O864" s="142"/>
      <c r="P864" s="142"/>
      <c r="Q864" s="142"/>
      <c r="R864" s="142"/>
      <c r="S864" s="142"/>
      <c r="T864" s="141" t="s">
        <v>1569</v>
      </c>
      <c r="V864" s="43" t="s">
        <v>580</v>
      </c>
      <c r="AF864" s="42">
        <v>2138586</v>
      </c>
      <c r="AG864" s="42" t="s">
        <v>6675</v>
      </c>
    </row>
    <row r="865" spans="6:33" ht="15.75" customHeight="1">
      <c r="F865" s="40" t="s">
        <v>2160</v>
      </c>
      <c r="G865" s="40" t="s">
        <v>43</v>
      </c>
      <c r="H865" s="40" t="s">
        <v>564</v>
      </c>
      <c r="I865" s="40" t="s">
        <v>6851</v>
      </c>
      <c r="J865" s="140">
        <v>3300010664</v>
      </c>
      <c r="K865" s="141">
        <v>2182983</v>
      </c>
      <c r="L865" s="141" t="s">
        <v>2162</v>
      </c>
      <c r="M865" s="141">
        <v>5051835</v>
      </c>
      <c r="N865" s="141" t="s">
        <v>6974</v>
      </c>
      <c r="O865" s="142"/>
      <c r="P865" s="142"/>
      <c r="Q865" s="142"/>
      <c r="R865" s="142"/>
      <c r="S865" s="142"/>
      <c r="T865" s="141" t="s">
        <v>2164</v>
      </c>
      <c r="V865" s="43" t="s">
        <v>2147</v>
      </c>
      <c r="AF865" s="42">
        <v>2138660</v>
      </c>
      <c r="AG865" s="42" t="s">
        <v>6675</v>
      </c>
    </row>
    <row r="866" spans="6:33" ht="15.75" customHeight="1">
      <c r="F866" s="40" t="s">
        <v>7763</v>
      </c>
      <c r="G866" s="40" t="s">
        <v>7922</v>
      </c>
      <c r="H866" s="40" t="s">
        <v>8208</v>
      </c>
      <c r="I866" s="40" t="s">
        <v>6850</v>
      </c>
      <c r="J866" s="140">
        <v>2096178</v>
      </c>
      <c r="K866" s="141">
        <v>2096068</v>
      </c>
      <c r="L866" s="141">
        <v>3300001585</v>
      </c>
      <c r="M866" s="141" t="s">
        <v>8098</v>
      </c>
      <c r="N866" s="141"/>
      <c r="O866" s="142"/>
      <c r="P866" s="142"/>
      <c r="Q866" s="142"/>
      <c r="R866" s="142"/>
      <c r="S866" s="142"/>
      <c r="T866" s="141">
        <v>81300099</v>
      </c>
      <c r="V866" s="43" t="s">
        <v>610</v>
      </c>
      <c r="AF866" s="42">
        <v>2138664</v>
      </c>
      <c r="AG866" s="42" t="s">
        <v>6675</v>
      </c>
    </row>
    <row r="867" spans="6:33" ht="15.75" customHeight="1">
      <c r="F867" s="40" t="s">
        <v>3878</v>
      </c>
      <c r="G867" s="40" t="s">
        <v>3879</v>
      </c>
      <c r="H867" s="40" t="s">
        <v>553</v>
      </c>
      <c r="I867" s="40" t="s">
        <v>6853</v>
      </c>
      <c r="J867" s="140">
        <v>3300003006</v>
      </c>
      <c r="K867" s="141">
        <v>5049672</v>
      </c>
      <c r="L867" s="141">
        <v>2103498</v>
      </c>
      <c r="M867" s="141" t="s">
        <v>7093</v>
      </c>
      <c r="N867" s="141" t="s">
        <v>3881</v>
      </c>
      <c r="O867" s="142"/>
      <c r="P867" s="142"/>
      <c r="Q867" s="142"/>
      <c r="R867" s="142"/>
      <c r="S867" s="142"/>
      <c r="T867" s="141" t="s">
        <v>7082</v>
      </c>
      <c r="V867" s="43" t="s">
        <v>549</v>
      </c>
      <c r="AF867" s="42">
        <v>2138666</v>
      </c>
      <c r="AG867" s="42" t="s">
        <v>6675</v>
      </c>
    </row>
    <row r="868" spans="6:33" ht="15.75" customHeight="1">
      <c r="F868" s="40" t="s">
        <v>5531</v>
      </c>
      <c r="G868" s="40" t="s">
        <v>57</v>
      </c>
      <c r="H868" s="40" t="s">
        <v>761</v>
      </c>
      <c r="I868" s="40" t="s">
        <v>6848</v>
      </c>
      <c r="J868" s="138" t="s">
        <v>5532</v>
      </c>
      <c r="K868" s="139">
        <v>3300003625</v>
      </c>
      <c r="L868" s="141">
        <v>5070902</v>
      </c>
      <c r="M868" s="141">
        <v>2183498</v>
      </c>
      <c r="N868" s="141">
        <v>2103522</v>
      </c>
      <c r="O868" s="142"/>
      <c r="P868" s="142"/>
      <c r="Q868" s="142"/>
      <c r="R868" s="142"/>
      <c r="S868" s="142"/>
      <c r="T868" s="139" t="s">
        <v>5533</v>
      </c>
      <c r="V868" s="43" t="s">
        <v>692</v>
      </c>
      <c r="AF868" s="42">
        <v>2138668</v>
      </c>
      <c r="AG868" s="42" t="s">
        <v>6675</v>
      </c>
    </row>
    <row r="869" spans="6:33" ht="15.75" customHeight="1">
      <c r="F869" s="40" t="s">
        <v>6949</v>
      </c>
      <c r="G869" s="40" t="s">
        <v>6950</v>
      </c>
      <c r="H869" s="40" t="s">
        <v>761</v>
      </c>
      <c r="I869" s="40" t="s">
        <v>6848</v>
      </c>
      <c r="J869" s="138">
        <v>2103666</v>
      </c>
      <c r="K869" s="139">
        <v>3300011805</v>
      </c>
      <c r="L869" s="141" t="s">
        <v>6711</v>
      </c>
      <c r="M869" s="141" t="s">
        <v>7203</v>
      </c>
      <c r="N869" s="141"/>
      <c r="O869" s="142"/>
      <c r="P869" s="142"/>
      <c r="Q869" s="142"/>
      <c r="R869" s="142"/>
      <c r="S869" s="142"/>
      <c r="T869" s="139" t="s">
        <v>6688</v>
      </c>
      <c r="V869" s="43" t="s">
        <v>6963</v>
      </c>
      <c r="AF869" s="42">
        <v>2138670</v>
      </c>
      <c r="AG869" s="42" t="s">
        <v>6675</v>
      </c>
    </row>
    <row r="870" spans="6:33" ht="15.75" customHeight="1">
      <c r="F870" s="40" t="s">
        <v>7500</v>
      </c>
      <c r="G870" s="40" t="s">
        <v>8504</v>
      </c>
      <c r="H870" s="40" t="s">
        <v>761</v>
      </c>
      <c r="I870" s="40" t="s">
        <v>6848</v>
      </c>
      <c r="J870" s="140" t="s">
        <v>7552</v>
      </c>
      <c r="K870" s="141">
        <v>2171898</v>
      </c>
      <c r="L870" s="141">
        <v>5097605</v>
      </c>
      <c r="M870" s="141">
        <v>5104336</v>
      </c>
      <c r="N870" s="141">
        <v>2138666</v>
      </c>
      <c r="O870" s="142"/>
      <c r="P870" s="142"/>
      <c r="Q870" s="142"/>
      <c r="R870" s="142"/>
      <c r="S870" s="142"/>
      <c r="T870" s="141" t="s">
        <v>8161</v>
      </c>
      <c r="V870" s="43" t="s">
        <v>7413</v>
      </c>
      <c r="AF870" s="42">
        <v>2138671</v>
      </c>
      <c r="AG870" s="42" t="s">
        <v>6675</v>
      </c>
    </row>
    <row r="871" spans="6:33" ht="15.75" customHeight="1">
      <c r="F871" s="40" t="s">
        <v>982</v>
      </c>
      <c r="G871" s="43" t="s">
        <v>983</v>
      </c>
      <c r="H871" s="43" t="s">
        <v>564</v>
      </c>
      <c r="I871" s="40" t="s">
        <v>6851</v>
      </c>
      <c r="J871" s="140">
        <v>3300012473</v>
      </c>
      <c r="K871" s="141">
        <v>2084682</v>
      </c>
      <c r="L871" s="141" t="s">
        <v>985</v>
      </c>
      <c r="M871" s="141">
        <v>5053724</v>
      </c>
      <c r="N871" s="141" t="s">
        <v>986</v>
      </c>
      <c r="O871" s="142"/>
      <c r="P871" s="142"/>
      <c r="Q871" s="142"/>
      <c r="R871" s="142"/>
      <c r="S871" s="142"/>
      <c r="T871" s="141" t="s">
        <v>987</v>
      </c>
      <c r="V871" s="43" t="s">
        <v>547</v>
      </c>
      <c r="AF871" s="42">
        <v>2138672</v>
      </c>
      <c r="AG871" s="42" t="s">
        <v>6675</v>
      </c>
    </row>
    <row r="872" spans="6:33" ht="15.75" customHeight="1">
      <c r="F872" s="40" t="s">
        <v>3960</v>
      </c>
      <c r="G872" s="43" t="s">
        <v>4516</v>
      </c>
      <c r="H872" s="43" t="s">
        <v>761</v>
      </c>
      <c r="I872" s="40" t="s">
        <v>6848</v>
      </c>
      <c r="J872" s="140">
        <v>2103948</v>
      </c>
      <c r="K872" s="141">
        <v>5049716</v>
      </c>
      <c r="L872" s="141" t="s">
        <v>4519</v>
      </c>
      <c r="M872" s="141">
        <v>3300003606</v>
      </c>
      <c r="N872" s="141" t="s">
        <v>8279</v>
      </c>
      <c r="O872" s="142"/>
      <c r="P872" s="142"/>
      <c r="Q872" s="142"/>
      <c r="R872" s="142"/>
      <c r="S872" s="142"/>
      <c r="T872" s="141" t="s">
        <v>4520</v>
      </c>
      <c r="V872" s="43" t="s">
        <v>599</v>
      </c>
      <c r="AF872" s="42">
        <v>2138685</v>
      </c>
      <c r="AG872" s="42" t="s">
        <v>6672</v>
      </c>
    </row>
    <row r="873" spans="6:33" ht="15.75" customHeight="1">
      <c r="F873" s="40" t="s">
        <v>4567</v>
      </c>
      <c r="G873" s="40" t="s">
        <v>4568</v>
      </c>
      <c r="H873" s="40" t="s">
        <v>761</v>
      </c>
      <c r="I873" s="40" t="s">
        <v>6848</v>
      </c>
      <c r="J873" s="140" t="s">
        <v>4570</v>
      </c>
      <c r="K873" s="141" t="s">
        <v>4571</v>
      </c>
      <c r="L873" s="141" t="s">
        <v>4572</v>
      </c>
      <c r="M873" s="141">
        <v>3300009537</v>
      </c>
      <c r="N873" s="141" t="s">
        <v>4573</v>
      </c>
      <c r="O873" s="142"/>
      <c r="P873" s="142"/>
      <c r="Q873" s="142"/>
      <c r="R873" s="142"/>
      <c r="S873" s="142"/>
      <c r="T873" s="141" t="s">
        <v>4574</v>
      </c>
      <c r="V873" s="43" t="s">
        <v>776</v>
      </c>
      <c r="AF873" s="42">
        <v>2138707</v>
      </c>
      <c r="AG873" s="42" t="s">
        <v>6672</v>
      </c>
    </row>
    <row r="874" spans="6:33" ht="15.75" customHeight="1">
      <c r="F874" s="40" t="s">
        <v>8460</v>
      </c>
      <c r="G874" s="36" t="s">
        <v>8505</v>
      </c>
      <c r="H874" s="36" t="s">
        <v>670</v>
      </c>
      <c r="I874" s="40" t="s">
        <v>6849</v>
      </c>
      <c r="J874" s="138">
        <v>2150991</v>
      </c>
      <c r="K874" s="139">
        <v>5104318</v>
      </c>
      <c r="L874" s="139">
        <v>3400003779</v>
      </c>
      <c r="M874" s="139" t="s">
        <v>8564</v>
      </c>
      <c r="N874" s="141">
        <v>2181718</v>
      </c>
      <c r="O874" s="142"/>
      <c r="P874" s="142"/>
      <c r="Q874" s="142"/>
      <c r="R874" s="142"/>
      <c r="S874" s="142"/>
      <c r="T874" s="139" t="s">
        <v>6449</v>
      </c>
      <c r="V874" s="43" t="s">
        <v>640</v>
      </c>
      <c r="AF874" s="42">
        <v>2141078</v>
      </c>
      <c r="AG874" s="42" t="s">
        <v>6529</v>
      </c>
    </row>
    <row r="875" spans="6:33" ht="15.75" customHeight="1">
      <c r="F875" s="40" t="s">
        <v>7501</v>
      </c>
      <c r="G875" s="36" t="s">
        <v>5242</v>
      </c>
      <c r="H875" s="36" t="s">
        <v>761</v>
      </c>
      <c r="I875" s="40" t="s">
        <v>6848</v>
      </c>
      <c r="J875" s="140" t="s">
        <v>5244</v>
      </c>
      <c r="K875" s="141">
        <v>3300001664</v>
      </c>
      <c r="L875" s="141" t="s">
        <v>5245</v>
      </c>
      <c r="M875" s="141">
        <v>2159930</v>
      </c>
      <c r="N875" s="141" t="s">
        <v>5246</v>
      </c>
      <c r="O875" s="142"/>
      <c r="P875" s="142"/>
      <c r="Q875" s="142"/>
      <c r="R875" s="142"/>
      <c r="S875" s="142"/>
      <c r="T875" s="141" t="s">
        <v>5247</v>
      </c>
      <c r="V875" s="43" t="s">
        <v>758</v>
      </c>
      <c r="AF875" s="42">
        <v>2141079</v>
      </c>
      <c r="AG875" s="42" t="s">
        <v>6529</v>
      </c>
    </row>
    <row r="876" spans="6:33" ht="15.75" customHeight="1">
      <c r="F876" s="40" t="s">
        <v>3802</v>
      </c>
      <c r="G876" s="36" t="s">
        <v>3803</v>
      </c>
      <c r="H876" s="36" t="s">
        <v>553</v>
      </c>
      <c r="I876" s="40" t="s">
        <v>6853</v>
      </c>
      <c r="J876" s="140">
        <v>5040880</v>
      </c>
      <c r="K876" s="141">
        <v>2119288</v>
      </c>
      <c r="L876" s="141" t="s">
        <v>3805</v>
      </c>
      <c r="M876" s="141">
        <v>3300001665</v>
      </c>
      <c r="N876" s="141">
        <v>5040896</v>
      </c>
      <c r="O876" s="142"/>
      <c r="P876" s="142"/>
      <c r="Q876" s="142"/>
      <c r="R876" s="142"/>
      <c r="S876" s="142"/>
      <c r="T876" s="141" t="s">
        <v>3806</v>
      </c>
      <c r="V876" s="43" t="s">
        <v>571</v>
      </c>
      <c r="AF876" s="42">
        <v>2141081</v>
      </c>
      <c r="AG876" s="42" t="s">
        <v>6529</v>
      </c>
    </row>
    <row r="877" spans="6:33" ht="15.75" customHeight="1">
      <c r="F877" s="40" t="s">
        <v>7255</v>
      </c>
      <c r="G877" s="36" t="s">
        <v>7272</v>
      </c>
      <c r="H877" s="36" t="s">
        <v>564</v>
      </c>
      <c r="I877" s="40" t="s">
        <v>6851</v>
      </c>
      <c r="J877" s="140">
        <v>5008632</v>
      </c>
      <c r="K877" s="141">
        <v>2226058</v>
      </c>
      <c r="L877" s="141" t="s">
        <v>7092</v>
      </c>
      <c r="M877" s="141">
        <v>2226100</v>
      </c>
      <c r="N877" s="141">
        <v>2152553</v>
      </c>
      <c r="O877" s="142"/>
      <c r="P877" s="142"/>
      <c r="Q877" s="142"/>
      <c r="R877" s="142"/>
      <c r="S877" s="142"/>
      <c r="T877" s="141" t="s">
        <v>7285</v>
      </c>
      <c r="V877" s="43" t="s">
        <v>7296</v>
      </c>
      <c r="AF877" s="42">
        <v>2141082</v>
      </c>
      <c r="AG877" s="42" t="s">
        <v>6529</v>
      </c>
    </row>
    <row r="878" spans="6:33" ht="15.75" customHeight="1">
      <c r="F878" s="40" t="s">
        <v>2666</v>
      </c>
      <c r="G878" s="36" t="s">
        <v>2667</v>
      </c>
      <c r="H878" s="36" t="s">
        <v>670</v>
      </c>
      <c r="I878" s="40" t="s">
        <v>6849</v>
      </c>
      <c r="J878" s="140" t="s">
        <v>2669</v>
      </c>
      <c r="K878" s="141">
        <v>3300012804</v>
      </c>
      <c r="L878" s="141">
        <v>2083241</v>
      </c>
      <c r="M878" s="141" t="s">
        <v>7209</v>
      </c>
      <c r="N878" s="141"/>
      <c r="O878" s="142"/>
      <c r="P878" s="142"/>
      <c r="Q878" s="142"/>
      <c r="R878" s="142"/>
      <c r="S878" s="142"/>
      <c r="T878" s="141" t="s">
        <v>2671</v>
      </c>
      <c r="V878" s="43" t="s">
        <v>694</v>
      </c>
      <c r="AF878" s="42">
        <v>2141084</v>
      </c>
      <c r="AG878" s="42" t="s">
        <v>6529</v>
      </c>
    </row>
    <row r="879" spans="6:33" ht="15.75" customHeight="1">
      <c r="F879" s="40" t="s">
        <v>4042</v>
      </c>
      <c r="G879" s="36" t="s">
        <v>4043</v>
      </c>
      <c r="H879" s="36" t="s">
        <v>553</v>
      </c>
      <c r="I879" s="40" t="s">
        <v>6853</v>
      </c>
      <c r="J879" s="140" t="s">
        <v>4044</v>
      </c>
      <c r="K879" s="141">
        <v>3300009520</v>
      </c>
      <c r="L879" s="141">
        <v>5049693</v>
      </c>
      <c r="M879" s="141">
        <v>2172014</v>
      </c>
      <c r="N879" s="141" t="s">
        <v>7553</v>
      </c>
      <c r="O879" s="142"/>
      <c r="P879" s="142"/>
      <c r="Q879" s="142"/>
      <c r="R879" s="142"/>
      <c r="S879" s="142"/>
      <c r="T879" s="141" t="s">
        <v>4045</v>
      </c>
      <c r="V879" s="43" t="s">
        <v>543</v>
      </c>
      <c r="AF879" s="42">
        <v>2141086</v>
      </c>
      <c r="AG879" s="42" t="s">
        <v>6529</v>
      </c>
    </row>
    <row r="880" spans="6:33" ht="15.75" customHeight="1">
      <c r="F880" s="40" t="s">
        <v>3734</v>
      </c>
      <c r="G880" s="36" t="s">
        <v>3735</v>
      </c>
      <c r="H880" s="36" t="s">
        <v>8513</v>
      </c>
      <c r="I880" s="40" t="s">
        <v>6853</v>
      </c>
      <c r="J880" s="140">
        <v>2183584</v>
      </c>
      <c r="K880" s="141">
        <v>5059382</v>
      </c>
      <c r="L880" s="141">
        <v>3300002946</v>
      </c>
      <c r="M880" s="141">
        <v>2183560</v>
      </c>
      <c r="N880" s="141"/>
      <c r="O880" s="142"/>
      <c r="P880" s="142"/>
      <c r="Q880" s="142"/>
      <c r="R880" s="142"/>
      <c r="S880" s="142"/>
      <c r="T880" s="141" t="s">
        <v>6825</v>
      </c>
      <c r="V880" s="43" t="s">
        <v>657</v>
      </c>
      <c r="AF880" s="42">
        <v>2141087</v>
      </c>
      <c r="AG880" s="42" t="s">
        <v>6529</v>
      </c>
    </row>
    <row r="881" spans="6:33" ht="15.75" customHeight="1">
      <c r="F881" s="40" t="s">
        <v>8461</v>
      </c>
      <c r="G881" s="36" t="s">
        <v>8506</v>
      </c>
      <c r="H881" s="36" t="s">
        <v>564</v>
      </c>
      <c r="I881" s="40" t="s">
        <v>6851</v>
      </c>
      <c r="J881" s="140">
        <v>2096077</v>
      </c>
      <c r="K881" s="141">
        <v>5047874</v>
      </c>
      <c r="L881" s="141">
        <v>3300009563</v>
      </c>
      <c r="M881" s="141" t="s">
        <v>5305</v>
      </c>
      <c r="N881" s="141"/>
      <c r="O881" s="142"/>
      <c r="P881" s="142"/>
      <c r="Q881" s="142"/>
      <c r="R881" s="142"/>
      <c r="S881" s="142"/>
      <c r="T881" s="141" t="s">
        <v>4596</v>
      </c>
      <c r="V881" s="43" t="s">
        <v>721</v>
      </c>
      <c r="AF881" s="42">
        <v>2141088</v>
      </c>
      <c r="AG881" s="42" t="s">
        <v>6529</v>
      </c>
    </row>
    <row r="882" spans="6:33" ht="15.75" customHeight="1">
      <c r="F882" s="40" t="s">
        <v>4342</v>
      </c>
      <c r="G882" s="36" t="s">
        <v>54</v>
      </c>
      <c r="H882" s="36" t="s">
        <v>553</v>
      </c>
      <c r="I882" s="40" t="s">
        <v>6853</v>
      </c>
      <c r="J882" s="140">
        <v>5059313</v>
      </c>
      <c r="K882" s="141">
        <v>3300009796</v>
      </c>
      <c r="L882" s="141" t="s">
        <v>4343</v>
      </c>
      <c r="M882" s="141">
        <v>2183489</v>
      </c>
      <c r="N882" s="141">
        <v>5070893</v>
      </c>
      <c r="O882" s="142"/>
      <c r="P882" s="142"/>
      <c r="Q882" s="142"/>
      <c r="R882" s="142"/>
      <c r="S882" s="142"/>
      <c r="T882" s="141" t="s">
        <v>4344</v>
      </c>
      <c r="V882" s="43" t="s">
        <v>765</v>
      </c>
      <c r="AF882" s="42">
        <v>2141091</v>
      </c>
      <c r="AG882" s="42" t="s">
        <v>6529</v>
      </c>
    </row>
    <row r="883" spans="6:33" ht="15.75" customHeight="1">
      <c r="F883" s="40" t="s">
        <v>3695</v>
      </c>
      <c r="G883" s="36" t="s">
        <v>3696</v>
      </c>
      <c r="H883" s="36" t="s">
        <v>8513</v>
      </c>
      <c r="I883" s="40" t="s">
        <v>6853</v>
      </c>
      <c r="J883" s="140"/>
      <c r="K883" s="141"/>
      <c r="L883" s="141" t="s">
        <v>3697</v>
      </c>
      <c r="M883" s="141" t="s">
        <v>3698</v>
      </c>
      <c r="N883" s="141">
        <v>3300002998</v>
      </c>
      <c r="O883" s="142"/>
      <c r="P883" s="142"/>
      <c r="Q883" s="142"/>
      <c r="R883" s="142"/>
      <c r="S883" s="142"/>
      <c r="T883" s="141" t="s">
        <v>3699</v>
      </c>
      <c r="V883" s="43" t="s">
        <v>563</v>
      </c>
      <c r="AF883" s="42">
        <v>2141093</v>
      </c>
      <c r="AG883" s="42" t="s">
        <v>6529</v>
      </c>
    </row>
    <row r="884" spans="6:33" ht="15.75" customHeight="1">
      <c r="F884" s="40" t="s">
        <v>7764</v>
      </c>
      <c r="G884" s="36" t="s">
        <v>7923</v>
      </c>
      <c r="H884" s="36" t="s">
        <v>761</v>
      </c>
      <c r="I884" s="40" t="s">
        <v>6848</v>
      </c>
      <c r="J884" s="140" t="s">
        <v>3612</v>
      </c>
      <c r="K884" s="141" t="s">
        <v>5665</v>
      </c>
      <c r="L884" s="141">
        <v>2116241</v>
      </c>
      <c r="M884" s="141"/>
      <c r="N884" s="141"/>
      <c r="O884" s="142"/>
      <c r="P884" s="142"/>
      <c r="Q884" s="142"/>
      <c r="R884" s="142"/>
      <c r="S884" s="142"/>
      <c r="T884" s="141" t="s">
        <v>7606</v>
      </c>
      <c r="V884" s="43" t="s">
        <v>583</v>
      </c>
      <c r="AF884" s="42">
        <v>2141096</v>
      </c>
      <c r="AG884" s="42" t="s">
        <v>6529</v>
      </c>
    </row>
    <row r="885" spans="6:33" ht="15.75" customHeight="1">
      <c r="F885" s="40" t="s">
        <v>5827</v>
      </c>
      <c r="G885" s="36" t="s">
        <v>5828</v>
      </c>
      <c r="H885" s="36" t="s">
        <v>761</v>
      </c>
      <c r="I885" s="40" t="s">
        <v>6848</v>
      </c>
      <c r="J885" s="140">
        <v>2183482</v>
      </c>
      <c r="K885" s="141" t="s">
        <v>5829</v>
      </c>
      <c r="L885" s="141">
        <v>3300010899</v>
      </c>
      <c r="M885" s="141">
        <v>2183546</v>
      </c>
      <c r="N885" s="141"/>
      <c r="O885" s="142"/>
      <c r="P885" s="142"/>
      <c r="Q885" s="142"/>
      <c r="R885" s="142"/>
      <c r="S885" s="142"/>
      <c r="T885" s="141" t="s">
        <v>6774</v>
      </c>
      <c r="V885" s="43" t="s">
        <v>719</v>
      </c>
      <c r="AF885" s="42">
        <v>2141097</v>
      </c>
      <c r="AG885" s="42" t="s">
        <v>6529</v>
      </c>
    </row>
    <row r="886" spans="6:33" ht="15.75" customHeight="1">
      <c r="F886" s="40" t="s">
        <v>7765</v>
      </c>
      <c r="G886" s="36" t="s">
        <v>7924</v>
      </c>
      <c r="H886" s="36" t="s">
        <v>8208</v>
      </c>
      <c r="I886" s="40" t="s">
        <v>6850</v>
      </c>
      <c r="J886" s="138">
        <v>2096095</v>
      </c>
      <c r="K886" s="139"/>
      <c r="L886" s="139" t="s">
        <v>8100</v>
      </c>
      <c r="M886" s="141"/>
      <c r="N886" s="141"/>
      <c r="O886" s="142"/>
      <c r="P886" s="142"/>
      <c r="Q886" s="142"/>
      <c r="R886" s="142"/>
      <c r="S886" s="142"/>
      <c r="T886" s="139">
        <v>11300017</v>
      </c>
      <c r="V886" s="43" t="s">
        <v>774</v>
      </c>
      <c r="AF886" s="42">
        <v>2141098</v>
      </c>
      <c r="AG886" s="42" t="s">
        <v>6529</v>
      </c>
    </row>
    <row r="887" spans="6:33" ht="15.75" customHeight="1">
      <c r="F887" s="40" t="s">
        <v>4768</v>
      </c>
      <c r="G887" s="36" t="s">
        <v>4769</v>
      </c>
      <c r="H887" s="36" t="s">
        <v>761</v>
      </c>
      <c r="I887" s="40" t="s">
        <v>6848</v>
      </c>
      <c r="J887" s="140">
        <v>2119181</v>
      </c>
      <c r="K887" s="141">
        <v>5031900</v>
      </c>
      <c r="L887" s="141">
        <v>3300002950</v>
      </c>
      <c r="M887" s="141" t="s">
        <v>5210</v>
      </c>
      <c r="N887" s="141"/>
      <c r="O887" s="142"/>
      <c r="P887" s="142"/>
      <c r="Q887" s="142"/>
      <c r="R887" s="142"/>
      <c r="S887" s="142"/>
      <c r="T887" s="141" t="s">
        <v>4772</v>
      </c>
      <c r="V887" s="43" t="s">
        <v>4771</v>
      </c>
      <c r="AF887" s="42">
        <v>2141099</v>
      </c>
      <c r="AG887" s="42" t="s">
        <v>6529</v>
      </c>
    </row>
    <row r="888" spans="6:33" ht="15.75" customHeight="1">
      <c r="F888" s="40" t="s">
        <v>7390</v>
      </c>
      <c r="G888" s="36" t="s">
        <v>7403</v>
      </c>
      <c r="H888" s="36" t="s">
        <v>761</v>
      </c>
      <c r="I888" s="40" t="s">
        <v>6848</v>
      </c>
      <c r="J888" s="140">
        <v>5042652</v>
      </c>
      <c r="K888" s="141">
        <v>2117431</v>
      </c>
      <c r="L888" s="141">
        <v>2228733</v>
      </c>
      <c r="M888" s="141"/>
      <c r="N888" s="141"/>
      <c r="O888" s="142"/>
      <c r="P888" s="142"/>
      <c r="Q888" s="142"/>
      <c r="R888" s="142"/>
      <c r="S888" s="142"/>
      <c r="T888" s="141" t="s">
        <v>6297</v>
      </c>
      <c r="V888" s="43" t="s">
        <v>7411</v>
      </c>
      <c r="AF888" s="42">
        <v>2141101</v>
      </c>
      <c r="AG888" s="42" t="s">
        <v>6529</v>
      </c>
    </row>
    <row r="889" spans="6:33" ht="15.75" customHeight="1">
      <c r="F889" s="40" t="s">
        <v>5287</v>
      </c>
      <c r="G889" s="40" t="s">
        <v>5288</v>
      </c>
      <c r="H889" s="40" t="s">
        <v>761</v>
      </c>
      <c r="I889" s="40" t="s">
        <v>6848</v>
      </c>
      <c r="J889" s="140">
        <v>2115640</v>
      </c>
      <c r="K889" s="141" t="s">
        <v>5290</v>
      </c>
      <c r="L889" s="141">
        <v>3300011790</v>
      </c>
      <c r="M889" s="141">
        <v>5059348</v>
      </c>
      <c r="N889" s="141"/>
      <c r="O889" s="142"/>
      <c r="P889" s="142"/>
      <c r="Q889" s="142"/>
      <c r="R889" s="142"/>
      <c r="S889" s="142"/>
      <c r="T889" s="141" t="s">
        <v>5291</v>
      </c>
      <c r="V889" s="43" t="s">
        <v>5279</v>
      </c>
      <c r="AF889" s="42">
        <v>2141102</v>
      </c>
      <c r="AG889" s="42" t="s">
        <v>6529</v>
      </c>
    </row>
    <row r="890" spans="6:33" ht="15.75" customHeight="1">
      <c r="F890" s="40" t="s">
        <v>1318</v>
      </c>
      <c r="G890" s="40" t="s">
        <v>40</v>
      </c>
      <c r="H890" s="40" t="s">
        <v>564</v>
      </c>
      <c r="I890" s="40" t="s">
        <v>6851</v>
      </c>
      <c r="J890" s="140">
        <v>3300010099</v>
      </c>
      <c r="K890" s="141">
        <v>2168130</v>
      </c>
      <c r="L890" s="141" t="s">
        <v>1320</v>
      </c>
      <c r="M890" s="141">
        <v>5048925</v>
      </c>
      <c r="N890" s="141" t="s">
        <v>1321</v>
      </c>
      <c r="O890" s="142"/>
      <c r="P890" s="142"/>
      <c r="Q890" s="142"/>
      <c r="R890" s="142"/>
      <c r="S890" s="142"/>
      <c r="T890" s="141" t="s">
        <v>1322</v>
      </c>
      <c r="V890" s="43" t="s">
        <v>561</v>
      </c>
      <c r="AF890" s="42">
        <v>2141103</v>
      </c>
      <c r="AG890" s="42" t="s">
        <v>6529</v>
      </c>
    </row>
    <row r="891" spans="6:33" ht="15.75" customHeight="1">
      <c r="F891" s="40" t="s">
        <v>4788</v>
      </c>
      <c r="G891" s="40" t="s">
        <v>4789</v>
      </c>
      <c r="H891" s="40" t="s">
        <v>761</v>
      </c>
      <c r="I891" s="40" t="s">
        <v>6848</v>
      </c>
      <c r="J891" s="140">
        <v>5059317</v>
      </c>
      <c r="K891" s="141" t="s">
        <v>4790</v>
      </c>
      <c r="L891" s="141">
        <v>3300009822</v>
      </c>
      <c r="M891" s="141" t="s">
        <v>7327</v>
      </c>
      <c r="N891" s="141">
        <v>2116306</v>
      </c>
      <c r="O891" s="142"/>
      <c r="P891" s="142"/>
      <c r="Q891" s="142"/>
      <c r="R891" s="142"/>
      <c r="S891" s="142"/>
      <c r="T891" s="141" t="s">
        <v>4791</v>
      </c>
      <c r="V891" s="43" t="s">
        <v>535</v>
      </c>
      <c r="AF891" s="42">
        <v>2141105</v>
      </c>
      <c r="AG891" s="42" t="s">
        <v>6529</v>
      </c>
    </row>
    <row r="892" spans="6:33" ht="15.75" customHeight="1">
      <c r="F892" s="40" t="s">
        <v>8462</v>
      </c>
      <c r="G892" s="40" t="s">
        <v>7926</v>
      </c>
      <c r="H892" s="40" t="s">
        <v>8208</v>
      </c>
      <c r="I892" s="40" t="s">
        <v>6850</v>
      </c>
      <c r="J892" s="140">
        <v>3300006838</v>
      </c>
      <c r="K892" s="141">
        <v>5051903</v>
      </c>
      <c r="L892" s="141"/>
      <c r="M892" s="141"/>
      <c r="N892" s="141"/>
      <c r="O892" s="142"/>
      <c r="P892" s="142"/>
      <c r="Q892" s="142"/>
      <c r="R892" s="142"/>
      <c r="S892" s="142"/>
      <c r="T892" s="141">
        <v>121300181</v>
      </c>
      <c r="V892" s="43" t="s">
        <v>6365</v>
      </c>
      <c r="AF892" s="42">
        <v>2141106</v>
      </c>
      <c r="AG892" s="42" t="s">
        <v>6529</v>
      </c>
    </row>
    <row r="893" spans="6:33" ht="15.75" customHeight="1">
      <c r="F893" s="40" t="s">
        <v>7766</v>
      </c>
      <c r="G893" s="40" t="s">
        <v>7925</v>
      </c>
      <c r="H893" s="40" t="s">
        <v>8208</v>
      </c>
      <c r="I893" s="40" t="s">
        <v>6850</v>
      </c>
      <c r="J893" s="140">
        <v>2096082</v>
      </c>
      <c r="K893" s="141">
        <v>3300011192</v>
      </c>
      <c r="L893" s="141" t="s">
        <v>8101</v>
      </c>
      <c r="M893" s="141"/>
      <c r="N893" s="141"/>
      <c r="O893" s="142"/>
      <c r="P893" s="142"/>
      <c r="Q893" s="142"/>
      <c r="R893" s="142"/>
      <c r="S893" s="142"/>
      <c r="T893" s="141">
        <v>121200062</v>
      </c>
      <c r="V893" s="43" t="s">
        <v>679</v>
      </c>
      <c r="AF893" s="42">
        <v>2141270</v>
      </c>
      <c r="AG893" s="42" t="s">
        <v>6529</v>
      </c>
    </row>
    <row r="894" spans="6:33" ht="15.75" customHeight="1">
      <c r="F894" s="40" t="s">
        <v>1522</v>
      </c>
      <c r="G894" s="40" t="s">
        <v>1523</v>
      </c>
      <c r="H894" s="40" t="s">
        <v>564</v>
      </c>
      <c r="I894" s="40" t="s">
        <v>6851</v>
      </c>
      <c r="J894" s="140">
        <v>2114737</v>
      </c>
      <c r="K894" s="141">
        <v>5059329</v>
      </c>
      <c r="L894" s="141" t="s">
        <v>1525</v>
      </c>
      <c r="M894" s="141">
        <v>3300002985</v>
      </c>
      <c r="N894" s="141">
        <v>2170083</v>
      </c>
      <c r="O894" s="142"/>
      <c r="P894" s="142"/>
      <c r="Q894" s="142"/>
      <c r="R894" s="142"/>
      <c r="S894" s="142"/>
      <c r="T894" s="141" t="s">
        <v>1526</v>
      </c>
      <c r="V894" s="43" t="s">
        <v>794</v>
      </c>
      <c r="AF894" s="42">
        <v>2141271</v>
      </c>
      <c r="AG894" s="42" t="s">
        <v>6529</v>
      </c>
    </row>
    <row r="895" spans="6:33" ht="15.75" customHeight="1">
      <c r="F895" s="40" t="s">
        <v>1945</v>
      </c>
      <c r="G895" s="36" t="s">
        <v>1946</v>
      </c>
      <c r="H895" s="36" t="s">
        <v>564</v>
      </c>
      <c r="I895" s="40" t="s">
        <v>6851</v>
      </c>
      <c r="J895" s="140">
        <v>2117103</v>
      </c>
      <c r="K895" s="141">
        <v>5031842</v>
      </c>
      <c r="L895" s="141">
        <v>3300001673</v>
      </c>
      <c r="M895" s="141"/>
      <c r="N895" s="141"/>
      <c r="O895" s="142"/>
      <c r="P895" s="142"/>
      <c r="Q895" s="142"/>
      <c r="R895" s="142"/>
      <c r="S895" s="142"/>
      <c r="T895" s="141" t="s">
        <v>1948</v>
      </c>
      <c r="V895" s="43" t="s">
        <v>601</v>
      </c>
      <c r="AF895" s="42">
        <v>2141272</v>
      </c>
      <c r="AG895" s="42" t="s">
        <v>6529</v>
      </c>
    </row>
    <row r="896" spans="6:33" ht="15.75" customHeight="1">
      <c r="F896" s="40" t="s">
        <v>3587</v>
      </c>
      <c r="G896" s="36" t="s">
        <v>3588</v>
      </c>
      <c r="H896" s="36" t="s">
        <v>8513</v>
      </c>
      <c r="I896" s="40" t="s">
        <v>6853</v>
      </c>
      <c r="J896" s="140">
        <v>3300001262</v>
      </c>
      <c r="K896" s="141">
        <v>5045685</v>
      </c>
      <c r="L896" s="141">
        <v>3300001267</v>
      </c>
      <c r="M896" s="141" t="s">
        <v>3589</v>
      </c>
      <c r="N896" s="141"/>
      <c r="O896" s="142"/>
      <c r="P896" s="142"/>
      <c r="Q896" s="142"/>
      <c r="R896" s="142"/>
      <c r="S896" s="142"/>
      <c r="T896" s="141" t="s">
        <v>3590</v>
      </c>
      <c r="V896" s="43" t="s">
        <v>572</v>
      </c>
      <c r="AF896" s="42">
        <v>2141274</v>
      </c>
      <c r="AG896" s="42" t="s">
        <v>6529</v>
      </c>
    </row>
    <row r="897" spans="6:33" ht="15.75" customHeight="1">
      <c r="F897" s="40" t="s">
        <v>7767</v>
      </c>
      <c r="G897" s="36" t="s">
        <v>7767</v>
      </c>
      <c r="H897" s="36" t="s">
        <v>8208</v>
      </c>
      <c r="I897" s="40" t="s">
        <v>6850</v>
      </c>
      <c r="J897" s="140">
        <v>2151402</v>
      </c>
      <c r="K897" s="141">
        <v>2096116</v>
      </c>
      <c r="L897" s="141">
        <v>5087350</v>
      </c>
      <c r="M897" s="141">
        <v>2226072</v>
      </c>
      <c r="N897" s="141" t="s">
        <v>8102</v>
      </c>
      <c r="O897" s="142"/>
      <c r="P897" s="142"/>
      <c r="Q897" s="142"/>
      <c r="R897" s="142"/>
      <c r="S897" s="142"/>
      <c r="T897" s="141">
        <v>111400004</v>
      </c>
      <c r="V897" s="43" t="s">
        <v>556</v>
      </c>
      <c r="AF897" s="42">
        <v>2141275</v>
      </c>
      <c r="AG897" s="42" t="s">
        <v>6529</v>
      </c>
    </row>
    <row r="898" spans="6:33" ht="15.75" customHeight="1">
      <c r="F898" s="40" t="s">
        <v>6120</v>
      </c>
      <c r="G898" s="36" t="s">
        <v>6121</v>
      </c>
      <c r="H898" s="36" t="s">
        <v>8208</v>
      </c>
      <c r="I898" s="40" t="s">
        <v>6850</v>
      </c>
      <c r="J898" s="140" t="s">
        <v>6122</v>
      </c>
      <c r="K898" s="141">
        <v>5001449</v>
      </c>
      <c r="L898" s="141">
        <v>2114748</v>
      </c>
      <c r="M898" s="141">
        <v>5059340</v>
      </c>
      <c r="N898" s="141">
        <v>3300005159</v>
      </c>
      <c r="O898" s="142"/>
      <c r="P898" s="142"/>
      <c r="Q898" s="142"/>
      <c r="R898" s="142"/>
      <c r="S898" s="142"/>
      <c r="T898" s="141" t="s">
        <v>6123</v>
      </c>
      <c r="V898" s="43" t="s">
        <v>532</v>
      </c>
      <c r="AF898" s="42">
        <v>2141276</v>
      </c>
      <c r="AG898" s="42" t="s">
        <v>6529</v>
      </c>
    </row>
    <row r="899" spans="6:33" ht="15.75" customHeight="1">
      <c r="F899" s="40" t="s">
        <v>4060</v>
      </c>
      <c r="G899" s="36" t="s">
        <v>4061</v>
      </c>
      <c r="H899" s="36" t="s">
        <v>553</v>
      </c>
      <c r="I899" s="40" t="s">
        <v>6853</v>
      </c>
      <c r="J899" s="140">
        <v>5042664</v>
      </c>
      <c r="K899" s="141" t="s">
        <v>4063</v>
      </c>
      <c r="L899" s="141">
        <v>2115646</v>
      </c>
      <c r="M899" s="141">
        <v>5042656</v>
      </c>
      <c r="N899" s="141"/>
      <c r="O899" s="142"/>
      <c r="P899" s="142"/>
      <c r="Q899" s="142"/>
      <c r="R899" s="142"/>
      <c r="S899" s="142"/>
      <c r="T899" s="141" t="s">
        <v>4064</v>
      </c>
      <c r="V899" s="43" t="s">
        <v>644</v>
      </c>
      <c r="AF899" s="42">
        <v>2141277</v>
      </c>
      <c r="AG899" s="42" t="s">
        <v>6529</v>
      </c>
    </row>
    <row r="900" spans="6:33" ht="15.75" customHeight="1">
      <c r="F900" s="40" t="s">
        <v>3885</v>
      </c>
      <c r="G900" s="36" t="s">
        <v>3886</v>
      </c>
      <c r="H900" s="36" t="s">
        <v>553</v>
      </c>
      <c r="I900" s="40" t="s">
        <v>6853</v>
      </c>
      <c r="J900" s="140" t="s">
        <v>1728</v>
      </c>
      <c r="K900" s="141">
        <v>3300004125</v>
      </c>
      <c r="L900" s="141">
        <v>2103476</v>
      </c>
      <c r="M900" s="141">
        <v>3300004144</v>
      </c>
      <c r="N900" s="141" t="s">
        <v>6839</v>
      </c>
      <c r="O900" s="142"/>
      <c r="P900" s="142"/>
      <c r="Q900" s="142"/>
      <c r="R900" s="142"/>
      <c r="S900" s="142"/>
      <c r="T900" s="141" t="s">
        <v>3889</v>
      </c>
      <c r="V900" s="43" t="s">
        <v>549</v>
      </c>
      <c r="AF900" s="42">
        <v>2141279</v>
      </c>
      <c r="AG900" s="42" t="s">
        <v>6529</v>
      </c>
    </row>
    <row r="901" spans="6:33" ht="15.75" customHeight="1">
      <c r="F901" s="40" t="s">
        <v>3455</v>
      </c>
      <c r="G901" s="36" t="s">
        <v>3456</v>
      </c>
      <c r="H901" s="36" t="s">
        <v>6841</v>
      </c>
      <c r="I901" s="40" t="s">
        <v>6852</v>
      </c>
      <c r="J901" s="138" t="s">
        <v>3457</v>
      </c>
      <c r="K901" s="139">
        <v>2171897</v>
      </c>
      <c r="L901" s="141">
        <v>3300012510</v>
      </c>
      <c r="M901" s="139" t="s">
        <v>7631</v>
      </c>
      <c r="N901" s="139">
        <v>2183467</v>
      </c>
      <c r="O901" s="142"/>
      <c r="P901" s="142"/>
      <c r="Q901" s="142"/>
      <c r="R901" s="142"/>
      <c r="S901" s="142"/>
      <c r="T901" s="139" t="s">
        <v>3458</v>
      </c>
      <c r="V901" s="43" t="s">
        <v>752</v>
      </c>
      <c r="AF901" s="42">
        <v>2141282</v>
      </c>
      <c r="AG901" s="42" t="s">
        <v>6529</v>
      </c>
    </row>
    <row r="902" spans="6:33" ht="15.75" customHeight="1">
      <c r="F902" s="40" t="s">
        <v>8463</v>
      </c>
      <c r="G902" s="40" t="s">
        <v>8507</v>
      </c>
      <c r="H902" s="40" t="s">
        <v>6841</v>
      </c>
      <c r="I902" s="40" t="s">
        <v>6852</v>
      </c>
      <c r="J902" s="140">
        <v>2141101</v>
      </c>
      <c r="K902" s="141">
        <v>5045654</v>
      </c>
      <c r="L902" s="141">
        <v>2191159</v>
      </c>
      <c r="M902" s="141" t="s">
        <v>8565</v>
      </c>
      <c r="N902" s="141">
        <v>2235681</v>
      </c>
      <c r="O902" s="142"/>
      <c r="P902" s="142"/>
      <c r="Q902" s="142"/>
      <c r="R902" s="142"/>
      <c r="S902" s="142"/>
      <c r="T902" s="141" t="s">
        <v>8599</v>
      </c>
      <c r="V902" s="43" t="s">
        <v>538</v>
      </c>
      <c r="AF902" s="42">
        <v>2141284</v>
      </c>
      <c r="AG902" s="42" t="s">
        <v>6529</v>
      </c>
    </row>
    <row r="903" spans="6:33" ht="15.75" customHeight="1">
      <c r="F903" s="40" t="s">
        <v>3342</v>
      </c>
      <c r="G903" s="40" t="s">
        <v>3342</v>
      </c>
      <c r="H903" s="40" t="s">
        <v>6841</v>
      </c>
      <c r="I903" s="40" t="s">
        <v>6852</v>
      </c>
      <c r="J903" s="140" t="s">
        <v>3344</v>
      </c>
      <c r="K903" s="141">
        <v>3300004141</v>
      </c>
      <c r="L903" s="141">
        <v>2183530</v>
      </c>
      <c r="M903" s="141"/>
      <c r="N903" s="141"/>
      <c r="O903" s="142"/>
      <c r="P903" s="142"/>
      <c r="Q903" s="142"/>
      <c r="R903" s="142"/>
      <c r="S903" s="142"/>
      <c r="T903" s="141" t="s">
        <v>3345</v>
      </c>
      <c r="V903" s="43" t="s">
        <v>598</v>
      </c>
      <c r="AF903" s="42">
        <v>2141285</v>
      </c>
      <c r="AG903" s="42" t="s">
        <v>6529</v>
      </c>
    </row>
    <row r="904" spans="6:33" ht="15.75" customHeight="1">
      <c r="F904" s="40" t="s">
        <v>3078</v>
      </c>
      <c r="G904" s="40" t="s">
        <v>3001</v>
      </c>
      <c r="H904" s="40" t="s">
        <v>595</v>
      </c>
      <c r="I904" s="40" t="s">
        <v>6847</v>
      </c>
      <c r="J904" s="140">
        <v>5031883</v>
      </c>
      <c r="K904" s="141" t="s">
        <v>3080</v>
      </c>
      <c r="L904" s="141">
        <v>2226101</v>
      </c>
      <c r="M904" s="141">
        <v>3300002913</v>
      </c>
      <c r="N904" s="141">
        <v>2119207</v>
      </c>
      <c r="O904" s="142"/>
      <c r="P904" s="142"/>
      <c r="Q904" s="142"/>
      <c r="R904" s="142"/>
      <c r="S904" s="142"/>
      <c r="T904" s="141" t="s">
        <v>7076</v>
      </c>
      <c r="V904" s="43" t="s">
        <v>595</v>
      </c>
      <c r="AF904" s="42">
        <v>2141286</v>
      </c>
      <c r="AG904" s="42" t="s">
        <v>6529</v>
      </c>
    </row>
    <row r="905" spans="6:33" ht="15.75" customHeight="1">
      <c r="F905" s="40" t="s">
        <v>7256</v>
      </c>
      <c r="G905" s="40" t="s">
        <v>7273</v>
      </c>
      <c r="H905" s="40" t="s">
        <v>761</v>
      </c>
      <c r="I905" s="40" t="s">
        <v>6848</v>
      </c>
      <c r="J905" s="140">
        <v>2103532</v>
      </c>
      <c r="K905" s="141" t="s">
        <v>2670</v>
      </c>
      <c r="L905" s="141"/>
      <c r="M905" s="141">
        <v>41783</v>
      </c>
      <c r="N905" s="141">
        <v>2115672</v>
      </c>
      <c r="O905" s="142"/>
      <c r="P905" s="142"/>
      <c r="Q905" s="142"/>
      <c r="R905" s="142"/>
      <c r="S905" s="142"/>
      <c r="T905" s="141" t="s">
        <v>6584</v>
      </c>
      <c r="V905" s="43" t="s">
        <v>599</v>
      </c>
      <c r="AF905" s="42">
        <v>2141287</v>
      </c>
      <c r="AG905" s="42" t="s">
        <v>6529</v>
      </c>
    </row>
    <row r="906" spans="6:33" ht="15.75" customHeight="1">
      <c r="F906" s="40" t="s">
        <v>6125</v>
      </c>
      <c r="G906" s="40" t="s">
        <v>6126</v>
      </c>
      <c r="H906" s="40" t="s">
        <v>8208</v>
      </c>
      <c r="I906" s="40" t="s">
        <v>6850</v>
      </c>
      <c r="J906" s="140">
        <v>3300009743</v>
      </c>
      <c r="K906" s="141">
        <v>5050446</v>
      </c>
      <c r="L906" s="141"/>
      <c r="M906" s="141">
        <v>2177170</v>
      </c>
      <c r="N906" s="141"/>
      <c r="O906" s="142"/>
      <c r="P906" s="142"/>
      <c r="Q906" s="142"/>
      <c r="R906" s="142"/>
      <c r="S906" s="142"/>
      <c r="T906" s="141" t="s">
        <v>6814</v>
      </c>
      <c r="V906" s="43" t="s">
        <v>532</v>
      </c>
      <c r="AF906" s="42">
        <v>2141288</v>
      </c>
      <c r="AG906" s="42" t="s">
        <v>6529</v>
      </c>
    </row>
    <row r="907" spans="6:33" ht="15.75" customHeight="1">
      <c r="F907" s="40" t="s">
        <v>6307</v>
      </c>
      <c r="G907" s="40" t="s">
        <v>6308</v>
      </c>
      <c r="H907" s="40" t="s">
        <v>8208</v>
      </c>
      <c r="I907" s="40" t="s">
        <v>6850</v>
      </c>
      <c r="J907" s="140" t="s">
        <v>6310</v>
      </c>
      <c r="K907" s="141">
        <v>2171922</v>
      </c>
      <c r="L907" s="141">
        <v>5059323</v>
      </c>
      <c r="M907" s="141"/>
      <c r="N907" s="141"/>
      <c r="O907" s="142"/>
      <c r="P907" s="142"/>
      <c r="Q907" s="142"/>
      <c r="R907" s="142"/>
      <c r="S907" s="142"/>
      <c r="T907" s="141" t="s">
        <v>6311</v>
      </c>
      <c r="V907" s="43" t="s">
        <v>760</v>
      </c>
      <c r="AF907" s="42">
        <v>2141289</v>
      </c>
      <c r="AG907" s="42" t="s">
        <v>6529</v>
      </c>
    </row>
    <row r="908" spans="6:33" ht="15.75" customHeight="1">
      <c r="F908" s="40" t="s">
        <v>4468</v>
      </c>
      <c r="G908" s="36" t="s">
        <v>4469</v>
      </c>
      <c r="H908" s="36" t="s">
        <v>761</v>
      </c>
      <c r="I908" s="40" t="s">
        <v>6848</v>
      </c>
      <c r="J908" s="140">
        <v>2103653</v>
      </c>
      <c r="K908" s="141" t="s">
        <v>4470</v>
      </c>
      <c r="L908" s="141">
        <v>5036919</v>
      </c>
      <c r="M908" s="141"/>
      <c r="N908" s="141"/>
      <c r="O908" s="142"/>
      <c r="P908" s="142"/>
      <c r="Q908" s="142"/>
      <c r="R908" s="142"/>
      <c r="S908" s="142"/>
      <c r="T908" s="141" t="s">
        <v>4471</v>
      </c>
      <c r="V908" s="43" t="s">
        <v>655</v>
      </c>
      <c r="AF908" s="42">
        <v>2143296</v>
      </c>
      <c r="AG908" s="42" t="s">
        <v>6529</v>
      </c>
    </row>
    <row r="909" spans="6:33" ht="15.75" customHeight="1">
      <c r="F909" s="40" t="s">
        <v>7768</v>
      </c>
      <c r="G909" s="36" t="s">
        <v>7927</v>
      </c>
      <c r="H909" s="36" t="s">
        <v>8208</v>
      </c>
      <c r="I909" s="40" t="s">
        <v>6850</v>
      </c>
      <c r="J909" s="140">
        <v>2119239</v>
      </c>
      <c r="K909" s="141">
        <v>5045642</v>
      </c>
      <c r="L909" s="141">
        <v>3300002203</v>
      </c>
      <c r="M909" s="141" t="s">
        <v>8566</v>
      </c>
      <c r="N909" s="141"/>
      <c r="O909" s="142"/>
      <c r="P909" s="142"/>
      <c r="Q909" s="142"/>
      <c r="R909" s="142"/>
      <c r="S909" s="142"/>
      <c r="T909" s="141">
        <v>91300094</v>
      </c>
      <c r="V909" s="43" t="s">
        <v>642</v>
      </c>
      <c r="AF909" s="42">
        <v>2143298</v>
      </c>
      <c r="AG909" s="42" t="s">
        <v>6529</v>
      </c>
    </row>
    <row r="910" spans="6:33" ht="15.75" customHeight="1">
      <c r="F910" s="40" t="s">
        <v>6363</v>
      </c>
      <c r="G910" s="36" t="s">
        <v>6364</v>
      </c>
      <c r="H910" s="36" t="s">
        <v>8208</v>
      </c>
      <c r="I910" s="40" t="s">
        <v>6850</v>
      </c>
      <c r="J910" s="138">
        <v>2103932</v>
      </c>
      <c r="K910" s="139" t="s">
        <v>6366</v>
      </c>
      <c r="L910" s="139">
        <v>3400001173</v>
      </c>
      <c r="M910" s="141" t="s">
        <v>6367</v>
      </c>
      <c r="N910" s="141">
        <v>2103935</v>
      </c>
      <c r="O910" s="142"/>
      <c r="P910" s="142"/>
      <c r="Q910" s="142"/>
      <c r="R910" s="142"/>
      <c r="S910" s="142"/>
      <c r="T910" s="139" t="s">
        <v>6368</v>
      </c>
      <c r="V910" s="43" t="s">
        <v>6365</v>
      </c>
      <c r="AF910" s="42">
        <v>2143300</v>
      </c>
      <c r="AG910" s="42" t="s">
        <v>6529</v>
      </c>
    </row>
    <row r="911" spans="6:33" ht="15.75" customHeight="1">
      <c r="F911" s="40" t="s">
        <v>3128</v>
      </c>
      <c r="G911" s="36" t="s">
        <v>3129</v>
      </c>
      <c r="H911" s="36" t="s">
        <v>6841</v>
      </c>
      <c r="I911" s="40" t="s">
        <v>6852</v>
      </c>
      <c r="J911" s="140">
        <v>5045675</v>
      </c>
      <c r="K911" s="141">
        <v>2171895</v>
      </c>
      <c r="L911" s="141">
        <v>2103869</v>
      </c>
      <c r="M911" s="141">
        <v>3300011524</v>
      </c>
      <c r="N911" s="141" t="s">
        <v>8567</v>
      </c>
      <c r="O911" s="142"/>
      <c r="P911" s="142"/>
      <c r="Q911" s="142"/>
      <c r="R911" s="142"/>
      <c r="S911" s="142"/>
      <c r="T911" s="141" t="s">
        <v>3130</v>
      </c>
      <c r="V911" s="43" t="s">
        <v>646</v>
      </c>
      <c r="AF911" s="42">
        <v>2143301</v>
      </c>
      <c r="AG911" s="42" t="s">
        <v>6529</v>
      </c>
    </row>
    <row r="912" spans="6:33" ht="15.75" customHeight="1">
      <c r="F912" s="40" t="s">
        <v>6130</v>
      </c>
      <c r="G912" s="36" t="s">
        <v>6131</v>
      </c>
      <c r="H912" s="36" t="s">
        <v>8208</v>
      </c>
      <c r="I912" s="40" t="s">
        <v>6850</v>
      </c>
      <c r="J912" s="140" t="s">
        <v>6132</v>
      </c>
      <c r="K912" s="141" t="s">
        <v>6133</v>
      </c>
      <c r="L912" s="141">
        <v>5033029</v>
      </c>
      <c r="M912" s="141">
        <v>2103768</v>
      </c>
      <c r="N912" s="141">
        <v>3300009755</v>
      </c>
      <c r="O912" s="142"/>
      <c r="P912" s="142"/>
      <c r="Q912" s="142"/>
      <c r="R912" s="142"/>
      <c r="S912" s="142"/>
      <c r="T912" s="141" t="s">
        <v>6134</v>
      </c>
      <c r="V912" s="43" t="s">
        <v>532</v>
      </c>
      <c r="AF912" s="42">
        <v>2143302</v>
      </c>
      <c r="AG912" s="42" t="s">
        <v>6529</v>
      </c>
    </row>
    <row r="913" spans="6:33" ht="15.75" customHeight="1">
      <c r="F913" s="40" t="s">
        <v>6951</v>
      </c>
      <c r="G913" s="36" t="s">
        <v>6952</v>
      </c>
      <c r="H913" s="36" t="s">
        <v>761</v>
      </c>
      <c r="I913" s="40" t="s">
        <v>6848</v>
      </c>
      <c r="J913" s="138" t="s">
        <v>6703</v>
      </c>
      <c r="K913" s="139">
        <v>3400002961</v>
      </c>
      <c r="L913" s="141" t="s">
        <v>6709</v>
      </c>
      <c r="M913" s="141" t="s">
        <v>6061</v>
      </c>
      <c r="N913" s="139">
        <v>2170080</v>
      </c>
      <c r="O913" s="142"/>
      <c r="P913" s="142"/>
      <c r="Q913" s="142"/>
      <c r="R913" s="142"/>
      <c r="S913" s="142"/>
      <c r="T913" s="139" t="s">
        <v>6685</v>
      </c>
      <c r="V913" s="43" t="s">
        <v>686</v>
      </c>
      <c r="AF913" s="42">
        <v>2143303</v>
      </c>
      <c r="AG913" s="42" t="s">
        <v>6529</v>
      </c>
    </row>
    <row r="914" spans="6:33" ht="15.75" customHeight="1">
      <c r="F914" s="40" t="s">
        <v>8351</v>
      </c>
      <c r="G914" s="36" t="s">
        <v>7769</v>
      </c>
      <c r="H914" s="36" t="s">
        <v>670</v>
      </c>
      <c r="I914" s="40" t="s">
        <v>6849</v>
      </c>
      <c r="J914" s="138">
        <v>2096205</v>
      </c>
      <c r="K914" s="139">
        <v>2141271</v>
      </c>
      <c r="L914" s="139" t="s">
        <v>8390</v>
      </c>
      <c r="M914" s="141">
        <v>5104319</v>
      </c>
      <c r="N914" s="141" t="s">
        <v>4659</v>
      </c>
      <c r="O914" s="142"/>
      <c r="P914" s="142"/>
      <c r="Q914" s="142"/>
      <c r="R914" s="142"/>
      <c r="S914" s="142"/>
      <c r="T914" s="139" t="s">
        <v>8404</v>
      </c>
      <c r="V914" s="43" t="s">
        <v>8412</v>
      </c>
      <c r="AF914" s="42">
        <v>2143305</v>
      </c>
      <c r="AG914" s="42" t="s">
        <v>6529</v>
      </c>
    </row>
    <row r="915" spans="6:33" ht="15.75" customHeight="1">
      <c r="F915" s="40" t="s">
        <v>7769</v>
      </c>
      <c r="G915" s="36" t="s">
        <v>7769</v>
      </c>
      <c r="H915" s="36" t="s">
        <v>670</v>
      </c>
      <c r="I915" s="40" t="s">
        <v>6849</v>
      </c>
      <c r="J915" s="140">
        <v>3300009713</v>
      </c>
      <c r="K915" s="141">
        <v>2117106</v>
      </c>
      <c r="L915" s="141" t="s">
        <v>4354</v>
      </c>
      <c r="M915" s="141" t="s">
        <v>2592</v>
      </c>
      <c r="N915" s="141">
        <v>3300005169</v>
      </c>
      <c r="O915" s="142"/>
      <c r="P915" s="142"/>
      <c r="Q915" s="142"/>
      <c r="R915" s="142"/>
      <c r="S915" s="142"/>
      <c r="T915" s="141" t="s">
        <v>8162</v>
      </c>
      <c r="V915" s="43" t="s">
        <v>2787</v>
      </c>
      <c r="AF915" s="42">
        <v>2143308</v>
      </c>
      <c r="AG915" s="42" t="s">
        <v>6529</v>
      </c>
    </row>
    <row r="916" spans="6:33" ht="15.75" customHeight="1">
      <c r="F916" s="40" t="s">
        <v>5847</v>
      </c>
      <c r="G916" s="36" t="s">
        <v>5848</v>
      </c>
      <c r="H916" s="36" t="s">
        <v>8208</v>
      </c>
      <c r="I916" s="40" t="s">
        <v>6850</v>
      </c>
      <c r="J916" s="140">
        <v>3300004129</v>
      </c>
      <c r="K916" s="141"/>
      <c r="L916" s="141">
        <v>2114789</v>
      </c>
      <c r="M916" s="141">
        <v>3300004157</v>
      </c>
      <c r="N916" s="141"/>
      <c r="O916" s="142"/>
      <c r="P916" s="142"/>
      <c r="Q916" s="142"/>
      <c r="R916" s="142"/>
      <c r="S916" s="142"/>
      <c r="T916" s="141" t="s">
        <v>6748</v>
      </c>
      <c r="V916" s="43" t="s">
        <v>648</v>
      </c>
      <c r="AF916" s="42">
        <v>2143310</v>
      </c>
      <c r="AG916" s="42" t="s">
        <v>6529</v>
      </c>
    </row>
    <row r="917" spans="6:33" ht="15.75" customHeight="1">
      <c r="F917" s="40" t="s">
        <v>4523</v>
      </c>
      <c r="G917" s="36" t="s">
        <v>4524</v>
      </c>
      <c r="H917" s="36" t="s">
        <v>761</v>
      </c>
      <c r="I917" s="40" t="s">
        <v>6848</v>
      </c>
      <c r="J917" s="140">
        <v>2115654</v>
      </c>
      <c r="K917" s="141">
        <v>5001470</v>
      </c>
      <c r="L917" s="141">
        <v>3300008140</v>
      </c>
      <c r="M917" s="141">
        <v>5001468</v>
      </c>
      <c r="N917" s="141" t="s">
        <v>4512</v>
      </c>
      <c r="O917" s="142"/>
      <c r="P917" s="142"/>
      <c r="Q917" s="142"/>
      <c r="R917" s="142"/>
      <c r="S917" s="142"/>
      <c r="T917" s="141" t="s">
        <v>4526</v>
      </c>
      <c r="V917" s="43" t="s">
        <v>599</v>
      </c>
      <c r="AF917" s="42">
        <v>2143312</v>
      </c>
      <c r="AG917" s="42" t="s">
        <v>6529</v>
      </c>
    </row>
    <row r="918" spans="6:33" ht="15.75" customHeight="1">
      <c r="F918" s="40" t="s">
        <v>2223</v>
      </c>
      <c r="G918" s="36" t="s">
        <v>2223</v>
      </c>
      <c r="H918" s="36" t="s">
        <v>564</v>
      </c>
      <c r="I918" s="40" t="s">
        <v>6851</v>
      </c>
      <c r="J918" s="140">
        <v>5039010</v>
      </c>
      <c r="K918" s="141">
        <v>5104334</v>
      </c>
      <c r="L918" s="141">
        <v>3300001699</v>
      </c>
      <c r="M918" s="141">
        <v>3300012831</v>
      </c>
      <c r="N918" s="141" t="s">
        <v>2224</v>
      </c>
      <c r="O918" s="142"/>
      <c r="P918" s="142"/>
      <c r="Q918" s="142"/>
      <c r="R918" s="142"/>
      <c r="S918" s="142"/>
      <c r="T918" s="141" t="s">
        <v>2225</v>
      </c>
      <c r="V918" s="43" t="s">
        <v>627</v>
      </c>
      <c r="AF918" s="42">
        <v>2143314</v>
      </c>
      <c r="AG918" s="42" t="s">
        <v>6529</v>
      </c>
    </row>
    <row r="919" spans="6:33" ht="15.75" customHeight="1">
      <c r="F919" s="40" t="s">
        <v>7391</v>
      </c>
      <c r="G919" s="36" t="s">
        <v>7404</v>
      </c>
      <c r="H919" s="36" t="s">
        <v>8208</v>
      </c>
      <c r="I919" s="40" t="s">
        <v>6850</v>
      </c>
      <c r="J919" s="140">
        <v>2116782</v>
      </c>
      <c r="K919" s="141">
        <v>3300011804</v>
      </c>
      <c r="L919" s="141" t="s">
        <v>7323</v>
      </c>
      <c r="M919" s="141">
        <v>5040890</v>
      </c>
      <c r="N919" s="141">
        <v>2054584</v>
      </c>
      <c r="O919" s="142"/>
      <c r="P919" s="142"/>
      <c r="Q919" s="142"/>
      <c r="R919" s="142"/>
      <c r="S919" s="142"/>
      <c r="T919" s="141" t="s">
        <v>7308</v>
      </c>
      <c r="V919" s="43" t="s">
        <v>7412</v>
      </c>
      <c r="AF919" s="42">
        <v>2149667</v>
      </c>
      <c r="AG919" s="42" t="s">
        <v>6529</v>
      </c>
    </row>
    <row r="920" spans="6:33" ht="15.75" customHeight="1">
      <c r="F920" s="40" t="s">
        <v>8352</v>
      </c>
      <c r="G920" s="36" t="s">
        <v>8374</v>
      </c>
      <c r="H920" s="36" t="s">
        <v>761</v>
      </c>
      <c r="I920" s="40" t="s">
        <v>6848</v>
      </c>
      <c r="J920" s="140">
        <v>2141287</v>
      </c>
      <c r="K920" s="141">
        <v>2103865</v>
      </c>
      <c r="L920" s="141" t="s">
        <v>8391</v>
      </c>
      <c r="M920" s="141"/>
      <c r="N920" s="141"/>
      <c r="O920" s="142"/>
      <c r="P920" s="142"/>
      <c r="Q920" s="142"/>
      <c r="R920" s="142"/>
      <c r="S920" s="142"/>
      <c r="T920" s="141" t="s">
        <v>7584</v>
      </c>
      <c r="V920" s="43" t="s">
        <v>761</v>
      </c>
      <c r="AF920" s="42">
        <v>2149672</v>
      </c>
      <c r="AG920" s="42" t="s">
        <v>6529</v>
      </c>
    </row>
    <row r="921" spans="6:33" ht="15.75" customHeight="1">
      <c r="F921" s="40" t="s">
        <v>4345</v>
      </c>
      <c r="G921" s="36" t="s">
        <v>4346</v>
      </c>
      <c r="H921" s="36" t="s">
        <v>553</v>
      </c>
      <c r="I921" s="40" t="s">
        <v>6853</v>
      </c>
      <c r="J921" s="140">
        <v>2183518</v>
      </c>
      <c r="K921" s="141">
        <v>5059338</v>
      </c>
      <c r="L921" s="141" t="s">
        <v>4348</v>
      </c>
      <c r="M921" s="141">
        <v>3300012291</v>
      </c>
      <c r="N921" s="141" t="s">
        <v>4349</v>
      </c>
      <c r="O921" s="142"/>
      <c r="P921" s="142"/>
      <c r="Q921" s="142"/>
      <c r="R921" s="142"/>
      <c r="S921" s="142"/>
      <c r="T921" s="141" t="s">
        <v>7310</v>
      </c>
      <c r="V921" s="43" t="s">
        <v>765</v>
      </c>
      <c r="AF921" s="42">
        <v>2149673</v>
      </c>
      <c r="AG921" s="42" t="s">
        <v>6529</v>
      </c>
    </row>
    <row r="922" spans="6:33" ht="15.75" customHeight="1">
      <c r="F922" s="40" t="s">
        <v>7502</v>
      </c>
      <c r="G922" s="36" t="s">
        <v>7503</v>
      </c>
      <c r="H922" s="36" t="s">
        <v>553</v>
      </c>
      <c r="I922" s="40" t="s">
        <v>6853</v>
      </c>
      <c r="J922" s="140">
        <v>3400003810</v>
      </c>
      <c r="K922" s="141" t="s">
        <v>5495</v>
      </c>
      <c r="L922" s="141" t="s">
        <v>7554</v>
      </c>
      <c r="M922" s="141" t="s">
        <v>4478</v>
      </c>
      <c r="N922" s="141">
        <v>2159520</v>
      </c>
      <c r="O922" s="142"/>
      <c r="P922" s="142"/>
      <c r="Q922" s="142"/>
      <c r="R922" s="142"/>
      <c r="S922" s="142"/>
      <c r="T922" s="141" t="s">
        <v>2769</v>
      </c>
      <c r="V922" s="43" t="s">
        <v>716</v>
      </c>
      <c r="AF922" s="42">
        <v>2149675</v>
      </c>
      <c r="AG922" s="42" t="s">
        <v>6529</v>
      </c>
    </row>
    <row r="923" spans="6:33" ht="15.75" customHeight="1">
      <c r="F923" s="40" t="s">
        <v>5918</v>
      </c>
      <c r="G923" s="36" t="s">
        <v>5919</v>
      </c>
      <c r="H923" s="36" t="s">
        <v>8208</v>
      </c>
      <c r="I923" s="40" t="s">
        <v>6850</v>
      </c>
      <c r="J923" s="140">
        <v>3300002818</v>
      </c>
      <c r="K923" s="141">
        <v>3300004128</v>
      </c>
      <c r="L923" s="141" t="s">
        <v>5920</v>
      </c>
      <c r="M923" s="141"/>
      <c r="N923" s="141"/>
      <c r="O923" s="142"/>
      <c r="P923" s="142"/>
      <c r="Q923" s="142"/>
      <c r="R923" s="142"/>
      <c r="S923" s="142"/>
      <c r="T923" s="141" t="s">
        <v>5921</v>
      </c>
      <c r="V923" s="43" t="s">
        <v>634</v>
      </c>
      <c r="AF923" s="42">
        <v>2149676</v>
      </c>
      <c r="AG923" s="42" t="s">
        <v>6529</v>
      </c>
    </row>
    <row r="924" spans="6:33" ht="15.75" customHeight="1">
      <c r="F924" s="40" t="s">
        <v>2056</v>
      </c>
      <c r="G924" s="36" t="s">
        <v>2057</v>
      </c>
      <c r="H924" s="36" t="s">
        <v>564</v>
      </c>
      <c r="I924" s="40" t="s">
        <v>6851</v>
      </c>
      <c r="J924" s="140">
        <v>2117072</v>
      </c>
      <c r="K924" s="141">
        <v>5031831</v>
      </c>
      <c r="L924" s="141">
        <v>3300012255</v>
      </c>
      <c r="M924" s="141" t="s">
        <v>2059</v>
      </c>
      <c r="N924" s="141">
        <v>2103909</v>
      </c>
      <c r="O924" s="142"/>
      <c r="P924" s="142"/>
      <c r="Q924" s="142"/>
      <c r="R924" s="142"/>
      <c r="S924" s="142"/>
      <c r="T924" s="141" t="s">
        <v>2060</v>
      </c>
      <c r="V924" s="43" t="s">
        <v>577</v>
      </c>
      <c r="AF924" s="42">
        <v>2149679</v>
      </c>
      <c r="AG924" s="42" t="s">
        <v>6529</v>
      </c>
    </row>
    <row r="925" spans="6:33" ht="15.75" customHeight="1">
      <c r="F925" s="40" t="s">
        <v>7770</v>
      </c>
      <c r="G925" s="36" t="s">
        <v>7770</v>
      </c>
      <c r="H925" s="36" t="s">
        <v>670</v>
      </c>
      <c r="I925" s="40" t="s">
        <v>6849</v>
      </c>
      <c r="J925" s="140">
        <v>2115662</v>
      </c>
      <c r="K925" s="141">
        <v>3300016511</v>
      </c>
      <c r="L925" s="141"/>
      <c r="M925" s="141"/>
      <c r="N925" s="141"/>
      <c r="O925" s="142"/>
      <c r="P925" s="142"/>
      <c r="Q925" s="142"/>
      <c r="R925" s="142"/>
      <c r="S925" s="142"/>
      <c r="T925" s="141" t="s">
        <v>8163</v>
      </c>
      <c r="V925" s="43" t="s">
        <v>2723</v>
      </c>
      <c r="AF925" s="42">
        <v>2149680</v>
      </c>
      <c r="AG925" s="42" t="s">
        <v>6529</v>
      </c>
    </row>
    <row r="926" spans="6:33" ht="15.75" customHeight="1">
      <c r="F926" s="40" t="s">
        <v>8353</v>
      </c>
      <c r="G926" s="36" t="s">
        <v>8375</v>
      </c>
      <c r="H926" s="36" t="s">
        <v>553</v>
      </c>
      <c r="I926" s="40" t="s">
        <v>6853</v>
      </c>
      <c r="J926" s="140">
        <v>3300006797</v>
      </c>
      <c r="K926" s="141">
        <v>2119174</v>
      </c>
      <c r="L926" s="141"/>
      <c r="M926" s="141"/>
      <c r="N926" s="141"/>
      <c r="O926" s="142"/>
      <c r="P926" s="142"/>
      <c r="Q926" s="142"/>
      <c r="R926" s="142"/>
      <c r="S926" s="142"/>
      <c r="T926" s="141" t="s">
        <v>2593</v>
      </c>
      <c r="V926" s="43" t="s">
        <v>8413</v>
      </c>
      <c r="AF926" s="42">
        <v>2149681</v>
      </c>
      <c r="AG926" s="42" t="s">
        <v>6529</v>
      </c>
    </row>
    <row r="927" spans="6:33" ht="15.75" customHeight="1">
      <c r="F927" s="40" t="s">
        <v>7771</v>
      </c>
      <c r="G927" s="36" t="s">
        <v>7928</v>
      </c>
      <c r="H927" s="36" t="s">
        <v>8208</v>
      </c>
      <c r="I927" s="40" t="s">
        <v>6850</v>
      </c>
      <c r="J927" s="140">
        <v>2081826</v>
      </c>
      <c r="K927" s="141">
        <v>2081905</v>
      </c>
      <c r="L927" s="141" t="s">
        <v>8103</v>
      </c>
      <c r="M927" s="141">
        <v>5087338</v>
      </c>
      <c r="N927" s="141">
        <v>3300001641</v>
      </c>
      <c r="O927" s="142"/>
      <c r="P927" s="142"/>
      <c r="Q927" s="142"/>
      <c r="R927" s="142"/>
      <c r="S927" s="142"/>
      <c r="T927" s="141">
        <v>111200002</v>
      </c>
      <c r="V927" s="43" t="s">
        <v>8194</v>
      </c>
      <c r="AF927" s="42">
        <v>2149683</v>
      </c>
      <c r="AG927" s="42" t="s">
        <v>6529</v>
      </c>
    </row>
    <row r="928" spans="6:33" ht="15.75" customHeight="1">
      <c r="F928" s="40" t="s">
        <v>7362</v>
      </c>
      <c r="G928" s="36" t="s">
        <v>7372</v>
      </c>
      <c r="H928" s="36" t="s">
        <v>6841</v>
      </c>
      <c r="I928" s="40" t="s">
        <v>6852</v>
      </c>
      <c r="J928" s="140">
        <v>2103870</v>
      </c>
      <c r="K928" s="141" t="s">
        <v>3218</v>
      </c>
      <c r="L928" s="141">
        <v>3300003633</v>
      </c>
      <c r="M928" s="141">
        <v>2103921</v>
      </c>
      <c r="N928" s="141">
        <v>5059379</v>
      </c>
      <c r="O928" s="142"/>
      <c r="P928" s="142"/>
      <c r="Q928" s="142"/>
      <c r="R928" s="142"/>
      <c r="S928" s="142"/>
      <c r="T928" s="141" t="s">
        <v>3219</v>
      </c>
      <c r="V928" s="43" t="s">
        <v>545</v>
      </c>
      <c r="AF928" s="42">
        <v>2149685</v>
      </c>
      <c r="AG928" s="42" t="s">
        <v>6529</v>
      </c>
    </row>
    <row r="929" spans="6:33" ht="15.75" customHeight="1">
      <c r="F929" s="40" t="s">
        <v>4275</v>
      </c>
      <c r="G929" s="36" t="s">
        <v>4276</v>
      </c>
      <c r="H929" s="36" t="s">
        <v>553</v>
      </c>
      <c r="I929" s="40" t="s">
        <v>6853</v>
      </c>
      <c r="J929" s="140">
        <v>2116244</v>
      </c>
      <c r="K929" s="141">
        <v>2116249</v>
      </c>
      <c r="L929" s="141" t="s">
        <v>4278</v>
      </c>
      <c r="M929" s="141">
        <v>3300009739</v>
      </c>
      <c r="N929" s="141" t="s">
        <v>7012</v>
      </c>
      <c r="O929" s="142"/>
      <c r="P929" s="142"/>
      <c r="Q929" s="142"/>
      <c r="R929" s="142"/>
      <c r="S929" s="142"/>
      <c r="T929" s="141" t="s">
        <v>4279</v>
      </c>
      <c r="V929" s="43" t="s">
        <v>553</v>
      </c>
      <c r="AF929" s="42">
        <v>2149688</v>
      </c>
      <c r="AG929" s="42" t="s">
        <v>6529</v>
      </c>
    </row>
    <row r="930" spans="6:33" ht="15.75" customHeight="1">
      <c r="F930" s="40" t="s">
        <v>3935</v>
      </c>
      <c r="G930" s="36" t="s">
        <v>3936</v>
      </c>
      <c r="H930" s="36" t="s">
        <v>553</v>
      </c>
      <c r="I930" s="40" t="s">
        <v>6853</v>
      </c>
      <c r="J930" s="140">
        <v>2116238</v>
      </c>
      <c r="K930" s="141">
        <v>3300002965</v>
      </c>
      <c r="L930" s="141">
        <v>2116267</v>
      </c>
      <c r="M930" s="141" t="s">
        <v>7122</v>
      </c>
      <c r="N930" s="141" t="s">
        <v>2815</v>
      </c>
      <c r="O930" s="142"/>
      <c r="P930" s="142"/>
      <c r="Q930" s="142"/>
      <c r="R930" s="142"/>
      <c r="S930" s="142"/>
      <c r="T930" s="141" t="s">
        <v>3938</v>
      </c>
      <c r="V930" s="43" t="s">
        <v>555</v>
      </c>
      <c r="AF930" s="42">
        <v>2149690</v>
      </c>
      <c r="AG930" s="42" t="s">
        <v>6529</v>
      </c>
    </row>
    <row r="931" spans="6:33" ht="15.75" customHeight="1">
      <c r="F931" s="40" t="s">
        <v>2585</v>
      </c>
      <c r="G931" s="36" t="s">
        <v>51</v>
      </c>
      <c r="H931" s="36" t="s">
        <v>670</v>
      </c>
      <c r="I931" s="40" t="s">
        <v>6849</v>
      </c>
      <c r="J931" s="140">
        <v>2183494</v>
      </c>
      <c r="K931" s="141">
        <v>5059320</v>
      </c>
      <c r="L931" s="141" t="s">
        <v>2586</v>
      </c>
      <c r="M931" s="141">
        <v>3300009783</v>
      </c>
      <c r="N931" s="141"/>
      <c r="O931" s="142"/>
      <c r="P931" s="142"/>
      <c r="Q931" s="142"/>
      <c r="R931" s="142"/>
      <c r="S931" s="142"/>
      <c r="T931" s="141" t="s">
        <v>6832</v>
      </c>
      <c r="V931" s="43" t="s">
        <v>640</v>
      </c>
      <c r="AF931" s="42">
        <v>2150975</v>
      </c>
      <c r="AG931" s="42" t="s">
        <v>6529</v>
      </c>
    </row>
    <row r="932" spans="6:33" ht="15.75" customHeight="1">
      <c r="F932" s="40" t="s">
        <v>8354</v>
      </c>
      <c r="G932" s="36" t="s">
        <v>8376</v>
      </c>
      <c r="H932" s="36" t="s">
        <v>564</v>
      </c>
      <c r="I932" s="40" t="s">
        <v>6851</v>
      </c>
      <c r="J932" s="138" t="s">
        <v>8392</v>
      </c>
      <c r="K932" s="139">
        <v>2141275</v>
      </c>
      <c r="L932" s="141">
        <v>2116290</v>
      </c>
      <c r="M932" s="141" t="s">
        <v>8281</v>
      </c>
      <c r="N932" s="141"/>
      <c r="O932" s="142"/>
      <c r="P932" s="142"/>
      <c r="Q932" s="142"/>
      <c r="R932" s="142"/>
      <c r="S932" s="142"/>
      <c r="T932" s="139" t="s">
        <v>8405</v>
      </c>
      <c r="V932" s="43" t="s">
        <v>2147</v>
      </c>
      <c r="AF932" s="42">
        <v>2150976</v>
      </c>
      <c r="AG932" s="42" t="s">
        <v>6529</v>
      </c>
    </row>
    <row r="933" spans="6:33" ht="15.75" customHeight="1">
      <c r="F933" s="40" t="s">
        <v>4698</v>
      </c>
      <c r="G933" s="36" t="s">
        <v>4699</v>
      </c>
      <c r="H933" s="36" t="s">
        <v>761</v>
      </c>
      <c r="I933" s="40" t="s">
        <v>6848</v>
      </c>
      <c r="J933" s="140">
        <v>2117099</v>
      </c>
      <c r="K933" s="141">
        <v>5031919</v>
      </c>
      <c r="L933" s="141" t="s">
        <v>4700</v>
      </c>
      <c r="M933" s="141">
        <v>3300008147</v>
      </c>
      <c r="N933" s="141">
        <v>2119194</v>
      </c>
      <c r="O933" s="142"/>
      <c r="P933" s="142"/>
      <c r="Q933" s="142"/>
      <c r="R933" s="142"/>
      <c r="S933" s="142"/>
      <c r="T933" s="141" t="s">
        <v>4701</v>
      </c>
      <c r="V933" s="43" t="s">
        <v>708</v>
      </c>
      <c r="AF933" s="42">
        <v>2150977</v>
      </c>
      <c r="AG933" s="42" t="s">
        <v>6529</v>
      </c>
    </row>
    <row r="934" spans="6:33" ht="15.75" customHeight="1">
      <c r="F934" s="40" t="s">
        <v>2189</v>
      </c>
      <c r="G934" s="36" t="s">
        <v>2190</v>
      </c>
      <c r="H934" s="36" t="s">
        <v>564</v>
      </c>
      <c r="I934" s="40" t="s">
        <v>6851</v>
      </c>
      <c r="J934" s="140">
        <v>3300010909</v>
      </c>
      <c r="K934" s="141">
        <v>5045684</v>
      </c>
      <c r="L934" s="141" t="s">
        <v>2192</v>
      </c>
      <c r="M934" s="141">
        <v>5045674</v>
      </c>
      <c r="N934" s="141">
        <v>2171964</v>
      </c>
      <c r="O934" s="142"/>
      <c r="P934" s="142"/>
      <c r="Q934" s="142"/>
      <c r="R934" s="142"/>
      <c r="S934" s="142"/>
      <c r="T934" s="141" t="s">
        <v>2193</v>
      </c>
      <c r="V934" s="43" t="s">
        <v>585</v>
      </c>
      <c r="AF934" s="42">
        <v>2150978</v>
      </c>
      <c r="AG934" s="42" t="s">
        <v>6529</v>
      </c>
    </row>
    <row r="935" spans="6:33" ht="15.75" customHeight="1">
      <c r="F935" s="40" t="s">
        <v>1066</v>
      </c>
      <c r="G935" s="36" t="s">
        <v>1067</v>
      </c>
      <c r="H935" s="36" t="s">
        <v>564</v>
      </c>
      <c r="I935" s="40" t="s">
        <v>6851</v>
      </c>
      <c r="J935" s="140">
        <v>3300009710</v>
      </c>
      <c r="K935" s="141">
        <v>2103511</v>
      </c>
      <c r="L935" s="141">
        <v>5050465</v>
      </c>
      <c r="M935" s="141">
        <v>2103955</v>
      </c>
      <c r="N935" s="141"/>
      <c r="O935" s="142"/>
      <c r="P935" s="142"/>
      <c r="Q935" s="142"/>
      <c r="R935" s="142"/>
      <c r="S935" s="142"/>
      <c r="T935" s="141" t="s">
        <v>1069</v>
      </c>
      <c r="V935" s="43" t="s">
        <v>619</v>
      </c>
      <c r="AF935" s="42">
        <v>2150979</v>
      </c>
      <c r="AG935" s="42" t="s">
        <v>6529</v>
      </c>
    </row>
    <row r="936" spans="6:33" ht="15.75" customHeight="1">
      <c r="F936" s="40" t="s">
        <v>8355</v>
      </c>
      <c r="G936" s="36" t="s">
        <v>5235</v>
      </c>
      <c r="H936" s="36" t="s">
        <v>761</v>
      </c>
      <c r="I936" s="40" t="s">
        <v>6848</v>
      </c>
      <c r="J936" s="138" t="s">
        <v>5237</v>
      </c>
      <c r="K936" s="139">
        <v>3300002948</v>
      </c>
      <c r="L936" s="141" t="s">
        <v>5238</v>
      </c>
      <c r="M936" s="141">
        <v>2199642</v>
      </c>
      <c r="N936" s="141">
        <v>2103940</v>
      </c>
      <c r="O936" s="142"/>
      <c r="P936" s="142"/>
      <c r="Q936" s="142"/>
      <c r="R936" s="142"/>
      <c r="S936" s="142"/>
      <c r="T936" s="141" t="s">
        <v>5239</v>
      </c>
      <c r="V936" s="43" t="s">
        <v>758</v>
      </c>
      <c r="AF936" s="42">
        <v>2150980</v>
      </c>
      <c r="AG936" s="42" t="s">
        <v>6529</v>
      </c>
    </row>
    <row r="937" spans="6:33" ht="15.75" customHeight="1">
      <c r="F937" s="40" t="s">
        <v>5596</v>
      </c>
      <c r="G937" s="36" t="s">
        <v>5030</v>
      </c>
      <c r="H937" s="36" t="s">
        <v>761</v>
      </c>
      <c r="I937" s="40" t="s">
        <v>6848</v>
      </c>
      <c r="J937" s="138">
        <v>5031870</v>
      </c>
      <c r="K937" s="141">
        <v>2119272</v>
      </c>
      <c r="L937" s="141">
        <v>3300009756</v>
      </c>
      <c r="M937" s="141" t="s">
        <v>5599</v>
      </c>
      <c r="N937" s="139"/>
      <c r="O937" s="142"/>
      <c r="P937" s="142"/>
      <c r="Q937" s="142"/>
      <c r="R937" s="142"/>
      <c r="S937" s="142"/>
      <c r="T937" s="139" t="s">
        <v>6760</v>
      </c>
      <c r="V937" s="43" t="s">
        <v>5598</v>
      </c>
      <c r="AF937" s="42">
        <v>2150981</v>
      </c>
      <c r="AG937" s="42" t="s">
        <v>6529</v>
      </c>
    </row>
    <row r="938" spans="6:33" ht="15.75" customHeight="1">
      <c r="F938" s="40" t="s">
        <v>7772</v>
      </c>
      <c r="G938" s="36" t="s">
        <v>7929</v>
      </c>
      <c r="H938" s="36" t="s">
        <v>8208</v>
      </c>
      <c r="I938" s="40" t="s">
        <v>6850</v>
      </c>
      <c r="J938" s="138">
        <v>2177512</v>
      </c>
      <c r="K938" s="139">
        <v>5051901</v>
      </c>
      <c r="L938" s="139">
        <v>3300006839</v>
      </c>
      <c r="M938" s="141"/>
      <c r="N938" s="141"/>
      <c r="O938" s="142"/>
      <c r="P938" s="142"/>
      <c r="Q938" s="142"/>
      <c r="R938" s="142"/>
      <c r="S938" s="142"/>
      <c r="T938" s="141">
        <v>121300182</v>
      </c>
      <c r="V938" s="43" t="s">
        <v>687</v>
      </c>
      <c r="AF938" s="42">
        <v>2150982</v>
      </c>
      <c r="AG938" s="42" t="s">
        <v>6529</v>
      </c>
    </row>
    <row r="939" spans="6:33" ht="15.75" customHeight="1">
      <c r="F939" s="40" t="s">
        <v>5786</v>
      </c>
      <c r="G939" s="36" t="s">
        <v>5787</v>
      </c>
      <c r="H939" s="36" t="s">
        <v>761</v>
      </c>
      <c r="I939" s="40" t="s">
        <v>6848</v>
      </c>
      <c r="J939" s="138">
        <v>3300009793</v>
      </c>
      <c r="K939" s="139" t="s">
        <v>5788</v>
      </c>
      <c r="L939" s="139">
        <v>2115657</v>
      </c>
      <c r="M939" s="141">
        <v>3300005175</v>
      </c>
      <c r="N939" s="139"/>
      <c r="O939" s="142"/>
      <c r="P939" s="142"/>
      <c r="Q939" s="142"/>
      <c r="R939" s="142"/>
      <c r="S939" s="142"/>
      <c r="T939" s="139" t="s">
        <v>5789</v>
      </c>
      <c r="V939" s="43" t="s">
        <v>588</v>
      </c>
      <c r="AF939" s="42">
        <v>2150983</v>
      </c>
      <c r="AG939" s="42" t="s">
        <v>6529</v>
      </c>
    </row>
    <row r="940" spans="6:33" ht="15.75" customHeight="1">
      <c r="F940" s="40" t="s">
        <v>7419</v>
      </c>
      <c r="G940" s="36" t="s">
        <v>7030</v>
      </c>
      <c r="H940" s="36" t="s">
        <v>564</v>
      </c>
      <c r="I940" s="40" t="s">
        <v>6851</v>
      </c>
      <c r="J940" s="140">
        <v>2199635</v>
      </c>
      <c r="K940" s="141">
        <v>3400002957</v>
      </c>
      <c r="L940" s="141" t="s">
        <v>7041</v>
      </c>
      <c r="M940" s="141" t="s">
        <v>7344</v>
      </c>
      <c r="N940" s="141">
        <v>5008423</v>
      </c>
      <c r="O940" s="142"/>
      <c r="P940" s="142"/>
      <c r="Q940" s="142"/>
      <c r="R940" s="142"/>
      <c r="S940" s="142"/>
      <c r="T940" s="141" t="s">
        <v>6539</v>
      </c>
      <c r="V940" s="43" t="s">
        <v>7044</v>
      </c>
      <c r="AF940" s="42">
        <v>2150984</v>
      </c>
      <c r="AG940" s="42" t="s">
        <v>6529</v>
      </c>
    </row>
    <row r="941" spans="6:33" ht="15.75" customHeight="1">
      <c r="F941" s="40" t="s">
        <v>7773</v>
      </c>
      <c r="G941" s="36" t="s">
        <v>7930</v>
      </c>
      <c r="H941" s="36" t="s">
        <v>8208</v>
      </c>
      <c r="I941" s="40" t="s">
        <v>6850</v>
      </c>
      <c r="J941" s="140">
        <v>2096118</v>
      </c>
      <c r="K941" s="141">
        <v>2096135</v>
      </c>
      <c r="L941" s="141" t="s">
        <v>8104</v>
      </c>
      <c r="M941" s="141" t="s">
        <v>8105</v>
      </c>
      <c r="N941" s="141">
        <v>3300002916</v>
      </c>
      <c r="O941" s="142"/>
      <c r="P941" s="142"/>
      <c r="Q941" s="142"/>
      <c r="R941" s="142"/>
      <c r="S941" s="142"/>
      <c r="T941" s="141">
        <v>121200065</v>
      </c>
      <c r="V941" s="43" t="s">
        <v>8195</v>
      </c>
      <c r="AF941" s="42">
        <v>2150987</v>
      </c>
      <c r="AG941" s="42" t="s">
        <v>6529</v>
      </c>
    </row>
    <row r="942" spans="6:33" ht="15.75" customHeight="1">
      <c r="F942" s="40" t="s">
        <v>7774</v>
      </c>
      <c r="G942" s="36" t="s">
        <v>7931</v>
      </c>
      <c r="H942" s="36" t="s">
        <v>8208</v>
      </c>
      <c r="I942" s="40" t="s">
        <v>6850</v>
      </c>
      <c r="J942" s="138">
        <v>2096188</v>
      </c>
      <c r="K942" s="141">
        <v>3300010913</v>
      </c>
      <c r="L942" s="141">
        <v>5010216</v>
      </c>
      <c r="M942" s="141" t="s">
        <v>8568</v>
      </c>
      <c r="N942" s="141"/>
      <c r="O942" s="142"/>
      <c r="P942" s="142"/>
      <c r="Q942" s="142"/>
      <c r="R942" s="142"/>
      <c r="S942" s="142"/>
      <c r="T942" s="139">
        <v>11300022</v>
      </c>
      <c r="V942" s="43" t="s">
        <v>810</v>
      </c>
      <c r="AF942" s="42">
        <v>2150988</v>
      </c>
      <c r="AG942" s="42" t="s">
        <v>6529</v>
      </c>
    </row>
    <row r="943" spans="6:33" ht="15.75" customHeight="1">
      <c r="F943" s="40" t="s">
        <v>7504</v>
      </c>
      <c r="G943" s="36" t="s">
        <v>7505</v>
      </c>
      <c r="H943" s="36" t="s">
        <v>761</v>
      </c>
      <c r="I943" s="40" t="s">
        <v>6848</v>
      </c>
      <c r="J943" s="140">
        <v>3400003989</v>
      </c>
      <c r="K943" s="141">
        <v>5097603</v>
      </c>
      <c r="L943" s="141" t="s">
        <v>7086</v>
      </c>
      <c r="M943" s="141">
        <v>3300016342</v>
      </c>
      <c r="N943" s="141">
        <v>2106627</v>
      </c>
      <c r="O943" s="142"/>
      <c r="P943" s="142"/>
      <c r="Q943" s="142"/>
      <c r="R943" s="142"/>
      <c r="S943" s="142"/>
      <c r="T943" s="141" t="s">
        <v>8229</v>
      </c>
      <c r="V943" s="43" t="s">
        <v>5606</v>
      </c>
      <c r="AF943" s="42">
        <v>2150989</v>
      </c>
      <c r="AG943" s="42" t="s">
        <v>6529</v>
      </c>
    </row>
    <row r="944" spans="6:33" ht="15.75" customHeight="1">
      <c r="F944" s="40" t="s">
        <v>7775</v>
      </c>
      <c r="G944" s="36" t="s">
        <v>7932</v>
      </c>
      <c r="H944" s="36" t="s">
        <v>8208</v>
      </c>
      <c r="I944" s="40" t="s">
        <v>6850</v>
      </c>
      <c r="J944" s="140">
        <v>2084814</v>
      </c>
      <c r="K944" s="141">
        <v>3300011793</v>
      </c>
      <c r="L944" s="141" t="s">
        <v>5358</v>
      </c>
      <c r="M944" s="141"/>
      <c r="N944" s="141"/>
      <c r="O944" s="142"/>
      <c r="P944" s="142"/>
      <c r="Q944" s="142"/>
      <c r="R944" s="142"/>
      <c r="S944" s="142"/>
      <c r="T944" s="141" t="s">
        <v>7066</v>
      </c>
      <c r="V944" s="43" t="s">
        <v>8196</v>
      </c>
      <c r="AF944" s="42">
        <v>2150990</v>
      </c>
      <c r="AG944" s="42" t="s">
        <v>6529</v>
      </c>
    </row>
    <row r="945" spans="6:33" ht="15.75" customHeight="1">
      <c r="F945" s="40" t="s">
        <v>8464</v>
      </c>
      <c r="G945" s="36" t="s">
        <v>33</v>
      </c>
      <c r="H945" s="36" t="s">
        <v>564</v>
      </c>
      <c r="I945" s="40" t="s">
        <v>6851</v>
      </c>
      <c r="J945" s="140" t="s">
        <v>1809</v>
      </c>
      <c r="K945" s="141">
        <v>5100164</v>
      </c>
      <c r="L945" s="141" t="s">
        <v>1811</v>
      </c>
      <c r="M945" s="141">
        <v>2116248</v>
      </c>
      <c r="N945" s="141">
        <v>3300011485</v>
      </c>
      <c r="O945" s="142"/>
      <c r="P945" s="142"/>
      <c r="Q945" s="142"/>
      <c r="R945" s="142"/>
      <c r="S945" s="142"/>
      <c r="T945" s="141" t="s">
        <v>1812</v>
      </c>
      <c r="V945" s="43" t="s">
        <v>739</v>
      </c>
      <c r="AF945" s="42">
        <v>2150991</v>
      </c>
      <c r="AG945" s="42" t="s">
        <v>6529</v>
      </c>
    </row>
    <row r="946" spans="6:33" ht="15.75" customHeight="1">
      <c r="F946" s="40" t="s">
        <v>3348</v>
      </c>
      <c r="G946" s="36" t="s">
        <v>3349</v>
      </c>
      <c r="H946" s="36" t="s">
        <v>6841</v>
      </c>
      <c r="I946" s="40" t="s">
        <v>6852</v>
      </c>
      <c r="J946" s="140">
        <v>2183474</v>
      </c>
      <c r="K946" s="141" t="s">
        <v>3350</v>
      </c>
      <c r="L946" s="141" t="s">
        <v>3351</v>
      </c>
      <c r="M946" s="141"/>
      <c r="N946" s="141"/>
      <c r="O946" s="142"/>
      <c r="P946" s="142"/>
      <c r="Q946" s="142"/>
      <c r="R946" s="142"/>
      <c r="S946" s="142"/>
      <c r="T946" s="141" t="s">
        <v>6772</v>
      </c>
      <c r="V946" s="43" t="s">
        <v>598</v>
      </c>
      <c r="AF946" s="42">
        <v>2151308</v>
      </c>
      <c r="AG946" s="42" t="s">
        <v>6672</v>
      </c>
    </row>
    <row r="947" spans="6:33" ht="15.75" customHeight="1">
      <c r="F947" s="40" t="s">
        <v>8356</v>
      </c>
      <c r="G947" s="36" t="s">
        <v>8377</v>
      </c>
      <c r="H947" s="36" t="s">
        <v>8208</v>
      </c>
      <c r="I947" s="40" t="s">
        <v>6850</v>
      </c>
      <c r="J947" s="140">
        <v>2160442</v>
      </c>
      <c r="K947" s="141">
        <v>2141279</v>
      </c>
      <c r="L947" s="141" t="s">
        <v>7348</v>
      </c>
      <c r="M947" s="141"/>
      <c r="N947" s="141"/>
      <c r="O947" s="142"/>
      <c r="P947" s="142"/>
      <c r="Q947" s="142"/>
      <c r="R947" s="142"/>
      <c r="S947" s="142"/>
      <c r="T947" s="141" t="s">
        <v>7065</v>
      </c>
      <c r="V947" s="43" t="s">
        <v>747</v>
      </c>
      <c r="AF947" s="42">
        <v>2151378</v>
      </c>
      <c r="AG947" s="42" t="s">
        <v>6672</v>
      </c>
    </row>
    <row r="948" spans="6:33" ht="15.75" customHeight="1">
      <c r="F948" s="40" t="s">
        <v>3058</v>
      </c>
      <c r="G948" s="36" t="s">
        <v>3059</v>
      </c>
      <c r="H948" s="36" t="s">
        <v>595</v>
      </c>
      <c r="I948" s="40" t="s">
        <v>6847</v>
      </c>
      <c r="J948" s="138" t="s">
        <v>6622</v>
      </c>
      <c r="K948" s="139">
        <v>3300011521</v>
      </c>
      <c r="L948" s="141" t="s">
        <v>3060</v>
      </c>
      <c r="M948" s="141"/>
      <c r="N948" s="141"/>
      <c r="O948" s="142"/>
      <c r="P948" s="142"/>
      <c r="Q948" s="142"/>
      <c r="R948" s="142"/>
      <c r="S948" s="142"/>
      <c r="T948" s="139" t="s">
        <v>3535</v>
      </c>
      <c r="V948" s="43" t="s">
        <v>635</v>
      </c>
      <c r="AF948" s="42">
        <v>2151401</v>
      </c>
      <c r="AG948" s="42" t="s">
        <v>6672</v>
      </c>
    </row>
    <row r="949" spans="6:33" ht="15.75" customHeight="1">
      <c r="F949" s="40" t="s">
        <v>1610</v>
      </c>
      <c r="G949" s="36" t="s">
        <v>28</v>
      </c>
      <c r="H949" s="36" t="s">
        <v>564</v>
      </c>
      <c r="I949" s="40" t="s">
        <v>6851</v>
      </c>
      <c r="J949" s="140" t="s">
        <v>1613</v>
      </c>
      <c r="K949" s="141">
        <v>5049709</v>
      </c>
      <c r="L949" s="141">
        <v>2213310</v>
      </c>
      <c r="M949" s="141"/>
      <c r="N949" s="141"/>
      <c r="O949" s="142"/>
      <c r="P949" s="142"/>
      <c r="Q949" s="142"/>
      <c r="R949" s="142"/>
      <c r="S949" s="142"/>
      <c r="T949" s="141" t="s">
        <v>1614</v>
      </c>
      <c r="V949" s="43" t="s">
        <v>1612</v>
      </c>
      <c r="AF949" s="42">
        <v>2151402</v>
      </c>
      <c r="AG949" s="42" t="s">
        <v>6672</v>
      </c>
    </row>
    <row r="950" spans="6:33" ht="15.75" customHeight="1">
      <c r="F950" s="40" t="s">
        <v>1181</v>
      </c>
      <c r="G950" s="36" t="s">
        <v>1182</v>
      </c>
      <c r="H950" s="36" t="s">
        <v>564</v>
      </c>
      <c r="I950" s="40" t="s">
        <v>6851</v>
      </c>
      <c r="J950" s="140">
        <v>5097599</v>
      </c>
      <c r="K950" s="141">
        <v>2183504</v>
      </c>
      <c r="L950" s="141" t="s">
        <v>1184</v>
      </c>
      <c r="M950" s="141" t="s">
        <v>1185</v>
      </c>
      <c r="N950" s="141" t="s">
        <v>1186</v>
      </c>
      <c r="O950" s="142"/>
      <c r="P950" s="142"/>
      <c r="Q950" s="142"/>
      <c r="R950" s="142"/>
      <c r="S950" s="142"/>
      <c r="T950" s="141" t="s">
        <v>7585</v>
      </c>
      <c r="V950" s="43" t="s">
        <v>809</v>
      </c>
      <c r="AF950" s="42">
        <v>2152240</v>
      </c>
      <c r="AG950" s="42" t="s">
        <v>6529</v>
      </c>
    </row>
    <row r="951" spans="6:33" ht="15.75" customHeight="1">
      <c r="F951" s="40" t="s">
        <v>1483</v>
      </c>
      <c r="G951" s="36" t="s">
        <v>1484</v>
      </c>
      <c r="H951" s="36" t="s">
        <v>564</v>
      </c>
      <c r="I951" s="40" t="s">
        <v>6851</v>
      </c>
      <c r="J951" s="140">
        <v>2114795</v>
      </c>
      <c r="K951" s="141">
        <v>3300002935</v>
      </c>
      <c r="L951" s="141" t="s">
        <v>1486</v>
      </c>
      <c r="M951" s="141"/>
      <c r="N951" s="141"/>
      <c r="O951" s="142"/>
      <c r="P951" s="142"/>
      <c r="Q951" s="142"/>
      <c r="R951" s="142"/>
      <c r="S951" s="142"/>
      <c r="T951" s="141" t="s">
        <v>1487</v>
      </c>
      <c r="V951" s="43" t="s">
        <v>566</v>
      </c>
      <c r="AF951" s="42">
        <v>2152242</v>
      </c>
      <c r="AG951" s="42" t="s">
        <v>6529</v>
      </c>
    </row>
    <row r="952" spans="6:33" ht="15.75" customHeight="1">
      <c r="F952" s="40" t="s">
        <v>3711</v>
      </c>
      <c r="G952" s="36" t="s">
        <v>36</v>
      </c>
      <c r="H952" s="36" t="s">
        <v>8513</v>
      </c>
      <c r="I952" s="40" t="s">
        <v>6853</v>
      </c>
      <c r="J952" s="140">
        <v>2119187</v>
      </c>
      <c r="K952" s="141" t="s">
        <v>3713</v>
      </c>
      <c r="L952" s="141">
        <v>3300002980</v>
      </c>
      <c r="M952" s="141">
        <v>5059375</v>
      </c>
      <c r="N952" s="141"/>
      <c r="O952" s="142"/>
      <c r="P952" s="142"/>
      <c r="Q952" s="142"/>
      <c r="R952" s="142"/>
      <c r="S952" s="142"/>
      <c r="T952" s="141" t="s">
        <v>3714</v>
      </c>
      <c r="V952" s="43" t="s">
        <v>581</v>
      </c>
      <c r="AF952" s="42">
        <v>2152243</v>
      </c>
      <c r="AG952" s="42" t="s">
        <v>6529</v>
      </c>
    </row>
    <row r="953" spans="6:33" ht="15.75" customHeight="1">
      <c r="F953" s="40" t="s">
        <v>1491</v>
      </c>
      <c r="G953" s="36" t="s">
        <v>1492</v>
      </c>
      <c r="H953" s="36" t="s">
        <v>564</v>
      </c>
      <c r="I953" s="40" t="s">
        <v>6851</v>
      </c>
      <c r="J953" s="140">
        <v>2116281</v>
      </c>
      <c r="K953" s="141">
        <v>3300015842</v>
      </c>
      <c r="L953" s="141" t="s">
        <v>1495</v>
      </c>
      <c r="M953" s="141">
        <v>3300002949</v>
      </c>
      <c r="N953" s="141">
        <v>2116286</v>
      </c>
      <c r="O953" s="142"/>
      <c r="P953" s="142"/>
      <c r="Q953" s="142"/>
      <c r="R953" s="142"/>
      <c r="S953" s="142"/>
      <c r="T953" s="141" t="s">
        <v>1496</v>
      </c>
      <c r="V953" s="43" t="s">
        <v>566</v>
      </c>
      <c r="AF953" s="42">
        <v>2152244</v>
      </c>
      <c r="AG953" s="42" t="s">
        <v>6529</v>
      </c>
    </row>
    <row r="954" spans="6:33" ht="15.75" customHeight="1">
      <c r="F954" s="40" t="s">
        <v>7363</v>
      </c>
      <c r="G954" s="36" t="s">
        <v>7373</v>
      </c>
      <c r="H954" s="36" t="s">
        <v>670</v>
      </c>
      <c r="I954" s="40" t="s">
        <v>6849</v>
      </c>
      <c r="J954" s="140">
        <v>2228732</v>
      </c>
      <c r="K954" s="141">
        <v>2103737</v>
      </c>
      <c r="L954" s="141">
        <v>5049708</v>
      </c>
      <c r="M954" s="141"/>
      <c r="N954" s="141"/>
      <c r="O954" s="142"/>
      <c r="P954" s="142"/>
      <c r="Q954" s="142"/>
      <c r="R954" s="142"/>
      <c r="S954" s="142"/>
      <c r="T954" s="141" t="s">
        <v>7316</v>
      </c>
      <c r="V954" s="43" t="s">
        <v>640</v>
      </c>
      <c r="AF954" s="42">
        <v>2152246</v>
      </c>
      <c r="AG954" s="42" t="s">
        <v>6529</v>
      </c>
    </row>
    <row r="955" spans="6:33" ht="15.75" customHeight="1">
      <c r="F955" s="40" t="s">
        <v>990</v>
      </c>
      <c r="G955" s="36" t="s">
        <v>991</v>
      </c>
      <c r="H955" s="36" t="s">
        <v>564</v>
      </c>
      <c r="I955" s="40" t="s">
        <v>6851</v>
      </c>
      <c r="J955" s="140" t="s">
        <v>992</v>
      </c>
      <c r="K955" s="141">
        <v>3300004138</v>
      </c>
      <c r="L955" s="141" t="s">
        <v>993</v>
      </c>
      <c r="M955" s="141">
        <v>3300004139</v>
      </c>
      <c r="N955" s="141">
        <v>2171886</v>
      </c>
      <c r="O955" s="142"/>
      <c r="P955" s="142"/>
      <c r="Q955" s="142"/>
      <c r="R955" s="142"/>
      <c r="S955" s="142"/>
      <c r="T955" s="141" t="s">
        <v>994</v>
      </c>
      <c r="V955" s="43" t="s">
        <v>547</v>
      </c>
      <c r="AF955" s="42">
        <v>2152247</v>
      </c>
      <c r="AG955" s="42" t="s">
        <v>6529</v>
      </c>
    </row>
    <row r="956" spans="6:33" ht="15.75" customHeight="1">
      <c r="F956" s="40" t="s">
        <v>5492</v>
      </c>
      <c r="G956" s="36" t="s">
        <v>5493</v>
      </c>
      <c r="H956" s="36" t="s">
        <v>761</v>
      </c>
      <c r="I956" s="40" t="s">
        <v>6848</v>
      </c>
      <c r="J956" s="140" t="s">
        <v>4038</v>
      </c>
      <c r="K956" s="141">
        <v>2150976</v>
      </c>
      <c r="L956" s="141">
        <v>2183566</v>
      </c>
      <c r="M956" s="141">
        <v>5031821</v>
      </c>
      <c r="N956" s="141" t="s">
        <v>2382</v>
      </c>
      <c r="O956" s="142"/>
      <c r="P956" s="142"/>
      <c r="Q956" s="142"/>
      <c r="R956" s="142"/>
      <c r="S956" s="142"/>
      <c r="T956" s="141" t="s">
        <v>5496</v>
      </c>
      <c r="V956" s="43" t="s">
        <v>782</v>
      </c>
      <c r="AF956" s="42">
        <v>2152249</v>
      </c>
      <c r="AG956" s="42" t="s">
        <v>6529</v>
      </c>
    </row>
    <row r="957" spans="6:33" ht="15.75" customHeight="1">
      <c r="F957" s="40" t="s">
        <v>8465</v>
      </c>
      <c r="G957" s="36" t="s">
        <v>8508</v>
      </c>
      <c r="H957" s="36" t="s">
        <v>8208</v>
      </c>
      <c r="I957" s="40" t="s">
        <v>6850</v>
      </c>
      <c r="J957" s="140" t="s">
        <v>8569</v>
      </c>
      <c r="K957" s="141" t="s">
        <v>8570</v>
      </c>
      <c r="L957" s="141">
        <v>2141102</v>
      </c>
      <c r="M957" s="141">
        <v>2229722</v>
      </c>
      <c r="N957" s="141"/>
      <c r="O957" s="142"/>
      <c r="P957" s="142"/>
      <c r="Q957" s="142"/>
      <c r="R957" s="142"/>
      <c r="S957" s="142"/>
      <c r="T957" s="141" t="s">
        <v>8600</v>
      </c>
      <c r="V957" s="43" t="s">
        <v>5895</v>
      </c>
      <c r="AF957" s="42">
        <v>2152250</v>
      </c>
      <c r="AG957" s="42" t="s">
        <v>6529</v>
      </c>
    </row>
    <row r="958" spans="6:33" ht="15.75" customHeight="1">
      <c r="F958" s="40" t="s">
        <v>2422</v>
      </c>
      <c r="G958" s="36" t="s">
        <v>2423</v>
      </c>
      <c r="H958" s="36" t="s">
        <v>595</v>
      </c>
      <c r="I958" s="40" t="s">
        <v>6847</v>
      </c>
      <c r="J958" s="140" t="s">
        <v>2427</v>
      </c>
      <c r="K958" s="141">
        <v>2110200</v>
      </c>
      <c r="L958" s="141">
        <v>3300012807</v>
      </c>
      <c r="M958" s="141" t="s">
        <v>7555</v>
      </c>
      <c r="N958" s="141"/>
      <c r="O958" s="142"/>
      <c r="P958" s="142"/>
      <c r="Q958" s="142"/>
      <c r="R958" s="142"/>
      <c r="S958" s="142"/>
      <c r="T958" s="141" t="s">
        <v>2429</v>
      </c>
      <c r="V958" s="43" t="s">
        <v>2425</v>
      </c>
      <c r="AF958" s="42">
        <v>2152252</v>
      </c>
      <c r="AG958" s="42" t="s">
        <v>6529</v>
      </c>
    </row>
    <row r="959" spans="6:33" ht="15.75" customHeight="1">
      <c r="F959" s="40" t="s">
        <v>2679</v>
      </c>
      <c r="G959" s="36" t="s">
        <v>45</v>
      </c>
      <c r="H959" s="36" t="s">
        <v>670</v>
      </c>
      <c r="I959" s="40" t="s">
        <v>6849</v>
      </c>
      <c r="J959" s="140"/>
      <c r="K959" s="141">
        <v>2084812</v>
      </c>
      <c r="L959" s="141" t="s">
        <v>2681</v>
      </c>
      <c r="M959" s="141" t="s">
        <v>2682</v>
      </c>
      <c r="N959" s="141"/>
      <c r="O959" s="142"/>
      <c r="P959" s="142"/>
      <c r="Q959" s="142"/>
      <c r="R959" s="142"/>
      <c r="S959" s="142"/>
      <c r="T959" s="141" t="s">
        <v>2683</v>
      </c>
      <c r="V959" s="43" t="s">
        <v>2676</v>
      </c>
      <c r="AF959" s="42">
        <v>2152253</v>
      </c>
      <c r="AG959" s="42" t="s">
        <v>6529</v>
      </c>
    </row>
    <row r="960" spans="6:33" ht="15.75" customHeight="1">
      <c r="F960" s="40" t="s">
        <v>7776</v>
      </c>
      <c r="G960" s="36" t="s">
        <v>7933</v>
      </c>
      <c r="H960" s="36" t="s">
        <v>8208</v>
      </c>
      <c r="I960" s="40" t="s">
        <v>6850</v>
      </c>
      <c r="J960" s="138">
        <v>2096109</v>
      </c>
      <c r="K960" s="139">
        <v>3300016496</v>
      </c>
      <c r="L960" s="139" t="s">
        <v>8106</v>
      </c>
      <c r="M960" s="141" t="s">
        <v>8107</v>
      </c>
      <c r="N960" s="141" t="s">
        <v>8108</v>
      </c>
      <c r="O960" s="142"/>
      <c r="P960" s="142"/>
      <c r="Q960" s="142"/>
      <c r="R960" s="142"/>
      <c r="S960" s="142"/>
      <c r="T960" s="139">
        <v>11300018</v>
      </c>
      <c r="V960" s="43" t="s">
        <v>8197</v>
      </c>
      <c r="AF960" s="42">
        <v>2152254</v>
      </c>
      <c r="AG960" s="42" t="s">
        <v>6529</v>
      </c>
    </row>
    <row r="961" spans="6:33" ht="15.75" customHeight="1">
      <c r="F961" s="40" t="s">
        <v>1974</v>
      </c>
      <c r="G961" s="36" t="s">
        <v>1975</v>
      </c>
      <c r="H961" s="36" t="s">
        <v>564</v>
      </c>
      <c r="I961" s="40" t="s">
        <v>6851</v>
      </c>
      <c r="J961" s="140">
        <v>2103799</v>
      </c>
      <c r="K961" s="141">
        <v>5050509</v>
      </c>
      <c r="L961" s="141" t="s">
        <v>1977</v>
      </c>
      <c r="M961" s="141" t="s">
        <v>1978</v>
      </c>
      <c r="N961" s="141">
        <v>3300009512</v>
      </c>
      <c r="O961" s="142"/>
      <c r="P961" s="142"/>
      <c r="Q961" s="142"/>
      <c r="R961" s="142"/>
      <c r="S961" s="142"/>
      <c r="T961" s="141" t="s">
        <v>1979</v>
      </c>
      <c r="V961" s="43" t="s">
        <v>1954</v>
      </c>
      <c r="AF961" s="42">
        <v>2152257</v>
      </c>
      <c r="AG961" s="42" t="s">
        <v>6529</v>
      </c>
    </row>
    <row r="962" spans="6:33" ht="15.75" customHeight="1">
      <c r="F962" s="40" t="s">
        <v>7141</v>
      </c>
      <c r="G962" s="36" t="s">
        <v>7155</v>
      </c>
      <c r="H962" s="36" t="s">
        <v>8513</v>
      </c>
      <c r="I962" s="40" t="s">
        <v>6853</v>
      </c>
      <c r="J962" s="140">
        <v>5048924</v>
      </c>
      <c r="K962" s="141">
        <v>2087325</v>
      </c>
      <c r="L962" s="141">
        <v>5049703</v>
      </c>
      <c r="M962" s="141">
        <v>3300012501</v>
      </c>
      <c r="N962" s="141"/>
      <c r="O962" s="142"/>
      <c r="P962" s="142"/>
      <c r="Q962" s="142"/>
      <c r="R962" s="142"/>
      <c r="S962" s="142"/>
      <c r="T962" s="141" t="s">
        <v>7064</v>
      </c>
      <c r="V962" s="43" t="s">
        <v>581</v>
      </c>
      <c r="AF962" s="42">
        <v>2152258</v>
      </c>
      <c r="AG962" s="42" t="s">
        <v>6529</v>
      </c>
    </row>
    <row r="963" spans="6:33" ht="15.75" customHeight="1">
      <c r="F963" s="40" t="s">
        <v>1258</v>
      </c>
      <c r="G963" s="36" t="s">
        <v>1259</v>
      </c>
      <c r="H963" s="36" t="s">
        <v>564</v>
      </c>
      <c r="I963" s="40" t="s">
        <v>6851</v>
      </c>
      <c r="J963" s="140">
        <v>5070896</v>
      </c>
      <c r="K963" s="141" t="s">
        <v>1261</v>
      </c>
      <c r="L963" s="141">
        <v>5104317</v>
      </c>
      <c r="M963" s="141">
        <v>3300008129</v>
      </c>
      <c r="N963" s="141">
        <v>2116252</v>
      </c>
      <c r="O963" s="142"/>
      <c r="P963" s="142"/>
      <c r="Q963" s="142"/>
      <c r="R963" s="142"/>
      <c r="S963" s="142"/>
      <c r="T963" s="141" t="s">
        <v>1262</v>
      </c>
      <c r="V963" s="43" t="s">
        <v>703</v>
      </c>
      <c r="AF963" s="42">
        <v>2152553</v>
      </c>
      <c r="AG963" s="42" t="s">
        <v>6673</v>
      </c>
    </row>
    <row r="964" spans="6:33" ht="15.75" customHeight="1">
      <c r="F964" s="40" t="s">
        <v>7777</v>
      </c>
      <c r="G964" s="36" t="s">
        <v>7934</v>
      </c>
      <c r="H964" s="36" t="s">
        <v>8208</v>
      </c>
      <c r="I964" s="40" t="s">
        <v>6850</v>
      </c>
      <c r="J964" s="140">
        <v>3300002901</v>
      </c>
      <c r="K964" s="141">
        <v>5045632</v>
      </c>
      <c r="L964" s="141"/>
      <c r="M964" s="141"/>
      <c r="N964" s="141"/>
      <c r="O964" s="142"/>
      <c r="P964" s="142"/>
      <c r="Q964" s="142"/>
      <c r="R964" s="142"/>
      <c r="S964" s="142"/>
      <c r="T964" s="141" t="s">
        <v>7073</v>
      </c>
      <c r="V964" s="43" t="s">
        <v>532</v>
      </c>
      <c r="AF964" s="42">
        <v>2152554</v>
      </c>
      <c r="AG964" s="42" t="s">
        <v>6673</v>
      </c>
    </row>
    <row r="965" spans="6:33" ht="15.75" customHeight="1">
      <c r="F965" s="40" t="s">
        <v>7778</v>
      </c>
      <c r="G965" s="36" t="s">
        <v>7935</v>
      </c>
      <c r="H965" s="36" t="s">
        <v>8208</v>
      </c>
      <c r="I965" s="40" t="s">
        <v>6850</v>
      </c>
      <c r="J965" s="138">
        <v>2096173</v>
      </c>
      <c r="K965" s="139"/>
      <c r="L965" s="141" t="s">
        <v>8109</v>
      </c>
      <c r="M965" s="141" t="s">
        <v>8110</v>
      </c>
      <c r="N965" s="139">
        <v>3300005762</v>
      </c>
      <c r="O965" s="142"/>
      <c r="P965" s="142"/>
      <c r="Q965" s="142"/>
      <c r="R965" s="142"/>
      <c r="S965" s="142"/>
      <c r="T965" s="139">
        <v>121300117</v>
      </c>
      <c r="V965" s="43" t="s">
        <v>642</v>
      </c>
      <c r="AF965" s="42">
        <v>2155047</v>
      </c>
      <c r="AG965" s="42" t="s">
        <v>6673</v>
      </c>
    </row>
    <row r="966" spans="6:33" ht="15.75" customHeight="1">
      <c r="F966" s="40" t="s">
        <v>5376</v>
      </c>
      <c r="G966" s="36" t="s">
        <v>5377</v>
      </c>
      <c r="H966" s="36" t="s">
        <v>761</v>
      </c>
      <c r="I966" s="40" t="s">
        <v>6848</v>
      </c>
      <c r="J966" s="140" t="s">
        <v>5379</v>
      </c>
      <c r="K966" s="141" t="s">
        <v>5380</v>
      </c>
      <c r="L966" s="141" t="s">
        <v>5381</v>
      </c>
      <c r="M966" s="141">
        <v>3300003004</v>
      </c>
      <c r="N966" s="141" t="s">
        <v>6746</v>
      </c>
      <c r="O966" s="142"/>
      <c r="P966" s="142"/>
      <c r="Q966" s="142"/>
      <c r="R966" s="142"/>
      <c r="S966" s="142"/>
      <c r="T966" s="141" t="s">
        <v>5384</v>
      </c>
      <c r="V966" s="43" t="s">
        <v>681</v>
      </c>
      <c r="AF966" s="42">
        <v>2155049</v>
      </c>
      <c r="AG966" s="42" t="s">
        <v>6673</v>
      </c>
    </row>
    <row r="967" spans="6:33" ht="15.75" customHeight="1">
      <c r="F967" s="40" t="s">
        <v>7779</v>
      </c>
      <c r="G967" s="36" t="s">
        <v>7936</v>
      </c>
      <c r="H967" s="36" t="s">
        <v>8208</v>
      </c>
      <c r="I967" s="40" t="s">
        <v>6850</v>
      </c>
      <c r="J967" s="140">
        <v>2081879</v>
      </c>
      <c r="K967" s="141">
        <v>2081902</v>
      </c>
      <c r="L967" s="141">
        <v>5077360</v>
      </c>
      <c r="M967" s="141" t="s">
        <v>8111</v>
      </c>
      <c r="N967" s="141">
        <v>3300001644</v>
      </c>
      <c r="O967" s="142"/>
      <c r="P967" s="142"/>
      <c r="Q967" s="142"/>
      <c r="R967" s="142"/>
      <c r="S967" s="142"/>
      <c r="T967" s="141">
        <v>101200071</v>
      </c>
      <c r="V967" s="43" t="s">
        <v>610</v>
      </c>
      <c r="AF967" s="42">
        <v>2159520</v>
      </c>
      <c r="AG967" s="42" t="s">
        <v>6673</v>
      </c>
    </row>
    <row r="968" spans="6:33" ht="15.75" customHeight="1">
      <c r="F968" s="40" t="s">
        <v>7188</v>
      </c>
      <c r="G968" s="36" t="s">
        <v>7189</v>
      </c>
      <c r="H968" s="36" t="s">
        <v>564</v>
      </c>
      <c r="I968" s="40" t="s">
        <v>6851</v>
      </c>
      <c r="J968" s="140">
        <v>3400003035</v>
      </c>
      <c r="K968" s="141" t="s">
        <v>2991</v>
      </c>
      <c r="L968" s="141" t="s">
        <v>7084</v>
      </c>
      <c r="M968" s="141">
        <v>2183583</v>
      </c>
      <c r="N968" s="141">
        <v>5008416</v>
      </c>
      <c r="O968" s="142"/>
      <c r="P968" s="142"/>
      <c r="Q968" s="142"/>
      <c r="R968" s="142"/>
      <c r="S968" s="142"/>
      <c r="T968" s="141" t="s">
        <v>7083</v>
      </c>
      <c r="V968" s="43" t="s">
        <v>7208</v>
      </c>
      <c r="AF968" s="42">
        <v>2159521</v>
      </c>
      <c r="AG968" s="42" t="s">
        <v>6673</v>
      </c>
    </row>
    <row r="969" spans="6:33" ht="15.75" customHeight="1">
      <c r="F969" s="40" t="s">
        <v>2281</v>
      </c>
      <c r="G969" s="36" t="s">
        <v>2282</v>
      </c>
      <c r="H969" s="36" t="s">
        <v>564</v>
      </c>
      <c r="I969" s="40" t="s">
        <v>6851</v>
      </c>
      <c r="J969" s="140" t="s">
        <v>8262</v>
      </c>
      <c r="K969" s="141" t="s">
        <v>2283</v>
      </c>
      <c r="L969" s="141">
        <v>2103946</v>
      </c>
      <c r="M969" s="141" t="s">
        <v>2285</v>
      </c>
      <c r="N969" s="141">
        <v>3300005153</v>
      </c>
      <c r="O969" s="142"/>
      <c r="P969" s="142"/>
      <c r="Q969" s="142"/>
      <c r="R969" s="142"/>
      <c r="S969" s="142"/>
      <c r="T969" s="141" t="s">
        <v>2286</v>
      </c>
      <c r="V969" s="43" t="s">
        <v>623</v>
      </c>
      <c r="AF969" s="42">
        <v>2159826</v>
      </c>
      <c r="AG969" s="42" t="s">
        <v>6672</v>
      </c>
    </row>
    <row r="970" spans="6:33" ht="15.75" customHeight="1">
      <c r="F970" s="40" t="s">
        <v>7780</v>
      </c>
      <c r="G970" s="36" t="s">
        <v>7937</v>
      </c>
      <c r="H970" s="36" t="s">
        <v>8208</v>
      </c>
      <c r="I970" s="40" t="s">
        <v>6850</v>
      </c>
      <c r="J970" s="140">
        <v>2081951</v>
      </c>
      <c r="K970" s="141" t="s">
        <v>8112</v>
      </c>
      <c r="L970" s="141">
        <v>5049691</v>
      </c>
      <c r="M970" s="141"/>
      <c r="N970" s="141"/>
      <c r="O970" s="142"/>
      <c r="P970" s="142"/>
      <c r="Q970" s="142"/>
      <c r="R970" s="142"/>
      <c r="S970" s="142"/>
      <c r="T970" s="141">
        <v>111200058</v>
      </c>
      <c r="V970" s="43" t="s">
        <v>8198</v>
      </c>
      <c r="AF970" s="42">
        <v>2159869</v>
      </c>
      <c r="AG970" s="42" t="s">
        <v>6672</v>
      </c>
    </row>
    <row r="971" spans="6:33" ht="15.75" customHeight="1">
      <c r="F971" s="40" t="s">
        <v>1266</v>
      </c>
      <c r="G971" s="36" t="s">
        <v>8324</v>
      </c>
      <c r="H971" s="36" t="s">
        <v>564</v>
      </c>
      <c r="I971" s="40" t="s">
        <v>6851</v>
      </c>
      <c r="J971" s="140" t="s">
        <v>1269</v>
      </c>
      <c r="K971" s="141">
        <v>3300012817</v>
      </c>
      <c r="L971" s="141">
        <v>5100171</v>
      </c>
      <c r="M971" s="141">
        <v>3300010073</v>
      </c>
      <c r="N971" s="141">
        <v>2171933</v>
      </c>
      <c r="O971" s="142"/>
      <c r="P971" s="142"/>
      <c r="Q971" s="142"/>
      <c r="R971" s="142"/>
      <c r="S971" s="142"/>
      <c r="T971" s="141" t="s">
        <v>1272</v>
      </c>
      <c r="V971" s="43" t="s">
        <v>814</v>
      </c>
      <c r="AF971" s="42">
        <v>2159887</v>
      </c>
      <c r="AG971" s="42" t="s">
        <v>6672</v>
      </c>
    </row>
    <row r="972" spans="6:33" ht="15.75" customHeight="1">
      <c r="F972" s="40" t="s">
        <v>5114</v>
      </c>
      <c r="G972" s="36" t="s">
        <v>5115</v>
      </c>
      <c r="H972" s="36" t="s">
        <v>761</v>
      </c>
      <c r="I972" s="40" t="s">
        <v>6848</v>
      </c>
      <c r="J972" s="140">
        <v>5045688</v>
      </c>
      <c r="K972" s="141">
        <v>2117096</v>
      </c>
      <c r="L972" s="141" t="s">
        <v>5116</v>
      </c>
      <c r="M972" s="141" t="s">
        <v>5117</v>
      </c>
      <c r="N972" s="141">
        <v>3300003619</v>
      </c>
      <c r="O972" s="142"/>
      <c r="P972" s="142"/>
      <c r="Q972" s="142"/>
      <c r="R972" s="142"/>
      <c r="S972" s="142"/>
      <c r="T972" s="141" t="s">
        <v>5118</v>
      </c>
      <c r="V972" s="43" t="s">
        <v>671</v>
      </c>
      <c r="AF972" s="42">
        <v>2159890</v>
      </c>
      <c r="AG972" s="42" t="s">
        <v>6672</v>
      </c>
    </row>
    <row r="973" spans="6:33" ht="15.75" customHeight="1">
      <c r="F973" s="40" t="s">
        <v>2296</v>
      </c>
      <c r="G973" s="36" t="s">
        <v>2297</v>
      </c>
      <c r="H973" s="36" t="s">
        <v>564</v>
      </c>
      <c r="I973" s="40" t="s">
        <v>6851</v>
      </c>
      <c r="J973" s="140" t="s">
        <v>2298</v>
      </c>
      <c r="K973" s="141">
        <v>3300009719</v>
      </c>
      <c r="L973" s="141">
        <v>2172002</v>
      </c>
      <c r="M973" s="141"/>
      <c r="N973" s="141"/>
      <c r="O973" s="142"/>
      <c r="P973" s="142"/>
      <c r="Q973" s="142"/>
      <c r="R973" s="142"/>
      <c r="S973" s="142"/>
      <c r="T973" s="141" t="s">
        <v>2299</v>
      </c>
      <c r="V973" s="43" t="s">
        <v>564</v>
      </c>
      <c r="AF973" s="42">
        <v>2159893</v>
      </c>
      <c r="AG973" s="42" t="s">
        <v>6672</v>
      </c>
    </row>
    <row r="974" spans="6:33" ht="15.75" customHeight="1">
      <c r="F974" s="40" t="s">
        <v>1755</v>
      </c>
      <c r="G974" s="36" t="s">
        <v>1756</v>
      </c>
      <c r="H974" s="36" t="s">
        <v>564</v>
      </c>
      <c r="I974" s="40" t="s">
        <v>6851</v>
      </c>
      <c r="J974" s="140">
        <v>330000975</v>
      </c>
      <c r="K974" s="141">
        <v>2171994</v>
      </c>
      <c r="L974" s="141" t="s">
        <v>1757</v>
      </c>
      <c r="M974" s="141">
        <v>5059334</v>
      </c>
      <c r="N974" s="141"/>
      <c r="O974" s="142"/>
      <c r="P974" s="142"/>
      <c r="Q974" s="142"/>
      <c r="R974" s="142"/>
      <c r="S974" s="142"/>
      <c r="T974" s="141" t="s">
        <v>1758</v>
      </c>
      <c r="V974" s="43" t="s">
        <v>637</v>
      </c>
      <c r="AF974" s="42">
        <v>2159903</v>
      </c>
      <c r="AG974" s="42" t="s">
        <v>6672</v>
      </c>
    </row>
    <row r="975" spans="6:33" ht="15.75" customHeight="1">
      <c r="F975" s="40" t="s">
        <v>7506</v>
      </c>
      <c r="G975" s="36" t="s">
        <v>7507</v>
      </c>
      <c r="H975" s="36" t="s">
        <v>564</v>
      </c>
      <c r="I975" s="40" t="s">
        <v>6851</v>
      </c>
      <c r="J975" s="140" t="s">
        <v>5809</v>
      </c>
      <c r="K975" s="141">
        <v>3300016390</v>
      </c>
      <c r="L975" s="141" t="s">
        <v>1648</v>
      </c>
      <c r="M975" s="141"/>
      <c r="N975" s="141"/>
      <c r="O975" s="142"/>
      <c r="P975" s="142"/>
      <c r="Q975" s="142"/>
      <c r="R975" s="142"/>
      <c r="S975" s="142"/>
      <c r="T975" s="141" t="s">
        <v>7287</v>
      </c>
      <c r="V975" s="43" t="s">
        <v>7600</v>
      </c>
      <c r="AF975" s="42">
        <v>2159910</v>
      </c>
      <c r="AG975" s="42" t="s">
        <v>6672</v>
      </c>
    </row>
    <row r="976" spans="6:33" ht="15.75" customHeight="1">
      <c r="F976" s="40" t="s">
        <v>7781</v>
      </c>
      <c r="G976" s="36" t="s">
        <v>7938</v>
      </c>
      <c r="H976" s="36" t="s">
        <v>8208</v>
      </c>
      <c r="I976" s="40" t="s">
        <v>6850</v>
      </c>
      <c r="J976" s="140">
        <v>5053808</v>
      </c>
      <c r="K976" s="141">
        <v>3300010924</v>
      </c>
      <c r="L976" s="141" t="s">
        <v>8114</v>
      </c>
      <c r="M976" s="141"/>
      <c r="N976" s="141"/>
      <c r="O976" s="142"/>
      <c r="P976" s="142"/>
      <c r="Q976" s="142"/>
      <c r="R976" s="142"/>
      <c r="S976" s="142"/>
      <c r="T976" s="141">
        <v>111400006</v>
      </c>
      <c r="V976" s="43" t="s">
        <v>771</v>
      </c>
      <c r="AF976" s="42">
        <v>2159930</v>
      </c>
      <c r="AG976" s="42" t="s">
        <v>6672</v>
      </c>
    </row>
    <row r="977" spans="6:33" ht="15.75" customHeight="1">
      <c r="F977" s="40" t="s">
        <v>8357</v>
      </c>
      <c r="G977" s="36" t="s">
        <v>8378</v>
      </c>
      <c r="H977" s="36" t="s">
        <v>8513</v>
      </c>
      <c r="I977" s="40" t="s">
        <v>6853</v>
      </c>
      <c r="J977" s="140">
        <v>3300002933</v>
      </c>
      <c r="K977" s="141">
        <v>5006424</v>
      </c>
      <c r="L977" s="141">
        <v>2084705</v>
      </c>
      <c r="M977" s="141">
        <v>3300012818</v>
      </c>
      <c r="N977" s="141"/>
      <c r="O977" s="142"/>
      <c r="P977" s="142"/>
      <c r="Q977" s="142"/>
      <c r="R977" s="142"/>
      <c r="S977" s="142"/>
      <c r="T977" s="141" t="s">
        <v>5810</v>
      </c>
      <c r="V977" s="43" t="s">
        <v>3671</v>
      </c>
      <c r="AF977" s="42">
        <v>2159931</v>
      </c>
      <c r="AG977" s="42" t="s">
        <v>6672</v>
      </c>
    </row>
    <row r="978" spans="6:33" ht="15.75" customHeight="1">
      <c r="F978" s="40" t="s">
        <v>8306</v>
      </c>
      <c r="G978" s="36" t="s">
        <v>8325</v>
      </c>
      <c r="H978" s="36" t="s">
        <v>8208</v>
      </c>
      <c r="I978" s="40" t="s">
        <v>6850</v>
      </c>
      <c r="J978" s="140">
        <v>2119213</v>
      </c>
      <c r="K978" s="141">
        <v>5089771</v>
      </c>
      <c r="L978" s="141">
        <v>2149679</v>
      </c>
      <c r="M978" s="141" t="s">
        <v>8246</v>
      </c>
      <c r="N978" s="141"/>
      <c r="O978" s="142"/>
      <c r="P978" s="142"/>
      <c r="Q978" s="142"/>
      <c r="R978" s="142"/>
      <c r="S978" s="142"/>
      <c r="T978" s="141">
        <v>31300126</v>
      </c>
      <c r="V978" s="43" t="s">
        <v>7593</v>
      </c>
      <c r="AF978" s="42">
        <v>2159932</v>
      </c>
      <c r="AG978" s="42" t="s">
        <v>6672</v>
      </c>
    </row>
    <row r="979" spans="6:33" ht="15.75" customHeight="1">
      <c r="F979" s="40" t="s">
        <v>1409</v>
      </c>
      <c r="G979" s="36" t="s">
        <v>1410</v>
      </c>
      <c r="H979" s="36" t="s">
        <v>564</v>
      </c>
      <c r="I979" s="40" t="s">
        <v>6851</v>
      </c>
      <c r="J979" s="140">
        <v>2116043</v>
      </c>
      <c r="K979" s="141" t="s">
        <v>1411</v>
      </c>
      <c r="L979" s="141">
        <v>3300009806</v>
      </c>
      <c r="M979" s="141">
        <v>5033020</v>
      </c>
      <c r="N979" s="141">
        <v>2119180</v>
      </c>
      <c r="O979" s="142"/>
      <c r="P979" s="142"/>
      <c r="Q979" s="142"/>
      <c r="R979" s="142"/>
      <c r="S979" s="142"/>
      <c r="T979" s="141" t="s">
        <v>6793</v>
      </c>
      <c r="V979" s="43" t="s">
        <v>746</v>
      </c>
      <c r="AF979" s="42">
        <v>2159998</v>
      </c>
      <c r="AG979" s="42" t="s">
        <v>6528</v>
      </c>
    </row>
    <row r="980" spans="6:33" ht="15.75" customHeight="1">
      <c r="F980" s="40" t="s">
        <v>2781</v>
      </c>
      <c r="G980" s="36" t="s">
        <v>19</v>
      </c>
      <c r="H980" s="36" t="s">
        <v>670</v>
      </c>
      <c r="I980" s="40" t="s">
        <v>6849</v>
      </c>
      <c r="J980" s="140">
        <v>2115668</v>
      </c>
      <c r="K980" s="141" t="s">
        <v>2782</v>
      </c>
      <c r="L980" s="141">
        <v>5040887</v>
      </c>
      <c r="M980" s="141" t="s">
        <v>6629</v>
      </c>
      <c r="N980" s="141">
        <v>2117102</v>
      </c>
      <c r="O980" s="142"/>
      <c r="P980" s="142"/>
      <c r="Q980" s="142"/>
      <c r="R980" s="142"/>
      <c r="S980" s="142"/>
      <c r="T980" s="141" t="s">
        <v>2783</v>
      </c>
      <c r="V980" s="43" t="s">
        <v>707</v>
      </c>
      <c r="AF980" s="42">
        <v>2160005</v>
      </c>
      <c r="AG980" s="42" t="s">
        <v>6528</v>
      </c>
    </row>
    <row r="981" spans="6:33" ht="15.75" customHeight="1">
      <c r="F981" s="40" t="s">
        <v>4288</v>
      </c>
      <c r="G981" s="36" t="s">
        <v>4289</v>
      </c>
      <c r="H981" s="36" t="s">
        <v>553</v>
      </c>
      <c r="I981" s="40" t="s">
        <v>6853</v>
      </c>
      <c r="J981" s="138" t="s">
        <v>4290</v>
      </c>
      <c r="K981" s="139">
        <v>3300009540</v>
      </c>
      <c r="L981" s="139">
        <v>2172016</v>
      </c>
      <c r="M981" s="141"/>
      <c r="N981" s="141"/>
      <c r="O981" s="142"/>
      <c r="P981" s="142"/>
      <c r="Q981" s="142"/>
      <c r="R981" s="142"/>
      <c r="S981" s="142"/>
      <c r="T981" s="139" t="s">
        <v>6806</v>
      </c>
      <c r="V981" s="43" t="s">
        <v>553</v>
      </c>
      <c r="AF981" s="42">
        <v>2160121</v>
      </c>
      <c r="AG981" s="42" t="s">
        <v>6528</v>
      </c>
    </row>
    <row r="982" spans="6:33" ht="15.75" customHeight="1">
      <c r="F982" s="40" t="s">
        <v>7364</v>
      </c>
      <c r="G982" s="36" t="s">
        <v>7374</v>
      </c>
      <c r="H982" s="36" t="s">
        <v>553</v>
      </c>
      <c r="I982" s="40" t="s">
        <v>6853</v>
      </c>
      <c r="J982" s="138">
        <v>3300003011</v>
      </c>
      <c r="K982" s="139">
        <v>2183599</v>
      </c>
      <c r="L982" s="139" t="s">
        <v>4099</v>
      </c>
      <c r="M982" s="141">
        <v>5059381</v>
      </c>
      <c r="N982" s="141">
        <v>2171996</v>
      </c>
      <c r="O982" s="142"/>
      <c r="P982" s="142"/>
      <c r="Q982" s="142"/>
      <c r="R982" s="142"/>
      <c r="S982" s="142"/>
      <c r="T982" s="139" t="s">
        <v>4100</v>
      </c>
      <c r="V982" s="43" t="s">
        <v>529</v>
      </c>
      <c r="AF982" s="42">
        <v>2160272</v>
      </c>
      <c r="AG982" s="42" t="s">
        <v>6528</v>
      </c>
    </row>
    <row r="983" spans="6:33" ht="15.75" customHeight="1">
      <c r="F983" s="40" t="s">
        <v>4891</v>
      </c>
      <c r="G983" s="36" t="s">
        <v>4892</v>
      </c>
      <c r="H983" s="36" t="s">
        <v>761</v>
      </c>
      <c r="I983" s="40" t="s">
        <v>6848</v>
      </c>
      <c r="J983" s="140">
        <v>2103864</v>
      </c>
      <c r="K983" s="141">
        <v>3300005730</v>
      </c>
      <c r="L983" s="141">
        <v>5059295</v>
      </c>
      <c r="M983" s="141" t="s">
        <v>4893</v>
      </c>
      <c r="N983" s="141">
        <v>2226109</v>
      </c>
      <c r="O983" s="142"/>
      <c r="P983" s="142"/>
      <c r="Q983" s="142"/>
      <c r="R983" s="142"/>
      <c r="S983" s="142"/>
      <c r="T983" s="141" t="s">
        <v>4894</v>
      </c>
      <c r="V983" s="43" t="s">
        <v>800</v>
      </c>
      <c r="AF983" s="42">
        <v>2160277</v>
      </c>
      <c r="AG983" s="42" t="s">
        <v>6528</v>
      </c>
    </row>
    <row r="984" spans="6:33" ht="15.75" customHeight="1">
      <c r="F984" s="40" t="s">
        <v>5312</v>
      </c>
      <c r="G984" s="36" t="s">
        <v>5313</v>
      </c>
      <c r="H984" s="36" t="s">
        <v>761</v>
      </c>
      <c r="I984" s="40" t="s">
        <v>6848</v>
      </c>
      <c r="J984" s="140">
        <v>2103878</v>
      </c>
      <c r="K984" s="141" t="s">
        <v>5314</v>
      </c>
      <c r="L984" s="141">
        <v>3300002823</v>
      </c>
      <c r="M984" s="141" t="s">
        <v>8571</v>
      </c>
      <c r="N984" s="141">
        <v>2103943</v>
      </c>
      <c r="O984" s="142"/>
      <c r="P984" s="142"/>
      <c r="Q984" s="142"/>
      <c r="R984" s="142"/>
      <c r="S984" s="142"/>
      <c r="T984" s="141" t="s">
        <v>5316</v>
      </c>
      <c r="V984" s="43" t="s">
        <v>5032</v>
      </c>
      <c r="AF984" s="42">
        <v>2160283</v>
      </c>
      <c r="AG984" s="42" t="s">
        <v>6528</v>
      </c>
    </row>
    <row r="985" spans="6:33" ht="15.75" customHeight="1">
      <c r="F985" s="40" t="s">
        <v>6277</v>
      </c>
      <c r="G985" s="36" t="s">
        <v>6278</v>
      </c>
      <c r="H985" s="36" t="s">
        <v>8208</v>
      </c>
      <c r="I985" s="40" t="s">
        <v>6850</v>
      </c>
      <c r="J985" s="140">
        <v>3300001679</v>
      </c>
      <c r="K985" s="141">
        <v>5045698</v>
      </c>
      <c r="L985" s="141" t="s">
        <v>6279</v>
      </c>
      <c r="M985" s="141">
        <v>2171917</v>
      </c>
      <c r="N985" s="141"/>
      <c r="O985" s="142"/>
      <c r="P985" s="142"/>
      <c r="Q985" s="142"/>
      <c r="R985" s="142"/>
      <c r="S985" s="142"/>
      <c r="T985" s="141" t="s">
        <v>6280</v>
      </c>
      <c r="V985" s="43" t="s">
        <v>650</v>
      </c>
      <c r="AF985" s="42">
        <v>2160286</v>
      </c>
      <c r="AG985" s="42" t="s">
        <v>6528</v>
      </c>
    </row>
    <row r="986" spans="6:33" ht="15.75" customHeight="1">
      <c r="F986" s="40" t="s">
        <v>5498</v>
      </c>
      <c r="G986" s="36" t="s">
        <v>5499</v>
      </c>
      <c r="H986" s="36" t="s">
        <v>761</v>
      </c>
      <c r="I986" s="40" t="s">
        <v>6848</v>
      </c>
      <c r="J986" s="140">
        <v>3300008893</v>
      </c>
      <c r="K986" s="141" t="s">
        <v>5500</v>
      </c>
      <c r="L986" s="141">
        <v>2114776</v>
      </c>
      <c r="M986" s="141">
        <v>5050468</v>
      </c>
      <c r="N986" s="141">
        <v>5031911</v>
      </c>
      <c r="O986" s="142"/>
      <c r="P986" s="142"/>
      <c r="Q986" s="142"/>
      <c r="R986" s="142"/>
      <c r="S986" s="142"/>
      <c r="T986" s="141" t="s">
        <v>5501</v>
      </c>
      <c r="V986" s="43" t="s">
        <v>772</v>
      </c>
      <c r="AF986" s="42">
        <v>2160299</v>
      </c>
      <c r="AG986" s="42" t="s">
        <v>6528</v>
      </c>
    </row>
    <row r="987" spans="6:33" ht="15.75" customHeight="1">
      <c r="F987" s="40" t="s">
        <v>7782</v>
      </c>
      <c r="G987" s="36" t="s">
        <v>7939</v>
      </c>
      <c r="H987" s="36" t="s">
        <v>8208</v>
      </c>
      <c r="I987" s="40" t="s">
        <v>6850</v>
      </c>
      <c r="J987" s="138" t="s">
        <v>7618</v>
      </c>
      <c r="K987" s="139">
        <v>2152242</v>
      </c>
      <c r="L987" s="139"/>
      <c r="M987" s="141"/>
      <c r="N987" s="141"/>
      <c r="O987" s="142"/>
      <c r="P987" s="142"/>
      <c r="Q987" s="142"/>
      <c r="R987" s="142"/>
      <c r="S987" s="142"/>
      <c r="T987" s="139" t="s">
        <v>7610</v>
      </c>
      <c r="V987" s="43" t="s">
        <v>6448</v>
      </c>
      <c r="AF987" s="42">
        <v>2160341</v>
      </c>
      <c r="AG987" s="42" t="s">
        <v>6673</v>
      </c>
    </row>
    <row r="988" spans="6:33" ht="15.75" customHeight="1">
      <c r="F988" s="40" t="s">
        <v>7783</v>
      </c>
      <c r="G988" s="36" t="s">
        <v>7940</v>
      </c>
      <c r="H988" s="36" t="s">
        <v>8208</v>
      </c>
      <c r="I988" s="40" t="s">
        <v>6850</v>
      </c>
      <c r="J988" s="140">
        <v>2177143</v>
      </c>
      <c r="K988" s="141">
        <v>5051899</v>
      </c>
      <c r="L988" s="141">
        <v>2141079</v>
      </c>
      <c r="M988" s="141"/>
      <c r="N988" s="141"/>
      <c r="O988" s="142"/>
      <c r="P988" s="142"/>
      <c r="Q988" s="142"/>
      <c r="R988" s="142"/>
      <c r="S988" s="142"/>
      <c r="T988" s="141">
        <v>121300148</v>
      </c>
      <c r="V988" s="43" t="s">
        <v>8199</v>
      </c>
      <c r="AF988" s="42">
        <v>2160439</v>
      </c>
      <c r="AG988" s="42" t="s">
        <v>6528</v>
      </c>
    </row>
    <row r="989" spans="6:33" ht="15.75" customHeight="1">
      <c r="F989" s="40" t="s">
        <v>6003</v>
      </c>
      <c r="G989" s="36" t="s">
        <v>6004</v>
      </c>
      <c r="H989" s="36" t="s">
        <v>8208</v>
      </c>
      <c r="I989" s="40" t="s">
        <v>6850</v>
      </c>
      <c r="J989" s="140">
        <v>2103945</v>
      </c>
      <c r="K989" s="141" t="s">
        <v>6005</v>
      </c>
      <c r="L989" s="141">
        <v>2103938</v>
      </c>
      <c r="M989" s="141" t="s">
        <v>7014</v>
      </c>
      <c r="N989" s="141"/>
      <c r="O989" s="142"/>
      <c r="P989" s="142"/>
      <c r="Q989" s="142"/>
      <c r="R989" s="142"/>
      <c r="S989" s="142"/>
      <c r="T989" s="141" t="s">
        <v>6007</v>
      </c>
      <c r="V989" s="43" t="s">
        <v>663</v>
      </c>
      <c r="AF989" s="42">
        <v>2160442</v>
      </c>
      <c r="AG989" s="42" t="s">
        <v>6528</v>
      </c>
    </row>
    <row r="990" spans="6:33" ht="15.75" customHeight="1">
      <c r="F990" s="40" t="s">
        <v>7142</v>
      </c>
      <c r="G990" s="36" t="s">
        <v>7156</v>
      </c>
      <c r="H990" s="36" t="s">
        <v>761</v>
      </c>
      <c r="I990" s="40" t="s">
        <v>6848</v>
      </c>
      <c r="J990" s="140">
        <v>5049718</v>
      </c>
      <c r="K990" s="141">
        <v>2087328</v>
      </c>
      <c r="L990" s="141">
        <v>3300013100</v>
      </c>
      <c r="M990" s="141"/>
      <c r="N990" s="141"/>
      <c r="O990" s="142"/>
      <c r="P990" s="142"/>
      <c r="Q990" s="142"/>
      <c r="R990" s="142"/>
      <c r="S990" s="142"/>
      <c r="T990" s="141" t="s">
        <v>3964</v>
      </c>
      <c r="V990" s="43" t="s">
        <v>4898</v>
      </c>
      <c r="AF990" s="42">
        <v>2160454</v>
      </c>
      <c r="AG990" s="42" t="s">
        <v>6528</v>
      </c>
    </row>
    <row r="991" spans="6:33" ht="15.75" customHeight="1">
      <c r="F991" s="40" t="s">
        <v>3423</v>
      </c>
      <c r="G991" s="36" t="s">
        <v>3424</v>
      </c>
      <c r="H991" s="36" t="s">
        <v>6841</v>
      </c>
      <c r="I991" s="40" t="s">
        <v>6852</v>
      </c>
      <c r="J991" s="140" t="s">
        <v>3425</v>
      </c>
      <c r="K991" s="141">
        <v>3300002993</v>
      </c>
      <c r="L991" s="141">
        <v>5103079</v>
      </c>
      <c r="M991" s="141">
        <v>2103458</v>
      </c>
      <c r="N991" s="141" t="s">
        <v>3426</v>
      </c>
      <c r="O991" s="142"/>
      <c r="P991" s="142"/>
      <c r="Q991" s="142"/>
      <c r="R991" s="142"/>
      <c r="S991" s="142"/>
      <c r="T991" s="141" t="s">
        <v>3427</v>
      </c>
      <c r="V991" s="43" t="s">
        <v>603</v>
      </c>
      <c r="AF991" s="42">
        <v>2160455</v>
      </c>
      <c r="AG991" s="42" t="s">
        <v>6528</v>
      </c>
    </row>
    <row r="992" spans="6:33" ht="15.75" customHeight="1">
      <c r="F992" s="40" t="s">
        <v>6137</v>
      </c>
      <c r="G992" s="36" t="s">
        <v>6138</v>
      </c>
      <c r="H992" s="36" t="s">
        <v>8208</v>
      </c>
      <c r="I992" s="40" t="s">
        <v>6850</v>
      </c>
      <c r="J992" s="140">
        <v>3300003012</v>
      </c>
      <c r="K992" s="141">
        <v>5001454</v>
      </c>
      <c r="L992" s="141">
        <v>5105537</v>
      </c>
      <c r="M992" s="141">
        <v>3300001280</v>
      </c>
      <c r="N992" s="141">
        <v>1907397</v>
      </c>
      <c r="O992" s="142"/>
      <c r="P992" s="142"/>
      <c r="Q992" s="142"/>
      <c r="R992" s="142"/>
      <c r="S992" s="142"/>
      <c r="T992" s="141" t="s">
        <v>6140</v>
      </c>
      <c r="V992" s="43" t="s">
        <v>532</v>
      </c>
      <c r="AF992" s="42">
        <v>2163223</v>
      </c>
      <c r="AG992" s="42" t="s">
        <v>6673</v>
      </c>
    </row>
    <row r="993" spans="6:33" ht="15.75" customHeight="1">
      <c r="F993" s="40" t="s">
        <v>7784</v>
      </c>
      <c r="G993" s="36" t="s">
        <v>7942</v>
      </c>
      <c r="H993" s="36" t="s">
        <v>564</v>
      </c>
      <c r="I993" s="40" t="s">
        <v>6851</v>
      </c>
      <c r="J993" s="138">
        <v>2096174</v>
      </c>
      <c r="K993" s="141">
        <v>2143314</v>
      </c>
      <c r="L993" s="141"/>
      <c r="M993" s="141"/>
      <c r="N993" s="141"/>
      <c r="O993" s="142"/>
      <c r="P993" s="142"/>
      <c r="Q993" s="142"/>
      <c r="R993" s="142"/>
      <c r="S993" s="142"/>
      <c r="T993" s="139" t="s">
        <v>8164</v>
      </c>
      <c r="V993" s="43" t="s">
        <v>678</v>
      </c>
      <c r="AF993" s="42">
        <v>2166986</v>
      </c>
      <c r="AG993" s="42" t="s">
        <v>6528</v>
      </c>
    </row>
    <row r="994" spans="6:33" ht="15.75" customHeight="1">
      <c r="F994" s="40" t="s">
        <v>7047</v>
      </c>
      <c r="G994" s="36" t="s">
        <v>7050</v>
      </c>
      <c r="H994" s="36" t="s">
        <v>8513</v>
      </c>
      <c r="I994" s="40" t="s">
        <v>6853</v>
      </c>
      <c r="J994" s="140">
        <v>2119201</v>
      </c>
      <c r="K994" s="141" t="s">
        <v>903</v>
      </c>
      <c r="L994" s="141" t="s">
        <v>7055</v>
      </c>
      <c r="M994" s="141"/>
      <c r="N994" s="141"/>
      <c r="O994" s="142"/>
      <c r="P994" s="142"/>
      <c r="Q994" s="142"/>
      <c r="R994" s="142"/>
      <c r="S994" s="142"/>
      <c r="T994" s="141" t="s">
        <v>6565</v>
      </c>
      <c r="V994" s="43" t="s">
        <v>7056</v>
      </c>
      <c r="AF994" s="42">
        <v>2166996</v>
      </c>
      <c r="AG994" s="42" t="s">
        <v>6528</v>
      </c>
    </row>
    <row r="995" spans="6:33" ht="15.75" customHeight="1">
      <c r="F995" s="40" t="s">
        <v>6986</v>
      </c>
      <c r="G995" s="36" t="s">
        <v>6992</v>
      </c>
      <c r="H995" s="36" t="s">
        <v>553</v>
      </c>
      <c r="I995" s="40" t="s">
        <v>6853</v>
      </c>
      <c r="J995" s="140">
        <v>2087179</v>
      </c>
      <c r="K995" s="141">
        <v>5042640</v>
      </c>
      <c r="L995" s="141">
        <v>3300016337</v>
      </c>
      <c r="M995" s="141"/>
      <c r="N995" s="141"/>
      <c r="O995" s="142"/>
      <c r="P995" s="142"/>
      <c r="Q995" s="142"/>
      <c r="R995" s="142"/>
      <c r="S995" s="142"/>
      <c r="T995" s="141" t="s">
        <v>6562</v>
      </c>
      <c r="V995" s="43" t="s">
        <v>3950</v>
      </c>
      <c r="AF995" s="42">
        <v>2167692</v>
      </c>
      <c r="AG995" s="42" t="s">
        <v>6528</v>
      </c>
    </row>
    <row r="996" spans="6:33" ht="15.75" customHeight="1">
      <c r="F996" s="40" t="s">
        <v>4578</v>
      </c>
      <c r="G996" s="36" t="s">
        <v>4579</v>
      </c>
      <c r="H996" s="36" t="s">
        <v>761</v>
      </c>
      <c r="I996" s="40" t="s">
        <v>6848</v>
      </c>
      <c r="J996" s="138">
        <v>2183496</v>
      </c>
      <c r="K996" s="139">
        <v>5042674</v>
      </c>
      <c r="L996" s="139">
        <v>5001453</v>
      </c>
      <c r="M996" s="139">
        <v>3300009821</v>
      </c>
      <c r="N996" s="141">
        <v>3300008130</v>
      </c>
      <c r="O996" s="142"/>
      <c r="P996" s="142"/>
      <c r="Q996" s="142"/>
      <c r="R996" s="142"/>
      <c r="S996" s="142"/>
      <c r="T996" s="139" t="s">
        <v>4581</v>
      </c>
      <c r="V996" s="43" t="s">
        <v>776</v>
      </c>
      <c r="AF996" s="42">
        <v>2168117</v>
      </c>
      <c r="AG996" s="42" t="s">
        <v>6672</v>
      </c>
    </row>
    <row r="997" spans="6:33" ht="15.75" customHeight="1">
      <c r="F997" s="40" t="s">
        <v>7365</v>
      </c>
      <c r="G997" s="36" t="s">
        <v>7375</v>
      </c>
      <c r="H997" s="36" t="s">
        <v>761</v>
      </c>
      <c r="I997" s="40" t="s">
        <v>6848</v>
      </c>
      <c r="J997" s="140">
        <v>3300012293</v>
      </c>
      <c r="K997" s="141">
        <v>2096485</v>
      </c>
      <c r="L997" s="141" t="s">
        <v>3895</v>
      </c>
      <c r="M997" s="141"/>
      <c r="N997" s="141"/>
      <c r="O997" s="142"/>
      <c r="P997" s="142"/>
      <c r="Q997" s="142"/>
      <c r="R997" s="142"/>
      <c r="S997" s="142"/>
      <c r="T997" s="141" t="s">
        <v>4258</v>
      </c>
      <c r="V997" s="43" t="s">
        <v>7379</v>
      </c>
      <c r="AF997" s="42">
        <v>2168130</v>
      </c>
      <c r="AG997" s="42" t="s">
        <v>6672</v>
      </c>
    </row>
    <row r="998" spans="6:33" ht="15.75" customHeight="1">
      <c r="F998" s="40" t="s">
        <v>3222</v>
      </c>
      <c r="G998" s="36" t="s">
        <v>3223</v>
      </c>
      <c r="H998" s="36" t="s">
        <v>6841</v>
      </c>
      <c r="I998" s="40" t="s">
        <v>6852</v>
      </c>
      <c r="J998" s="140" t="s">
        <v>3225</v>
      </c>
      <c r="K998" s="141">
        <v>2117605</v>
      </c>
      <c r="L998" s="141" t="s">
        <v>3226</v>
      </c>
      <c r="M998" s="141">
        <v>2138584</v>
      </c>
      <c r="N998" s="141"/>
      <c r="O998" s="142"/>
      <c r="P998" s="142"/>
      <c r="Q998" s="142"/>
      <c r="R998" s="142"/>
      <c r="S998" s="142"/>
      <c r="T998" s="141" t="s">
        <v>3227</v>
      </c>
      <c r="V998" s="43" t="s">
        <v>545</v>
      </c>
      <c r="AF998" s="42">
        <v>2168144</v>
      </c>
      <c r="AG998" s="42" t="s">
        <v>6672</v>
      </c>
    </row>
    <row r="999" spans="6:33" ht="15.75" customHeight="1">
      <c r="F999" s="40" t="s">
        <v>6464</v>
      </c>
      <c r="G999" s="36" t="s">
        <v>6465</v>
      </c>
      <c r="H999" s="36" t="s">
        <v>8208</v>
      </c>
      <c r="I999" s="40" t="s">
        <v>6850</v>
      </c>
      <c r="J999" s="140">
        <v>5050426</v>
      </c>
      <c r="K999" s="141" t="s">
        <v>6466</v>
      </c>
      <c r="L999" s="141">
        <v>2172012</v>
      </c>
      <c r="M999" s="141">
        <v>3300005726</v>
      </c>
      <c r="N999" s="141"/>
      <c r="O999" s="142"/>
      <c r="P999" s="142"/>
      <c r="Q999" s="142"/>
      <c r="R999" s="142"/>
      <c r="S999" s="142"/>
      <c r="T999" s="141" t="s">
        <v>6797</v>
      </c>
      <c r="V999" s="43" t="s">
        <v>556</v>
      </c>
      <c r="AF999" s="42">
        <v>2168584</v>
      </c>
      <c r="AG999" s="42" t="s">
        <v>6672</v>
      </c>
    </row>
    <row r="1000" spans="6:33" ht="15.75" customHeight="1">
      <c r="F1000" s="40" t="s">
        <v>1357</v>
      </c>
      <c r="G1000" s="36" t="s">
        <v>1358</v>
      </c>
      <c r="H1000" s="36" t="s">
        <v>564</v>
      </c>
      <c r="I1000" s="40" t="s">
        <v>6851</v>
      </c>
      <c r="J1000" s="140">
        <v>2176738</v>
      </c>
      <c r="K1000" s="141">
        <v>3300010126</v>
      </c>
      <c r="L1000" s="141">
        <v>41787</v>
      </c>
      <c r="M1000" s="141">
        <v>5047872</v>
      </c>
      <c r="N1000" s="141"/>
      <c r="O1000" s="142"/>
      <c r="P1000" s="142"/>
      <c r="Q1000" s="142"/>
      <c r="R1000" s="142"/>
      <c r="S1000" s="142"/>
      <c r="T1000" s="141" t="s">
        <v>1360</v>
      </c>
      <c r="V1000" s="43" t="s">
        <v>551</v>
      </c>
      <c r="AF1000" s="42">
        <v>2168599</v>
      </c>
      <c r="AG1000" s="42" t="s">
        <v>6672</v>
      </c>
    </row>
    <row r="1001" spans="6:33" ht="15.75" customHeight="1">
      <c r="F1001" s="40" t="s">
        <v>1043</v>
      </c>
      <c r="G1001" s="36" t="s">
        <v>1044</v>
      </c>
      <c r="H1001" s="36" t="s">
        <v>564</v>
      </c>
      <c r="I1001" s="40" t="s">
        <v>6851</v>
      </c>
      <c r="J1001" s="140">
        <v>5045660</v>
      </c>
      <c r="K1001" s="141">
        <v>3300001692</v>
      </c>
      <c r="L1001" s="141">
        <v>2172029</v>
      </c>
      <c r="M1001" s="141">
        <v>3300001681</v>
      </c>
      <c r="N1001" s="141" t="s">
        <v>1045</v>
      </c>
      <c r="O1001" s="142"/>
      <c r="P1001" s="142"/>
      <c r="Q1001" s="142"/>
      <c r="R1001" s="142"/>
      <c r="S1001" s="142"/>
      <c r="T1001" s="141" t="s">
        <v>1046</v>
      </c>
      <c r="V1001" s="43" t="s">
        <v>537</v>
      </c>
      <c r="AF1001" s="42">
        <v>2170044</v>
      </c>
      <c r="AG1001" s="42" t="s">
        <v>6528</v>
      </c>
    </row>
    <row r="1002" spans="6:33" ht="15.75" customHeight="1">
      <c r="F1002" s="40" t="s">
        <v>998</v>
      </c>
      <c r="G1002" s="36" t="s">
        <v>999</v>
      </c>
      <c r="H1002" s="36" t="s">
        <v>564</v>
      </c>
      <c r="I1002" s="40" t="s">
        <v>6851</v>
      </c>
      <c r="J1002" s="140" t="s">
        <v>1001</v>
      </c>
      <c r="K1002" s="141">
        <v>2168599</v>
      </c>
      <c r="L1002" s="141" t="s">
        <v>1002</v>
      </c>
      <c r="M1002" s="141">
        <v>3300009967</v>
      </c>
      <c r="N1002" s="141">
        <v>2168117</v>
      </c>
      <c r="O1002" s="142"/>
      <c r="P1002" s="142"/>
      <c r="Q1002" s="142"/>
      <c r="R1002" s="142"/>
      <c r="S1002" s="142"/>
      <c r="T1002" s="141" t="s">
        <v>1003</v>
      </c>
      <c r="V1002" s="43" t="s">
        <v>547</v>
      </c>
      <c r="AF1002" s="42">
        <v>2170069</v>
      </c>
      <c r="AG1002" s="42" t="s">
        <v>6528</v>
      </c>
    </row>
    <row r="1003" spans="6:33" ht="15.75" customHeight="1">
      <c r="F1003" s="40" t="s">
        <v>1818</v>
      </c>
      <c r="G1003" s="36" t="s">
        <v>42</v>
      </c>
      <c r="H1003" s="36" t="s">
        <v>564</v>
      </c>
      <c r="I1003" s="40" t="s">
        <v>6851</v>
      </c>
      <c r="J1003" s="140">
        <v>2176281</v>
      </c>
      <c r="K1003" s="141" t="s">
        <v>1820</v>
      </c>
      <c r="L1003" s="141">
        <v>5010061</v>
      </c>
      <c r="M1003" s="141"/>
      <c r="N1003" s="141"/>
      <c r="O1003" s="142"/>
      <c r="P1003" s="142"/>
      <c r="Q1003" s="142"/>
      <c r="R1003" s="142"/>
      <c r="S1003" s="142"/>
      <c r="T1003" s="141" t="s">
        <v>1821</v>
      </c>
      <c r="V1003" s="43" t="s">
        <v>542</v>
      </c>
      <c r="AF1003" s="42">
        <v>2170075</v>
      </c>
      <c r="AG1003" s="42" t="s">
        <v>6528</v>
      </c>
    </row>
    <row r="1004" spans="6:33" ht="15.75" customHeight="1">
      <c r="F1004" s="40" t="s">
        <v>5692</v>
      </c>
      <c r="G1004" s="36" t="s">
        <v>52</v>
      </c>
      <c r="H1004" s="36" t="s">
        <v>761</v>
      </c>
      <c r="I1004" s="40" t="s">
        <v>6848</v>
      </c>
      <c r="J1004" s="140">
        <v>2087130</v>
      </c>
      <c r="K1004" s="141" t="s">
        <v>5694</v>
      </c>
      <c r="L1004" s="141" t="s">
        <v>5695</v>
      </c>
      <c r="M1004" s="141">
        <v>3300012296</v>
      </c>
      <c r="N1004" s="141">
        <v>2183594</v>
      </c>
      <c r="O1004" s="142"/>
      <c r="P1004" s="142"/>
      <c r="Q1004" s="142"/>
      <c r="R1004" s="142"/>
      <c r="S1004" s="142"/>
      <c r="T1004" s="141" t="s">
        <v>5696</v>
      </c>
      <c r="V1004" s="43" t="s">
        <v>688</v>
      </c>
      <c r="AF1004" s="42">
        <v>2170078</v>
      </c>
      <c r="AG1004" s="42" t="s">
        <v>6528</v>
      </c>
    </row>
    <row r="1005" spans="6:33" ht="15.75" customHeight="1">
      <c r="F1005" s="40" t="s">
        <v>1824</v>
      </c>
      <c r="G1005" s="36" t="s">
        <v>1825</v>
      </c>
      <c r="H1005" s="36" t="s">
        <v>564</v>
      </c>
      <c r="I1005" s="40" t="s">
        <v>6851</v>
      </c>
      <c r="J1005" s="140" t="s">
        <v>1826</v>
      </c>
      <c r="K1005" s="141" t="s">
        <v>1827</v>
      </c>
      <c r="L1005" s="141" t="s">
        <v>1828</v>
      </c>
      <c r="M1005" s="141" t="s">
        <v>1829</v>
      </c>
      <c r="N1005" s="141"/>
      <c r="O1005" s="142"/>
      <c r="P1005" s="142"/>
      <c r="Q1005" s="142"/>
      <c r="R1005" s="142"/>
      <c r="S1005" s="142"/>
      <c r="T1005" s="141" t="s">
        <v>1830</v>
      </c>
      <c r="V1005" s="43" t="s">
        <v>542</v>
      </c>
      <c r="AF1005" s="42">
        <v>2170079</v>
      </c>
      <c r="AG1005" s="42" t="s">
        <v>6528</v>
      </c>
    </row>
    <row r="1006" spans="6:33" ht="15.75" customHeight="1">
      <c r="F1006" s="40" t="s">
        <v>4705</v>
      </c>
      <c r="G1006" s="36" t="s">
        <v>4614</v>
      </c>
      <c r="H1006" s="36" t="s">
        <v>761</v>
      </c>
      <c r="I1006" s="40" t="s">
        <v>6848</v>
      </c>
      <c r="J1006" s="140">
        <v>2171983</v>
      </c>
      <c r="K1006" s="141">
        <v>5059376</v>
      </c>
      <c r="L1006" s="141" t="s">
        <v>4706</v>
      </c>
      <c r="M1006" s="141">
        <v>3300005141</v>
      </c>
      <c r="N1006" s="141">
        <v>2183510</v>
      </c>
      <c r="O1006" s="142"/>
      <c r="P1006" s="142"/>
      <c r="Q1006" s="142"/>
      <c r="R1006" s="142"/>
      <c r="S1006" s="142"/>
      <c r="T1006" s="141" t="s">
        <v>4707</v>
      </c>
      <c r="V1006" s="43" t="s">
        <v>708</v>
      </c>
      <c r="AF1006" s="42">
        <v>2170080</v>
      </c>
      <c r="AG1006" s="42" t="s">
        <v>6528</v>
      </c>
    </row>
    <row r="1007" spans="6:33" ht="15.75" customHeight="1">
      <c r="F1007" s="40" t="s">
        <v>7785</v>
      </c>
      <c r="G1007" s="36" t="s">
        <v>7943</v>
      </c>
      <c r="H1007" s="36" t="s">
        <v>8208</v>
      </c>
      <c r="I1007" s="40" t="s">
        <v>6850</v>
      </c>
      <c r="J1007" s="140">
        <v>2096079</v>
      </c>
      <c r="K1007" s="141">
        <v>5045635</v>
      </c>
      <c r="L1007" s="141">
        <v>2226050</v>
      </c>
      <c r="M1007" s="141" t="s">
        <v>8117</v>
      </c>
      <c r="N1007" s="141"/>
      <c r="O1007" s="142"/>
      <c r="P1007" s="142"/>
      <c r="Q1007" s="142"/>
      <c r="R1007" s="142"/>
      <c r="S1007" s="142"/>
      <c r="T1007" s="141">
        <v>31300138</v>
      </c>
      <c r="V1007" s="43" t="s">
        <v>642</v>
      </c>
      <c r="AF1007" s="42">
        <v>2170083</v>
      </c>
      <c r="AG1007" s="42" t="s">
        <v>6528</v>
      </c>
    </row>
    <row r="1008" spans="6:33" ht="15.75" customHeight="1">
      <c r="F1008" s="40" t="s">
        <v>7786</v>
      </c>
      <c r="G1008" s="36" t="s">
        <v>7944</v>
      </c>
      <c r="H1008" s="36" t="s">
        <v>8208</v>
      </c>
      <c r="I1008" s="40" t="s">
        <v>6850</v>
      </c>
      <c r="J1008" s="140">
        <v>2172323</v>
      </c>
      <c r="K1008" s="139">
        <v>2096182</v>
      </c>
      <c r="L1008" s="139">
        <v>5048939</v>
      </c>
      <c r="M1008" s="141" t="s">
        <v>8118</v>
      </c>
      <c r="N1008" s="141"/>
      <c r="O1008" s="142"/>
      <c r="P1008" s="142"/>
      <c r="Q1008" s="142"/>
      <c r="R1008" s="142"/>
      <c r="S1008" s="142"/>
      <c r="T1008" s="139">
        <v>11400136</v>
      </c>
      <c r="V1008" s="43" t="s">
        <v>687</v>
      </c>
      <c r="AF1008" s="42">
        <v>2170084</v>
      </c>
      <c r="AG1008" s="42" t="s">
        <v>6528</v>
      </c>
    </row>
    <row r="1009" spans="6:33" ht="15.75" customHeight="1">
      <c r="F1009" s="40" t="s">
        <v>8466</v>
      </c>
      <c r="G1009" s="36" t="s">
        <v>8509</v>
      </c>
      <c r="H1009" s="36" t="s">
        <v>8513</v>
      </c>
      <c r="I1009" s="40" t="s">
        <v>6853</v>
      </c>
      <c r="J1009" s="140" t="s">
        <v>8572</v>
      </c>
      <c r="K1009" s="141">
        <v>2235795</v>
      </c>
      <c r="L1009" s="141">
        <v>2119179</v>
      </c>
      <c r="M1009" s="141"/>
      <c r="N1009" s="141"/>
      <c r="O1009" s="142"/>
      <c r="P1009" s="142"/>
      <c r="Q1009" s="142"/>
      <c r="R1009" s="142"/>
      <c r="S1009" s="142"/>
      <c r="T1009" s="141" t="s">
        <v>8601</v>
      </c>
      <c r="V1009" s="43" t="s">
        <v>560</v>
      </c>
      <c r="AF1009" s="42">
        <v>2171882</v>
      </c>
      <c r="AG1009" s="42" t="s">
        <v>6672</v>
      </c>
    </row>
    <row r="1010" spans="6:33" ht="15.75" customHeight="1">
      <c r="F1010" s="40" t="s">
        <v>7257</v>
      </c>
      <c r="G1010" s="36" t="s">
        <v>7274</v>
      </c>
      <c r="H1010" s="36" t="s">
        <v>564</v>
      </c>
      <c r="I1010" s="40" t="s">
        <v>6851</v>
      </c>
      <c r="J1010" s="140">
        <v>2114791</v>
      </c>
      <c r="K1010" s="141">
        <v>2226107</v>
      </c>
      <c r="L1010" s="141" t="s">
        <v>7227</v>
      </c>
      <c r="M1010" s="141" t="s">
        <v>8573</v>
      </c>
      <c r="N1010" s="141"/>
      <c r="O1010" s="142"/>
      <c r="P1010" s="142"/>
      <c r="Q1010" s="142"/>
      <c r="R1010" s="142"/>
      <c r="S1010" s="142"/>
      <c r="T1010" s="141" t="s">
        <v>7288</v>
      </c>
      <c r="V1010" s="43" t="s">
        <v>7042</v>
      </c>
      <c r="AF1010" s="42">
        <v>2171883</v>
      </c>
      <c r="AG1010" s="42" t="s">
        <v>6672</v>
      </c>
    </row>
    <row r="1011" spans="6:33" ht="15.75" customHeight="1">
      <c r="F1011" s="40" t="s">
        <v>1513</v>
      </c>
      <c r="G1011" s="36" t="s">
        <v>1514</v>
      </c>
      <c r="H1011" s="36" t="s">
        <v>564</v>
      </c>
      <c r="I1011" s="40" t="s">
        <v>6851</v>
      </c>
      <c r="J1011" s="140">
        <v>5070900</v>
      </c>
      <c r="K1011" s="141">
        <v>3300009777</v>
      </c>
      <c r="L1011" s="141">
        <v>2183543</v>
      </c>
      <c r="M1011" s="141" t="s">
        <v>1515</v>
      </c>
      <c r="N1011" s="141" t="s">
        <v>6639</v>
      </c>
      <c r="O1011" s="142"/>
      <c r="P1011" s="142"/>
      <c r="Q1011" s="142"/>
      <c r="R1011" s="142"/>
      <c r="S1011" s="142"/>
      <c r="T1011" s="141" t="s">
        <v>1516</v>
      </c>
      <c r="V1011" s="43" t="s">
        <v>815</v>
      </c>
      <c r="AF1011" s="42">
        <v>2171884</v>
      </c>
      <c r="AG1011" s="42" t="s">
        <v>6672</v>
      </c>
    </row>
    <row r="1012" spans="6:33" ht="15.75" customHeight="1">
      <c r="F1012" s="40" t="s">
        <v>4902</v>
      </c>
      <c r="G1012" s="36" t="s">
        <v>4903</v>
      </c>
      <c r="H1012" s="36" t="s">
        <v>761</v>
      </c>
      <c r="I1012" s="40" t="s">
        <v>6848</v>
      </c>
      <c r="J1012" s="140">
        <v>5031891</v>
      </c>
      <c r="K1012" s="141" t="s">
        <v>4906</v>
      </c>
      <c r="L1012" s="141">
        <v>3300002968</v>
      </c>
      <c r="M1012" s="141">
        <v>5031893</v>
      </c>
      <c r="N1012" s="141">
        <v>2119188</v>
      </c>
      <c r="O1012" s="142"/>
      <c r="P1012" s="142"/>
      <c r="Q1012" s="142"/>
      <c r="R1012" s="142"/>
      <c r="S1012" s="142"/>
      <c r="T1012" s="141" t="s">
        <v>4907</v>
      </c>
      <c r="V1012" s="43" t="s">
        <v>4905</v>
      </c>
      <c r="AF1012" s="42">
        <v>2171885</v>
      </c>
      <c r="AG1012" s="42" t="s">
        <v>6672</v>
      </c>
    </row>
    <row r="1013" spans="6:33" ht="15.75" customHeight="1">
      <c r="F1013" s="40" t="s">
        <v>2973</v>
      </c>
      <c r="G1013" s="36" t="s">
        <v>2974</v>
      </c>
      <c r="H1013" s="36" t="s">
        <v>595</v>
      </c>
      <c r="I1013" s="40" t="s">
        <v>6847</v>
      </c>
      <c r="J1013" s="140" t="s">
        <v>7337</v>
      </c>
      <c r="K1013" s="141">
        <v>5014446</v>
      </c>
      <c r="L1013" s="141" t="s">
        <v>2977</v>
      </c>
      <c r="M1013" s="141">
        <v>3300005155</v>
      </c>
      <c r="N1013" s="141"/>
      <c r="O1013" s="142"/>
      <c r="P1013" s="142"/>
      <c r="Q1013" s="142"/>
      <c r="R1013" s="142"/>
      <c r="S1013" s="142"/>
      <c r="T1013" s="141" t="s">
        <v>2978</v>
      </c>
      <c r="V1013" s="43" t="s">
        <v>685</v>
      </c>
      <c r="AF1013" s="42">
        <v>2171886</v>
      </c>
      <c r="AG1013" s="42" t="s">
        <v>6672</v>
      </c>
    </row>
    <row r="1014" spans="6:33" ht="15.75" customHeight="1">
      <c r="F1014" s="40" t="s">
        <v>7787</v>
      </c>
      <c r="G1014" s="36" t="s">
        <v>7945</v>
      </c>
      <c r="H1014" s="36" t="s">
        <v>8208</v>
      </c>
      <c r="I1014" s="40" t="s">
        <v>6850</v>
      </c>
      <c r="J1014" s="138">
        <v>2180616</v>
      </c>
      <c r="K1014" s="139">
        <v>5051907</v>
      </c>
      <c r="L1014" s="141">
        <v>3300010917</v>
      </c>
      <c r="M1014" s="141"/>
      <c r="N1014" s="139"/>
      <c r="O1014" s="142"/>
      <c r="P1014" s="142"/>
      <c r="Q1014" s="142"/>
      <c r="R1014" s="142"/>
      <c r="S1014" s="142"/>
      <c r="T1014" s="139">
        <v>101300062</v>
      </c>
      <c r="V1014" s="43" t="s">
        <v>687</v>
      </c>
      <c r="AF1014" s="42">
        <v>2171887</v>
      </c>
      <c r="AG1014" s="42" t="s">
        <v>6672</v>
      </c>
    </row>
    <row r="1015" spans="6:33" ht="15.75" customHeight="1">
      <c r="F1015" s="40" t="s">
        <v>6987</v>
      </c>
      <c r="G1015" s="36" t="s">
        <v>6993</v>
      </c>
      <c r="H1015" s="36" t="s">
        <v>8513</v>
      </c>
      <c r="I1015" s="40" t="s">
        <v>6853</v>
      </c>
      <c r="J1015" s="140">
        <v>2083289</v>
      </c>
      <c r="K1015" s="141">
        <v>3300013117</v>
      </c>
      <c r="L1015" s="141">
        <v>5049678</v>
      </c>
      <c r="M1015" s="141">
        <v>2087208</v>
      </c>
      <c r="N1015" s="141"/>
      <c r="O1015" s="142"/>
      <c r="P1015" s="142"/>
      <c r="Q1015" s="142"/>
      <c r="R1015" s="142"/>
      <c r="S1015" s="142"/>
      <c r="T1015" s="141" t="s">
        <v>6542</v>
      </c>
      <c r="V1015" s="43" t="s">
        <v>572</v>
      </c>
      <c r="AF1015" s="42">
        <v>2171888</v>
      </c>
      <c r="AG1015" s="42" t="s">
        <v>6672</v>
      </c>
    </row>
    <row r="1016" spans="6:33" ht="15.75" customHeight="1">
      <c r="F1016" s="40" t="s">
        <v>2330</v>
      </c>
      <c r="G1016" s="36" t="s">
        <v>2331</v>
      </c>
      <c r="H1016" s="36" t="s">
        <v>564</v>
      </c>
      <c r="I1016" s="40" t="s">
        <v>6851</v>
      </c>
      <c r="J1016" s="140">
        <v>2228715</v>
      </c>
      <c r="K1016" s="141" t="s">
        <v>2332</v>
      </c>
      <c r="L1016" s="141">
        <v>3300003607</v>
      </c>
      <c r="M1016" s="141">
        <v>2103936</v>
      </c>
      <c r="N1016" s="141">
        <v>5031889</v>
      </c>
      <c r="O1016" s="142"/>
      <c r="P1016" s="142"/>
      <c r="Q1016" s="142"/>
      <c r="R1016" s="142"/>
      <c r="S1016" s="142"/>
      <c r="T1016" s="141" t="s">
        <v>2333</v>
      </c>
      <c r="V1016" s="43" t="s">
        <v>546</v>
      </c>
      <c r="AF1016" s="42">
        <v>2171889</v>
      </c>
      <c r="AG1016" s="42" t="s">
        <v>6672</v>
      </c>
    </row>
    <row r="1017" spans="6:33" ht="15.75" customHeight="1">
      <c r="F1017" s="40" t="s">
        <v>2848</v>
      </c>
      <c r="G1017" s="36" t="s">
        <v>2849</v>
      </c>
      <c r="H1017" s="36" t="s">
        <v>595</v>
      </c>
      <c r="I1017" s="40" t="s">
        <v>6847</v>
      </c>
      <c r="J1017" s="138">
        <v>5045670</v>
      </c>
      <c r="K1017" s="141">
        <v>2119227</v>
      </c>
      <c r="L1017" s="139"/>
      <c r="M1017" s="141"/>
      <c r="N1017" s="141"/>
      <c r="O1017" s="142"/>
      <c r="P1017" s="142"/>
      <c r="Q1017" s="142"/>
      <c r="R1017" s="142"/>
      <c r="S1017" s="142"/>
      <c r="T1017" s="139" t="s">
        <v>2850</v>
      </c>
      <c r="V1017" s="43" t="s">
        <v>575</v>
      </c>
      <c r="AF1017" s="42">
        <v>2171890</v>
      </c>
      <c r="AG1017" s="42" t="s">
        <v>6672</v>
      </c>
    </row>
    <row r="1018" spans="6:33" ht="15.75" customHeight="1">
      <c r="F1018" s="40" t="s">
        <v>8467</v>
      </c>
      <c r="G1018" s="36" t="s">
        <v>3134</v>
      </c>
      <c r="H1018" s="36" t="s">
        <v>6841</v>
      </c>
      <c r="I1018" s="40" t="s">
        <v>6852</v>
      </c>
      <c r="J1018" s="140">
        <v>2114797</v>
      </c>
      <c r="K1018" s="141">
        <v>3300002958</v>
      </c>
      <c r="L1018" s="141">
        <v>5001443</v>
      </c>
      <c r="M1018" s="141" t="s">
        <v>3136</v>
      </c>
      <c r="N1018" s="141" t="s">
        <v>2542</v>
      </c>
      <c r="O1018" s="142"/>
      <c r="P1018" s="142"/>
      <c r="Q1018" s="142"/>
      <c r="R1018" s="142"/>
      <c r="S1018" s="142"/>
      <c r="T1018" s="141" t="s">
        <v>3137</v>
      </c>
      <c r="V1018" s="43" t="s">
        <v>646</v>
      </c>
      <c r="AF1018" s="42">
        <v>2171891</v>
      </c>
      <c r="AG1018" s="42" t="s">
        <v>6672</v>
      </c>
    </row>
    <row r="1019" spans="6:33" ht="15.75" customHeight="1">
      <c r="F1019" s="40" t="s">
        <v>1058</v>
      </c>
      <c r="G1019" s="36" t="s">
        <v>1059</v>
      </c>
      <c r="H1019" s="36" t="s">
        <v>564</v>
      </c>
      <c r="I1019" s="40" t="s">
        <v>6851</v>
      </c>
      <c r="J1019" s="140" t="s">
        <v>1060</v>
      </c>
      <c r="K1019" s="141">
        <v>2172022</v>
      </c>
      <c r="L1019" s="141" t="s">
        <v>1061</v>
      </c>
      <c r="M1019" s="141"/>
      <c r="N1019" s="141"/>
      <c r="O1019" s="142"/>
      <c r="P1019" s="142"/>
      <c r="Q1019" s="142"/>
      <c r="R1019" s="142"/>
      <c r="S1019" s="142"/>
      <c r="T1019" s="141" t="s">
        <v>1062</v>
      </c>
      <c r="V1019" s="43" t="s">
        <v>536</v>
      </c>
      <c r="AF1019" s="42">
        <v>2171892</v>
      </c>
      <c r="AG1019" s="42" t="s">
        <v>6672</v>
      </c>
    </row>
    <row r="1020" spans="6:33" ht="15.75" customHeight="1">
      <c r="F1020" s="40" t="s">
        <v>7788</v>
      </c>
      <c r="G1020" s="36" t="s">
        <v>7946</v>
      </c>
      <c r="H1020" s="36" t="s">
        <v>8208</v>
      </c>
      <c r="I1020" s="40" t="s">
        <v>6850</v>
      </c>
      <c r="J1020" s="140">
        <v>2096158</v>
      </c>
      <c r="K1020" s="141" t="s">
        <v>8119</v>
      </c>
      <c r="L1020" s="141"/>
      <c r="M1020" s="141"/>
      <c r="N1020" s="141"/>
      <c r="O1020" s="142"/>
      <c r="P1020" s="142"/>
      <c r="Q1020" s="142"/>
      <c r="R1020" s="142"/>
      <c r="S1020" s="142"/>
      <c r="T1020" s="141">
        <v>61500008</v>
      </c>
      <c r="V1020" s="43" t="s">
        <v>8200</v>
      </c>
      <c r="AF1020" s="42">
        <v>2171893</v>
      </c>
      <c r="AG1020" s="42" t="s">
        <v>6672</v>
      </c>
    </row>
    <row r="1021" spans="6:33" ht="15.75" customHeight="1">
      <c r="F1021" s="40" t="s">
        <v>6953</v>
      </c>
      <c r="G1021" s="36" t="s">
        <v>6954</v>
      </c>
      <c r="H1021" s="36" t="s">
        <v>761</v>
      </c>
      <c r="I1021" s="40" t="s">
        <v>6848</v>
      </c>
      <c r="J1021" s="140">
        <v>3300009494</v>
      </c>
      <c r="K1021" s="141">
        <v>2096139</v>
      </c>
      <c r="L1021" s="141" t="s">
        <v>6708</v>
      </c>
      <c r="M1021" s="141"/>
      <c r="N1021" s="141"/>
      <c r="O1021" s="142"/>
      <c r="P1021" s="142"/>
      <c r="Q1021" s="142"/>
      <c r="R1021" s="142"/>
      <c r="S1021" s="142"/>
      <c r="T1021" s="141" t="s">
        <v>6687</v>
      </c>
      <c r="V1021" s="43" t="s">
        <v>725</v>
      </c>
      <c r="AF1021" s="42">
        <v>2171894</v>
      </c>
      <c r="AG1021" s="42" t="s">
        <v>6672</v>
      </c>
    </row>
    <row r="1022" spans="6:33" ht="15.75" customHeight="1">
      <c r="F1022" s="40" t="s">
        <v>1739</v>
      </c>
      <c r="G1022" s="36" t="s">
        <v>1740</v>
      </c>
      <c r="H1022" s="36" t="s">
        <v>564</v>
      </c>
      <c r="I1022" s="40" t="s">
        <v>6851</v>
      </c>
      <c r="J1022" s="140">
        <v>2055905</v>
      </c>
      <c r="K1022" s="141">
        <v>5003022</v>
      </c>
      <c r="L1022" s="141" t="s">
        <v>1743</v>
      </c>
      <c r="M1022" s="141">
        <v>3300011761</v>
      </c>
      <c r="N1022" s="141" t="s">
        <v>1744</v>
      </c>
      <c r="O1022" s="142"/>
      <c r="P1022" s="142"/>
      <c r="Q1022" s="142"/>
      <c r="R1022" s="142"/>
      <c r="S1022" s="142"/>
      <c r="T1022" s="141" t="s">
        <v>1745</v>
      </c>
      <c r="V1022" s="43" t="s">
        <v>1742</v>
      </c>
      <c r="AF1022" s="42">
        <v>2171895</v>
      </c>
      <c r="AG1022" s="42" t="s">
        <v>6672</v>
      </c>
    </row>
    <row r="1023" spans="6:33" ht="15.75" customHeight="1">
      <c r="F1023" s="40" t="s">
        <v>7789</v>
      </c>
      <c r="G1023" s="36" t="s">
        <v>7947</v>
      </c>
      <c r="H1023" s="36" t="s">
        <v>8208</v>
      </c>
      <c r="I1023" s="40" t="s">
        <v>6850</v>
      </c>
      <c r="J1023" s="138">
        <v>2081341</v>
      </c>
      <c r="K1023" s="141">
        <v>2096032</v>
      </c>
      <c r="L1023" s="141">
        <v>3300002202</v>
      </c>
      <c r="M1023" s="139">
        <v>5089723</v>
      </c>
      <c r="N1023" s="139" t="s">
        <v>8120</v>
      </c>
      <c r="O1023" s="142"/>
      <c r="P1023" s="142"/>
      <c r="Q1023" s="142"/>
      <c r="R1023" s="142"/>
      <c r="S1023" s="142"/>
      <c r="T1023" s="139">
        <v>11300024</v>
      </c>
      <c r="V1023" s="43" t="s">
        <v>5903</v>
      </c>
      <c r="AF1023" s="42">
        <v>2171896</v>
      </c>
      <c r="AG1023" s="42" t="s">
        <v>6672</v>
      </c>
    </row>
    <row r="1024" spans="6:33" ht="15.75" customHeight="1">
      <c r="F1024" s="40" t="s">
        <v>5319</v>
      </c>
      <c r="G1024" s="36" t="s">
        <v>5320</v>
      </c>
      <c r="H1024" s="36" t="s">
        <v>761</v>
      </c>
      <c r="I1024" s="40" t="s">
        <v>6848</v>
      </c>
      <c r="J1024" s="140" t="s">
        <v>5322</v>
      </c>
      <c r="K1024" s="141">
        <v>3300002825</v>
      </c>
      <c r="L1024" s="141">
        <v>5014461</v>
      </c>
      <c r="M1024" s="141">
        <v>2114788</v>
      </c>
      <c r="N1024" s="141"/>
      <c r="O1024" s="142"/>
      <c r="P1024" s="142"/>
      <c r="Q1024" s="142"/>
      <c r="R1024" s="142"/>
      <c r="S1024" s="142"/>
      <c r="T1024" s="141" t="s">
        <v>5323</v>
      </c>
      <c r="V1024" s="43" t="s">
        <v>5032</v>
      </c>
      <c r="AF1024" s="42">
        <v>2171897</v>
      </c>
      <c r="AG1024" s="42" t="s">
        <v>6672</v>
      </c>
    </row>
    <row r="1025" spans="6:33" ht="15.75" customHeight="1">
      <c r="F1025" s="40" t="s">
        <v>2720</v>
      </c>
      <c r="G1025" s="36" t="s">
        <v>2721</v>
      </c>
      <c r="H1025" s="36" t="s">
        <v>670</v>
      </c>
      <c r="I1025" s="40" t="s">
        <v>6849</v>
      </c>
      <c r="J1025" s="138" t="s">
        <v>2724</v>
      </c>
      <c r="K1025" s="139">
        <v>5012464</v>
      </c>
      <c r="L1025" s="139">
        <v>2116065</v>
      </c>
      <c r="M1025" s="139" t="s">
        <v>4984</v>
      </c>
      <c r="N1025" s="141">
        <v>2228725</v>
      </c>
      <c r="O1025" s="142"/>
      <c r="P1025" s="142"/>
      <c r="Q1025" s="142"/>
      <c r="R1025" s="142"/>
      <c r="S1025" s="142"/>
      <c r="T1025" s="139" t="s">
        <v>6744</v>
      </c>
      <c r="V1025" s="43" t="s">
        <v>2723</v>
      </c>
      <c r="AF1025" s="42">
        <v>2171898</v>
      </c>
      <c r="AG1025" s="42" t="s">
        <v>6672</v>
      </c>
    </row>
    <row r="1026" spans="6:33" ht="15.75" customHeight="1">
      <c r="F1026" s="40" t="s">
        <v>3911</v>
      </c>
      <c r="G1026" s="36" t="s">
        <v>3912</v>
      </c>
      <c r="H1026" s="36" t="s">
        <v>553</v>
      </c>
      <c r="I1026" s="40" t="s">
        <v>6853</v>
      </c>
      <c r="J1026" s="140">
        <v>2119269</v>
      </c>
      <c r="K1026" s="141" t="s">
        <v>3913</v>
      </c>
      <c r="L1026" s="141" t="s">
        <v>3914</v>
      </c>
      <c r="M1026" s="141">
        <v>2235679</v>
      </c>
      <c r="N1026" s="141" t="s">
        <v>8574</v>
      </c>
      <c r="O1026" s="142"/>
      <c r="P1026" s="142"/>
      <c r="Q1026" s="142"/>
      <c r="R1026" s="142"/>
      <c r="S1026" s="142"/>
      <c r="T1026" s="141" t="s">
        <v>3915</v>
      </c>
      <c r="V1026" s="43" t="s">
        <v>565</v>
      </c>
      <c r="AF1026" s="42">
        <v>2171899</v>
      </c>
      <c r="AG1026" s="42" t="s">
        <v>6672</v>
      </c>
    </row>
    <row r="1027" spans="6:33" ht="15.75" customHeight="1">
      <c r="F1027" s="40" t="s">
        <v>8468</v>
      </c>
      <c r="G1027" s="36" t="s">
        <v>8510</v>
      </c>
      <c r="H1027" s="36" t="s">
        <v>8208</v>
      </c>
      <c r="I1027" s="40" t="s">
        <v>6850</v>
      </c>
      <c r="J1027" s="140" t="s">
        <v>8260</v>
      </c>
      <c r="K1027" s="141" t="s">
        <v>8575</v>
      </c>
      <c r="L1027" s="141">
        <v>5105528</v>
      </c>
      <c r="M1027" s="141">
        <v>2239912</v>
      </c>
      <c r="N1027" s="141">
        <v>3400003794</v>
      </c>
      <c r="O1027" s="142"/>
      <c r="P1027" s="142"/>
      <c r="Q1027" s="142"/>
      <c r="R1027" s="142"/>
      <c r="S1027" s="142"/>
      <c r="T1027" s="141" t="s">
        <v>8602</v>
      </c>
      <c r="V1027" s="43" t="s">
        <v>8179</v>
      </c>
      <c r="AF1027" s="42">
        <v>2171900</v>
      </c>
      <c r="AG1027" s="42" t="s">
        <v>6672</v>
      </c>
    </row>
    <row r="1028" spans="6:33" ht="15.75" customHeight="1">
      <c r="F1028" s="40" t="s">
        <v>2694</v>
      </c>
      <c r="G1028" s="36" t="s">
        <v>2695</v>
      </c>
      <c r="H1028" s="36" t="s">
        <v>670</v>
      </c>
      <c r="I1028" s="40" t="s">
        <v>6849</v>
      </c>
      <c r="J1028" s="140">
        <v>2171920</v>
      </c>
      <c r="K1028" s="141">
        <v>3300011504</v>
      </c>
      <c r="L1028" s="141" t="s">
        <v>2696</v>
      </c>
      <c r="M1028" s="141" t="s">
        <v>8576</v>
      </c>
      <c r="N1028" s="141"/>
      <c r="O1028" s="142"/>
      <c r="P1028" s="142"/>
      <c r="Q1028" s="142"/>
      <c r="R1028" s="142"/>
      <c r="S1028" s="142"/>
      <c r="T1028" s="141" t="s">
        <v>2697</v>
      </c>
      <c r="V1028" s="43" t="s">
        <v>617</v>
      </c>
      <c r="AF1028" s="42">
        <v>2171901</v>
      </c>
      <c r="AG1028" s="42" t="s">
        <v>6672</v>
      </c>
    </row>
    <row r="1029" spans="6:33" ht="15.75" customHeight="1">
      <c r="F1029" s="40" t="s">
        <v>3676</v>
      </c>
      <c r="G1029" s="36" t="s">
        <v>3677</v>
      </c>
      <c r="H1029" s="36" t="s">
        <v>8513</v>
      </c>
      <c r="I1029" s="40" t="s">
        <v>6853</v>
      </c>
      <c r="J1029" s="140">
        <v>2110102</v>
      </c>
      <c r="K1029" s="141" t="s">
        <v>3678</v>
      </c>
      <c r="L1029" s="141">
        <v>5047878</v>
      </c>
      <c r="M1029" s="141"/>
      <c r="N1029" s="141"/>
      <c r="O1029" s="142"/>
      <c r="P1029" s="142"/>
      <c r="Q1029" s="142"/>
      <c r="R1029" s="142"/>
      <c r="S1029" s="142"/>
      <c r="T1029" s="141" t="s">
        <v>3679</v>
      </c>
      <c r="V1029" s="43" t="s">
        <v>676</v>
      </c>
      <c r="AF1029" s="42">
        <v>2171902</v>
      </c>
      <c r="AG1029" s="42" t="s">
        <v>6672</v>
      </c>
    </row>
    <row r="1030" spans="6:33" ht="15.75" customHeight="1">
      <c r="F1030" s="40" t="s">
        <v>2879</v>
      </c>
      <c r="G1030" s="36" t="s">
        <v>2880</v>
      </c>
      <c r="H1030" s="36" t="s">
        <v>595</v>
      </c>
      <c r="I1030" s="40" t="s">
        <v>6847</v>
      </c>
      <c r="J1030" s="140" t="s">
        <v>2882</v>
      </c>
      <c r="K1030" s="141">
        <v>2084655</v>
      </c>
      <c r="L1030" s="141" t="s">
        <v>2883</v>
      </c>
      <c r="M1030" s="141" t="s">
        <v>2884</v>
      </c>
      <c r="N1030" s="141">
        <v>3300006167</v>
      </c>
      <c r="O1030" s="142"/>
      <c r="P1030" s="142"/>
      <c r="Q1030" s="142"/>
      <c r="R1030" s="142"/>
      <c r="S1030" s="142"/>
      <c r="T1030" s="141" t="s">
        <v>2885</v>
      </c>
      <c r="V1030" s="43" t="s">
        <v>754</v>
      </c>
      <c r="AF1030" s="42">
        <v>2171903</v>
      </c>
      <c r="AG1030" s="42" t="s">
        <v>6672</v>
      </c>
    </row>
    <row r="1031" spans="6:33" ht="15.75" customHeight="1">
      <c r="F1031" s="40" t="s">
        <v>1499</v>
      </c>
      <c r="G1031" s="36" t="s">
        <v>1500</v>
      </c>
      <c r="H1031" s="36" t="s">
        <v>564</v>
      </c>
      <c r="I1031" s="40" t="s">
        <v>6851</v>
      </c>
      <c r="J1031" s="140" t="s">
        <v>2535</v>
      </c>
      <c r="K1031" s="141">
        <v>5049706</v>
      </c>
      <c r="L1031" s="141" t="s">
        <v>1502</v>
      </c>
      <c r="M1031" s="141">
        <v>2171991</v>
      </c>
      <c r="N1031" s="141">
        <v>3300009968</v>
      </c>
      <c r="O1031" s="142"/>
      <c r="P1031" s="142"/>
      <c r="Q1031" s="142"/>
      <c r="R1031" s="142"/>
      <c r="S1031" s="142"/>
      <c r="T1031" s="141" t="s">
        <v>6804</v>
      </c>
      <c r="V1031" s="43" t="s">
        <v>629</v>
      </c>
      <c r="AF1031" s="42">
        <v>2171904</v>
      </c>
      <c r="AG1031" s="42" t="s">
        <v>6672</v>
      </c>
    </row>
    <row r="1032" spans="6:33" ht="15.75" customHeight="1">
      <c r="F1032" s="40" t="s">
        <v>5208</v>
      </c>
      <c r="G1032" s="36" t="s">
        <v>5209</v>
      </c>
      <c r="H1032" s="36" t="s">
        <v>761</v>
      </c>
      <c r="I1032" s="40" t="s">
        <v>6848</v>
      </c>
      <c r="J1032" s="140">
        <v>2172443</v>
      </c>
      <c r="K1032" s="141" t="s">
        <v>7556</v>
      </c>
      <c r="L1032" s="141">
        <v>5014455</v>
      </c>
      <c r="M1032" s="141"/>
      <c r="N1032" s="141"/>
      <c r="O1032" s="142"/>
      <c r="P1032" s="142"/>
      <c r="Q1032" s="142"/>
      <c r="R1032" s="142"/>
      <c r="S1032" s="142"/>
      <c r="T1032" s="141" t="s">
        <v>5211</v>
      </c>
      <c r="V1032" s="43" t="s">
        <v>702</v>
      </c>
      <c r="AF1032" s="42">
        <v>2171905</v>
      </c>
      <c r="AG1032" s="42" t="s">
        <v>6672</v>
      </c>
    </row>
    <row r="1033" spans="6:33" ht="15.75" customHeight="1">
      <c r="F1033" s="40" t="s">
        <v>4293</v>
      </c>
      <c r="G1033" s="36" t="s">
        <v>4294</v>
      </c>
      <c r="H1033" s="36" t="s">
        <v>553</v>
      </c>
      <c r="I1033" s="40" t="s">
        <v>6853</v>
      </c>
      <c r="J1033" s="140">
        <v>5097596</v>
      </c>
      <c r="K1033" s="141">
        <v>2116270</v>
      </c>
      <c r="L1033" s="141" t="s">
        <v>4297</v>
      </c>
      <c r="M1033" s="141">
        <v>3300005145</v>
      </c>
      <c r="N1033" s="141">
        <v>5040893</v>
      </c>
      <c r="O1033" s="142"/>
      <c r="P1033" s="142"/>
      <c r="Q1033" s="142"/>
      <c r="R1033" s="142"/>
      <c r="S1033" s="142"/>
      <c r="T1033" s="141" t="s">
        <v>4298</v>
      </c>
      <c r="V1033" s="43" t="s">
        <v>553</v>
      </c>
      <c r="AF1033" s="42">
        <v>2171906</v>
      </c>
      <c r="AG1033" s="42" t="s">
        <v>6672</v>
      </c>
    </row>
    <row r="1034" spans="6:33" ht="15.75" customHeight="1">
      <c r="F1034" s="40" t="s">
        <v>6955</v>
      </c>
      <c r="G1034" s="36" t="s">
        <v>6956</v>
      </c>
      <c r="H1034" s="36" t="s">
        <v>6841</v>
      </c>
      <c r="I1034" s="40" t="s">
        <v>6852</v>
      </c>
      <c r="J1034" s="140">
        <v>2103528</v>
      </c>
      <c r="K1034" s="141" t="s">
        <v>6654</v>
      </c>
      <c r="L1034" s="141">
        <v>5043113</v>
      </c>
      <c r="M1034" s="141">
        <v>2228717</v>
      </c>
      <c r="N1034" s="141"/>
      <c r="O1034" s="142"/>
      <c r="P1034" s="142"/>
      <c r="Q1034" s="142"/>
      <c r="R1034" s="142"/>
      <c r="S1034" s="142"/>
      <c r="T1034" s="141" t="s">
        <v>6559</v>
      </c>
      <c r="V1034" s="43" t="s">
        <v>6964</v>
      </c>
      <c r="AF1034" s="42">
        <v>2171907</v>
      </c>
      <c r="AG1034" s="42" t="s">
        <v>6672</v>
      </c>
    </row>
    <row r="1035" spans="6:33" ht="15.75" customHeight="1">
      <c r="F1035" s="40" t="s">
        <v>3592</v>
      </c>
      <c r="G1035" s="36" t="s">
        <v>3593</v>
      </c>
      <c r="H1035" s="36" t="s">
        <v>8513</v>
      </c>
      <c r="I1035" s="40" t="s">
        <v>6853</v>
      </c>
      <c r="J1035" s="140">
        <v>3300011806</v>
      </c>
      <c r="K1035" s="141">
        <v>5049674</v>
      </c>
      <c r="L1035" s="141">
        <v>2171957</v>
      </c>
      <c r="M1035" s="141" t="s">
        <v>3042</v>
      </c>
      <c r="N1035" s="141"/>
      <c r="O1035" s="142"/>
      <c r="P1035" s="142"/>
      <c r="Q1035" s="142"/>
      <c r="R1035" s="142"/>
      <c r="S1035" s="142"/>
      <c r="T1035" s="141" t="s">
        <v>3594</v>
      </c>
      <c r="V1035" s="43" t="s">
        <v>572</v>
      </c>
      <c r="AF1035" s="42">
        <v>2171908</v>
      </c>
      <c r="AG1035" s="42" t="s">
        <v>6672</v>
      </c>
    </row>
    <row r="1036" spans="6:33" ht="15.75" customHeight="1">
      <c r="F1036" s="40" t="s">
        <v>7258</v>
      </c>
      <c r="G1036" s="36" t="s">
        <v>7275</v>
      </c>
      <c r="H1036" s="36" t="s">
        <v>8208</v>
      </c>
      <c r="I1036" s="40" t="s">
        <v>6850</v>
      </c>
      <c r="J1036" s="138">
        <v>3300012514</v>
      </c>
      <c r="K1036" s="139">
        <v>2115644</v>
      </c>
      <c r="L1036" s="139">
        <v>5012465</v>
      </c>
      <c r="M1036" s="141"/>
      <c r="N1036" s="141"/>
      <c r="O1036" s="142"/>
      <c r="P1036" s="142"/>
      <c r="Q1036" s="142"/>
      <c r="R1036" s="142"/>
      <c r="S1036" s="142"/>
      <c r="T1036" s="139" t="s">
        <v>7289</v>
      </c>
      <c r="V1036" s="43" t="s">
        <v>7297</v>
      </c>
      <c r="AF1036" s="42">
        <v>2171909</v>
      </c>
      <c r="AG1036" s="42" t="s">
        <v>6672</v>
      </c>
    </row>
    <row r="1037" spans="6:33" ht="15.75" customHeight="1">
      <c r="F1037" s="40" t="s">
        <v>7258</v>
      </c>
      <c r="G1037" s="36" t="s">
        <v>7948</v>
      </c>
      <c r="H1037" s="36" t="s">
        <v>8208</v>
      </c>
      <c r="I1037" s="40" t="s">
        <v>6850</v>
      </c>
      <c r="J1037" s="140">
        <v>2235680</v>
      </c>
      <c r="K1037" s="141">
        <v>2096111</v>
      </c>
      <c r="L1037" s="141">
        <v>5010211</v>
      </c>
      <c r="M1037" s="141" t="s">
        <v>8121</v>
      </c>
      <c r="N1037" s="141"/>
      <c r="O1037" s="142"/>
      <c r="P1037" s="142"/>
      <c r="Q1037" s="142"/>
      <c r="R1037" s="142"/>
      <c r="S1037" s="142"/>
      <c r="T1037" s="141">
        <v>21300011</v>
      </c>
      <c r="V1037" s="43" t="s">
        <v>8201</v>
      </c>
      <c r="AF1037" s="42">
        <v>2171910</v>
      </c>
      <c r="AG1037" s="42" t="s">
        <v>6672</v>
      </c>
    </row>
    <row r="1038" spans="6:33" ht="15.75" customHeight="1">
      <c r="F1038" s="40" t="s">
        <v>5391</v>
      </c>
      <c r="G1038" s="36" t="s">
        <v>5392</v>
      </c>
      <c r="H1038" s="36" t="s">
        <v>761</v>
      </c>
      <c r="I1038" s="40" t="s">
        <v>6848</v>
      </c>
      <c r="J1038" s="140">
        <v>2114682</v>
      </c>
      <c r="K1038" s="141" t="s">
        <v>5395</v>
      </c>
      <c r="L1038" s="141">
        <v>5003089</v>
      </c>
      <c r="M1038" s="141">
        <v>2096479</v>
      </c>
      <c r="N1038" s="141" t="s">
        <v>6653</v>
      </c>
      <c r="O1038" s="142"/>
      <c r="P1038" s="142"/>
      <c r="Q1038" s="142"/>
      <c r="R1038" s="142"/>
      <c r="S1038" s="142"/>
      <c r="T1038" s="141" t="s">
        <v>5396</v>
      </c>
      <c r="V1038" s="43" t="s">
        <v>5394</v>
      </c>
      <c r="AF1038" s="42">
        <v>2171911</v>
      </c>
      <c r="AG1038" s="42" t="s">
        <v>6672</v>
      </c>
    </row>
    <row r="1039" spans="6:33" ht="15.75" customHeight="1">
      <c r="F1039" s="40" t="s">
        <v>4066</v>
      </c>
      <c r="G1039" s="36" t="s">
        <v>4067</v>
      </c>
      <c r="H1039" s="36" t="s">
        <v>553</v>
      </c>
      <c r="I1039" s="40" t="s">
        <v>6853</v>
      </c>
      <c r="J1039" s="140" t="s">
        <v>4069</v>
      </c>
      <c r="K1039" s="141">
        <v>2119209</v>
      </c>
      <c r="L1039" s="141">
        <v>5045663</v>
      </c>
      <c r="M1039" s="141"/>
      <c r="N1039" s="141"/>
      <c r="O1039" s="142"/>
      <c r="P1039" s="142"/>
      <c r="Q1039" s="142"/>
      <c r="R1039" s="142"/>
      <c r="S1039" s="142"/>
      <c r="T1039" s="141" t="s">
        <v>4070</v>
      </c>
      <c r="V1039" s="43" t="s">
        <v>644</v>
      </c>
      <c r="AF1039" s="42">
        <v>2171912</v>
      </c>
      <c r="AG1039" s="42" t="s">
        <v>6672</v>
      </c>
    </row>
    <row r="1040" spans="6:33" ht="15.75" customHeight="1">
      <c r="F1040" s="40" t="s">
        <v>8358</v>
      </c>
      <c r="G1040" s="36" t="s">
        <v>8379</v>
      </c>
      <c r="H1040" s="36" t="s">
        <v>564</v>
      </c>
      <c r="I1040" s="40" t="s">
        <v>6851</v>
      </c>
      <c r="J1040" s="140">
        <v>5104321</v>
      </c>
      <c r="K1040" s="141">
        <v>2182571</v>
      </c>
      <c r="L1040" s="141">
        <v>3300009525</v>
      </c>
      <c r="M1040" s="141" t="s">
        <v>8393</v>
      </c>
      <c r="N1040" s="141"/>
      <c r="O1040" s="142"/>
      <c r="P1040" s="142"/>
      <c r="Q1040" s="142"/>
      <c r="R1040" s="142"/>
      <c r="S1040" s="142"/>
      <c r="T1040" s="141" t="s">
        <v>3373</v>
      </c>
      <c r="V1040" s="43" t="s">
        <v>795</v>
      </c>
      <c r="AF1040" s="42">
        <v>2171913</v>
      </c>
      <c r="AG1040" s="42" t="s">
        <v>6672</v>
      </c>
    </row>
    <row r="1041" spans="6:33" ht="15.75" customHeight="1">
      <c r="F1041" s="40" t="s">
        <v>7392</v>
      </c>
      <c r="G1041" s="36" t="s">
        <v>7405</v>
      </c>
      <c r="H1041" s="36" t="s">
        <v>761</v>
      </c>
      <c r="I1041" s="40" t="s">
        <v>6848</v>
      </c>
      <c r="J1041" s="140">
        <v>2087259</v>
      </c>
      <c r="K1041" s="141">
        <v>3300015868</v>
      </c>
      <c r="L1041" s="141">
        <v>5050448</v>
      </c>
      <c r="M1041" s="141">
        <v>3300009722</v>
      </c>
      <c r="N1041" s="141">
        <v>2114759</v>
      </c>
      <c r="O1041" s="142"/>
      <c r="P1041" s="142"/>
      <c r="Q1041" s="142"/>
      <c r="R1041" s="142"/>
      <c r="S1041" s="142"/>
      <c r="T1041" s="141" t="s">
        <v>7280</v>
      </c>
      <c r="V1041" s="43" t="s">
        <v>761</v>
      </c>
      <c r="AF1041" s="42">
        <v>2171914</v>
      </c>
      <c r="AG1041" s="42" t="s">
        <v>6672</v>
      </c>
    </row>
    <row r="1042" spans="6:33" ht="15.75" customHeight="1">
      <c r="F1042" s="40" t="s">
        <v>3382</v>
      </c>
      <c r="G1042" s="36" t="s">
        <v>3383</v>
      </c>
      <c r="H1042" s="36" t="s">
        <v>6841</v>
      </c>
      <c r="I1042" s="40" t="s">
        <v>6852</v>
      </c>
      <c r="J1042" s="140">
        <v>2114767</v>
      </c>
      <c r="K1042" s="141">
        <v>3300004147</v>
      </c>
      <c r="L1042" s="141">
        <v>5059380</v>
      </c>
      <c r="M1042" s="141">
        <v>3300010674</v>
      </c>
      <c r="N1042" s="141"/>
      <c r="O1042" s="142"/>
      <c r="P1042" s="142"/>
      <c r="Q1042" s="142"/>
      <c r="R1042" s="142"/>
      <c r="S1042" s="142"/>
      <c r="T1042" s="141" t="s">
        <v>3384</v>
      </c>
      <c r="V1042" s="43" t="s">
        <v>573</v>
      </c>
      <c r="AF1042" s="42">
        <v>2171915</v>
      </c>
      <c r="AG1042" s="42" t="s">
        <v>6672</v>
      </c>
    </row>
    <row r="1043" spans="6:33" ht="15.75" customHeight="1">
      <c r="F1043" s="40" t="s">
        <v>7790</v>
      </c>
      <c r="G1043" s="36" t="s">
        <v>7949</v>
      </c>
      <c r="H1043" s="36" t="s">
        <v>8208</v>
      </c>
      <c r="I1043" s="40" t="s">
        <v>6850</v>
      </c>
      <c r="J1043" s="140">
        <v>2081816</v>
      </c>
      <c r="K1043" s="141">
        <v>3300011194</v>
      </c>
      <c r="L1043" s="141" t="s">
        <v>8122</v>
      </c>
      <c r="M1043" s="141" t="s">
        <v>8123</v>
      </c>
      <c r="N1043" s="141">
        <v>5038136</v>
      </c>
      <c r="O1043" s="142"/>
      <c r="P1043" s="142"/>
      <c r="Q1043" s="142"/>
      <c r="R1043" s="142"/>
      <c r="S1043" s="142"/>
      <c r="T1043" s="141">
        <v>101200033</v>
      </c>
      <c r="V1043" s="43" t="s">
        <v>687</v>
      </c>
      <c r="AF1043" s="42">
        <v>2171916</v>
      </c>
      <c r="AG1043" s="42" t="s">
        <v>6672</v>
      </c>
    </row>
    <row r="1044" spans="6:33" ht="15.75" customHeight="1">
      <c r="F1044" s="40" t="s">
        <v>3495</v>
      </c>
      <c r="G1044" s="36" t="s">
        <v>3496</v>
      </c>
      <c r="H1044" s="36" t="s">
        <v>6841</v>
      </c>
      <c r="I1044" s="40" t="s">
        <v>6852</v>
      </c>
      <c r="J1044" s="140" t="s">
        <v>3497</v>
      </c>
      <c r="K1044" s="141">
        <v>5050431</v>
      </c>
      <c r="L1044" s="141">
        <v>2171951</v>
      </c>
      <c r="M1044" s="141">
        <v>3300009561</v>
      </c>
      <c r="N1044" s="141">
        <v>5104320</v>
      </c>
      <c r="O1044" s="142"/>
      <c r="P1044" s="142"/>
      <c r="Q1044" s="142"/>
      <c r="R1044" s="142"/>
      <c r="S1044" s="142"/>
      <c r="T1044" s="141" t="s">
        <v>1606</v>
      </c>
      <c r="V1044" s="43" t="s">
        <v>538</v>
      </c>
      <c r="AF1044" s="42">
        <v>2171917</v>
      </c>
      <c r="AG1044" s="42" t="s">
        <v>6672</v>
      </c>
    </row>
    <row r="1045" spans="6:33" ht="15.75" customHeight="1">
      <c r="F1045" s="40" t="s">
        <v>2923</v>
      </c>
      <c r="G1045" s="36" t="s">
        <v>2924</v>
      </c>
      <c r="H1045" s="36" t="s">
        <v>595</v>
      </c>
      <c r="I1045" s="40" t="s">
        <v>6847</v>
      </c>
      <c r="J1045" s="140" t="s">
        <v>3846</v>
      </c>
      <c r="K1045" s="141">
        <v>5059315</v>
      </c>
      <c r="L1045" s="141">
        <v>3300008138</v>
      </c>
      <c r="M1045" s="141" t="s">
        <v>2925</v>
      </c>
      <c r="N1045" s="141" t="s">
        <v>3991</v>
      </c>
      <c r="O1045" s="142"/>
      <c r="P1045" s="142"/>
      <c r="Q1045" s="142"/>
      <c r="R1045" s="142"/>
      <c r="S1045" s="142"/>
      <c r="T1045" s="141" t="s">
        <v>2926</v>
      </c>
      <c r="V1045" s="43" t="s">
        <v>562</v>
      </c>
      <c r="AF1045" s="42">
        <v>2171918</v>
      </c>
      <c r="AG1045" s="42" t="s">
        <v>6672</v>
      </c>
    </row>
    <row r="1046" spans="6:33" ht="15.75" customHeight="1">
      <c r="F1046" s="40" t="s">
        <v>7791</v>
      </c>
      <c r="G1046" s="36" t="s">
        <v>7950</v>
      </c>
      <c r="H1046" s="36" t="s">
        <v>8208</v>
      </c>
      <c r="I1046" s="40" t="s">
        <v>6850</v>
      </c>
      <c r="J1046" s="140">
        <v>2117493</v>
      </c>
      <c r="K1046" s="141" t="s">
        <v>8124</v>
      </c>
      <c r="L1046" s="141">
        <v>3300011187</v>
      </c>
      <c r="M1046" s="141"/>
      <c r="N1046" s="141"/>
      <c r="O1046" s="142"/>
      <c r="P1046" s="142"/>
      <c r="Q1046" s="142"/>
      <c r="R1046" s="142"/>
      <c r="S1046" s="142"/>
      <c r="T1046" s="141">
        <v>81400045</v>
      </c>
      <c r="V1046" s="43" t="s">
        <v>771</v>
      </c>
      <c r="AF1046" s="42">
        <v>2171919</v>
      </c>
      <c r="AG1046" s="42" t="s">
        <v>6672</v>
      </c>
    </row>
    <row r="1047" spans="6:33" ht="15.75" customHeight="1">
      <c r="F1047" s="40" t="s">
        <v>3716</v>
      </c>
      <c r="G1047" s="36" t="s">
        <v>3717</v>
      </c>
      <c r="H1047" s="36" t="s">
        <v>8513</v>
      </c>
      <c r="I1047" s="40" t="s">
        <v>6853</v>
      </c>
      <c r="J1047" s="138">
        <v>2183569</v>
      </c>
      <c r="K1047" s="139" t="s">
        <v>3718</v>
      </c>
      <c r="L1047" s="139"/>
      <c r="M1047" s="141" t="s">
        <v>3719</v>
      </c>
      <c r="N1047" s="141" t="s">
        <v>3720</v>
      </c>
      <c r="O1047" s="142"/>
      <c r="P1047" s="142"/>
      <c r="Q1047" s="142"/>
      <c r="R1047" s="142"/>
      <c r="S1047" s="142"/>
      <c r="T1047" s="139" t="s">
        <v>6731</v>
      </c>
      <c r="V1047" s="43" t="s">
        <v>581</v>
      </c>
      <c r="AF1047" s="42">
        <v>2171920</v>
      </c>
      <c r="AG1047" s="42" t="s">
        <v>6672</v>
      </c>
    </row>
    <row r="1048" spans="6:33" ht="15.75" customHeight="1">
      <c r="F1048" s="40" t="s">
        <v>5637</v>
      </c>
      <c r="G1048" s="36" t="s">
        <v>5638</v>
      </c>
      <c r="H1048" s="36" t="s">
        <v>761</v>
      </c>
      <c r="I1048" s="40" t="s">
        <v>6848</v>
      </c>
      <c r="J1048" s="138">
        <v>3300009564</v>
      </c>
      <c r="K1048" s="139" t="s">
        <v>5639</v>
      </c>
      <c r="L1048" s="141">
        <v>5050442</v>
      </c>
      <c r="M1048" s="141">
        <v>3300009735</v>
      </c>
      <c r="N1048" s="141">
        <v>2103758</v>
      </c>
      <c r="O1048" s="142"/>
      <c r="P1048" s="142"/>
      <c r="Q1048" s="142"/>
      <c r="R1048" s="142"/>
      <c r="S1048" s="142"/>
      <c r="T1048" s="139" t="s">
        <v>5641</v>
      </c>
      <c r="V1048" s="43" t="s">
        <v>710</v>
      </c>
      <c r="AF1048" s="42">
        <v>2171921</v>
      </c>
      <c r="AG1048" s="42" t="s">
        <v>6672</v>
      </c>
    </row>
    <row r="1049" spans="6:33" ht="15.75" customHeight="1">
      <c r="F1049" s="40" t="s">
        <v>2743</v>
      </c>
      <c r="G1049" s="36" t="s">
        <v>2744</v>
      </c>
      <c r="H1049" s="36" t="s">
        <v>670</v>
      </c>
      <c r="I1049" s="40" t="s">
        <v>6849</v>
      </c>
      <c r="J1049" s="140" t="s">
        <v>7331</v>
      </c>
      <c r="K1049" s="141">
        <v>5031902</v>
      </c>
      <c r="L1049" s="141">
        <v>3300006804</v>
      </c>
      <c r="M1049" s="141">
        <v>2117079</v>
      </c>
      <c r="N1049" s="141"/>
      <c r="O1049" s="142"/>
      <c r="P1049" s="142"/>
      <c r="Q1049" s="142"/>
      <c r="R1049" s="142"/>
      <c r="S1049" s="142"/>
      <c r="T1049" s="141" t="s">
        <v>2746</v>
      </c>
      <c r="V1049" s="43" t="s">
        <v>684</v>
      </c>
      <c r="AF1049" s="42">
        <v>2171922</v>
      </c>
      <c r="AG1049" s="42" t="s">
        <v>6672</v>
      </c>
    </row>
    <row r="1050" spans="6:33" ht="15.75" customHeight="1">
      <c r="F1050" s="40" t="s">
        <v>2905</v>
      </c>
      <c r="G1050" s="36" t="s">
        <v>2906</v>
      </c>
      <c r="H1050" s="36" t="s">
        <v>595</v>
      </c>
      <c r="I1050" s="40" t="s">
        <v>6847</v>
      </c>
      <c r="J1050" s="140">
        <v>2171896</v>
      </c>
      <c r="K1050" s="141" t="s">
        <v>2907</v>
      </c>
      <c r="L1050" s="141">
        <v>3300001684</v>
      </c>
      <c r="M1050" s="141">
        <v>3300001701</v>
      </c>
      <c r="N1050" s="141">
        <v>5070903</v>
      </c>
      <c r="O1050" s="142"/>
      <c r="P1050" s="142"/>
      <c r="Q1050" s="142"/>
      <c r="R1050" s="142"/>
      <c r="S1050" s="142"/>
      <c r="T1050" s="141" t="s">
        <v>2908</v>
      </c>
      <c r="V1050" s="43" t="s">
        <v>593</v>
      </c>
      <c r="AF1050" s="42">
        <v>2171923</v>
      </c>
      <c r="AG1050" s="42" t="s">
        <v>6672</v>
      </c>
    </row>
    <row r="1051" spans="6:33" ht="15.75" customHeight="1">
      <c r="F1051" s="40" t="s">
        <v>3034</v>
      </c>
      <c r="G1051" s="36" t="s">
        <v>3027</v>
      </c>
      <c r="H1051" s="36" t="s">
        <v>595</v>
      </c>
      <c r="I1051" s="40" t="s">
        <v>6847</v>
      </c>
      <c r="J1051" s="140">
        <v>2119176</v>
      </c>
      <c r="K1051" s="141">
        <v>5031910</v>
      </c>
      <c r="L1051" s="141">
        <v>3300008136</v>
      </c>
      <c r="M1051" s="141" t="s">
        <v>3036</v>
      </c>
      <c r="N1051" s="141" t="s">
        <v>6759</v>
      </c>
      <c r="O1051" s="142"/>
      <c r="P1051" s="142"/>
      <c r="Q1051" s="142"/>
      <c r="R1051" s="142"/>
      <c r="S1051" s="142"/>
      <c r="T1051" s="141" t="s">
        <v>3037</v>
      </c>
      <c r="V1051" s="43" t="s">
        <v>652</v>
      </c>
      <c r="AF1051" s="42">
        <v>2171924</v>
      </c>
      <c r="AG1051" s="42" t="s">
        <v>6672</v>
      </c>
    </row>
    <row r="1052" spans="6:33" ht="15.75" customHeight="1">
      <c r="F1052" s="40" t="s">
        <v>7792</v>
      </c>
      <c r="G1052" s="36" t="s">
        <v>7951</v>
      </c>
      <c r="H1052" s="36" t="s">
        <v>8208</v>
      </c>
      <c r="I1052" s="40" t="s">
        <v>6850</v>
      </c>
      <c r="J1052" s="140">
        <v>2081814</v>
      </c>
      <c r="K1052" s="141">
        <v>2149667</v>
      </c>
      <c r="L1052" s="141" t="s">
        <v>8125</v>
      </c>
      <c r="M1052" s="141">
        <v>5045645</v>
      </c>
      <c r="N1052" s="141">
        <v>3300001643</v>
      </c>
      <c r="O1052" s="142"/>
      <c r="P1052" s="142"/>
      <c r="Q1052" s="142"/>
      <c r="R1052" s="142"/>
      <c r="S1052" s="142"/>
      <c r="T1052" s="141">
        <v>101200042</v>
      </c>
      <c r="V1052" s="43" t="s">
        <v>5903</v>
      </c>
      <c r="AF1052" s="42">
        <v>2171925</v>
      </c>
      <c r="AG1052" s="42" t="s">
        <v>6672</v>
      </c>
    </row>
    <row r="1053" spans="6:33" ht="15.75" customHeight="1">
      <c r="F1053" s="40" t="s">
        <v>7393</v>
      </c>
      <c r="G1053" s="36" t="s">
        <v>7406</v>
      </c>
      <c r="H1053" s="36" t="s">
        <v>761</v>
      </c>
      <c r="I1053" s="40" t="s">
        <v>6848</v>
      </c>
      <c r="J1053" s="140">
        <v>5100167</v>
      </c>
      <c r="K1053" s="141">
        <v>5050435</v>
      </c>
      <c r="L1053" s="141">
        <v>2062644</v>
      </c>
      <c r="M1053" s="141" t="s">
        <v>7335</v>
      </c>
      <c r="N1053" s="141">
        <v>3400003767</v>
      </c>
      <c r="O1053" s="142"/>
      <c r="P1053" s="142"/>
      <c r="Q1053" s="142"/>
      <c r="R1053" s="142"/>
      <c r="S1053" s="142"/>
      <c r="T1053" s="141" t="s">
        <v>8165</v>
      </c>
      <c r="V1053" s="43" t="s">
        <v>7413</v>
      </c>
      <c r="AF1053" s="42">
        <v>2171926</v>
      </c>
      <c r="AG1053" s="42" t="s">
        <v>6672</v>
      </c>
    </row>
    <row r="1054" spans="6:33" ht="15.75" customHeight="1">
      <c r="F1054" s="40" t="s">
        <v>7793</v>
      </c>
      <c r="G1054" s="36" t="s">
        <v>7952</v>
      </c>
      <c r="H1054" s="36" t="s">
        <v>8208</v>
      </c>
      <c r="I1054" s="40" t="s">
        <v>6850</v>
      </c>
      <c r="J1054" s="140">
        <v>2197774</v>
      </c>
      <c r="K1054" s="141">
        <v>2204532</v>
      </c>
      <c r="L1054" s="141">
        <v>3300016078</v>
      </c>
      <c r="M1054" s="141">
        <v>5077353</v>
      </c>
      <c r="N1054" s="141" t="s">
        <v>8126</v>
      </c>
      <c r="O1054" s="142"/>
      <c r="P1054" s="142"/>
      <c r="Q1054" s="142"/>
      <c r="R1054" s="142"/>
      <c r="S1054" s="142"/>
      <c r="T1054" s="141">
        <v>61500006</v>
      </c>
      <c r="V1054" s="43" t="s">
        <v>610</v>
      </c>
      <c r="AF1054" s="42">
        <v>2171927</v>
      </c>
      <c r="AG1054" s="42" t="s">
        <v>6672</v>
      </c>
    </row>
    <row r="1055" spans="6:33" ht="15.75" customHeight="1">
      <c r="F1055" s="40" t="s">
        <v>4954</v>
      </c>
      <c r="G1055" s="36" t="s">
        <v>4955</v>
      </c>
      <c r="H1055" s="36" t="s">
        <v>761</v>
      </c>
      <c r="I1055" s="40" t="s">
        <v>6848</v>
      </c>
      <c r="J1055" s="140">
        <v>5059371</v>
      </c>
      <c r="K1055" s="141">
        <v>2183491</v>
      </c>
      <c r="L1055" s="141">
        <v>3300011822</v>
      </c>
      <c r="M1055" s="141"/>
      <c r="N1055" s="141"/>
      <c r="O1055" s="142"/>
      <c r="P1055" s="142"/>
      <c r="Q1055" s="142"/>
      <c r="R1055" s="142"/>
      <c r="S1055" s="142"/>
      <c r="T1055" s="141" t="s">
        <v>4957</v>
      </c>
      <c r="V1055" s="43" t="s">
        <v>583</v>
      </c>
      <c r="AF1055" s="42">
        <v>2171928</v>
      </c>
      <c r="AG1055" s="42" t="s">
        <v>6672</v>
      </c>
    </row>
    <row r="1056" spans="6:33" ht="15.75" customHeight="1">
      <c r="F1056" s="40" t="s">
        <v>5585</v>
      </c>
      <c r="G1056" s="36" t="s">
        <v>5586</v>
      </c>
      <c r="H1056" s="36" t="s">
        <v>761</v>
      </c>
      <c r="I1056" s="40" t="s">
        <v>6848</v>
      </c>
      <c r="J1056" s="140" t="s">
        <v>7229</v>
      </c>
      <c r="K1056" s="141">
        <v>5001441</v>
      </c>
      <c r="L1056" s="141">
        <v>3300008153</v>
      </c>
      <c r="M1056" s="141">
        <v>2115636</v>
      </c>
      <c r="N1056" s="141"/>
      <c r="O1056" s="142"/>
      <c r="P1056" s="142"/>
      <c r="Q1056" s="142"/>
      <c r="R1056" s="142"/>
      <c r="S1056" s="142"/>
      <c r="T1056" s="141" t="s">
        <v>5587</v>
      </c>
      <c r="V1056" s="43" t="s">
        <v>609</v>
      </c>
      <c r="AF1056" s="42">
        <v>2171929</v>
      </c>
      <c r="AG1056" s="42" t="s">
        <v>6672</v>
      </c>
    </row>
    <row r="1057" spans="6:33" ht="15.75" customHeight="1">
      <c r="F1057" s="40" t="s">
        <v>4762</v>
      </c>
      <c r="G1057" s="36" t="s">
        <v>4763</v>
      </c>
      <c r="H1057" s="36" t="s">
        <v>761</v>
      </c>
      <c r="I1057" s="40" t="s">
        <v>6848</v>
      </c>
      <c r="J1057" s="140">
        <v>5059373</v>
      </c>
      <c r="K1057" s="141" t="s">
        <v>4765</v>
      </c>
      <c r="L1057" s="141">
        <v>2103907</v>
      </c>
      <c r="M1057" s="141"/>
      <c r="N1057" s="141"/>
      <c r="O1057" s="142"/>
      <c r="P1057" s="142"/>
      <c r="Q1057" s="142"/>
      <c r="R1057" s="142"/>
      <c r="S1057" s="142"/>
      <c r="T1057" s="141" t="s">
        <v>6824</v>
      </c>
      <c r="V1057" s="43" t="s">
        <v>4756</v>
      </c>
      <c r="AF1057" s="42">
        <v>2171930</v>
      </c>
      <c r="AG1057" s="42" t="s">
        <v>6672</v>
      </c>
    </row>
    <row r="1058" spans="6:33" ht="15.75" customHeight="1">
      <c r="F1058" s="40" t="s">
        <v>3740</v>
      </c>
      <c r="G1058" s="36" t="s">
        <v>35</v>
      </c>
      <c r="H1058" s="36" t="s">
        <v>8513</v>
      </c>
      <c r="I1058" s="40" t="s">
        <v>6853</v>
      </c>
      <c r="J1058" s="138">
        <v>5031825</v>
      </c>
      <c r="K1058" s="139">
        <v>2119253</v>
      </c>
      <c r="L1058" s="141">
        <v>2117587</v>
      </c>
      <c r="M1058" s="141">
        <v>3300009778</v>
      </c>
      <c r="N1058" s="139"/>
      <c r="O1058" s="142"/>
      <c r="P1058" s="142"/>
      <c r="Q1058" s="142"/>
      <c r="R1058" s="142"/>
      <c r="S1058" s="142"/>
      <c r="T1058" s="139" t="s">
        <v>3742</v>
      </c>
      <c r="V1058" s="43" t="s">
        <v>657</v>
      </c>
      <c r="AF1058" s="42">
        <v>2171931</v>
      </c>
      <c r="AG1058" s="42" t="s">
        <v>6672</v>
      </c>
    </row>
    <row r="1059" spans="6:33" ht="15.75" customHeight="1">
      <c r="F1059" s="40" t="s">
        <v>4584</v>
      </c>
      <c r="G1059" s="36" t="s">
        <v>4585</v>
      </c>
      <c r="H1059" s="36" t="s">
        <v>761</v>
      </c>
      <c r="I1059" s="40" t="s">
        <v>6848</v>
      </c>
      <c r="J1059" s="138" t="s">
        <v>4587</v>
      </c>
      <c r="K1059" s="139">
        <v>3300001687</v>
      </c>
      <c r="L1059" s="141" t="s">
        <v>4588</v>
      </c>
      <c r="M1059" s="141">
        <v>2183554</v>
      </c>
      <c r="N1059" s="141">
        <v>2226055</v>
      </c>
      <c r="O1059" s="142"/>
      <c r="P1059" s="142"/>
      <c r="Q1059" s="142"/>
      <c r="R1059" s="142"/>
      <c r="S1059" s="142"/>
      <c r="T1059" s="139" t="s">
        <v>4589</v>
      </c>
      <c r="V1059" s="43" t="s">
        <v>776</v>
      </c>
      <c r="AF1059" s="42">
        <v>2171932</v>
      </c>
      <c r="AG1059" s="42" t="s">
        <v>6672</v>
      </c>
    </row>
    <row r="1060" spans="6:33" ht="15.75" customHeight="1">
      <c r="F1060" s="40" t="s">
        <v>4301</v>
      </c>
      <c r="G1060" s="36" t="s">
        <v>4302</v>
      </c>
      <c r="H1060" s="36" t="s">
        <v>553</v>
      </c>
      <c r="I1060" s="40" t="s">
        <v>6853</v>
      </c>
      <c r="J1060" s="140">
        <v>5070888</v>
      </c>
      <c r="K1060" s="141">
        <v>3300006815</v>
      </c>
      <c r="L1060" s="141">
        <v>2183544</v>
      </c>
      <c r="M1060" s="141">
        <v>5059322</v>
      </c>
      <c r="N1060" s="141"/>
      <c r="O1060" s="142"/>
      <c r="P1060" s="142"/>
      <c r="Q1060" s="142"/>
      <c r="R1060" s="142"/>
      <c r="S1060" s="142"/>
      <c r="T1060" s="141" t="s">
        <v>4304</v>
      </c>
      <c r="V1060" s="43" t="s">
        <v>553</v>
      </c>
      <c r="AF1060" s="42">
        <v>2171933</v>
      </c>
      <c r="AG1060" s="42" t="s">
        <v>6672</v>
      </c>
    </row>
    <row r="1061" spans="6:33" ht="15.75" customHeight="1">
      <c r="F1061" s="40" t="s">
        <v>2109</v>
      </c>
      <c r="G1061" s="36" t="s">
        <v>2110</v>
      </c>
      <c r="H1061" s="36" t="s">
        <v>564</v>
      </c>
      <c r="I1061" s="40" t="s">
        <v>6851</v>
      </c>
      <c r="J1061" s="140">
        <v>2103868</v>
      </c>
      <c r="K1061" s="141" t="s">
        <v>2111</v>
      </c>
      <c r="L1061" s="141" t="s">
        <v>2112</v>
      </c>
      <c r="M1061" s="141">
        <v>5031858</v>
      </c>
      <c r="N1061" s="141"/>
      <c r="O1061" s="142"/>
      <c r="P1061" s="142"/>
      <c r="Q1061" s="142"/>
      <c r="R1061" s="142"/>
      <c r="S1061" s="142"/>
      <c r="T1061" s="141" t="s">
        <v>2113</v>
      </c>
      <c r="V1061" s="43" t="s">
        <v>626</v>
      </c>
      <c r="AF1061" s="42">
        <v>2171934</v>
      </c>
      <c r="AG1061" s="42" t="s">
        <v>6672</v>
      </c>
    </row>
    <row r="1062" spans="6:33" ht="15.75" customHeight="1">
      <c r="F1062" s="40" t="s">
        <v>6357</v>
      </c>
      <c r="G1062" s="36" t="s">
        <v>6358</v>
      </c>
      <c r="H1062" s="36" t="s">
        <v>8208</v>
      </c>
      <c r="I1062" s="40" t="s">
        <v>6850</v>
      </c>
      <c r="J1062" s="140">
        <v>2183585</v>
      </c>
      <c r="K1062" s="141" t="s">
        <v>6359</v>
      </c>
      <c r="L1062" s="141">
        <v>3300010891</v>
      </c>
      <c r="M1062" s="141"/>
      <c r="N1062" s="141"/>
      <c r="O1062" s="142"/>
      <c r="P1062" s="142"/>
      <c r="Q1062" s="142"/>
      <c r="R1062" s="142"/>
      <c r="S1062" s="142"/>
      <c r="T1062" s="141" t="s">
        <v>6360</v>
      </c>
      <c r="V1062" s="43" t="s">
        <v>687</v>
      </c>
      <c r="AF1062" s="42">
        <v>2171935</v>
      </c>
      <c r="AG1062" s="42" t="s">
        <v>6672</v>
      </c>
    </row>
    <row r="1063" spans="6:33" ht="15.75" customHeight="1">
      <c r="F1063" s="40" t="s">
        <v>6957</v>
      </c>
      <c r="G1063" s="36" t="s">
        <v>4614</v>
      </c>
      <c r="H1063" s="36" t="s">
        <v>761</v>
      </c>
      <c r="I1063" s="40" t="s">
        <v>6848</v>
      </c>
      <c r="J1063" s="140">
        <v>2170069</v>
      </c>
      <c r="K1063" s="141" t="s">
        <v>6679</v>
      </c>
      <c r="L1063" s="141" t="s">
        <v>6644</v>
      </c>
      <c r="M1063" s="141" t="s">
        <v>6682</v>
      </c>
      <c r="N1063" s="141">
        <v>3300002971</v>
      </c>
      <c r="O1063" s="142"/>
      <c r="P1063" s="142"/>
      <c r="Q1063" s="142"/>
      <c r="R1063" s="142"/>
      <c r="S1063" s="142"/>
      <c r="T1063" s="141" t="s">
        <v>6553</v>
      </c>
      <c r="V1063" s="43" t="s">
        <v>700</v>
      </c>
      <c r="AF1063" s="42">
        <v>2171936</v>
      </c>
      <c r="AG1063" s="42" t="s">
        <v>6672</v>
      </c>
    </row>
    <row r="1064" spans="6:33" ht="15.75" customHeight="1">
      <c r="F1064" s="40" t="s">
        <v>7794</v>
      </c>
      <c r="G1064" s="36" t="s">
        <v>7941</v>
      </c>
      <c r="H1064" s="36" t="s">
        <v>8208</v>
      </c>
      <c r="I1064" s="40" t="s">
        <v>6850</v>
      </c>
      <c r="J1064" s="140">
        <v>2096138</v>
      </c>
      <c r="K1064" s="141">
        <v>5050604</v>
      </c>
      <c r="L1064" s="141" t="s">
        <v>8115</v>
      </c>
      <c r="M1064" s="141" t="s">
        <v>8116</v>
      </c>
      <c r="N1064" s="141">
        <v>3300012846</v>
      </c>
      <c r="O1064" s="142"/>
      <c r="P1064" s="142"/>
      <c r="Q1064" s="142"/>
      <c r="R1064" s="142"/>
      <c r="S1064" s="142"/>
      <c r="T1064" s="141">
        <v>101200099</v>
      </c>
      <c r="V1064" s="43" t="s">
        <v>687</v>
      </c>
      <c r="AF1064" s="42">
        <v>2171937</v>
      </c>
      <c r="AG1064" s="42" t="s">
        <v>6672</v>
      </c>
    </row>
    <row r="1065" spans="6:33" ht="15.75" customHeight="1">
      <c r="F1065" s="40" t="s">
        <v>7795</v>
      </c>
      <c r="G1065" s="36" t="s">
        <v>7953</v>
      </c>
      <c r="H1065" s="36" t="s">
        <v>8208</v>
      </c>
      <c r="I1065" s="40" t="s">
        <v>6850</v>
      </c>
      <c r="J1065" s="140">
        <v>2172283</v>
      </c>
      <c r="K1065" s="141">
        <v>5048934</v>
      </c>
      <c r="L1065" s="141">
        <v>3300006833</v>
      </c>
      <c r="M1065" s="141"/>
      <c r="N1065" s="141"/>
      <c r="O1065" s="142"/>
      <c r="P1065" s="142"/>
      <c r="Q1065" s="142"/>
      <c r="R1065" s="142"/>
      <c r="S1065" s="142"/>
      <c r="T1065" s="141">
        <v>101300086</v>
      </c>
      <c r="V1065" s="43" t="s">
        <v>8202</v>
      </c>
      <c r="AF1065" s="42">
        <v>2171938</v>
      </c>
      <c r="AG1065" s="42" t="s">
        <v>6672</v>
      </c>
    </row>
    <row r="1066" spans="6:33" ht="15.75" customHeight="1">
      <c r="F1066" s="40" t="s">
        <v>5726</v>
      </c>
      <c r="G1066" s="36" t="s">
        <v>5727</v>
      </c>
      <c r="H1066" s="36" t="s">
        <v>761</v>
      </c>
      <c r="I1066" s="40" t="s">
        <v>6848</v>
      </c>
      <c r="J1066" s="140"/>
      <c r="K1066" s="141" t="s">
        <v>5728</v>
      </c>
      <c r="L1066" s="141">
        <v>5003047</v>
      </c>
      <c r="M1066" s="141" t="s">
        <v>5729</v>
      </c>
      <c r="N1066" s="141">
        <v>2115647</v>
      </c>
      <c r="O1066" s="142"/>
      <c r="P1066" s="142"/>
      <c r="Q1066" s="142"/>
      <c r="R1066" s="142"/>
      <c r="S1066" s="142"/>
      <c r="T1066" s="141" t="s">
        <v>5730</v>
      </c>
      <c r="V1066" s="43" t="s">
        <v>548</v>
      </c>
      <c r="AF1066" s="42">
        <v>2171939</v>
      </c>
      <c r="AG1066" s="42" t="s">
        <v>6672</v>
      </c>
    </row>
    <row r="1067" spans="6:33" ht="15.75" customHeight="1">
      <c r="F1067" s="40" t="s">
        <v>2070</v>
      </c>
      <c r="G1067" s="36" t="s">
        <v>37</v>
      </c>
      <c r="H1067" s="36" t="s">
        <v>564</v>
      </c>
      <c r="I1067" s="40" t="s">
        <v>6851</v>
      </c>
      <c r="J1067" s="140" t="s">
        <v>6975</v>
      </c>
      <c r="K1067" s="141" t="s">
        <v>2072</v>
      </c>
      <c r="L1067" s="141" t="s">
        <v>2073</v>
      </c>
      <c r="M1067" s="141">
        <v>2159932</v>
      </c>
      <c r="N1067" s="141">
        <v>3300005156</v>
      </c>
      <c r="O1067" s="142"/>
      <c r="P1067" s="142"/>
      <c r="Q1067" s="142"/>
      <c r="R1067" s="142"/>
      <c r="S1067" s="142"/>
      <c r="T1067" s="141" t="s">
        <v>2074</v>
      </c>
      <c r="V1067" s="43" t="s">
        <v>717</v>
      </c>
      <c r="AF1067" s="42">
        <v>2171940</v>
      </c>
      <c r="AG1067" s="42" t="s">
        <v>6672</v>
      </c>
    </row>
    <row r="1068" spans="6:33" ht="15.75" customHeight="1">
      <c r="F1068" s="40" t="s">
        <v>7508</v>
      </c>
      <c r="G1068" s="36" t="s">
        <v>2367</v>
      </c>
      <c r="H1068" s="36" t="s">
        <v>564</v>
      </c>
      <c r="I1068" s="40" t="s">
        <v>6851</v>
      </c>
      <c r="J1068" s="140">
        <v>3300012263</v>
      </c>
      <c r="K1068" s="141" t="s">
        <v>2369</v>
      </c>
      <c r="L1068" s="141">
        <v>3300009530</v>
      </c>
      <c r="M1068" s="141" t="s">
        <v>7105</v>
      </c>
      <c r="N1068" s="141">
        <v>2183565</v>
      </c>
      <c r="O1068" s="142"/>
      <c r="P1068" s="142"/>
      <c r="Q1068" s="142"/>
      <c r="R1068" s="142"/>
      <c r="S1068" s="142"/>
      <c r="T1068" s="141" t="s">
        <v>2370</v>
      </c>
      <c r="V1068" s="43" t="s">
        <v>557</v>
      </c>
      <c r="AF1068" s="42">
        <v>2171941</v>
      </c>
      <c r="AG1068" s="42" t="s">
        <v>6672</v>
      </c>
    </row>
    <row r="1069" spans="6:33" ht="15.75" customHeight="1">
      <c r="F1069" s="40" t="s">
        <v>5326</v>
      </c>
      <c r="G1069" s="36" t="s">
        <v>5327</v>
      </c>
      <c r="H1069" s="36" t="s">
        <v>761</v>
      </c>
      <c r="I1069" s="40" t="s">
        <v>6848</v>
      </c>
      <c r="J1069" s="140">
        <v>5031854</v>
      </c>
      <c r="K1069" s="141" t="s">
        <v>5330</v>
      </c>
      <c r="L1069" s="141">
        <v>3300006793</v>
      </c>
      <c r="M1069" s="141">
        <v>5040895</v>
      </c>
      <c r="N1069" s="141">
        <v>2183572</v>
      </c>
      <c r="O1069" s="142"/>
      <c r="P1069" s="142"/>
      <c r="Q1069" s="142"/>
      <c r="R1069" s="142"/>
      <c r="S1069" s="142"/>
      <c r="T1069" s="141" t="s">
        <v>5331</v>
      </c>
      <c r="V1069" s="43" t="s">
        <v>5329</v>
      </c>
      <c r="AF1069" s="42">
        <v>2171942</v>
      </c>
      <c r="AG1069" s="42" t="s">
        <v>6672</v>
      </c>
    </row>
    <row r="1070" spans="6:33" ht="15.75" customHeight="1">
      <c r="F1070" s="40" t="s">
        <v>3891</v>
      </c>
      <c r="G1070" s="36" t="s">
        <v>3892</v>
      </c>
      <c r="H1070" s="36" t="s">
        <v>553</v>
      </c>
      <c r="I1070" s="40" t="s">
        <v>6853</v>
      </c>
      <c r="J1070" s="138">
        <v>2116279</v>
      </c>
      <c r="K1070" s="139" t="s">
        <v>3894</v>
      </c>
      <c r="L1070" s="141" t="s">
        <v>7226</v>
      </c>
      <c r="M1070" s="141">
        <v>3300009741</v>
      </c>
      <c r="N1070" s="141"/>
      <c r="O1070" s="142"/>
      <c r="P1070" s="142"/>
      <c r="Q1070" s="142"/>
      <c r="R1070" s="142"/>
      <c r="S1070" s="142"/>
      <c r="T1070" s="139" t="s">
        <v>3896</v>
      </c>
      <c r="V1070" s="43" t="s">
        <v>549</v>
      </c>
      <c r="AF1070" s="42">
        <v>2171943</v>
      </c>
      <c r="AG1070" s="42" t="s">
        <v>6672</v>
      </c>
    </row>
    <row r="1071" spans="6:33" ht="15.75" customHeight="1">
      <c r="F1071" s="40" t="s">
        <v>8307</v>
      </c>
      <c r="G1071" s="36" t="s">
        <v>8307</v>
      </c>
      <c r="H1071" s="36" t="s">
        <v>8513</v>
      </c>
      <c r="I1071" s="40" t="s">
        <v>6853</v>
      </c>
      <c r="J1071" s="140" t="s">
        <v>3725</v>
      </c>
      <c r="K1071" s="141" t="s">
        <v>3726</v>
      </c>
      <c r="L1071" s="141">
        <v>2152250</v>
      </c>
      <c r="M1071" s="141"/>
      <c r="N1071" s="141"/>
      <c r="O1071" s="142"/>
      <c r="P1071" s="142"/>
      <c r="Q1071" s="142"/>
      <c r="R1071" s="142"/>
      <c r="S1071" s="142"/>
      <c r="T1071" s="141" t="s">
        <v>1620</v>
      </c>
      <c r="V1071" s="43" t="s">
        <v>657</v>
      </c>
      <c r="AF1071" s="42">
        <v>2171944</v>
      </c>
      <c r="AG1071" s="42" t="s">
        <v>6672</v>
      </c>
    </row>
    <row r="1072" spans="6:33" ht="15.75" customHeight="1">
      <c r="F1072" s="40" t="s">
        <v>7509</v>
      </c>
      <c r="G1072" s="36" t="s">
        <v>7510</v>
      </c>
      <c r="H1072" s="36" t="s">
        <v>761</v>
      </c>
      <c r="I1072" s="40" t="s">
        <v>6848</v>
      </c>
      <c r="J1072" s="140">
        <v>3300016391</v>
      </c>
      <c r="K1072" s="141" t="s">
        <v>1341</v>
      </c>
      <c r="L1072" s="141">
        <v>2114751</v>
      </c>
      <c r="M1072" s="141">
        <v>5049696</v>
      </c>
      <c r="N1072" s="141">
        <v>3300016218</v>
      </c>
      <c r="O1072" s="142"/>
      <c r="P1072" s="142"/>
      <c r="Q1072" s="142"/>
      <c r="R1072" s="142"/>
      <c r="S1072" s="142"/>
      <c r="T1072" s="141" t="s">
        <v>7587</v>
      </c>
      <c r="V1072" s="43" t="s">
        <v>7601</v>
      </c>
      <c r="AF1072" s="42">
        <v>2171945</v>
      </c>
      <c r="AG1072" s="42" t="s">
        <v>6672</v>
      </c>
    </row>
    <row r="1073" spans="6:33" ht="15.75" customHeight="1">
      <c r="F1073" s="40" t="s">
        <v>5535</v>
      </c>
      <c r="G1073" s="36" t="s">
        <v>5536</v>
      </c>
      <c r="H1073" s="36" t="s">
        <v>761</v>
      </c>
      <c r="I1073" s="40" t="s">
        <v>6848</v>
      </c>
      <c r="J1073" s="140">
        <v>2183608</v>
      </c>
      <c r="K1073" s="141" t="s">
        <v>5537</v>
      </c>
      <c r="L1073" s="141">
        <v>3300009782</v>
      </c>
      <c r="M1073" s="141">
        <v>2183610</v>
      </c>
      <c r="N1073" s="141"/>
      <c r="O1073" s="142"/>
      <c r="P1073" s="142"/>
      <c r="Q1073" s="142"/>
      <c r="R1073" s="142"/>
      <c r="S1073" s="142"/>
      <c r="T1073" s="141" t="s">
        <v>5538</v>
      </c>
      <c r="V1073" s="43" t="s">
        <v>692</v>
      </c>
      <c r="AF1073" s="42">
        <v>2171946</v>
      </c>
      <c r="AG1073" s="42" t="s">
        <v>6672</v>
      </c>
    </row>
    <row r="1074" spans="6:33" ht="15.75" customHeight="1">
      <c r="F1074" s="40" t="s">
        <v>5793</v>
      </c>
      <c r="G1074" s="36" t="s">
        <v>5794</v>
      </c>
      <c r="H1074" s="36" t="s">
        <v>761</v>
      </c>
      <c r="I1074" s="40" t="s">
        <v>6848</v>
      </c>
      <c r="J1074" s="140">
        <v>2103900</v>
      </c>
      <c r="K1074" s="141" t="s">
        <v>5795</v>
      </c>
      <c r="L1074" s="141">
        <v>3300003615</v>
      </c>
      <c r="M1074" s="141" t="s">
        <v>5796</v>
      </c>
      <c r="N1074" s="141">
        <v>2103883</v>
      </c>
      <c r="O1074" s="142"/>
      <c r="P1074" s="142"/>
      <c r="Q1074" s="142"/>
      <c r="R1074" s="142"/>
      <c r="S1074" s="142"/>
      <c r="T1074" s="141" t="s">
        <v>6738</v>
      </c>
      <c r="V1074" s="43" t="s">
        <v>588</v>
      </c>
      <c r="AF1074" s="42">
        <v>2171947</v>
      </c>
      <c r="AG1074" s="42" t="s">
        <v>6672</v>
      </c>
    </row>
    <row r="1075" spans="6:33" ht="15.75" customHeight="1">
      <c r="F1075" s="40" t="s">
        <v>4747</v>
      </c>
      <c r="G1075" s="36" t="s">
        <v>4748</v>
      </c>
      <c r="H1075" s="36" t="s">
        <v>761</v>
      </c>
      <c r="I1075" s="40" t="s">
        <v>6848</v>
      </c>
      <c r="J1075" s="140">
        <v>3300009706</v>
      </c>
      <c r="K1075" s="141" t="s">
        <v>4749</v>
      </c>
      <c r="L1075" s="141">
        <v>2103454</v>
      </c>
      <c r="M1075" s="141" t="s">
        <v>4235</v>
      </c>
      <c r="N1075" s="141"/>
      <c r="O1075" s="142"/>
      <c r="P1075" s="142"/>
      <c r="Q1075" s="142"/>
      <c r="R1075" s="142"/>
      <c r="S1075" s="142"/>
      <c r="T1075" s="141" t="s">
        <v>4750</v>
      </c>
      <c r="V1075" s="43" t="s">
        <v>757</v>
      </c>
      <c r="AF1075" s="42">
        <v>2171948</v>
      </c>
      <c r="AG1075" s="42" t="s">
        <v>6672</v>
      </c>
    </row>
    <row r="1076" spans="6:33" ht="15.75" customHeight="1">
      <c r="F1076" s="40" t="s">
        <v>7796</v>
      </c>
      <c r="G1076" s="36" t="s">
        <v>7954</v>
      </c>
      <c r="H1076" s="36" t="s">
        <v>8208</v>
      </c>
      <c r="I1076" s="40" t="s">
        <v>6850</v>
      </c>
      <c r="J1076" s="140">
        <v>2096088</v>
      </c>
      <c r="K1076" s="141">
        <v>5036851</v>
      </c>
      <c r="L1076" s="141">
        <v>3300005770</v>
      </c>
      <c r="M1076" s="141" t="s">
        <v>8127</v>
      </c>
      <c r="N1076" s="141" t="s">
        <v>8128</v>
      </c>
      <c r="O1076" s="142"/>
      <c r="P1076" s="142"/>
      <c r="Q1076" s="142"/>
      <c r="R1076" s="142"/>
      <c r="S1076" s="142"/>
      <c r="T1076" s="141">
        <v>31300127</v>
      </c>
      <c r="V1076" s="43" t="s">
        <v>642</v>
      </c>
      <c r="AF1076" s="42">
        <v>2171949</v>
      </c>
      <c r="AG1076" s="42" t="s">
        <v>6672</v>
      </c>
    </row>
    <row r="1077" spans="6:33" ht="15.75" customHeight="1">
      <c r="F1077" s="40" t="s">
        <v>7797</v>
      </c>
      <c r="G1077" s="36" t="s">
        <v>7955</v>
      </c>
      <c r="H1077" s="36" t="s">
        <v>8208</v>
      </c>
      <c r="I1077" s="40" t="s">
        <v>6850</v>
      </c>
      <c r="J1077" s="140">
        <v>2096102</v>
      </c>
      <c r="K1077" s="141">
        <v>3300001638</v>
      </c>
      <c r="L1077" s="141" t="s">
        <v>8129</v>
      </c>
      <c r="M1077" s="141" t="s">
        <v>8130</v>
      </c>
      <c r="N1077" s="141" t="s">
        <v>8131</v>
      </c>
      <c r="O1077" s="142"/>
      <c r="P1077" s="142"/>
      <c r="Q1077" s="142"/>
      <c r="R1077" s="142"/>
      <c r="S1077" s="142"/>
      <c r="T1077" s="141">
        <v>11300014</v>
      </c>
      <c r="V1077" s="43" t="s">
        <v>6365</v>
      </c>
      <c r="AF1077" s="42">
        <v>2171950</v>
      </c>
      <c r="AG1077" s="42" t="s">
        <v>6672</v>
      </c>
    </row>
    <row r="1078" spans="6:33" ht="15.75" customHeight="1">
      <c r="F1078" s="40" t="s">
        <v>7798</v>
      </c>
      <c r="G1078" s="36" t="s">
        <v>7956</v>
      </c>
      <c r="H1078" s="36" t="s">
        <v>564</v>
      </c>
      <c r="I1078" s="40" t="s">
        <v>6851</v>
      </c>
      <c r="J1078" s="140">
        <v>2236045</v>
      </c>
      <c r="K1078" s="141" t="s">
        <v>3672</v>
      </c>
      <c r="L1078" s="141">
        <v>5100180</v>
      </c>
      <c r="M1078" s="141" t="s">
        <v>5620</v>
      </c>
      <c r="N1078" s="141">
        <v>2138672</v>
      </c>
      <c r="O1078" s="142"/>
      <c r="P1078" s="142"/>
      <c r="Q1078" s="142"/>
      <c r="R1078" s="142"/>
      <c r="S1078" s="142"/>
      <c r="T1078" s="141" t="s">
        <v>8166</v>
      </c>
      <c r="V1078" s="43" t="s">
        <v>784</v>
      </c>
      <c r="AF1078" s="42">
        <v>2171951</v>
      </c>
      <c r="AG1078" s="42" t="s">
        <v>6672</v>
      </c>
    </row>
    <row r="1079" spans="6:33" ht="15.75" customHeight="1">
      <c r="F1079" s="40" t="s">
        <v>2302</v>
      </c>
      <c r="G1079" s="36" t="s">
        <v>2303</v>
      </c>
      <c r="H1079" s="36" t="s">
        <v>564</v>
      </c>
      <c r="I1079" s="40" t="s">
        <v>6851</v>
      </c>
      <c r="J1079" s="140">
        <v>3300001704</v>
      </c>
      <c r="K1079" s="141" t="s">
        <v>2304</v>
      </c>
      <c r="L1079" s="141">
        <v>5031882</v>
      </c>
      <c r="M1079" s="141">
        <v>2119197</v>
      </c>
      <c r="N1079" s="141">
        <v>3300003016</v>
      </c>
      <c r="O1079" s="142"/>
      <c r="P1079" s="142"/>
      <c r="Q1079" s="142"/>
      <c r="R1079" s="142"/>
      <c r="S1079" s="142"/>
      <c r="T1079" s="141" t="s">
        <v>2305</v>
      </c>
      <c r="V1079" s="43" t="s">
        <v>564</v>
      </c>
      <c r="AF1079" s="42">
        <v>2171952</v>
      </c>
      <c r="AG1079" s="42" t="s">
        <v>6672</v>
      </c>
    </row>
    <row r="1080" spans="6:33" ht="15.75" customHeight="1">
      <c r="F1080" s="40" t="s">
        <v>3899</v>
      </c>
      <c r="G1080" s="36" t="s">
        <v>3900</v>
      </c>
      <c r="H1080" s="36" t="s">
        <v>553</v>
      </c>
      <c r="I1080" s="40" t="s">
        <v>6853</v>
      </c>
      <c r="J1080" s="140" t="s">
        <v>3901</v>
      </c>
      <c r="K1080" s="141">
        <v>5050445</v>
      </c>
      <c r="L1080" s="141">
        <v>3300005728</v>
      </c>
      <c r="M1080" s="141">
        <v>2171893</v>
      </c>
      <c r="N1080" s="141"/>
      <c r="O1080" s="142"/>
      <c r="P1080" s="142"/>
      <c r="Q1080" s="142"/>
      <c r="R1080" s="142"/>
      <c r="S1080" s="142"/>
      <c r="T1080" s="141" t="s">
        <v>3902</v>
      </c>
      <c r="V1080" s="43" t="s">
        <v>549</v>
      </c>
      <c r="AF1080" s="42">
        <v>2171953</v>
      </c>
      <c r="AG1080" s="42" t="s">
        <v>6672</v>
      </c>
    </row>
    <row r="1081" spans="6:33" ht="15.75" customHeight="1">
      <c r="F1081" s="40" t="s">
        <v>2182</v>
      </c>
      <c r="G1081" s="36" t="s">
        <v>2183</v>
      </c>
      <c r="H1081" s="36" t="s">
        <v>564</v>
      </c>
      <c r="I1081" s="40" t="s">
        <v>6851</v>
      </c>
      <c r="J1081" s="140">
        <v>5049720</v>
      </c>
      <c r="K1081" s="141">
        <v>2228729</v>
      </c>
      <c r="L1081" s="141">
        <v>2171936</v>
      </c>
      <c r="M1081" s="141">
        <v>5049711</v>
      </c>
      <c r="N1081" s="141" t="s">
        <v>2185</v>
      </c>
      <c r="O1081" s="142"/>
      <c r="P1081" s="142"/>
      <c r="Q1081" s="142"/>
      <c r="R1081" s="142"/>
      <c r="S1081" s="142"/>
      <c r="T1081" s="141" t="s">
        <v>7290</v>
      </c>
      <c r="V1081" s="43" t="s">
        <v>662</v>
      </c>
      <c r="AF1081" s="42">
        <v>2171954</v>
      </c>
      <c r="AG1081" s="42" t="s">
        <v>6672</v>
      </c>
    </row>
    <row r="1082" spans="6:33" ht="15.75" customHeight="1">
      <c r="F1082" s="40" t="s">
        <v>6424</v>
      </c>
      <c r="G1082" s="36" t="s">
        <v>6425</v>
      </c>
      <c r="H1082" s="36" t="s">
        <v>8208</v>
      </c>
      <c r="I1082" s="40" t="s">
        <v>6850</v>
      </c>
      <c r="J1082" s="140">
        <v>5031822</v>
      </c>
      <c r="K1082" s="141">
        <v>2119259</v>
      </c>
      <c r="L1082" s="141"/>
      <c r="M1082" s="141"/>
      <c r="N1082" s="141"/>
      <c r="O1082" s="142"/>
      <c r="P1082" s="142"/>
      <c r="Q1082" s="142"/>
      <c r="R1082" s="142"/>
      <c r="S1082" s="142"/>
      <c r="T1082" s="141" t="s">
        <v>6771</v>
      </c>
      <c r="V1082" s="43" t="s">
        <v>638</v>
      </c>
      <c r="AF1082" s="42">
        <v>2171955</v>
      </c>
      <c r="AG1082" s="42" t="s">
        <v>6672</v>
      </c>
    </row>
    <row r="1083" spans="6:33" ht="15.75" customHeight="1">
      <c r="F1083" s="40" t="s">
        <v>2749</v>
      </c>
      <c r="G1083" s="36" t="s">
        <v>2750</v>
      </c>
      <c r="H1083" s="36" t="s">
        <v>670</v>
      </c>
      <c r="I1083" s="40" t="s">
        <v>6849</v>
      </c>
      <c r="J1083" s="140">
        <v>3300009799</v>
      </c>
      <c r="K1083" s="141" t="s">
        <v>2751</v>
      </c>
      <c r="L1083" s="141">
        <v>2114750</v>
      </c>
      <c r="M1083" s="141"/>
      <c r="N1083" s="141"/>
      <c r="O1083" s="142"/>
      <c r="P1083" s="142"/>
      <c r="Q1083" s="142"/>
      <c r="R1083" s="142"/>
      <c r="S1083" s="142"/>
      <c r="T1083" s="141" t="s">
        <v>6757</v>
      </c>
      <c r="V1083" s="43" t="s">
        <v>684</v>
      </c>
      <c r="AF1083" s="42">
        <v>2171956</v>
      </c>
      <c r="AG1083" s="42" t="s">
        <v>6672</v>
      </c>
    </row>
    <row r="1084" spans="6:33" ht="15.75" customHeight="1">
      <c r="F1084" s="40" t="s">
        <v>8469</v>
      </c>
      <c r="G1084" s="36" t="s">
        <v>8511</v>
      </c>
      <c r="H1084" s="36" t="s">
        <v>670</v>
      </c>
      <c r="I1084" s="40" t="s">
        <v>6849</v>
      </c>
      <c r="J1084" s="140">
        <v>2183515</v>
      </c>
      <c r="K1084" s="141">
        <v>3300016509</v>
      </c>
      <c r="L1084" s="141">
        <v>5104311</v>
      </c>
      <c r="M1084" s="141" t="s">
        <v>8577</v>
      </c>
      <c r="N1084" s="141" t="s">
        <v>8578</v>
      </c>
      <c r="O1084" s="142"/>
      <c r="P1084" s="142"/>
      <c r="Q1084" s="142"/>
      <c r="R1084" s="142"/>
      <c r="S1084" s="142"/>
      <c r="T1084" s="141" t="s">
        <v>8603</v>
      </c>
      <c r="V1084" s="43" t="s">
        <v>8608</v>
      </c>
      <c r="AF1084" s="42">
        <v>2171957</v>
      </c>
      <c r="AG1084" s="42" t="s">
        <v>6672</v>
      </c>
    </row>
    <row r="1085" spans="6:33" ht="15.75" customHeight="1">
      <c r="F1085" s="40" t="s">
        <v>5893</v>
      </c>
      <c r="G1085" s="36" t="s">
        <v>5894</v>
      </c>
      <c r="H1085" s="36" t="s">
        <v>8208</v>
      </c>
      <c r="I1085" s="40" t="s">
        <v>6850</v>
      </c>
      <c r="J1085" s="140">
        <v>2116276</v>
      </c>
      <c r="K1085" s="141">
        <v>3300002963</v>
      </c>
      <c r="L1085" s="141" t="s">
        <v>5896</v>
      </c>
      <c r="M1085" s="141"/>
      <c r="N1085" s="141"/>
      <c r="O1085" s="142"/>
      <c r="P1085" s="142"/>
      <c r="Q1085" s="142"/>
      <c r="R1085" s="142"/>
      <c r="S1085" s="142"/>
      <c r="T1085" s="141" t="s">
        <v>5897</v>
      </c>
      <c r="V1085" s="43" t="s">
        <v>5895</v>
      </c>
      <c r="AF1085" s="42">
        <v>2171958</v>
      </c>
      <c r="AG1085" s="42" t="s">
        <v>6672</v>
      </c>
    </row>
    <row r="1086" spans="6:33" ht="15.75" customHeight="1">
      <c r="F1086" s="40" t="s">
        <v>3084</v>
      </c>
      <c r="G1086" s="36" t="s">
        <v>3085</v>
      </c>
      <c r="H1086" s="36" t="s">
        <v>595</v>
      </c>
      <c r="I1086" s="40" t="s">
        <v>6847</v>
      </c>
      <c r="J1086" s="140">
        <v>2172017</v>
      </c>
      <c r="K1086" s="141" t="s">
        <v>3086</v>
      </c>
      <c r="L1086" s="141">
        <v>5045680</v>
      </c>
      <c r="M1086" s="141">
        <v>3300012257</v>
      </c>
      <c r="N1086" s="141" t="s">
        <v>3087</v>
      </c>
      <c r="O1086" s="142"/>
      <c r="P1086" s="142"/>
      <c r="Q1086" s="142"/>
      <c r="R1086" s="142"/>
      <c r="S1086" s="142"/>
      <c r="T1086" s="141" t="s">
        <v>3088</v>
      </c>
      <c r="V1086" s="43" t="s">
        <v>595</v>
      </c>
      <c r="AF1086" s="42">
        <v>2171959</v>
      </c>
      <c r="AG1086" s="42" t="s">
        <v>6672</v>
      </c>
    </row>
    <row r="1087" spans="6:33" ht="15.75" customHeight="1">
      <c r="F1087" s="40" t="s">
        <v>3623</v>
      </c>
      <c r="G1087" s="36" t="s">
        <v>3624</v>
      </c>
      <c r="H1087" s="36" t="s">
        <v>8513</v>
      </c>
      <c r="I1087" s="40" t="s">
        <v>6853</v>
      </c>
      <c r="J1087" s="140">
        <v>2171905</v>
      </c>
      <c r="K1087" s="141" t="s">
        <v>3625</v>
      </c>
      <c r="L1087" s="141" t="s">
        <v>3626</v>
      </c>
      <c r="M1087" s="141" t="s">
        <v>3627</v>
      </c>
      <c r="N1087" s="141" t="s">
        <v>3628</v>
      </c>
      <c r="O1087" s="142"/>
      <c r="P1087" s="142"/>
      <c r="Q1087" s="142"/>
      <c r="R1087" s="142"/>
      <c r="S1087" s="142"/>
      <c r="T1087" s="141" t="s">
        <v>2648</v>
      </c>
      <c r="V1087" s="43" t="s">
        <v>544</v>
      </c>
      <c r="AF1087" s="42">
        <v>2171960</v>
      </c>
      <c r="AG1087" s="42" t="s">
        <v>6672</v>
      </c>
    </row>
    <row r="1088" spans="6:33" ht="15.75" customHeight="1">
      <c r="F1088" s="40" t="s">
        <v>7799</v>
      </c>
      <c r="G1088" s="36" t="s">
        <v>7957</v>
      </c>
      <c r="H1088" s="36" t="s">
        <v>8208</v>
      </c>
      <c r="I1088" s="40" t="s">
        <v>6850</v>
      </c>
      <c r="J1088" s="140">
        <v>2081889</v>
      </c>
      <c r="K1088" s="141">
        <v>2081895</v>
      </c>
      <c r="L1088" s="141" t="s">
        <v>8132</v>
      </c>
      <c r="M1088" s="141" t="s">
        <v>8133</v>
      </c>
      <c r="N1088" s="141">
        <v>3300001642</v>
      </c>
      <c r="O1088" s="142"/>
      <c r="P1088" s="142"/>
      <c r="Q1088" s="142"/>
      <c r="R1088" s="142"/>
      <c r="S1088" s="142"/>
      <c r="T1088" s="141">
        <v>111200003</v>
      </c>
      <c r="V1088" s="43" t="s">
        <v>8188</v>
      </c>
      <c r="AF1088" s="42">
        <v>2171961</v>
      </c>
      <c r="AG1088" s="42" t="s">
        <v>6672</v>
      </c>
    </row>
    <row r="1089" spans="6:33" ht="15.75" customHeight="1">
      <c r="F1089" s="40" t="s">
        <v>7800</v>
      </c>
      <c r="G1089" s="36" t="s">
        <v>7958</v>
      </c>
      <c r="H1089" s="36" t="s">
        <v>8208</v>
      </c>
      <c r="I1089" s="40" t="s">
        <v>6850</v>
      </c>
      <c r="J1089" s="140">
        <v>2197762</v>
      </c>
      <c r="K1089" s="141">
        <v>3300016079</v>
      </c>
      <c r="L1089" s="141"/>
      <c r="M1089" s="141"/>
      <c r="N1089" s="141"/>
      <c r="O1089" s="142"/>
      <c r="P1089" s="142"/>
      <c r="Q1089" s="142"/>
      <c r="R1089" s="142"/>
      <c r="S1089" s="142"/>
      <c r="T1089" s="141">
        <v>61500007</v>
      </c>
      <c r="V1089" s="43" t="s">
        <v>687</v>
      </c>
      <c r="AF1089" s="42">
        <v>2171962</v>
      </c>
      <c r="AG1089" s="42" t="s">
        <v>6672</v>
      </c>
    </row>
    <row r="1090" spans="6:33" ht="15.75" customHeight="1">
      <c r="F1090" s="40" t="s">
        <v>3789</v>
      </c>
      <c r="G1090" s="36" t="s">
        <v>3790</v>
      </c>
      <c r="H1090" s="36" t="s">
        <v>553</v>
      </c>
      <c r="I1090" s="40" t="s">
        <v>6853</v>
      </c>
      <c r="J1090" s="140">
        <v>2149675</v>
      </c>
      <c r="K1090" s="141" t="s">
        <v>3792</v>
      </c>
      <c r="L1090" s="141">
        <v>2114780</v>
      </c>
      <c r="M1090" s="141">
        <v>3300002921</v>
      </c>
      <c r="N1090" s="141">
        <v>5105530</v>
      </c>
      <c r="O1090" s="142"/>
      <c r="P1090" s="142"/>
      <c r="Q1090" s="142"/>
      <c r="R1090" s="142"/>
      <c r="S1090" s="142"/>
      <c r="T1090" s="141" t="s">
        <v>3793</v>
      </c>
      <c r="V1090" s="43" t="s">
        <v>742</v>
      </c>
      <c r="AF1090" s="42">
        <v>2171963</v>
      </c>
      <c r="AG1090" s="42" t="s">
        <v>6672</v>
      </c>
    </row>
    <row r="1091" spans="6:33" ht="15.75" customHeight="1">
      <c r="F1091" s="40" t="s">
        <v>2929</v>
      </c>
      <c r="G1091" s="36" t="s">
        <v>2930</v>
      </c>
      <c r="H1091" s="36" t="s">
        <v>595</v>
      </c>
      <c r="I1091" s="40" t="s">
        <v>6847</v>
      </c>
      <c r="J1091" s="140" t="s">
        <v>2931</v>
      </c>
      <c r="K1091" s="141">
        <v>3300009521</v>
      </c>
      <c r="L1091" s="141">
        <v>5050443</v>
      </c>
      <c r="M1091" s="141">
        <v>2171993</v>
      </c>
      <c r="N1091" s="141">
        <v>5042641</v>
      </c>
      <c r="O1091" s="142"/>
      <c r="P1091" s="142"/>
      <c r="Q1091" s="142"/>
      <c r="R1091" s="142"/>
      <c r="S1091" s="142"/>
      <c r="T1091" s="141" t="s">
        <v>2932</v>
      </c>
      <c r="V1091" s="43" t="s">
        <v>562</v>
      </c>
      <c r="AF1091" s="42">
        <v>2171964</v>
      </c>
      <c r="AG1091" s="42" t="s">
        <v>6672</v>
      </c>
    </row>
    <row r="1092" spans="6:33" ht="15.75" customHeight="1">
      <c r="F1092" s="40" t="s">
        <v>4447</v>
      </c>
      <c r="G1092" s="36" t="s">
        <v>4448</v>
      </c>
      <c r="H1092" s="36" t="s">
        <v>761</v>
      </c>
      <c r="I1092" s="40" t="s">
        <v>6848</v>
      </c>
      <c r="J1092" s="140" t="s">
        <v>4451</v>
      </c>
      <c r="K1092" s="141">
        <v>5012460</v>
      </c>
      <c r="L1092" s="141">
        <v>5012468</v>
      </c>
      <c r="M1092" s="141">
        <v>3300001277</v>
      </c>
      <c r="N1092" s="141" t="s">
        <v>4452</v>
      </c>
      <c r="O1092" s="142"/>
      <c r="P1092" s="142"/>
      <c r="Q1092" s="142"/>
      <c r="R1092" s="142"/>
      <c r="S1092" s="142"/>
      <c r="T1092" s="141" t="s">
        <v>4453</v>
      </c>
      <c r="V1092" s="43" t="s">
        <v>4450</v>
      </c>
      <c r="AF1092" s="42">
        <v>2171965</v>
      </c>
      <c r="AG1092" s="42" t="s">
        <v>6672</v>
      </c>
    </row>
    <row r="1093" spans="6:33" ht="15.75" customHeight="1">
      <c r="F1093" s="40" t="s">
        <v>3159</v>
      </c>
      <c r="G1093" s="36" t="s">
        <v>3160</v>
      </c>
      <c r="H1093" s="36" t="s">
        <v>6841</v>
      </c>
      <c r="I1093" s="40" t="s">
        <v>6852</v>
      </c>
      <c r="J1093" s="140">
        <v>3300002923</v>
      </c>
      <c r="K1093" s="141">
        <v>2103483</v>
      </c>
      <c r="L1093" s="141" t="s">
        <v>3161</v>
      </c>
      <c r="M1093" s="141">
        <v>5059308</v>
      </c>
      <c r="N1093" s="141"/>
      <c r="O1093" s="142"/>
      <c r="P1093" s="142"/>
      <c r="Q1093" s="142"/>
      <c r="R1093" s="142"/>
      <c r="S1093" s="142"/>
      <c r="T1093" s="141" t="s">
        <v>3162</v>
      </c>
      <c r="V1093" s="43" t="s">
        <v>656</v>
      </c>
      <c r="AF1093" s="42">
        <v>2171966</v>
      </c>
      <c r="AG1093" s="42" t="s">
        <v>6672</v>
      </c>
    </row>
    <row r="1094" spans="6:33" ht="15.75" customHeight="1">
      <c r="F1094" s="40" t="s">
        <v>3597</v>
      </c>
      <c r="G1094" s="36" t="s">
        <v>3598</v>
      </c>
      <c r="H1094" s="36" t="s">
        <v>8513</v>
      </c>
      <c r="I1094" s="40" t="s">
        <v>6853</v>
      </c>
      <c r="J1094" s="138">
        <v>5031823</v>
      </c>
      <c r="K1094" s="139">
        <v>2119258</v>
      </c>
      <c r="L1094" s="139">
        <v>3300008137</v>
      </c>
      <c r="M1094" s="141">
        <v>5031827</v>
      </c>
      <c r="N1094" s="139" t="s">
        <v>4826</v>
      </c>
      <c r="O1094" s="142"/>
      <c r="P1094" s="142"/>
      <c r="Q1094" s="142"/>
      <c r="R1094" s="142"/>
      <c r="S1094" s="142"/>
      <c r="T1094" s="139" t="s">
        <v>3600</v>
      </c>
      <c r="V1094" s="43" t="s">
        <v>572</v>
      </c>
      <c r="AF1094" s="42">
        <v>2171967</v>
      </c>
      <c r="AG1094" s="42" t="s">
        <v>6672</v>
      </c>
    </row>
    <row r="1095" spans="6:33" ht="15.75" customHeight="1">
      <c r="F1095" s="40" t="s">
        <v>2390</v>
      </c>
      <c r="G1095" s="36" t="s">
        <v>64</v>
      </c>
      <c r="H1095" s="36" t="s">
        <v>564</v>
      </c>
      <c r="I1095" s="40" t="s">
        <v>6851</v>
      </c>
      <c r="J1095" s="140" t="s">
        <v>2391</v>
      </c>
      <c r="K1095" s="141" t="s">
        <v>8277</v>
      </c>
      <c r="L1095" s="141">
        <v>3300001690</v>
      </c>
      <c r="M1095" s="141" t="s">
        <v>2392</v>
      </c>
      <c r="N1095" s="141">
        <v>2183488</v>
      </c>
      <c r="O1095" s="142"/>
      <c r="P1095" s="142"/>
      <c r="Q1095" s="142"/>
      <c r="R1095" s="142"/>
      <c r="S1095" s="142"/>
      <c r="T1095" s="141" t="s">
        <v>2393</v>
      </c>
      <c r="V1095" s="43" t="s">
        <v>557</v>
      </c>
      <c r="AF1095" s="42">
        <v>2171968</v>
      </c>
      <c r="AG1095" s="42" t="s">
        <v>6672</v>
      </c>
    </row>
    <row r="1096" spans="6:33" ht="15.75" customHeight="1">
      <c r="F1096" s="40" t="s">
        <v>7511</v>
      </c>
      <c r="G1096" s="36" t="s">
        <v>7512</v>
      </c>
      <c r="H1096" s="36" t="s">
        <v>564</v>
      </c>
      <c r="I1096" s="40" t="s">
        <v>6851</v>
      </c>
      <c r="J1096" s="140">
        <v>2114771</v>
      </c>
      <c r="K1096" s="141" t="s">
        <v>7557</v>
      </c>
      <c r="L1096" s="141">
        <v>5059346</v>
      </c>
      <c r="M1096" s="141">
        <v>2116293</v>
      </c>
      <c r="N1096" s="141"/>
      <c r="O1096" s="142"/>
      <c r="P1096" s="142"/>
      <c r="Q1096" s="142"/>
      <c r="R1096" s="142"/>
      <c r="S1096" s="142"/>
      <c r="T1096" s="141" t="s">
        <v>6810</v>
      </c>
      <c r="V1096" s="43" t="s">
        <v>738</v>
      </c>
      <c r="AF1096" s="42">
        <v>2171969</v>
      </c>
      <c r="AG1096" s="42" t="s">
        <v>6672</v>
      </c>
    </row>
    <row r="1097" spans="6:33" ht="15.75" customHeight="1">
      <c r="F1097" s="40" t="s">
        <v>8359</v>
      </c>
      <c r="G1097" s="36" t="s">
        <v>8380</v>
      </c>
      <c r="H1097" s="36" t="s">
        <v>6841</v>
      </c>
      <c r="I1097" s="40" t="s">
        <v>6852</v>
      </c>
      <c r="J1097" s="140">
        <v>3400003863</v>
      </c>
      <c r="K1097" s="141">
        <v>5104339</v>
      </c>
      <c r="L1097" s="141" t="s">
        <v>8284</v>
      </c>
      <c r="M1097" s="141">
        <v>5045678</v>
      </c>
      <c r="N1097" s="141">
        <v>3300001239</v>
      </c>
      <c r="O1097" s="142"/>
      <c r="P1097" s="142"/>
      <c r="Q1097" s="142"/>
      <c r="R1097" s="142"/>
      <c r="S1097" s="142"/>
      <c r="T1097" s="141" t="s">
        <v>5059</v>
      </c>
      <c r="V1097" s="43" t="s">
        <v>538</v>
      </c>
      <c r="AF1097" s="42">
        <v>2171970</v>
      </c>
      <c r="AG1097" s="42" t="s">
        <v>6672</v>
      </c>
    </row>
    <row r="1098" spans="6:33" ht="15.75" customHeight="1">
      <c r="F1098" s="40" t="s">
        <v>1073</v>
      </c>
      <c r="G1098" s="36" t="s">
        <v>1074</v>
      </c>
      <c r="H1098" s="36" t="s">
        <v>564</v>
      </c>
      <c r="I1098" s="40" t="s">
        <v>6851</v>
      </c>
      <c r="J1098" s="140">
        <v>5045672</v>
      </c>
      <c r="K1098" s="141" t="s">
        <v>1075</v>
      </c>
      <c r="L1098" s="141">
        <v>2171891</v>
      </c>
      <c r="M1098" s="141">
        <v>3300011496</v>
      </c>
      <c r="N1098" s="141" t="s">
        <v>1076</v>
      </c>
      <c r="O1098" s="142"/>
      <c r="P1098" s="142"/>
      <c r="Q1098" s="142"/>
      <c r="R1098" s="142"/>
      <c r="S1098" s="142"/>
      <c r="T1098" s="141" t="s">
        <v>1077</v>
      </c>
      <c r="V1098" s="43" t="s">
        <v>619</v>
      </c>
      <c r="AF1098" s="42">
        <v>2171971</v>
      </c>
      <c r="AG1098" s="42" t="s">
        <v>6672</v>
      </c>
    </row>
    <row r="1099" spans="6:33" ht="15.75" customHeight="1">
      <c r="F1099" s="40" t="s">
        <v>5746</v>
      </c>
      <c r="G1099" s="36" t="s">
        <v>5747</v>
      </c>
      <c r="H1099" s="36" t="s">
        <v>761</v>
      </c>
      <c r="I1099" s="40" t="s">
        <v>6848</v>
      </c>
      <c r="J1099" s="140">
        <v>2115667</v>
      </c>
      <c r="K1099" s="141">
        <v>5001463</v>
      </c>
      <c r="L1099" s="141">
        <v>3300008148</v>
      </c>
      <c r="M1099" s="141">
        <v>5001478</v>
      </c>
      <c r="N1099" s="141">
        <v>2115645</v>
      </c>
      <c r="O1099" s="142"/>
      <c r="P1099" s="142"/>
      <c r="Q1099" s="142"/>
      <c r="R1099" s="142"/>
      <c r="S1099" s="142"/>
      <c r="T1099" s="141" t="s">
        <v>6780</v>
      </c>
      <c r="V1099" s="43" t="s">
        <v>628</v>
      </c>
      <c r="AF1099" s="42">
        <v>2171972</v>
      </c>
      <c r="AG1099" s="42" t="s">
        <v>6672</v>
      </c>
    </row>
    <row r="1100" spans="6:33" ht="15.75" customHeight="1">
      <c r="F1100" s="40" t="s">
        <v>7801</v>
      </c>
      <c r="G1100" s="36" t="s">
        <v>7959</v>
      </c>
      <c r="H1100" s="36" t="s">
        <v>8208</v>
      </c>
      <c r="I1100" s="40" t="s">
        <v>6850</v>
      </c>
      <c r="J1100" s="140">
        <v>2119581</v>
      </c>
      <c r="K1100" s="141">
        <v>5050605</v>
      </c>
      <c r="L1100" s="141" t="s">
        <v>8134</v>
      </c>
      <c r="M1100" s="141"/>
      <c r="N1100" s="141"/>
      <c r="O1100" s="142"/>
      <c r="P1100" s="142"/>
      <c r="Q1100" s="142"/>
      <c r="R1100" s="142"/>
      <c r="S1100" s="142"/>
      <c r="T1100" s="141">
        <v>121300118</v>
      </c>
      <c r="V1100" s="43" t="s">
        <v>687</v>
      </c>
      <c r="AF1100" s="42">
        <v>2171973</v>
      </c>
      <c r="AG1100" s="42" t="s">
        <v>6672</v>
      </c>
    </row>
    <row r="1101" spans="6:33" ht="15.75" customHeight="1">
      <c r="F1101" s="40" t="s">
        <v>6178</v>
      </c>
      <c r="G1101" s="36" t="s">
        <v>6179</v>
      </c>
      <c r="H1101" s="36" t="s">
        <v>8208</v>
      </c>
      <c r="I1101" s="40" t="s">
        <v>6850</v>
      </c>
      <c r="J1101" s="140">
        <v>2114745</v>
      </c>
      <c r="K1101" s="141" t="s">
        <v>6181</v>
      </c>
      <c r="L1101" s="141">
        <v>2114790</v>
      </c>
      <c r="M1101" s="141">
        <v>3300002940</v>
      </c>
      <c r="N1101" s="141"/>
      <c r="O1101" s="142"/>
      <c r="P1101" s="142"/>
      <c r="Q1101" s="142"/>
      <c r="R1101" s="142"/>
      <c r="S1101" s="142"/>
      <c r="T1101" s="141" t="s">
        <v>6182</v>
      </c>
      <c r="V1101" s="43" t="s">
        <v>747</v>
      </c>
      <c r="AF1101" s="42">
        <v>2171974</v>
      </c>
      <c r="AG1101" s="42" t="s">
        <v>6672</v>
      </c>
    </row>
    <row r="1102" spans="6:33" ht="15.75" customHeight="1">
      <c r="F1102" s="40" t="s">
        <v>2935</v>
      </c>
      <c r="G1102" s="36" t="s">
        <v>2936</v>
      </c>
      <c r="H1102" s="36" t="s">
        <v>595</v>
      </c>
      <c r="I1102" s="40" t="s">
        <v>6847</v>
      </c>
      <c r="J1102" s="140">
        <v>3300002994</v>
      </c>
      <c r="K1102" s="141" t="s">
        <v>2937</v>
      </c>
      <c r="L1102" s="141">
        <v>2114794</v>
      </c>
      <c r="M1102" s="141">
        <v>3300009715</v>
      </c>
      <c r="N1102" s="141">
        <v>5032249</v>
      </c>
      <c r="O1102" s="142"/>
      <c r="P1102" s="142"/>
      <c r="Q1102" s="142"/>
      <c r="R1102" s="142"/>
      <c r="S1102" s="142"/>
      <c r="T1102" s="141" t="s">
        <v>6784</v>
      </c>
      <c r="V1102" s="43" t="s">
        <v>562</v>
      </c>
      <c r="AF1102" s="42">
        <v>2171975</v>
      </c>
      <c r="AG1102" s="42" t="s">
        <v>6672</v>
      </c>
    </row>
    <row r="1103" spans="6:33" ht="15.75" customHeight="1">
      <c r="F1103" s="40" t="s">
        <v>2486</v>
      </c>
      <c r="G1103" s="36" t="s">
        <v>2487</v>
      </c>
      <c r="H1103" s="36" t="s">
        <v>670</v>
      </c>
      <c r="I1103" s="40" t="s">
        <v>6849</v>
      </c>
      <c r="J1103" s="138">
        <v>2114779</v>
      </c>
      <c r="K1103" s="139">
        <v>3300002932</v>
      </c>
      <c r="L1103" s="139">
        <v>2114786</v>
      </c>
      <c r="M1103" s="141" t="s">
        <v>2489</v>
      </c>
      <c r="N1103" s="141" t="s">
        <v>2490</v>
      </c>
      <c r="O1103" s="142"/>
      <c r="P1103" s="142"/>
      <c r="Q1103" s="142"/>
      <c r="R1103" s="142"/>
      <c r="S1103" s="142"/>
      <c r="T1103" s="141" t="s">
        <v>2491</v>
      </c>
      <c r="V1103" s="43" t="s">
        <v>670</v>
      </c>
      <c r="AF1103" s="42">
        <v>2171976</v>
      </c>
      <c r="AG1103" s="42" t="s">
        <v>6672</v>
      </c>
    </row>
    <row r="1104" spans="6:33" ht="15.75" customHeight="1">
      <c r="F1104" s="40" t="s">
        <v>5864</v>
      </c>
      <c r="G1104" s="36" t="s">
        <v>5865</v>
      </c>
      <c r="H1104" s="36" t="s">
        <v>8208</v>
      </c>
      <c r="I1104" s="40" t="s">
        <v>6850</v>
      </c>
      <c r="J1104" s="140">
        <v>2152257</v>
      </c>
      <c r="K1104" s="141" t="s">
        <v>8235</v>
      </c>
      <c r="L1104" s="141">
        <v>2160005</v>
      </c>
      <c r="M1104" s="141"/>
      <c r="N1104" s="141"/>
      <c r="O1104" s="142"/>
      <c r="P1104" s="142"/>
      <c r="Q1104" s="142"/>
      <c r="R1104" s="142"/>
      <c r="S1104" s="142"/>
      <c r="T1104" s="141" t="s">
        <v>5867</v>
      </c>
      <c r="V1104" s="43" t="s">
        <v>781</v>
      </c>
      <c r="AF1104" s="42">
        <v>2171977</v>
      </c>
      <c r="AG1104" s="42" t="s">
        <v>6672</v>
      </c>
    </row>
    <row r="1105" spans="6:33" ht="15.75" customHeight="1">
      <c r="F1105" s="40" t="s">
        <v>2603</v>
      </c>
      <c r="G1105" s="36" t="s">
        <v>2604</v>
      </c>
      <c r="H1105" s="36" t="s">
        <v>670</v>
      </c>
      <c r="I1105" s="40" t="s">
        <v>6849</v>
      </c>
      <c r="J1105" s="140">
        <v>2103927</v>
      </c>
      <c r="K1105" s="141" t="s">
        <v>2605</v>
      </c>
      <c r="L1105" s="141" t="s">
        <v>7125</v>
      </c>
      <c r="M1105" s="141"/>
      <c r="N1105" s="141"/>
      <c r="O1105" s="142"/>
      <c r="P1105" s="142"/>
      <c r="Q1105" s="142"/>
      <c r="R1105" s="142"/>
      <c r="S1105" s="142"/>
      <c r="T1105" s="141" t="s">
        <v>2606</v>
      </c>
      <c r="V1105" s="43" t="s">
        <v>640</v>
      </c>
      <c r="AF1105" s="42">
        <v>2171978</v>
      </c>
      <c r="AG1105" s="42" t="s">
        <v>6672</v>
      </c>
    </row>
    <row r="1106" spans="6:33" ht="15.75" customHeight="1">
      <c r="F1106" s="40" t="s">
        <v>5362</v>
      </c>
      <c r="G1106" s="36" t="s">
        <v>5363</v>
      </c>
      <c r="H1106" s="36" t="s">
        <v>761</v>
      </c>
      <c r="I1106" s="40" t="s">
        <v>6848</v>
      </c>
      <c r="J1106" s="140">
        <v>1723939</v>
      </c>
      <c r="K1106" s="141" t="s">
        <v>5365</v>
      </c>
      <c r="L1106" s="141">
        <v>1756703</v>
      </c>
      <c r="M1106" s="141"/>
      <c r="N1106" s="141"/>
      <c r="O1106" s="142"/>
      <c r="P1106" s="142"/>
      <c r="Q1106" s="142"/>
      <c r="R1106" s="142"/>
      <c r="S1106" s="142"/>
      <c r="T1106" s="141" t="s">
        <v>5366</v>
      </c>
      <c r="V1106" s="43" t="s">
        <v>651</v>
      </c>
      <c r="AF1106" s="42">
        <v>2171979</v>
      </c>
      <c r="AG1106" s="42" t="s">
        <v>6672</v>
      </c>
    </row>
    <row r="1107" spans="6:33" ht="15.75" customHeight="1">
      <c r="F1107" s="40" t="s">
        <v>5624</v>
      </c>
      <c r="G1107" s="36" t="s">
        <v>5625</v>
      </c>
      <c r="H1107" s="36" t="s">
        <v>761</v>
      </c>
      <c r="I1107" s="40" t="s">
        <v>6848</v>
      </c>
      <c r="J1107" s="140">
        <v>2119191</v>
      </c>
      <c r="K1107" s="141">
        <v>5031844</v>
      </c>
      <c r="L1107" s="141">
        <v>3300008123</v>
      </c>
      <c r="M1107" s="141" t="s">
        <v>5511</v>
      </c>
      <c r="N1107" s="141"/>
      <c r="O1107" s="142"/>
      <c r="P1107" s="142"/>
      <c r="Q1107" s="142"/>
      <c r="R1107" s="142"/>
      <c r="S1107" s="142"/>
      <c r="T1107" s="141" t="s">
        <v>5628</v>
      </c>
      <c r="V1107" s="43" t="s">
        <v>5627</v>
      </c>
      <c r="AF1107" s="42">
        <v>2171980</v>
      </c>
      <c r="AG1107" s="42" t="s">
        <v>6672</v>
      </c>
    </row>
    <row r="1108" spans="6:33" ht="15.75" customHeight="1">
      <c r="F1108" s="40" t="s">
        <v>6371</v>
      </c>
      <c r="G1108" s="36" t="s">
        <v>6372</v>
      </c>
      <c r="H1108" s="36" t="s">
        <v>8208</v>
      </c>
      <c r="I1108" s="40" t="s">
        <v>6850</v>
      </c>
      <c r="J1108" s="140">
        <v>5040882</v>
      </c>
      <c r="K1108" s="141">
        <v>2171997</v>
      </c>
      <c r="L1108" s="141">
        <v>3300006791</v>
      </c>
      <c r="M1108" s="141" t="s">
        <v>6658</v>
      </c>
      <c r="N1108" s="141"/>
      <c r="O1108" s="142"/>
      <c r="P1108" s="142"/>
      <c r="Q1108" s="142"/>
      <c r="R1108" s="142"/>
      <c r="S1108" s="142"/>
      <c r="T1108" s="141" t="s">
        <v>6375</v>
      </c>
      <c r="V1108" s="43" t="s">
        <v>6365</v>
      </c>
      <c r="AF1108" s="42">
        <v>2171981</v>
      </c>
      <c r="AG1108" s="42" t="s">
        <v>6672</v>
      </c>
    </row>
    <row r="1109" spans="6:33" ht="15.75" customHeight="1">
      <c r="F1109" s="40" t="s">
        <v>5590</v>
      </c>
      <c r="G1109" s="36" t="s">
        <v>5591</v>
      </c>
      <c r="H1109" s="36" t="s">
        <v>761</v>
      </c>
      <c r="I1109" s="40" t="s">
        <v>6848</v>
      </c>
      <c r="J1109" s="140">
        <v>3300009781</v>
      </c>
      <c r="K1109" s="141">
        <v>5001450</v>
      </c>
      <c r="L1109" s="141">
        <v>3300008128</v>
      </c>
      <c r="M1109" s="141">
        <v>2115658</v>
      </c>
      <c r="N1109" s="141">
        <v>5042643</v>
      </c>
      <c r="O1109" s="142"/>
      <c r="P1109" s="142"/>
      <c r="Q1109" s="142"/>
      <c r="R1109" s="142"/>
      <c r="S1109" s="142"/>
      <c r="T1109" s="141" t="s">
        <v>5593</v>
      </c>
      <c r="V1109" s="43" t="s">
        <v>609</v>
      </c>
      <c r="AF1109" s="42">
        <v>2171982</v>
      </c>
      <c r="AG1109" s="42" t="s">
        <v>6672</v>
      </c>
    </row>
    <row r="1110" spans="6:33" ht="15.75" customHeight="1">
      <c r="F1110" s="40" t="s">
        <v>3182</v>
      </c>
      <c r="G1110" s="36" t="s">
        <v>3183</v>
      </c>
      <c r="H1110" s="36" t="s">
        <v>6841</v>
      </c>
      <c r="I1110" s="40" t="s">
        <v>6852</v>
      </c>
      <c r="J1110" s="140">
        <v>2116013</v>
      </c>
      <c r="K1110" s="141" t="s">
        <v>3184</v>
      </c>
      <c r="L1110" s="141">
        <v>3300005177</v>
      </c>
      <c r="M1110" s="141" t="s">
        <v>3185</v>
      </c>
      <c r="N1110" s="141">
        <v>2172439</v>
      </c>
      <c r="O1110" s="142"/>
      <c r="P1110" s="142"/>
      <c r="Q1110" s="142"/>
      <c r="R1110" s="142"/>
      <c r="S1110" s="142"/>
      <c r="T1110" s="141" t="s">
        <v>3186</v>
      </c>
      <c r="V1110" s="43" t="s">
        <v>733</v>
      </c>
      <c r="AF1110" s="42">
        <v>2171983</v>
      </c>
      <c r="AG1110" s="42" t="s">
        <v>6672</v>
      </c>
    </row>
    <row r="1111" spans="6:33" ht="15.75" customHeight="1">
      <c r="F1111" s="40" t="s">
        <v>1630</v>
      </c>
      <c r="G1111" s="36" t="s">
        <v>1631</v>
      </c>
      <c r="H1111" s="36" t="s">
        <v>564</v>
      </c>
      <c r="I1111" s="40" t="s">
        <v>6851</v>
      </c>
      <c r="J1111" s="140">
        <v>3300011818</v>
      </c>
      <c r="K1111" s="141" t="s">
        <v>1632</v>
      </c>
      <c r="L1111" s="141">
        <v>2103958</v>
      </c>
      <c r="M1111" s="141" t="s">
        <v>6663</v>
      </c>
      <c r="N1111" s="141"/>
      <c r="O1111" s="142"/>
      <c r="P1111" s="142"/>
      <c r="Q1111" s="142"/>
      <c r="R1111" s="142"/>
      <c r="S1111" s="142"/>
      <c r="T1111" s="141" t="s">
        <v>1633</v>
      </c>
      <c r="V1111" s="43" t="s">
        <v>568</v>
      </c>
      <c r="AF1111" s="42">
        <v>2171985</v>
      </c>
      <c r="AG1111" s="42" t="s">
        <v>6672</v>
      </c>
    </row>
    <row r="1112" spans="6:33" ht="15.75" customHeight="1">
      <c r="F1112" s="40" t="s">
        <v>1507</v>
      </c>
      <c r="G1112" s="36" t="s">
        <v>1508</v>
      </c>
      <c r="H1112" s="36" t="s">
        <v>564</v>
      </c>
      <c r="I1112" s="40" t="s">
        <v>6851</v>
      </c>
      <c r="J1112" s="138">
        <v>2114742</v>
      </c>
      <c r="K1112" s="139">
        <v>5042660</v>
      </c>
      <c r="L1112" s="141" t="s">
        <v>3888</v>
      </c>
      <c r="M1112" s="141">
        <v>3300002807</v>
      </c>
      <c r="N1112" s="141" t="s">
        <v>1509</v>
      </c>
      <c r="O1112" s="142"/>
      <c r="P1112" s="142"/>
      <c r="Q1112" s="142"/>
      <c r="R1112" s="142"/>
      <c r="S1112" s="142"/>
      <c r="T1112" s="139" t="s">
        <v>1510</v>
      </c>
      <c r="V1112" s="43" t="s">
        <v>629</v>
      </c>
      <c r="AF1112" s="42">
        <v>2171986</v>
      </c>
      <c r="AG1112" s="42" t="s">
        <v>6672</v>
      </c>
    </row>
    <row r="1113" spans="6:33" ht="15.75" customHeight="1">
      <c r="F1113" s="40" t="s">
        <v>5852</v>
      </c>
      <c r="G1113" s="36" t="s">
        <v>5853</v>
      </c>
      <c r="H1113" s="36" t="s">
        <v>8208</v>
      </c>
      <c r="I1113" s="40" t="s">
        <v>6850</v>
      </c>
      <c r="J1113" s="140">
        <v>5070901</v>
      </c>
      <c r="K1113" s="141">
        <v>3300004162</v>
      </c>
      <c r="L1113" s="141">
        <v>2096094</v>
      </c>
      <c r="M1113" s="141">
        <v>3300004143</v>
      </c>
      <c r="N1113" s="141" t="s">
        <v>5855</v>
      </c>
      <c r="O1113" s="142"/>
      <c r="P1113" s="142"/>
      <c r="Q1113" s="142"/>
      <c r="R1113" s="142"/>
      <c r="S1113" s="142"/>
      <c r="T1113" s="141" t="s">
        <v>5856</v>
      </c>
      <c r="V1113" s="43" t="s">
        <v>648</v>
      </c>
      <c r="AF1113" s="42">
        <v>2171987</v>
      </c>
      <c r="AG1113" s="42" t="s">
        <v>6672</v>
      </c>
    </row>
    <row r="1114" spans="6:33" ht="15.75" customHeight="1">
      <c r="F1114" s="40" t="s">
        <v>7420</v>
      </c>
      <c r="G1114" s="36" t="s">
        <v>7427</v>
      </c>
      <c r="H1114" s="36" t="s">
        <v>564</v>
      </c>
      <c r="I1114" s="40" t="s">
        <v>6851</v>
      </c>
      <c r="J1114" s="140">
        <v>3300001672</v>
      </c>
      <c r="K1114" s="141" t="s">
        <v>1605</v>
      </c>
      <c r="L1114" s="141">
        <v>2119243</v>
      </c>
      <c r="M1114" s="141">
        <v>5059355</v>
      </c>
      <c r="N1114" s="141">
        <v>3300015856</v>
      </c>
      <c r="O1114" s="142"/>
      <c r="P1114" s="142"/>
      <c r="Q1114" s="142"/>
      <c r="R1114" s="142"/>
      <c r="S1114" s="142"/>
      <c r="T1114" s="141" t="s">
        <v>3733</v>
      </c>
      <c r="V1114" s="43" t="s">
        <v>7430</v>
      </c>
      <c r="AF1114" s="42">
        <v>2171988</v>
      </c>
      <c r="AG1114" s="42" t="s">
        <v>6672</v>
      </c>
    </row>
    <row r="1115" spans="6:33" ht="15.75" customHeight="1">
      <c r="F1115" s="40" t="s">
        <v>1699</v>
      </c>
      <c r="G1115" s="36" t="s">
        <v>1700</v>
      </c>
      <c r="H1115" s="36" t="s">
        <v>564</v>
      </c>
      <c r="I1115" s="40" t="s">
        <v>6851</v>
      </c>
      <c r="J1115" s="138">
        <v>5014453</v>
      </c>
      <c r="K1115" s="139" t="s">
        <v>1702</v>
      </c>
      <c r="L1115" s="141">
        <v>3300005178</v>
      </c>
      <c r="M1115" s="141">
        <v>2116315</v>
      </c>
      <c r="N1115" s="139"/>
      <c r="O1115" s="142"/>
      <c r="P1115" s="142"/>
      <c r="Q1115" s="142"/>
      <c r="R1115" s="142"/>
      <c r="S1115" s="142"/>
      <c r="T1115" s="141" t="s">
        <v>1703</v>
      </c>
      <c r="V1115" s="43" t="s">
        <v>615</v>
      </c>
      <c r="AF1115" s="42">
        <v>2171989</v>
      </c>
      <c r="AG1115" s="42" t="s">
        <v>6672</v>
      </c>
    </row>
    <row r="1116" spans="6:33" ht="15.75" customHeight="1">
      <c r="F1116" s="40" t="s">
        <v>6283</v>
      </c>
      <c r="G1116" s="36" t="s">
        <v>6284</v>
      </c>
      <c r="H1116" s="36" t="s">
        <v>8208</v>
      </c>
      <c r="I1116" s="40" t="s">
        <v>6850</v>
      </c>
      <c r="J1116" s="140">
        <v>2103486</v>
      </c>
      <c r="K1116" s="141">
        <v>3300001711</v>
      </c>
      <c r="L1116" s="141" t="s">
        <v>6287</v>
      </c>
      <c r="M1116" s="141"/>
      <c r="N1116" s="141"/>
      <c r="O1116" s="142"/>
      <c r="P1116" s="142"/>
      <c r="Q1116" s="142"/>
      <c r="R1116" s="142"/>
      <c r="S1116" s="142"/>
      <c r="T1116" s="141" t="s">
        <v>6288</v>
      </c>
      <c r="V1116" s="43" t="s">
        <v>6286</v>
      </c>
      <c r="AF1116" s="42">
        <v>2171990</v>
      </c>
      <c r="AG1116" s="42" t="s">
        <v>6672</v>
      </c>
    </row>
    <row r="1117" spans="6:33" ht="15.75" customHeight="1">
      <c r="F1117" s="40" t="s">
        <v>7259</v>
      </c>
      <c r="G1117" s="36" t="s">
        <v>7259</v>
      </c>
      <c r="H1117" s="36" t="s">
        <v>564</v>
      </c>
      <c r="I1117" s="40" t="s">
        <v>6851</v>
      </c>
      <c r="J1117" s="140">
        <v>2096029</v>
      </c>
      <c r="K1117" s="141">
        <v>2226068</v>
      </c>
      <c r="L1117" s="141" t="s">
        <v>7221</v>
      </c>
      <c r="M1117" s="141" t="s">
        <v>5315</v>
      </c>
      <c r="N1117" s="141" t="s">
        <v>8579</v>
      </c>
      <c r="O1117" s="142"/>
      <c r="P1117" s="142"/>
      <c r="Q1117" s="142"/>
      <c r="R1117" s="142"/>
      <c r="S1117" s="142"/>
      <c r="T1117" s="141" t="s">
        <v>7291</v>
      </c>
      <c r="V1117" s="43" t="s">
        <v>585</v>
      </c>
      <c r="AF1117" s="42">
        <v>2171991</v>
      </c>
      <c r="AG1117" s="42" t="s">
        <v>6672</v>
      </c>
    </row>
    <row r="1118" spans="6:33" ht="15.75" customHeight="1">
      <c r="F1118" s="40" t="s">
        <v>3995</v>
      </c>
      <c r="G1118" s="36" t="s">
        <v>3996</v>
      </c>
      <c r="H1118" s="36" t="s">
        <v>553</v>
      </c>
      <c r="I1118" s="40" t="s">
        <v>6853</v>
      </c>
      <c r="J1118" s="140" t="s">
        <v>3997</v>
      </c>
      <c r="K1118" s="141">
        <v>2103902</v>
      </c>
      <c r="L1118" s="141" t="s">
        <v>3998</v>
      </c>
      <c r="M1118" s="141">
        <v>3400001172</v>
      </c>
      <c r="N1118" s="141">
        <v>5104316</v>
      </c>
      <c r="O1118" s="142"/>
      <c r="P1118" s="142"/>
      <c r="Q1118" s="142"/>
      <c r="R1118" s="142"/>
      <c r="S1118" s="142"/>
      <c r="T1118" s="141" t="s">
        <v>3999</v>
      </c>
      <c r="V1118" s="43" t="s">
        <v>712</v>
      </c>
      <c r="AF1118" s="42">
        <v>2171992</v>
      </c>
      <c r="AG1118" s="42" t="s">
        <v>6672</v>
      </c>
    </row>
    <row r="1119" spans="6:33" ht="15.75" customHeight="1">
      <c r="F1119" s="40" t="s">
        <v>4002</v>
      </c>
      <c r="G1119" s="36" t="s">
        <v>4003</v>
      </c>
      <c r="H1119" s="36" t="s">
        <v>553</v>
      </c>
      <c r="I1119" s="40" t="s">
        <v>6853</v>
      </c>
      <c r="J1119" s="140">
        <v>5049719</v>
      </c>
      <c r="K1119" s="141" t="s">
        <v>4004</v>
      </c>
      <c r="L1119" s="141">
        <v>3300009725</v>
      </c>
      <c r="M1119" s="141">
        <v>2171889</v>
      </c>
      <c r="N1119" s="141">
        <v>5104323</v>
      </c>
      <c r="O1119" s="142"/>
      <c r="P1119" s="142"/>
      <c r="Q1119" s="142"/>
      <c r="R1119" s="142"/>
      <c r="S1119" s="142"/>
      <c r="T1119" s="141" t="s">
        <v>4005</v>
      </c>
      <c r="V1119" s="43" t="s">
        <v>712</v>
      </c>
      <c r="AF1119" s="42">
        <v>2171993</v>
      </c>
      <c r="AG1119" s="42" t="s">
        <v>6672</v>
      </c>
    </row>
    <row r="1120" spans="6:33" ht="15.75" customHeight="1">
      <c r="F1120" s="40" t="s">
        <v>2396</v>
      </c>
      <c r="G1120" s="36" t="s">
        <v>2397</v>
      </c>
      <c r="H1120" s="36" t="s">
        <v>564</v>
      </c>
      <c r="I1120" s="40" t="s">
        <v>6851</v>
      </c>
      <c r="J1120" s="140" t="s">
        <v>2399</v>
      </c>
      <c r="K1120" s="141">
        <v>3400002959</v>
      </c>
      <c r="L1120" s="141" t="s">
        <v>2400</v>
      </c>
      <c r="M1120" s="141">
        <v>2199639</v>
      </c>
      <c r="N1120" s="141">
        <v>5105542</v>
      </c>
      <c r="O1120" s="142"/>
      <c r="P1120" s="142"/>
      <c r="Q1120" s="142"/>
      <c r="R1120" s="142"/>
      <c r="S1120" s="142"/>
      <c r="T1120" s="141" t="s">
        <v>2401</v>
      </c>
      <c r="V1120" s="43" t="s">
        <v>557</v>
      </c>
      <c r="AF1120" s="42">
        <v>2171994</v>
      </c>
      <c r="AG1120" s="42" t="s">
        <v>6672</v>
      </c>
    </row>
    <row r="1121" spans="6:33" ht="15.75" customHeight="1">
      <c r="F1121" s="40" t="s">
        <v>7394</v>
      </c>
      <c r="G1121" s="36" t="s">
        <v>1196</v>
      </c>
      <c r="H1121" s="36" t="s">
        <v>564</v>
      </c>
      <c r="I1121" s="40" t="s">
        <v>6851</v>
      </c>
      <c r="J1121" s="140">
        <v>2119260</v>
      </c>
      <c r="K1121" s="141">
        <v>5050450</v>
      </c>
      <c r="L1121" s="141" t="s">
        <v>1198</v>
      </c>
      <c r="M1121" s="141">
        <v>3300011514</v>
      </c>
      <c r="N1121" s="141" t="s">
        <v>2725</v>
      </c>
      <c r="O1121" s="142"/>
      <c r="P1121" s="142"/>
      <c r="Q1121" s="142"/>
      <c r="R1121" s="142"/>
      <c r="S1121" s="142"/>
      <c r="T1121" s="141" t="s">
        <v>1199</v>
      </c>
      <c r="V1121" s="43" t="s">
        <v>578</v>
      </c>
      <c r="AF1121" s="42">
        <v>2171995</v>
      </c>
      <c r="AG1121" s="42" t="s">
        <v>6672</v>
      </c>
    </row>
    <row r="1122" spans="6:33" ht="15.75" customHeight="1">
      <c r="F1122" s="40" t="s">
        <v>3430</v>
      </c>
      <c r="G1122" s="36" t="s">
        <v>3431</v>
      </c>
      <c r="H1122" s="36" t="s">
        <v>6841</v>
      </c>
      <c r="I1122" s="40" t="s">
        <v>6852</v>
      </c>
      <c r="J1122" s="140">
        <v>3300001688</v>
      </c>
      <c r="K1122" s="141" t="s">
        <v>3432</v>
      </c>
      <c r="L1122" s="141">
        <v>5045658</v>
      </c>
      <c r="M1122" s="141">
        <v>2171887</v>
      </c>
      <c r="N1122" s="141" t="s">
        <v>7119</v>
      </c>
      <c r="O1122" s="142"/>
      <c r="P1122" s="142"/>
      <c r="Q1122" s="142"/>
      <c r="R1122" s="142"/>
      <c r="S1122" s="142"/>
      <c r="T1122" s="141" t="s">
        <v>3433</v>
      </c>
      <c r="V1122" s="43" t="s">
        <v>603</v>
      </c>
      <c r="AF1122" s="42">
        <v>2171996</v>
      </c>
      <c r="AG1122" s="42" t="s">
        <v>6672</v>
      </c>
    </row>
    <row r="1123" spans="6:33" ht="15.75" customHeight="1">
      <c r="F1123" s="40" t="s">
        <v>1030</v>
      </c>
      <c r="G1123" s="36" t="s">
        <v>1031</v>
      </c>
      <c r="H1123" s="36" t="s">
        <v>564</v>
      </c>
      <c r="I1123" s="40" t="s">
        <v>6851</v>
      </c>
      <c r="J1123" s="140">
        <v>2114732</v>
      </c>
      <c r="K1123" s="141">
        <v>5045653</v>
      </c>
      <c r="L1123" s="141" t="s">
        <v>1032</v>
      </c>
      <c r="M1123" s="141">
        <v>3300006803</v>
      </c>
      <c r="N1123" s="141">
        <v>5104324</v>
      </c>
      <c r="O1123" s="142"/>
      <c r="P1123" s="142"/>
      <c r="Q1123" s="142"/>
      <c r="R1123" s="142"/>
      <c r="S1123" s="142"/>
      <c r="T1123" s="141" t="s">
        <v>7242</v>
      </c>
      <c r="V1123" s="43" t="s">
        <v>557</v>
      </c>
      <c r="AF1123" s="42">
        <v>2171997</v>
      </c>
      <c r="AG1123" s="42" t="s">
        <v>6672</v>
      </c>
    </row>
    <row r="1124" spans="6:33" ht="15.75" customHeight="1">
      <c r="F1124" s="40" t="s">
        <v>7802</v>
      </c>
      <c r="G1124" s="36" t="s">
        <v>7960</v>
      </c>
      <c r="H1124" s="36" t="s">
        <v>8208</v>
      </c>
      <c r="I1124" s="40" t="s">
        <v>6850</v>
      </c>
      <c r="J1124" s="140">
        <v>5087343</v>
      </c>
      <c r="K1124" s="141">
        <v>2081933</v>
      </c>
      <c r="L1124" s="141">
        <v>3300001583</v>
      </c>
      <c r="M1124" s="141" t="s">
        <v>8135</v>
      </c>
      <c r="N1124" s="141">
        <v>2226062</v>
      </c>
      <c r="O1124" s="142"/>
      <c r="P1124" s="142"/>
      <c r="Q1124" s="142"/>
      <c r="R1124" s="142"/>
      <c r="S1124" s="142"/>
      <c r="T1124" s="141">
        <v>111200061</v>
      </c>
      <c r="V1124" s="43" t="s">
        <v>8203</v>
      </c>
      <c r="AF1124" s="42">
        <v>2171998</v>
      </c>
      <c r="AG1124" s="42" t="s">
        <v>6672</v>
      </c>
    </row>
    <row r="1125" spans="6:33" ht="15.75" customHeight="1">
      <c r="F1125" s="40" t="s">
        <v>3501</v>
      </c>
      <c r="G1125" s="36" t="s">
        <v>3502</v>
      </c>
      <c r="H1125" s="36" t="s">
        <v>6841</v>
      </c>
      <c r="I1125" s="40" t="s">
        <v>6852</v>
      </c>
      <c r="J1125" s="140">
        <v>2114766</v>
      </c>
      <c r="K1125" s="141">
        <v>3300004146</v>
      </c>
      <c r="L1125" s="141" t="s">
        <v>3503</v>
      </c>
      <c r="M1125" s="141">
        <v>3300004148</v>
      </c>
      <c r="N1125" s="141">
        <v>5047876</v>
      </c>
      <c r="O1125" s="142"/>
      <c r="P1125" s="142"/>
      <c r="Q1125" s="142"/>
      <c r="R1125" s="142"/>
      <c r="S1125" s="142"/>
      <c r="T1125" s="141" t="s">
        <v>3504</v>
      </c>
      <c r="V1125" s="43" t="s">
        <v>538</v>
      </c>
      <c r="AF1125" s="42">
        <v>2171999</v>
      </c>
      <c r="AG1125" s="42" t="s">
        <v>6672</v>
      </c>
    </row>
    <row r="1126" spans="6:33" ht="15.75" customHeight="1">
      <c r="F1126" s="40" t="s">
        <v>8470</v>
      </c>
      <c r="G1126" s="36" t="s">
        <v>8512</v>
      </c>
      <c r="H1126" s="36" t="s">
        <v>6841</v>
      </c>
      <c r="I1126" s="40" t="s">
        <v>6852</v>
      </c>
      <c r="J1126" s="140">
        <v>2141103</v>
      </c>
      <c r="K1126" s="141">
        <v>2171946</v>
      </c>
      <c r="L1126" s="141">
        <v>5104322</v>
      </c>
      <c r="M1126" s="141" t="s">
        <v>8580</v>
      </c>
      <c r="N1126" s="141">
        <v>2143305</v>
      </c>
      <c r="O1126" s="142"/>
      <c r="P1126" s="142"/>
      <c r="Q1126" s="142"/>
      <c r="R1126" s="142"/>
      <c r="S1126" s="142"/>
      <c r="T1126" s="141" t="s">
        <v>6534</v>
      </c>
      <c r="V1126" s="43" t="s">
        <v>538</v>
      </c>
      <c r="AF1126" s="42">
        <v>2172000</v>
      </c>
      <c r="AG1126" s="42" t="s">
        <v>6672</v>
      </c>
    </row>
    <row r="1127" spans="6:33" ht="15.75" customHeight="1">
      <c r="F1127" s="40" t="s">
        <v>7190</v>
      </c>
      <c r="G1127" s="36" t="s">
        <v>7191</v>
      </c>
      <c r="H1127" s="36" t="s">
        <v>564</v>
      </c>
      <c r="I1127" s="40" t="s">
        <v>6851</v>
      </c>
      <c r="J1127" s="140">
        <v>5008420</v>
      </c>
      <c r="K1127" s="141" t="s">
        <v>4028</v>
      </c>
      <c r="L1127" s="141">
        <v>3300016113</v>
      </c>
      <c r="M1127" s="141">
        <v>2171974</v>
      </c>
      <c r="N1127" s="141" t="s">
        <v>7098</v>
      </c>
      <c r="O1127" s="142"/>
      <c r="P1127" s="142"/>
      <c r="Q1127" s="142"/>
      <c r="R1127" s="142"/>
      <c r="S1127" s="142"/>
      <c r="T1127" s="141" t="s">
        <v>6567</v>
      </c>
      <c r="V1127" s="43" t="s">
        <v>876</v>
      </c>
      <c r="AF1127" s="42">
        <v>2172001</v>
      </c>
      <c r="AG1127" s="42" t="s">
        <v>6672</v>
      </c>
    </row>
    <row r="1128" spans="6:33" ht="15.75" customHeight="1">
      <c r="F1128" s="40" t="s">
        <v>6958</v>
      </c>
      <c r="G1128" s="36" t="s">
        <v>6959</v>
      </c>
      <c r="H1128" s="36" t="s">
        <v>564</v>
      </c>
      <c r="I1128" s="40" t="s">
        <v>6851</v>
      </c>
      <c r="J1128" s="140" t="s">
        <v>6640</v>
      </c>
      <c r="K1128" s="141">
        <v>2199634</v>
      </c>
      <c r="L1128" s="141">
        <v>3300013091</v>
      </c>
      <c r="M1128" s="141">
        <v>5031890</v>
      </c>
      <c r="N1128" s="141" t="s">
        <v>6651</v>
      </c>
      <c r="O1128" s="142"/>
      <c r="P1128" s="142"/>
      <c r="Q1128" s="142"/>
      <c r="R1128" s="142"/>
      <c r="S1128" s="142"/>
      <c r="T1128" s="141" t="s">
        <v>6556</v>
      </c>
      <c r="V1128" s="43" t="s">
        <v>605</v>
      </c>
      <c r="AF1128" s="42">
        <v>2172002</v>
      </c>
      <c r="AG1128" s="42" t="s">
        <v>6672</v>
      </c>
    </row>
    <row r="1129" spans="6:33" ht="15.75" customHeight="1">
      <c r="F1129" s="40" t="s">
        <v>1093</v>
      </c>
      <c r="G1129" s="36" t="s">
        <v>18</v>
      </c>
      <c r="H1129" s="36" t="s">
        <v>564</v>
      </c>
      <c r="I1129" s="40" t="s">
        <v>6851</v>
      </c>
      <c r="J1129" s="140">
        <v>3300009752</v>
      </c>
      <c r="K1129" s="141">
        <v>2170044</v>
      </c>
      <c r="L1129" s="141" t="s">
        <v>1094</v>
      </c>
      <c r="M1129" s="141">
        <v>2177122</v>
      </c>
      <c r="N1129" s="141">
        <v>3300009740</v>
      </c>
      <c r="O1129" s="142"/>
      <c r="P1129" s="142"/>
      <c r="Q1129" s="142"/>
      <c r="R1129" s="142"/>
      <c r="S1129" s="142"/>
      <c r="T1129" s="141" t="s">
        <v>6767</v>
      </c>
      <c r="V1129" s="43" t="s">
        <v>706</v>
      </c>
      <c r="AF1129" s="42">
        <v>2172003</v>
      </c>
      <c r="AG1129" s="42" t="s">
        <v>6672</v>
      </c>
    </row>
    <row r="1130" spans="6:33" ht="15.75" customHeight="1">
      <c r="F1130" s="40" t="s">
        <v>7513</v>
      </c>
      <c r="G1130" s="36" t="s">
        <v>7513</v>
      </c>
      <c r="H1130" s="36" t="s">
        <v>6841</v>
      </c>
      <c r="I1130" s="40" t="s">
        <v>6852</v>
      </c>
      <c r="J1130" s="140">
        <v>2150978</v>
      </c>
      <c r="K1130" s="141">
        <v>2117078</v>
      </c>
      <c r="L1130" s="141" t="s">
        <v>7558</v>
      </c>
      <c r="M1130" s="141" t="s">
        <v>7559</v>
      </c>
      <c r="N1130" s="141"/>
      <c r="O1130" s="142"/>
      <c r="P1130" s="142"/>
      <c r="Q1130" s="142"/>
      <c r="R1130" s="142"/>
      <c r="S1130" s="142"/>
      <c r="T1130" s="141" t="s">
        <v>7588</v>
      </c>
      <c r="V1130" s="43" t="s">
        <v>7602</v>
      </c>
      <c r="AF1130" s="42">
        <v>2172004</v>
      </c>
      <c r="AG1130" s="42" t="s">
        <v>6672</v>
      </c>
    </row>
    <row r="1131" spans="6:33" ht="15.75" customHeight="1">
      <c r="F1131" s="40" t="s">
        <v>7260</v>
      </c>
      <c r="G1131" s="36" t="s">
        <v>7276</v>
      </c>
      <c r="H1131" s="36" t="s">
        <v>564</v>
      </c>
      <c r="I1131" s="40" t="s">
        <v>6851</v>
      </c>
      <c r="J1131" s="140">
        <v>5008422</v>
      </c>
      <c r="K1131" s="141">
        <v>2226103</v>
      </c>
      <c r="L1131" s="141" t="s">
        <v>7097</v>
      </c>
      <c r="M1131" s="141"/>
      <c r="N1131" s="141"/>
      <c r="O1131" s="142"/>
      <c r="P1131" s="142"/>
      <c r="Q1131" s="142"/>
      <c r="R1131" s="142"/>
      <c r="S1131" s="142"/>
      <c r="T1131" s="141" t="s">
        <v>7292</v>
      </c>
      <c r="V1131" s="43" t="s">
        <v>577</v>
      </c>
      <c r="AF1131" s="42">
        <v>2172005</v>
      </c>
      <c r="AG1131" s="42" t="s">
        <v>6672</v>
      </c>
    </row>
    <row r="1132" spans="6:33" ht="15.75" customHeight="1">
      <c r="F1132" s="40" t="s">
        <v>8471</v>
      </c>
      <c r="G1132" s="36" t="s">
        <v>2131</v>
      </c>
      <c r="H1132" s="36" t="s">
        <v>564</v>
      </c>
      <c r="I1132" s="40" t="s">
        <v>6851</v>
      </c>
      <c r="J1132" s="140"/>
      <c r="K1132" s="141">
        <v>3300003001</v>
      </c>
      <c r="L1132" s="141">
        <v>2171988</v>
      </c>
      <c r="M1132" s="141"/>
      <c r="N1132" s="141"/>
      <c r="O1132" s="142"/>
      <c r="P1132" s="142"/>
      <c r="Q1132" s="142"/>
      <c r="R1132" s="142"/>
      <c r="S1132" s="142"/>
      <c r="T1132" s="141" t="s">
        <v>6728</v>
      </c>
      <c r="V1132" s="43" t="s">
        <v>811</v>
      </c>
      <c r="AF1132" s="42">
        <v>2172006</v>
      </c>
      <c r="AG1132" s="42" t="s">
        <v>6672</v>
      </c>
    </row>
    <row r="1133" spans="6:33" ht="15.75" customHeight="1">
      <c r="F1133" s="40" t="s">
        <v>3356</v>
      </c>
      <c r="G1133" s="36" t="s">
        <v>3357</v>
      </c>
      <c r="H1133" s="36" t="s">
        <v>6841</v>
      </c>
      <c r="I1133" s="40" t="s">
        <v>6852</v>
      </c>
      <c r="J1133" s="140" t="s">
        <v>3358</v>
      </c>
      <c r="K1133" s="141" t="s">
        <v>3359</v>
      </c>
      <c r="L1133" s="141">
        <v>2103445</v>
      </c>
      <c r="M1133" s="141">
        <v>5100170</v>
      </c>
      <c r="N1133" s="141">
        <v>3300012264</v>
      </c>
      <c r="O1133" s="142"/>
      <c r="P1133" s="142"/>
      <c r="Q1133" s="142"/>
      <c r="R1133" s="142"/>
      <c r="S1133" s="142"/>
      <c r="T1133" s="141" t="s">
        <v>3360</v>
      </c>
      <c r="V1133" s="43" t="s">
        <v>598</v>
      </c>
      <c r="AF1133" s="42">
        <v>2172007</v>
      </c>
      <c r="AG1133" s="42" t="s">
        <v>6672</v>
      </c>
    </row>
    <row r="1134" spans="6:33" ht="15.75" customHeight="1">
      <c r="F1134" s="40" t="s">
        <v>7803</v>
      </c>
      <c r="G1134" s="36" t="s">
        <v>7961</v>
      </c>
      <c r="H1134" s="36" t="s">
        <v>8208</v>
      </c>
      <c r="I1134" s="40" t="s">
        <v>6850</v>
      </c>
      <c r="J1134" s="140">
        <v>2119248</v>
      </c>
      <c r="K1134" s="141">
        <v>5053815</v>
      </c>
      <c r="L1134" s="141">
        <v>3300002895</v>
      </c>
      <c r="M1134" s="141"/>
      <c r="N1134" s="141"/>
      <c r="O1134" s="142"/>
      <c r="P1134" s="142"/>
      <c r="Q1134" s="142"/>
      <c r="R1134" s="142"/>
      <c r="S1134" s="142"/>
      <c r="T1134" s="141" t="s">
        <v>8209</v>
      </c>
      <c r="V1134" s="43" t="s">
        <v>8204</v>
      </c>
      <c r="AF1134" s="42">
        <v>2172008</v>
      </c>
      <c r="AG1134" s="42" t="s">
        <v>6672</v>
      </c>
    </row>
    <row r="1135" spans="6:33" ht="15.75" customHeight="1">
      <c r="F1135" s="40" t="s">
        <v>4847</v>
      </c>
      <c r="G1135" s="36" t="s">
        <v>4848</v>
      </c>
      <c r="H1135" s="36" t="s">
        <v>761</v>
      </c>
      <c r="I1135" s="40" t="s">
        <v>6848</v>
      </c>
      <c r="J1135" s="140">
        <v>5042655</v>
      </c>
      <c r="K1135" s="141">
        <v>3300002927</v>
      </c>
      <c r="L1135" s="141">
        <v>2114777</v>
      </c>
      <c r="M1135" s="141"/>
      <c r="N1135" s="141"/>
      <c r="O1135" s="142"/>
      <c r="P1135" s="142"/>
      <c r="Q1135" s="142"/>
      <c r="R1135" s="142"/>
      <c r="S1135" s="142"/>
      <c r="T1135" s="141" t="s">
        <v>4850</v>
      </c>
      <c r="V1135" s="43" t="s">
        <v>4834</v>
      </c>
      <c r="AF1135" s="42">
        <v>2172009</v>
      </c>
      <c r="AG1135" s="42" t="s">
        <v>6672</v>
      </c>
    </row>
    <row r="1136" spans="6:33" ht="15.75" customHeight="1">
      <c r="F1136" s="40" t="s">
        <v>2213</v>
      </c>
      <c r="G1136" s="36" t="s">
        <v>32</v>
      </c>
      <c r="H1136" s="36" t="s">
        <v>564</v>
      </c>
      <c r="I1136" s="40" t="s">
        <v>6851</v>
      </c>
      <c r="J1136" s="140">
        <v>3300005151</v>
      </c>
      <c r="K1136" s="141" t="s">
        <v>2214</v>
      </c>
      <c r="L1136" s="141">
        <v>3300005149</v>
      </c>
      <c r="M1136" s="141">
        <v>2114774</v>
      </c>
      <c r="N1136" s="141">
        <v>5049704</v>
      </c>
      <c r="O1136" s="142"/>
      <c r="P1136" s="142"/>
      <c r="Q1136" s="142"/>
      <c r="R1136" s="142"/>
      <c r="S1136" s="142"/>
      <c r="T1136" s="141" t="s">
        <v>2215</v>
      </c>
      <c r="V1136" s="43" t="s">
        <v>619</v>
      </c>
      <c r="AF1136" s="42">
        <v>2172010</v>
      </c>
      <c r="AG1136" s="42" t="s">
        <v>6672</v>
      </c>
    </row>
    <row r="1137" spans="6:33" ht="15.75" customHeight="1">
      <c r="F1137" s="40" t="s">
        <v>5445</v>
      </c>
      <c r="G1137" s="36" t="s">
        <v>5446</v>
      </c>
      <c r="H1137" s="36" t="s">
        <v>761</v>
      </c>
      <c r="I1137" s="40" t="s">
        <v>6848</v>
      </c>
      <c r="J1137" s="140">
        <v>2183473</v>
      </c>
      <c r="K1137" s="141">
        <v>5059335</v>
      </c>
      <c r="L1137" s="141">
        <v>3300002918</v>
      </c>
      <c r="M1137" s="141" t="s">
        <v>7232</v>
      </c>
      <c r="N1137" s="141">
        <v>2183549</v>
      </c>
      <c r="O1137" s="142"/>
      <c r="P1137" s="142"/>
      <c r="Q1137" s="142"/>
      <c r="R1137" s="142"/>
      <c r="S1137" s="142"/>
      <c r="T1137" s="141" t="s">
        <v>5447</v>
      </c>
      <c r="V1137" s="43" t="s">
        <v>576</v>
      </c>
      <c r="AF1137" s="42">
        <v>2172011</v>
      </c>
      <c r="AG1137" s="42" t="s">
        <v>6672</v>
      </c>
    </row>
    <row r="1138" spans="6:33" ht="15.75" customHeight="1">
      <c r="F1138" s="40" t="s">
        <v>3091</v>
      </c>
      <c r="G1138" s="36" t="s">
        <v>3092</v>
      </c>
      <c r="H1138" s="36" t="s">
        <v>595</v>
      </c>
      <c r="I1138" s="40" t="s">
        <v>6847</v>
      </c>
      <c r="J1138" s="140">
        <v>2103930</v>
      </c>
      <c r="K1138" s="141">
        <v>3300003153</v>
      </c>
      <c r="L1138" s="141">
        <v>2103467</v>
      </c>
      <c r="M1138" s="141" t="s">
        <v>3094</v>
      </c>
      <c r="N1138" s="141">
        <v>5032247</v>
      </c>
      <c r="O1138" s="142"/>
      <c r="P1138" s="142"/>
      <c r="Q1138" s="142"/>
      <c r="R1138" s="142"/>
      <c r="S1138" s="142"/>
      <c r="T1138" s="141" t="s">
        <v>3095</v>
      </c>
      <c r="V1138" s="43" t="s">
        <v>595</v>
      </c>
      <c r="AF1138" s="42">
        <v>2172012</v>
      </c>
      <c r="AG1138" s="42" t="s">
        <v>6672</v>
      </c>
    </row>
    <row r="1139" spans="6:33" ht="15.75" customHeight="1">
      <c r="F1139" s="40" t="s">
        <v>3435</v>
      </c>
      <c r="G1139" s="36" t="s">
        <v>3436</v>
      </c>
      <c r="H1139" s="36" t="s">
        <v>6841</v>
      </c>
      <c r="I1139" s="40" t="s">
        <v>6852</v>
      </c>
      <c r="J1139" s="138">
        <v>2183545</v>
      </c>
      <c r="K1139" s="141">
        <v>5059387</v>
      </c>
      <c r="L1139" s="141" t="s">
        <v>3437</v>
      </c>
      <c r="M1139" s="141">
        <v>3300002820</v>
      </c>
      <c r="N1139" s="141">
        <v>2183575</v>
      </c>
      <c r="O1139" s="142"/>
      <c r="P1139" s="142"/>
      <c r="Q1139" s="142"/>
      <c r="R1139" s="142"/>
      <c r="S1139" s="142"/>
      <c r="T1139" s="139" t="s">
        <v>3438</v>
      </c>
      <c r="V1139" s="43" t="s">
        <v>603</v>
      </c>
      <c r="AF1139" s="42">
        <v>2172013</v>
      </c>
      <c r="AG1139" s="42" t="s">
        <v>6672</v>
      </c>
    </row>
    <row r="1140" spans="6:33" ht="15.75" customHeight="1">
      <c r="F1140" s="40" t="s">
        <v>7192</v>
      </c>
      <c r="G1140" s="36" t="s">
        <v>7193</v>
      </c>
      <c r="H1140" s="36" t="s">
        <v>8208</v>
      </c>
      <c r="I1140" s="40" t="s">
        <v>6850</v>
      </c>
      <c r="J1140" s="140">
        <v>2180518</v>
      </c>
      <c r="K1140" s="141">
        <v>3300012520</v>
      </c>
      <c r="L1140" s="141" t="s">
        <v>7205</v>
      </c>
      <c r="M1140" s="141">
        <v>5059357</v>
      </c>
      <c r="N1140" s="141">
        <v>2084109</v>
      </c>
      <c r="O1140" s="142"/>
      <c r="P1140" s="142"/>
      <c r="Q1140" s="142"/>
      <c r="R1140" s="142"/>
      <c r="S1140" s="142"/>
      <c r="T1140" s="141" t="s">
        <v>6555</v>
      </c>
      <c r="V1140" s="43" t="s">
        <v>774</v>
      </c>
      <c r="AF1140" s="42">
        <v>2172014</v>
      </c>
      <c r="AG1140" s="42" t="s">
        <v>6672</v>
      </c>
    </row>
    <row r="1141" spans="6:33" ht="15.75" customHeight="1">
      <c r="F1141" s="40" t="s">
        <v>4307</v>
      </c>
      <c r="G1141" s="36" t="s">
        <v>4308</v>
      </c>
      <c r="H1141" s="36" t="s">
        <v>553</v>
      </c>
      <c r="I1141" s="40" t="s">
        <v>6853</v>
      </c>
      <c r="J1141" s="140">
        <v>2115660</v>
      </c>
      <c r="K1141" s="141">
        <v>5001448</v>
      </c>
      <c r="L1141" s="141" t="s">
        <v>4309</v>
      </c>
      <c r="M1141" s="141" t="s">
        <v>4310</v>
      </c>
      <c r="N1141" s="141">
        <v>3300004121</v>
      </c>
      <c r="O1141" s="142"/>
      <c r="P1141" s="142"/>
      <c r="Q1141" s="142"/>
      <c r="R1141" s="142"/>
      <c r="S1141" s="142"/>
      <c r="T1141" s="141" t="s">
        <v>4311</v>
      </c>
      <c r="V1141" s="43" t="s">
        <v>553</v>
      </c>
      <c r="AF1141" s="42">
        <v>2172015</v>
      </c>
      <c r="AG1141" s="42" t="s">
        <v>6672</v>
      </c>
    </row>
    <row r="1142" spans="6:33" ht="15.75" customHeight="1">
      <c r="F1142" s="40" t="s">
        <v>7804</v>
      </c>
      <c r="G1142" s="36" t="s">
        <v>7962</v>
      </c>
      <c r="H1142" s="36" t="s">
        <v>8208</v>
      </c>
      <c r="I1142" s="40" t="s">
        <v>6850</v>
      </c>
      <c r="J1142" s="140">
        <v>2117499</v>
      </c>
      <c r="K1142" s="141">
        <v>5038122</v>
      </c>
      <c r="L1142" s="141" t="s">
        <v>8249</v>
      </c>
      <c r="M1142" s="141"/>
      <c r="N1142" s="141"/>
      <c r="O1142" s="142"/>
      <c r="P1142" s="142"/>
      <c r="Q1142" s="142"/>
      <c r="R1142" s="142"/>
      <c r="S1142" s="142"/>
      <c r="T1142" s="141">
        <v>51300104</v>
      </c>
      <c r="V1142" s="43" t="s">
        <v>8205</v>
      </c>
      <c r="AF1142" s="42">
        <v>2172016</v>
      </c>
      <c r="AG1142" s="42" t="s">
        <v>6672</v>
      </c>
    </row>
    <row r="1143" spans="6:33" ht="15.75" customHeight="1">
      <c r="F1143" s="40" t="s">
        <v>7805</v>
      </c>
      <c r="G1143" s="36" t="s">
        <v>7963</v>
      </c>
      <c r="H1143" s="36" t="s">
        <v>8208</v>
      </c>
      <c r="I1143" s="40" t="s">
        <v>6850</v>
      </c>
      <c r="J1143" s="140">
        <v>2096023</v>
      </c>
      <c r="K1143" s="141">
        <v>3300016148</v>
      </c>
      <c r="L1143" s="141" t="s">
        <v>8136</v>
      </c>
      <c r="M1143" s="141"/>
      <c r="N1143" s="141"/>
      <c r="O1143" s="142"/>
      <c r="P1143" s="142"/>
      <c r="Q1143" s="142"/>
      <c r="R1143" s="142"/>
      <c r="S1143" s="142"/>
      <c r="T1143" s="141">
        <v>71300085</v>
      </c>
      <c r="V1143" s="43" t="s">
        <v>687</v>
      </c>
      <c r="AF1143" s="42">
        <v>2172017</v>
      </c>
      <c r="AG1143" s="42" t="s">
        <v>6672</v>
      </c>
    </row>
    <row r="1144" spans="6:33" ht="15.75" customHeight="1">
      <c r="F1144" s="40" t="s">
        <v>7806</v>
      </c>
      <c r="G1144" s="36" t="s">
        <v>7965</v>
      </c>
      <c r="H1144" s="36" t="s">
        <v>8208</v>
      </c>
      <c r="I1144" s="40" t="s">
        <v>6850</v>
      </c>
      <c r="J1144" s="39">
        <v>2117596</v>
      </c>
      <c r="K1144" s="39" t="s">
        <v>7636</v>
      </c>
      <c r="L1144" s="42">
        <v>2150980</v>
      </c>
      <c r="T1144" s="43" t="s">
        <v>8167</v>
      </c>
      <c r="V1144" s="43" t="s">
        <v>7593</v>
      </c>
      <c r="AF1144" s="42">
        <v>2172018</v>
      </c>
      <c r="AG1144" s="42" t="s">
        <v>6672</v>
      </c>
    </row>
    <row r="1145" spans="6:33" ht="15.75" customHeight="1">
      <c r="F1145" s="40" t="s">
        <v>4314</v>
      </c>
      <c r="G1145" s="36" t="s">
        <v>39</v>
      </c>
      <c r="H1145" s="36" t="s">
        <v>553</v>
      </c>
      <c r="I1145" s="40" t="s">
        <v>6853</v>
      </c>
      <c r="J1145" s="39" t="s">
        <v>4316</v>
      </c>
      <c r="K1145" s="39">
        <v>2119206</v>
      </c>
      <c r="L1145" s="42">
        <v>3300009526</v>
      </c>
      <c r="M1145" s="42" t="s">
        <v>4317</v>
      </c>
      <c r="N1145" s="42">
        <v>5040897</v>
      </c>
      <c r="T1145" s="43" t="s">
        <v>4039</v>
      </c>
      <c r="V1145" s="43" t="s">
        <v>553</v>
      </c>
      <c r="AF1145" s="42">
        <v>2172019</v>
      </c>
      <c r="AG1145" s="42" t="s">
        <v>6672</v>
      </c>
    </row>
    <row r="1146" spans="6:33" ht="15.75" customHeight="1">
      <c r="F1146" s="40" t="s">
        <v>7807</v>
      </c>
      <c r="G1146" s="36" t="s">
        <v>8326</v>
      </c>
      <c r="H1146" s="36" t="s">
        <v>595</v>
      </c>
      <c r="I1146" s="40" t="s">
        <v>6847</v>
      </c>
      <c r="J1146" s="39" t="s">
        <v>8394</v>
      </c>
      <c r="K1146" s="39" t="s">
        <v>8395</v>
      </c>
      <c r="L1146" s="42" t="s">
        <v>8139</v>
      </c>
      <c r="M1146" s="42" t="s">
        <v>8140</v>
      </c>
      <c r="N1146" s="42" t="s">
        <v>8396</v>
      </c>
      <c r="T1146" s="43" t="s">
        <v>7315</v>
      </c>
      <c r="V1146" s="43" t="s">
        <v>8206</v>
      </c>
      <c r="AF1146" s="42">
        <v>2172020</v>
      </c>
      <c r="AG1146" s="42" t="s">
        <v>6672</v>
      </c>
    </row>
    <row r="1147" spans="6:33" ht="15.75" customHeight="1">
      <c r="F1147" s="40" t="s">
        <v>2447</v>
      </c>
      <c r="G1147" s="36" t="s">
        <v>2448</v>
      </c>
      <c r="H1147" s="36" t="s">
        <v>670</v>
      </c>
      <c r="I1147" s="40" t="s">
        <v>6849</v>
      </c>
      <c r="J1147" s="39" t="s">
        <v>2451</v>
      </c>
      <c r="K1147" s="39" t="s">
        <v>2452</v>
      </c>
      <c r="L1147" s="42">
        <v>3300011523</v>
      </c>
      <c r="M1147" s="42">
        <v>2119566</v>
      </c>
      <c r="N1147" s="42" t="s">
        <v>2453</v>
      </c>
      <c r="T1147" s="43" t="s">
        <v>2454</v>
      </c>
      <c r="V1147" s="43" t="s">
        <v>2450</v>
      </c>
      <c r="AF1147" s="42">
        <v>2172021</v>
      </c>
      <c r="AG1147" s="42" t="s">
        <v>6672</v>
      </c>
    </row>
    <row r="1148" spans="6:33" ht="15.75" customHeight="1">
      <c r="F1148" s="40" t="s">
        <v>1659</v>
      </c>
      <c r="G1148" s="36" t="s">
        <v>1660</v>
      </c>
      <c r="H1148" s="36" t="s">
        <v>564</v>
      </c>
      <c r="I1148" s="40" t="s">
        <v>6851</v>
      </c>
      <c r="J1148" s="39" t="s">
        <v>6976</v>
      </c>
      <c r="K1148" s="39">
        <v>5036924</v>
      </c>
      <c r="L1148" s="42">
        <v>3300006713</v>
      </c>
      <c r="M1148" s="42">
        <v>2160439</v>
      </c>
      <c r="N1148" s="42">
        <v>2114807</v>
      </c>
      <c r="T1148" s="43" t="s">
        <v>1662</v>
      </c>
      <c r="V1148" s="43" t="s">
        <v>713</v>
      </c>
      <c r="AF1148" s="42">
        <v>2172022</v>
      </c>
      <c r="AG1148" s="42" t="s">
        <v>6672</v>
      </c>
    </row>
    <row r="1149" spans="6:33" ht="15.75" customHeight="1">
      <c r="F1149" s="40" t="s">
        <v>7808</v>
      </c>
      <c r="G1149" s="36" t="s">
        <v>7808</v>
      </c>
      <c r="H1149" s="36" t="s">
        <v>670</v>
      </c>
      <c r="I1149" s="40" t="s">
        <v>6849</v>
      </c>
      <c r="J1149" s="39">
        <v>2081987</v>
      </c>
      <c r="K1149" s="39">
        <v>2143312</v>
      </c>
      <c r="L1149" s="42" t="s">
        <v>8141</v>
      </c>
      <c r="M1149" s="42">
        <v>2096084</v>
      </c>
      <c r="T1149" s="43" t="s">
        <v>8168</v>
      </c>
      <c r="V1149" s="43" t="s">
        <v>8207</v>
      </c>
      <c r="AF1149" s="42">
        <v>2172023</v>
      </c>
      <c r="AG1149" s="42" t="s">
        <v>6672</v>
      </c>
    </row>
    <row r="1150" spans="6:33" ht="15.75" customHeight="1">
      <c r="F1150" s="40" t="s">
        <v>1665</v>
      </c>
      <c r="G1150" s="36" t="s">
        <v>1666</v>
      </c>
      <c r="H1150" s="36" t="s">
        <v>564</v>
      </c>
      <c r="I1150" s="40" t="s">
        <v>6851</v>
      </c>
      <c r="J1150" s="39">
        <v>2119220</v>
      </c>
      <c r="K1150" s="39" t="s">
        <v>1667</v>
      </c>
      <c r="L1150" s="42">
        <v>3300010900</v>
      </c>
      <c r="T1150" s="43" t="s">
        <v>1668</v>
      </c>
      <c r="V1150" s="43" t="s">
        <v>713</v>
      </c>
      <c r="AF1150" s="42">
        <v>2172024</v>
      </c>
      <c r="AG1150" s="42" t="s">
        <v>6672</v>
      </c>
    </row>
    <row r="1151" spans="6:33" ht="15.75" customHeight="1">
      <c r="F1151" s="40" t="s">
        <v>8308</v>
      </c>
      <c r="G1151" s="36" t="s">
        <v>8327</v>
      </c>
      <c r="H1151" s="36" t="s">
        <v>564</v>
      </c>
      <c r="I1151" s="40" t="s">
        <v>6851</v>
      </c>
      <c r="J1151" s="39" t="s">
        <v>8237</v>
      </c>
      <c r="K1151" s="39">
        <v>3300016055</v>
      </c>
      <c r="L1151" s="42" t="s">
        <v>8283</v>
      </c>
      <c r="M1151" s="42">
        <v>3300005180</v>
      </c>
      <c r="N1151" s="42">
        <v>2096099</v>
      </c>
      <c r="T1151" s="43" t="s">
        <v>8225</v>
      </c>
      <c r="V1151" s="43" t="s">
        <v>8328</v>
      </c>
      <c r="AF1151" s="42">
        <v>2172025</v>
      </c>
      <c r="AG1151" s="42" t="s">
        <v>6672</v>
      </c>
    </row>
    <row r="1152" spans="6:33" ht="15.75" customHeight="1">
      <c r="F1152" s="40" t="s">
        <v>1291</v>
      </c>
      <c r="G1152" s="36" t="s">
        <v>1291</v>
      </c>
      <c r="H1152" s="36" t="s">
        <v>564</v>
      </c>
      <c r="I1152" s="40" t="s">
        <v>6851</v>
      </c>
      <c r="J1152" s="39">
        <v>3300008121</v>
      </c>
      <c r="K1152" s="39">
        <v>2103520</v>
      </c>
      <c r="L1152" s="42">
        <v>3300005171</v>
      </c>
      <c r="M1152" s="42">
        <v>5031856</v>
      </c>
      <c r="N1152" s="42" t="s">
        <v>1292</v>
      </c>
      <c r="T1152" s="43" t="s">
        <v>1293</v>
      </c>
      <c r="V1152" s="43" t="s">
        <v>607</v>
      </c>
      <c r="AF1152" s="42">
        <v>2172026</v>
      </c>
      <c r="AG1152" s="42" t="s">
        <v>6672</v>
      </c>
    </row>
    <row r="1153" spans="6:33" ht="15.75" customHeight="1">
      <c r="F1153" s="40" t="s">
        <v>2098</v>
      </c>
      <c r="G1153" s="36" t="s">
        <v>2099</v>
      </c>
      <c r="H1153" s="36" t="s">
        <v>564</v>
      </c>
      <c r="I1153" s="40" t="s">
        <v>6851</v>
      </c>
      <c r="J1153" s="39">
        <v>2081823</v>
      </c>
      <c r="K1153" s="39" t="s">
        <v>5408</v>
      </c>
      <c r="L1153" s="42">
        <v>3300005982</v>
      </c>
      <c r="M1153" s="42">
        <v>3300005987</v>
      </c>
      <c r="N1153" s="42" t="s">
        <v>5158</v>
      </c>
      <c r="T1153" s="43" t="s">
        <v>6776</v>
      </c>
      <c r="V1153" s="43" t="s">
        <v>696</v>
      </c>
      <c r="AF1153" s="42">
        <v>2172027</v>
      </c>
      <c r="AG1153" s="42" t="s">
        <v>6672</v>
      </c>
    </row>
    <row r="1154" spans="6:33" ht="15.75" customHeight="1">
      <c r="F1154" s="40" t="s">
        <v>2104</v>
      </c>
      <c r="G1154" s="36" t="s">
        <v>2105</v>
      </c>
      <c r="H1154" s="36" t="s">
        <v>564</v>
      </c>
      <c r="I1154" s="40" t="s">
        <v>6851</v>
      </c>
      <c r="J1154" s="39">
        <v>5070899</v>
      </c>
      <c r="K1154" s="39">
        <v>3300012805</v>
      </c>
      <c r="L1154" s="42">
        <v>2171901</v>
      </c>
      <c r="M1154" s="42" t="s">
        <v>8251</v>
      </c>
      <c r="N1154" s="42">
        <v>3300001242</v>
      </c>
      <c r="T1154" s="43" t="s">
        <v>2107</v>
      </c>
      <c r="V1154" s="43" t="s">
        <v>696</v>
      </c>
      <c r="AF1154" s="42">
        <v>2172028</v>
      </c>
      <c r="AG1154" s="42" t="s">
        <v>6672</v>
      </c>
    </row>
    <row r="1155" spans="6:33" ht="15.75" customHeight="1">
      <c r="F1155" s="40" t="s">
        <v>5657</v>
      </c>
      <c r="G1155" s="36" t="s">
        <v>6994</v>
      </c>
      <c r="H1155" s="36" t="s">
        <v>761</v>
      </c>
      <c r="I1155" s="40" t="s">
        <v>6848</v>
      </c>
      <c r="J1155" s="39">
        <v>5045696</v>
      </c>
      <c r="K1155" s="39" t="s">
        <v>5659</v>
      </c>
      <c r="L1155" s="42">
        <v>2103443</v>
      </c>
      <c r="T1155" s="43" t="s">
        <v>5660</v>
      </c>
      <c r="V1155" s="43" t="s">
        <v>764</v>
      </c>
      <c r="AF1155" s="42">
        <v>2172029</v>
      </c>
      <c r="AG1155" s="42" t="s">
        <v>6672</v>
      </c>
    </row>
    <row r="1156" spans="6:33" ht="15.75" customHeight="1">
      <c r="F1156" s="40" t="s">
        <v>8360</v>
      </c>
      <c r="G1156" s="36" t="s">
        <v>8381</v>
      </c>
      <c r="H1156" s="36" t="s">
        <v>564</v>
      </c>
      <c r="I1156" s="40" t="s">
        <v>6851</v>
      </c>
      <c r="J1156" s="39">
        <v>5103085</v>
      </c>
      <c r="K1156" s="39">
        <v>3400003857</v>
      </c>
      <c r="L1156" s="42" t="s">
        <v>7091</v>
      </c>
      <c r="M1156" s="42">
        <v>3400003726</v>
      </c>
      <c r="N1156" s="42">
        <v>2236031</v>
      </c>
      <c r="T1156" s="43" t="s">
        <v>8230</v>
      </c>
      <c r="V1156" s="43" t="s">
        <v>557</v>
      </c>
      <c r="AF1156" s="42">
        <v>2172030</v>
      </c>
      <c r="AG1156" s="42" t="s">
        <v>6672</v>
      </c>
    </row>
    <row r="1157" spans="6:33" ht="15.75" customHeight="1">
      <c r="F1157" s="40" t="s">
        <v>2167</v>
      </c>
      <c r="G1157" s="36" t="s">
        <v>2168</v>
      </c>
      <c r="H1157" s="36" t="s">
        <v>564</v>
      </c>
      <c r="I1157" s="40" t="s">
        <v>6851</v>
      </c>
      <c r="J1157" s="39">
        <v>3300011816</v>
      </c>
      <c r="K1157" s="39" t="s">
        <v>2170</v>
      </c>
      <c r="L1157" s="42" t="s">
        <v>2171</v>
      </c>
      <c r="M1157" s="42">
        <v>2119257</v>
      </c>
      <c r="N1157" s="42" t="s">
        <v>2172</v>
      </c>
      <c r="T1157" s="43" t="s">
        <v>2173</v>
      </c>
      <c r="V1157" s="43" t="s">
        <v>2147</v>
      </c>
      <c r="AF1157" s="42">
        <v>2172031</v>
      </c>
      <c r="AG1157" s="42" t="s">
        <v>6672</v>
      </c>
    </row>
    <row r="1158" spans="6:33" ht="15.75" customHeight="1">
      <c r="F1158" s="40" t="s">
        <v>1585</v>
      </c>
      <c r="G1158" s="36" t="s">
        <v>1586</v>
      </c>
      <c r="H1158" s="36" t="s">
        <v>564</v>
      </c>
      <c r="I1158" s="40" t="s">
        <v>6851</v>
      </c>
      <c r="J1158" s="39" t="s">
        <v>820</v>
      </c>
      <c r="K1158" s="39" t="s">
        <v>1588</v>
      </c>
      <c r="L1158" s="42">
        <v>3300002922</v>
      </c>
      <c r="M1158" s="42">
        <v>5032242</v>
      </c>
      <c r="N1158" s="42" t="s">
        <v>2640</v>
      </c>
      <c r="T1158" s="43" t="s">
        <v>2962</v>
      </c>
      <c r="V1158" s="43" t="s">
        <v>1579</v>
      </c>
      <c r="AF1158" s="42">
        <v>2172273</v>
      </c>
      <c r="AG1158" s="42" t="s">
        <v>6528</v>
      </c>
    </row>
    <row r="1159" spans="6:33" ht="15.75" customHeight="1">
      <c r="F1159" s="40" t="s">
        <v>7261</v>
      </c>
      <c r="G1159" s="36" t="s">
        <v>7277</v>
      </c>
      <c r="H1159" s="36" t="s">
        <v>564</v>
      </c>
      <c r="I1159" s="40" t="s">
        <v>6851</v>
      </c>
      <c r="J1159" s="39">
        <v>2049799</v>
      </c>
      <c r="K1159" s="39">
        <v>3400002965</v>
      </c>
      <c r="L1159" s="42" t="s">
        <v>7101</v>
      </c>
      <c r="M1159" s="42">
        <v>5008426</v>
      </c>
      <c r="N1159" s="42">
        <v>2081371</v>
      </c>
      <c r="T1159" s="43" t="s">
        <v>7293</v>
      </c>
      <c r="V1159" s="43" t="s">
        <v>574</v>
      </c>
      <c r="AF1159" s="42">
        <v>2172280</v>
      </c>
      <c r="AG1159" s="42" t="s">
        <v>6528</v>
      </c>
    </row>
    <row r="1160" spans="6:33" ht="15.75" customHeight="1">
      <c r="F1160" s="40" t="s">
        <v>1081</v>
      </c>
      <c r="G1160" s="36" t="s">
        <v>1082</v>
      </c>
      <c r="H1160" s="36" t="s">
        <v>564</v>
      </c>
      <c r="I1160" s="40" t="s">
        <v>6851</v>
      </c>
      <c r="J1160" s="39">
        <v>3300009791</v>
      </c>
      <c r="K1160" s="39" t="s">
        <v>1083</v>
      </c>
      <c r="L1160" s="42" t="s">
        <v>7100</v>
      </c>
      <c r="M1160" s="42">
        <v>2172027</v>
      </c>
      <c r="N1160" s="42">
        <v>5008440</v>
      </c>
      <c r="T1160" s="43" t="s">
        <v>1084</v>
      </c>
      <c r="V1160" s="43" t="s">
        <v>619</v>
      </c>
      <c r="AF1160" s="42">
        <v>2172283</v>
      </c>
      <c r="AG1160" s="42" t="s">
        <v>6528</v>
      </c>
    </row>
    <row r="1161" spans="6:33" ht="15.75" customHeight="1">
      <c r="F1161" s="40" t="s">
        <v>1081</v>
      </c>
      <c r="G1161" s="36" t="s">
        <v>1572</v>
      </c>
      <c r="H1161" s="36" t="s">
        <v>564</v>
      </c>
      <c r="I1161" s="40" t="s">
        <v>6851</v>
      </c>
      <c r="J1161" s="39">
        <v>2183464</v>
      </c>
      <c r="K1161" s="39">
        <v>5059299</v>
      </c>
      <c r="L1161" s="42" t="s">
        <v>1574</v>
      </c>
      <c r="M1161" s="42">
        <v>3300012259</v>
      </c>
      <c r="N1161" s="42">
        <v>2183476</v>
      </c>
      <c r="T1161" s="43" t="s">
        <v>1575</v>
      </c>
      <c r="V1161" s="43" t="s">
        <v>580</v>
      </c>
      <c r="AF1161" s="42">
        <v>2172284</v>
      </c>
      <c r="AG1161" s="42" t="s">
        <v>6528</v>
      </c>
    </row>
    <row r="1162" spans="6:33" ht="15.75" customHeight="1">
      <c r="F1162" s="40" t="s">
        <v>7395</v>
      </c>
      <c r="G1162" s="36" t="s">
        <v>7407</v>
      </c>
      <c r="H1162" s="36" t="s">
        <v>564</v>
      </c>
      <c r="I1162" s="40" t="s">
        <v>6851</v>
      </c>
      <c r="J1162" s="39">
        <v>2116299</v>
      </c>
      <c r="K1162" s="39">
        <v>3300009760</v>
      </c>
      <c r="L1162" s="42" t="s">
        <v>7032</v>
      </c>
      <c r="M1162" s="42">
        <v>2119199</v>
      </c>
      <c r="T1162" s="43" t="s">
        <v>7305</v>
      </c>
      <c r="V1162" s="43" t="s">
        <v>689</v>
      </c>
      <c r="AF1162" s="42">
        <v>2172323</v>
      </c>
      <c r="AG1162" s="42" t="s">
        <v>6528</v>
      </c>
    </row>
    <row r="1163" spans="6:33" ht="15.75" customHeight="1">
      <c r="F1163" s="40" t="s">
        <v>4895</v>
      </c>
      <c r="G1163" s="36" t="s">
        <v>4896</v>
      </c>
      <c r="H1163" s="36" t="s">
        <v>761</v>
      </c>
      <c r="I1163" s="40" t="s">
        <v>6848</v>
      </c>
      <c r="J1163" s="39" t="s">
        <v>6706</v>
      </c>
      <c r="K1163" s="39">
        <v>5031913</v>
      </c>
      <c r="L1163" s="42">
        <v>3300002979</v>
      </c>
      <c r="M1163" s="42">
        <v>2119212</v>
      </c>
      <c r="N1163" s="42">
        <v>3300015851</v>
      </c>
      <c r="T1163" s="43" t="s">
        <v>4899</v>
      </c>
      <c r="V1163" s="43" t="s">
        <v>4898</v>
      </c>
      <c r="AF1163" s="42">
        <v>2172356</v>
      </c>
      <c r="AG1163" s="42" t="s">
        <v>6528</v>
      </c>
    </row>
    <row r="1164" spans="6:33" ht="15.75" customHeight="1">
      <c r="F1164" s="40" t="s">
        <v>5461</v>
      </c>
      <c r="G1164" s="36" t="s">
        <v>38</v>
      </c>
      <c r="H1164" s="36" t="s">
        <v>761</v>
      </c>
      <c r="I1164" s="40" t="s">
        <v>6848</v>
      </c>
      <c r="J1164" s="39" t="s">
        <v>5463</v>
      </c>
      <c r="K1164" s="39">
        <v>2103894</v>
      </c>
      <c r="L1164" s="42" t="s">
        <v>5464</v>
      </c>
      <c r="T1164" s="43" t="s">
        <v>5465</v>
      </c>
      <c r="V1164" s="43" t="s">
        <v>741</v>
      </c>
      <c r="AF1164" s="42">
        <v>2172357</v>
      </c>
      <c r="AG1164" s="42" t="s">
        <v>6528</v>
      </c>
    </row>
    <row r="1165" spans="6:33" ht="15.75" customHeight="1">
      <c r="F1165" s="40" t="s">
        <v>4854</v>
      </c>
      <c r="G1165" s="36" t="s">
        <v>7157</v>
      </c>
      <c r="H1165" s="36" t="s">
        <v>761</v>
      </c>
      <c r="I1165" s="40" t="s">
        <v>6848</v>
      </c>
      <c r="J1165" s="39">
        <v>2119190</v>
      </c>
      <c r="K1165" s="39">
        <v>5031904</v>
      </c>
      <c r="L1165" s="42">
        <v>3300008155</v>
      </c>
      <c r="M1165" s="42">
        <v>5045686</v>
      </c>
      <c r="N1165" s="42" t="s">
        <v>4857</v>
      </c>
      <c r="T1165" s="43" t="s">
        <v>7309</v>
      </c>
      <c r="V1165" s="43" t="s">
        <v>789</v>
      </c>
      <c r="AF1165" s="42">
        <v>2172359</v>
      </c>
      <c r="AG1165" s="42" t="s">
        <v>6528</v>
      </c>
    </row>
    <row r="1166" spans="6:33" ht="15.75" customHeight="1">
      <c r="F1166" s="40" t="s">
        <v>4860</v>
      </c>
      <c r="G1166" s="36" t="s">
        <v>4861</v>
      </c>
      <c r="H1166" s="36" t="s">
        <v>761</v>
      </c>
      <c r="I1166" s="40" t="s">
        <v>6848</v>
      </c>
      <c r="J1166" s="39">
        <v>2183540</v>
      </c>
      <c r="K1166" s="39" t="s">
        <v>4862</v>
      </c>
      <c r="L1166" s="42">
        <v>3300009776</v>
      </c>
      <c r="M1166" s="42">
        <v>2183532</v>
      </c>
      <c r="N1166" s="42">
        <v>3300015844</v>
      </c>
      <c r="T1166" s="43" t="s">
        <v>4863</v>
      </c>
      <c r="V1166" s="43" t="s">
        <v>789</v>
      </c>
      <c r="AF1166" s="42">
        <v>2172368</v>
      </c>
      <c r="AG1166" s="42" t="s">
        <v>6528</v>
      </c>
    </row>
    <row r="1167" spans="6:33" ht="15.75" customHeight="1">
      <c r="F1167" s="40" t="s">
        <v>3364</v>
      </c>
      <c r="G1167" s="36" t="s">
        <v>3365</v>
      </c>
      <c r="H1167" s="36" t="s">
        <v>6841</v>
      </c>
      <c r="I1167" s="40" t="s">
        <v>6852</v>
      </c>
      <c r="J1167" s="39">
        <v>5053833</v>
      </c>
      <c r="K1167" s="39">
        <v>2171934</v>
      </c>
      <c r="T1167" s="43" t="s">
        <v>3366</v>
      </c>
      <c r="V1167" s="43" t="s">
        <v>598</v>
      </c>
      <c r="AF1167" s="42">
        <v>2172414</v>
      </c>
      <c r="AG1167" s="42" t="s">
        <v>6528</v>
      </c>
    </row>
    <row r="1168" spans="6:33" ht="15.75" customHeight="1">
      <c r="F1168" s="40" t="s">
        <v>6052</v>
      </c>
      <c r="G1168" s="36" t="s">
        <v>6053</v>
      </c>
      <c r="H1168" s="36" t="s">
        <v>8208</v>
      </c>
      <c r="I1168" s="40" t="s">
        <v>6850</v>
      </c>
      <c r="J1168" s="39">
        <v>3300001706</v>
      </c>
      <c r="K1168" s="39">
        <v>2116266</v>
      </c>
      <c r="L1168" s="42" t="s">
        <v>6054</v>
      </c>
      <c r="M1168" s="42">
        <v>5045691</v>
      </c>
      <c r="T1168" s="43" t="s">
        <v>6055</v>
      </c>
      <c r="V1168" s="43" t="s">
        <v>643</v>
      </c>
      <c r="AF1168" s="42">
        <v>2172426</v>
      </c>
      <c r="AG1168" s="42" t="s">
        <v>6528</v>
      </c>
    </row>
    <row r="1169" spans="6:33" ht="15.75" customHeight="1">
      <c r="F1169" s="40" t="s">
        <v>7366</v>
      </c>
      <c r="G1169" s="36" t="s">
        <v>7376</v>
      </c>
      <c r="H1169" s="36" t="s">
        <v>670</v>
      </c>
      <c r="I1169" s="40" t="s">
        <v>6849</v>
      </c>
      <c r="J1169" s="39">
        <v>3400003013</v>
      </c>
      <c r="K1169" s="39" t="s">
        <v>2613</v>
      </c>
      <c r="L1169" s="42">
        <v>5008419</v>
      </c>
      <c r="M1169" s="42" t="s">
        <v>3551</v>
      </c>
      <c r="N1169" s="42">
        <v>2076417</v>
      </c>
      <c r="T1169" s="43" t="s">
        <v>7317</v>
      </c>
      <c r="V1169" s="43" t="s">
        <v>666</v>
      </c>
      <c r="AF1169" s="42">
        <v>2172434</v>
      </c>
      <c r="AG1169" s="42" t="s">
        <v>6528</v>
      </c>
    </row>
    <row r="1170" spans="6:33" ht="15.75" customHeight="1">
      <c r="F1170" s="40" t="s">
        <v>7809</v>
      </c>
      <c r="G1170" s="36" t="s">
        <v>7966</v>
      </c>
      <c r="H1170" s="36" t="s">
        <v>8208</v>
      </c>
      <c r="I1170" s="40" t="s">
        <v>6850</v>
      </c>
      <c r="J1170" s="39">
        <v>2177133</v>
      </c>
      <c r="K1170" s="39" t="s">
        <v>8142</v>
      </c>
      <c r="L1170" s="42" t="s">
        <v>8143</v>
      </c>
      <c r="T1170" s="43">
        <v>61500010</v>
      </c>
      <c r="V1170" s="43" t="s">
        <v>8195</v>
      </c>
      <c r="AF1170" s="42">
        <v>2172438</v>
      </c>
      <c r="AG1170" s="42" t="s">
        <v>6528</v>
      </c>
    </row>
    <row r="1171" spans="6:33" ht="15.75" customHeight="1">
      <c r="F1171" s="40" t="s">
        <v>2117</v>
      </c>
      <c r="G1171" s="36" t="s">
        <v>2118</v>
      </c>
      <c r="H1171" s="36" t="s">
        <v>564</v>
      </c>
      <c r="I1171" s="40" t="s">
        <v>6851</v>
      </c>
      <c r="J1171" s="39">
        <v>2183463</v>
      </c>
      <c r="K1171" s="39" t="s">
        <v>1287</v>
      </c>
      <c r="L1171" s="42" t="s">
        <v>7215</v>
      </c>
      <c r="T1171" s="43" t="s">
        <v>2120</v>
      </c>
      <c r="V1171" s="43" t="s">
        <v>755</v>
      </c>
      <c r="AF1171" s="42">
        <v>2172439</v>
      </c>
      <c r="AG1171" s="42" t="s">
        <v>6528</v>
      </c>
    </row>
    <row r="1172" spans="6:33" ht="15.75" customHeight="1">
      <c r="F1172" s="40" t="s">
        <v>5023</v>
      </c>
      <c r="G1172" s="36" t="s">
        <v>5024</v>
      </c>
      <c r="H1172" s="36" t="s">
        <v>761</v>
      </c>
      <c r="I1172" s="40" t="s">
        <v>6848</v>
      </c>
      <c r="J1172" s="39">
        <v>3300009732</v>
      </c>
      <c r="K1172" s="39" t="s">
        <v>5025</v>
      </c>
      <c r="L1172" s="42">
        <v>2177525</v>
      </c>
      <c r="T1172" s="43" t="s">
        <v>5026</v>
      </c>
      <c r="V1172" s="43" t="s">
        <v>761</v>
      </c>
      <c r="AF1172" s="42">
        <v>2172440</v>
      </c>
      <c r="AG1172" s="42" t="s">
        <v>6528</v>
      </c>
    </row>
    <row r="1173" spans="6:33" ht="15.75" customHeight="1">
      <c r="F1173" s="40" t="s">
        <v>7514</v>
      </c>
      <c r="G1173" s="36" t="s">
        <v>7515</v>
      </c>
      <c r="H1173" s="36" t="s">
        <v>6841</v>
      </c>
      <c r="I1173" s="40" t="s">
        <v>6852</v>
      </c>
      <c r="J1173" s="39">
        <v>3400003984</v>
      </c>
      <c r="K1173" s="39" t="s">
        <v>5371</v>
      </c>
      <c r="L1173" s="42" t="s">
        <v>7560</v>
      </c>
      <c r="M1173" s="42" t="s">
        <v>7054</v>
      </c>
      <c r="N1173" s="42">
        <v>2087981</v>
      </c>
      <c r="T1173" s="43" t="s">
        <v>7589</v>
      </c>
      <c r="V1173" s="43" t="s">
        <v>7161</v>
      </c>
      <c r="AF1173" s="42">
        <v>2172443</v>
      </c>
      <c r="AG1173" s="42" t="s">
        <v>6528</v>
      </c>
    </row>
    <row r="1174" spans="6:33" ht="15.75" customHeight="1">
      <c r="F1174" s="40" t="s">
        <v>7421</v>
      </c>
      <c r="G1174" s="36" t="s">
        <v>7428</v>
      </c>
      <c r="H1174" s="36" t="s">
        <v>761</v>
      </c>
      <c r="I1174" s="40" t="s">
        <v>6848</v>
      </c>
      <c r="J1174" s="39">
        <v>2163223</v>
      </c>
      <c r="K1174" s="39" t="s">
        <v>2768</v>
      </c>
      <c r="L1174" s="42" t="s">
        <v>5494</v>
      </c>
      <c r="M1174" s="42">
        <v>3300012832</v>
      </c>
      <c r="N1174" s="42">
        <v>2061309</v>
      </c>
      <c r="T1174" s="43" t="s">
        <v>7300</v>
      </c>
      <c r="V1174" s="43" t="s">
        <v>5151</v>
      </c>
      <c r="AF1174" s="42">
        <v>2175263</v>
      </c>
      <c r="AG1174" s="42" t="s">
        <v>6673</v>
      </c>
    </row>
    <row r="1175" spans="6:33" ht="15.75" customHeight="1">
      <c r="G1175" s="36"/>
      <c r="H1175" s="36"/>
      <c r="I1175" s="36"/>
      <c r="J1175" s="39"/>
      <c r="K1175" s="39"/>
      <c r="AF1175" s="42">
        <v>2176080</v>
      </c>
      <c r="AG1175" s="42" t="s">
        <v>6673</v>
      </c>
    </row>
    <row r="1176" spans="6:33" ht="15.75" customHeight="1">
      <c r="G1176" s="36"/>
      <c r="H1176" s="36"/>
      <c r="I1176" s="36"/>
      <c r="J1176" s="39"/>
      <c r="K1176" s="39"/>
      <c r="AF1176" s="42">
        <v>2176082</v>
      </c>
      <c r="AG1176" s="42" t="s">
        <v>6673</v>
      </c>
    </row>
    <row r="1177" spans="6:33" ht="15.75" customHeight="1">
      <c r="G1177" s="36"/>
      <c r="H1177" s="36"/>
      <c r="I1177" s="36"/>
      <c r="J1177" s="39"/>
      <c r="K1177" s="39"/>
      <c r="AF1177" s="42">
        <v>2176281</v>
      </c>
      <c r="AG1177" s="42" t="s">
        <v>6528</v>
      </c>
    </row>
    <row r="1178" spans="6:33" ht="15.75" customHeight="1">
      <c r="G1178" s="36"/>
      <c r="H1178" s="36"/>
      <c r="I1178" s="36"/>
      <c r="J1178" s="39"/>
      <c r="K1178" s="39"/>
      <c r="AF1178" s="42">
        <v>2176445</v>
      </c>
      <c r="AG1178" s="42" t="s">
        <v>6528</v>
      </c>
    </row>
    <row r="1179" spans="6:33" ht="15.75" customHeight="1">
      <c r="G1179" s="36"/>
      <c r="H1179" s="36"/>
      <c r="I1179" s="36"/>
      <c r="J1179" s="39"/>
      <c r="K1179" s="39"/>
      <c r="AF1179" s="42">
        <v>2176448</v>
      </c>
      <c r="AG1179" s="42" t="s">
        <v>6528</v>
      </c>
    </row>
    <row r="1180" spans="6:33" ht="15.75" customHeight="1">
      <c r="G1180" s="36"/>
      <c r="H1180" s="36"/>
      <c r="I1180" s="36"/>
      <c r="J1180" s="39"/>
      <c r="K1180" s="39"/>
      <c r="AF1180" s="42">
        <v>2176693</v>
      </c>
      <c r="AG1180" s="42" t="s">
        <v>6528</v>
      </c>
    </row>
    <row r="1181" spans="6:33" ht="15.75" customHeight="1">
      <c r="G1181" s="36"/>
      <c r="H1181" s="36"/>
      <c r="I1181" s="36"/>
      <c r="J1181" s="39"/>
      <c r="K1181" s="39"/>
      <c r="AF1181" s="42">
        <v>2176705</v>
      </c>
      <c r="AG1181" s="42" t="s">
        <v>6528</v>
      </c>
    </row>
    <row r="1182" spans="6:33" ht="15.75" customHeight="1">
      <c r="G1182" s="36"/>
      <c r="H1182" s="36"/>
      <c r="I1182" s="36"/>
      <c r="J1182" s="39"/>
      <c r="K1182" s="39"/>
      <c r="AF1182" s="42">
        <v>2176738</v>
      </c>
      <c r="AG1182" s="42" t="s">
        <v>6528</v>
      </c>
    </row>
    <row r="1183" spans="6:33" ht="15.75" customHeight="1">
      <c r="G1183" s="36"/>
      <c r="H1183" s="36"/>
      <c r="I1183" s="36"/>
      <c r="J1183" s="39"/>
      <c r="K1183" s="39"/>
      <c r="AF1183" s="42">
        <v>2177122</v>
      </c>
      <c r="AG1183" s="42" t="s">
        <v>6528</v>
      </c>
    </row>
    <row r="1184" spans="6:33" ht="15.75" customHeight="1">
      <c r="G1184" s="36"/>
      <c r="H1184" s="36"/>
      <c r="I1184" s="36"/>
      <c r="J1184" s="39"/>
      <c r="K1184" s="39"/>
      <c r="AF1184" s="42">
        <v>2177125</v>
      </c>
      <c r="AG1184" s="42" t="s">
        <v>6528</v>
      </c>
    </row>
    <row r="1185" spans="7:33" ht="15.75" customHeight="1">
      <c r="G1185" s="36"/>
      <c r="H1185" s="36"/>
      <c r="I1185" s="36"/>
      <c r="J1185" s="39"/>
      <c r="K1185" s="39"/>
      <c r="AF1185" s="42">
        <v>2177126</v>
      </c>
      <c r="AG1185" s="42" t="s">
        <v>6528</v>
      </c>
    </row>
    <row r="1186" spans="7:33" ht="15.75" customHeight="1">
      <c r="G1186" s="36"/>
      <c r="H1186" s="36"/>
      <c r="I1186" s="36"/>
      <c r="J1186" s="39"/>
      <c r="K1186" s="39"/>
      <c r="AF1186" s="42">
        <v>2177133</v>
      </c>
      <c r="AG1186" s="42" t="s">
        <v>6528</v>
      </c>
    </row>
    <row r="1187" spans="7:33" ht="15.75" customHeight="1">
      <c r="G1187" s="36"/>
      <c r="H1187" s="36"/>
      <c r="I1187" s="36"/>
      <c r="J1187" s="39"/>
      <c r="K1187" s="39"/>
      <c r="AF1187" s="42">
        <v>2177142</v>
      </c>
      <c r="AG1187" s="42" t="s">
        <v>6528</v>
      </c>
    </row>
    <row r="1188" spans="7:33" ht="15.75" customHeight="1">
      <c r="G1188" s="36"/>
      <c r="H1188" s="36"/>
      <c r="I1188" s="36"/>
      <c r="J1188" s="39"/>
      <c r="K1188" s="39"/>
      <c r="AF1188" s="42">
        <v>2177143</v>
      </c>
      <c r="AG1188" s="42" t="s">
        <v>6528</v>
      </c>
    </row>
    <row r="1189" spans="7:33" ht="15.75" customHeight="1">
      <c r="G1189" s="36"/>
      <c r="H1189" s="36"/>
      <c r="I1189" s="36"/>
      <c r="J1189" s="39"/>
      <c r="K1189" s="39"/>
      <c r="AF1189" s="42">
        <v>2177144</v>
      </c>
      <c r="AG1189" s="42" t="s">
        <v>6528</v>
      </c>
    </row>
    <row r="1190" spans="7:33" ht="15.75" customHeight="1">
      <c r="G1190" s="36"/>
      <c r="H1190" s="36"/>
      <c r="I1190" s="36"/>
      <c r="J1190" s="39"/>
      <c r="K1190" s="39"/>
      <c r="AF1190" s="42">
        <v>2177146</v>
      </c>
      <c r="AG1190" s="42" t="s">
        <v>6528</v>
      </c>
    </row>
    <row r="1191" spans="7:33" ht="15.75" customHeight="1">
      <c r="G1191" s="36"/>
      <c r="H1191" s="36"/>
      <c r="I1191" s="36"/>
      <c r="J1191" s="39"/>
      <c r="K1191" s="39"/>
      <c r="AF1191" s="42">
        <v>2177147</v>
      </c>
      <c r="AG1191" s="42" t="s">
        <v>6528</v>
      </c>
    </row>
    <row r="1192" spans="7:33" ht="15.75" customHeight="1">
      <c r="G1192" s="36"/>
      <c r="H1192" s="36"/>
      <c r="I1192" s="36"/>
      <c r="J1192" s="39"/>
      <c r="K1192" s="39"/>
      <c r="AF1192" s="42">
        <v>2177149</v>
      </c>
      <c r="AG1192" s="42" t="s">
        <v>6528</v>
      </c>
    </row>
    <row r="1193" spans="7:33" ht="15.75" customHeight="1">
      <c r="G1193" s="36"/>
      <c r="H1193" s="36"/>
      <c r="I1193" s="36"/>
      <c r="J1193" s="39"/>
      <c r="K1193" s="39"/>
      <c r="AF1193" s="42">
        <v>2177150</v>
      </c>
      <c r="AG1193" s="42" t="s">
        <v>6528</v>
      </c>
    </row>
    <row r="1194" spans="7:33" ht="15.75" customHeight="1">
      <c r="G1194" s="36"/>
      <c r="H1194" s="36"/>
      <c r="I1194" s="36"/>
      <c r="J1194" s="39"/>
      <c r="K1194" s="39"/>
      <c r="AF1194" s="42">
        <v>2177156</v>
      </c>
      <c r="AG1194" s="42" t="s">
        <v>6528</v>
      </c>
    </row>
    <row r="1195" spans="7:33" ht="15.75" customHeight="1">
      <c r="G1195" s="36"/>
      <c r="H1195" s="36"/>
      <c r="I1195" s="36"/>
      <c r="J1195" s="39"/>
      <c r="K1195" s="39"/>
      <c r="AF1195" s="42">
        <v>2177158</v>
      </c>
      <c r="AG1195" s="42" t="s">
        <v>6528</v>
      </c>
    </row>
    <row r="1196" spans="7:33" ht="15.75" customHeight="1">
      <c r="G1196" s="36"/>
      <c r="H1196" s="36"/>
      <c r="I1196" s="36"/>
      <c r="J1196" s="39"/>
      <c r="K1196" s="39"/>
      <c r="AF1196" s="42">
        <v>2177163</v>
      </c>
      <c r="AG1196" s="42" t="s">
        <v>6528</v>
      </c>
    </row>
    <row r="1197" spans="7:33" ht="15.75" customHeight="1">
      <c r="G1197" s="36"/>
      <c r="H1197" s="36"/>
      <c r="I1197" s="36"/>
      <c r="J1197" s="39"/>
      <c r="K1197" s="39"/>
      <c r="AF1197" s="42">
        <v>2177166</v>
      </c>
      <c r="AG1197" s="42" t="s">
        <v>6528</v>
      </c>
    </row>
    <row r="1198" spans="7:33" ht="15.75" customHeight="1">
      <c r="G1198" s="36"/>
      <c r="H1198" s="36"/>
      <c r="I1198" s="36"/>
      <c r="J1198" s="39"/>
      <c r="K1198" s="39"/>
      <c r="AF1198" s="42">
        <v>2177170</v>
      </c>
      <c r="AG1198" s="42" t="s">
        <v>6528</v>
      </c>
    </row>
    <row r="1199" spans="7:33" ht="15.75" customHeight="1">
      <c r="G1199" s="36"/>
      <c r="H1199" s="36"/>
      <c r="I1199" s="36"/>
      <c r="J1199" s="39"/>
      <c r="K1199" s="39"/>
      <c r="AF1199" s="42">
        <v>2177176</v>
      </c>
      <c r="AG1199" s="42" t="s">
        <v>6528</v>
      </c>
    </row>
    <row r="1200" spans="7:33" ht="15.75" customHeight="1">
      <c r="G1200" s="36"/>
      <c r="H1200" s="36"/>
      <c r="I1200" s="36"/>
      <c r="J1200" s="39"/>
      <c r="K1200" s="39"/>
      <c r="AF1200" s="42">
        <v>2177177</v>
      </c>
      <c r="AG1200" s="42" t="s">
        <v>6528</v>
      </c>
    </row>
    <row r="1201" spans="7:33" ht="15.75" customHeight="1">
      <c r="G1201" s="36"/>
      <c r="H1201" s="36"/>
      <c r="I1201" s="36"/>
      <c r="J1201" s="39"/>
      <c r="K1201" s="39"/>
      <c r="AF1201" s="42">
        <v>2177181</v>
      </c>
      <c r="AG1201" s="42" t="s">
        <v>6528</v>
      </c>
    </row>
    <row r="1202" spans="7:33" ht="15.75" customHeight="1">
      <c r="G1202" s="36"/>
      <c r="H1202" s="36"/>
      <c r="I1202" s="36"/>
      <c r="J1202" s="39"/>
      <c r="K1202" s="39"/>
      <c r="AF1202" s="42">
        <v>2177182</v>
      </c>
      <c r="AG1202" s="42" t="s">
        <v>6528</v>
      </c>
    </row>
    <row r="1203" spans="7:33" ht="15.75" customHeight="1">
      <c r="G1203" s="36"/>
      <c r="H1203" s="36"/>
      <c r="I1203" s="36"/>
      <c r="J1203" s="39"/>
      <c r="K1203" s="39"/>
      <c r="AF1203" s="42">
        <v>2177329</v>
      </c>
      <c r="AG1203" s="42" t="s">
        <v>6528</v>
      </c>
    </row>
    <row r="1204" spans="7:33" ht="15.75" customHeight="1">
      <c r="G1204" s="36"/>
      <c r="H1204" s="36"/>
      <c r="I1204" s="36"/>
      <c r="J1204" s="39"/>
      <c r="K1204" s="39"/>
      <c r="AF1204" s="42">
        <v>2177330</v>
      </c>
      <c r="AG1204" s="42" t="s">
        <v>6528</v>
      </c>
    </row>
    <row r="1205" spans="7:33" ht="15.75" customHeight="1">
      <c r="G1205" s="36"/>
      <c r="H1205" s="36"/>
      <c r="I1205" s="36"/>
      <c r="J1205" s="39"/>
      <c r="K1205" s="39"/>
      <c r="AF1205" s="42">
        <v>2177331</v>
      </c>
      <c r="AG1205" s="42" t="s">
        <v>6528</v>
      </c>
    </row>
    <row r="1206" spans="7:33" ht="15.75" customHeight="1">
      <c r="G1206" s="36"/>
      <c r="H1206" s="36"/>
      <c r="I1206" s="36"/>
      <c r="J1206" s="39"/>
      <c r="K1206" s="39"/>
      <c r="AF1206" s="42">
        <v>2177332</v>
      </c>
      <c r="AG1206" s="42" t="s">
        <v>6528</v>
      </c>
    </row>
    <row r="1207" spans="7:33" ht="15.75" customHeight="1">
      <c r="G1207" s="36"/>
      <c r="H1207" s="36"/>
      <c r="I1207" s="36"/>
      <c r="J1207" s="39"/>
      <c r="K1207" s="39"/>
      <c r="AF1207" s="42">
        <v>2177335</v>
      </c>
      <c r="AG1207" s="42" t="s">
        <v>6528</v>
      </c>
    </row>
    <row r="1208" spans="7:33" ht="15.75" customHeight="1">
      <c r="G1208" s="36"/>
      <c r="H1208" s="36"/>
      <c r="I1208" s="36"/>
      <c r="J1208" s="39"/>
      <c r="K1208" s="39"/>
      <c r="AF1208" s="42">
        <v>2177348</v>
      </c>
      <c r="AG1208" s="42" t="s">
        <v>6528</v>
      </c>
    </row>
    <row r="1209" spans="7:33" ht="15.75" customHeight="1">
      <c r="G1209" s="36"/>
      <c r="H1209" s="36"/>
      <c r="I1209" s="36"/>
      <c r="J1209" s="39"/>
      <c r="K1209" s="39"/>
      <c r="AF1209" s="42">
        <v>2177349</v>
      </c>
      <c r="AG1209" s="42" t="s">
        <v>6528</v>
      </c>
    </row>
    <row r="1210" spans="7:33" ht="15.75" customHeight="1">
      <c r="G1210" s="36"/>
      <c r="H1210" s="36"/>
      <c r="I1210" s="36"/>
      <c r="J1210" s="39"/>
      <c r="K1210" s="39"/>
      <c r="AF1210" s="42">
        <v>2177350</v>
      </c>
      <c r="AG1210" s="42" t="s">
        <v>6528</v>
      </c>
    </row>
    <row r="1211" spans="7:33" ht="15.75" customHeight="1">
      <c r="G1211" s="36"/>
      <c r="H1211" s="36"/>
      <c r="I1211" s="36"/>
      <c r="J1211" s="39"/>
      <c r="K1211" s="39"/>
      <c r="AF1211" s="42">
        <v>2177351</v>
      </c>
      <c r="AG1211" s="42" t="s">
        <v>6528</v>
      </c>
    </row>
    <row r="1212" spans="7:33" ht="15.75" customHeight="1">
      <c r="G1212" s="36"/>
      <c r="H1212" s="36"/>
      <c r="I1212" s="36"/>
      <c r="J1212" s="39"/>
      <c r="K1212" s="39"/>
      <c r="AF1212" s="42">
        <v>2177352</v>
      </c>
      <c r="AG1212" s="42" t="s">
        <v>6528</v>
      </c>
    </row>
    <row r="1213" spans="7:33" ht="15.75" customHeight="1">
      <c r="G1213" s="36"/>
      <c r="H1213" s="36"/>
      <c r="I1213" s="36"/>
      <c r="J1213" s="39"/>
      <c r="K1213" s="39"/>
      <c r="AF1213" s="42">
        <v>2177358</v>
      </c>
      <c r="AG1213" s="42" t="s">
        <v>6528</v>
      </c>
    </row>
    <row r="1214" spans="7:33" ht="15.75" customHeight="1">
      <c r="G1214" s="36"/>
      <c r="H1214" s="36"/>
      <c r="I1214" s="36"/>
      <c r="J1214" s="39"/>
      <c r="K1214" s="39"/>
      <c r="AF1214" s="42">
        <v>2177364</v>
      </c>
      <c r="AG1214" s="42" t="s">
        <v>6528</v>
      </c>
    </row>
    <row r="1215" spans="7:33" ht="15.75" customHeight="1">
      <c r="G1215" s="36"/>
      <c r="H1215" s="36"/>
      <c r="I1215" s="36"/>
      <c r="J1215" s="39"/>
      <c r="K1215" s="39"/>
      <c r="AF1215" s="42">
        <v>2177365</v>
      </c>
      <c r="AG1215" s="42" t="s">
        <v>6528</v>
      </c>
    </row>
    <row r="1216" spans="7:33" ht="15.75" customHeight="1">
      <c r="G1216" s="36"/>
      <c r="H1216" s="36"/>
      <c r="I1216" s="36"/>
      <c r="J1216" s="39"/>
      <c r="K1216" s="39"/>
      <c r="AF1216" s="42">
        <v>2177369</v>
      </c>
      <c r="AG1216" s="42" t="s">
        <v>6528</v>
      </c>
    </row>
    <row r="1217" spans="7:33" ht="15.75" customHeight="1">
      <c r="G1217" s="36"/>
      <c r="H1217" s="36"/>
      <c r="I1217" s="36"/>
      <c r="J1217" s="39"/>
      <c r="K1217" s="39"/>
      <c r="AF1217" s="42">
        <v>2177373</v>
      </c>
      <c r="AG1217" s="42" t="s">
        <v>6528</v>
      </c>
    </row>
    <row r="1218" spans="7:33" ht="15.75" customHeight="1">
      <c r="G1218" s="36"/>
      <c r="H1218" s="36"/>
      <c r="I1218" s="36"/>
      <c r="J1218" s="39"/>
      <c r="K1218" s="39"/>
      <c r="AF1218" s="42">
        <v>2177377</v>
      </c>
      <c r="AG1218" s="42" t="s">
        <v>6528</v>
      </c>
    </row>
    <row r="1219" spans="7:33" ht="15.75" customHeight="1">
      <c r="G1219" s="36"/>
      <c r="H1219" s="36"/>
      <c r="I1219" s="36"/>
      <c r="J1219" s="39"/>
      <c r="K1219" s="39"/>
      <c r="AF1219" s="42">
        <v>2177382</v>
      </c>
      <c r="AG1219" s="42" t="s">
        <v>6528</v>
      </c>
    </row>
    <row r="1220" spans="7:33" ht="15.75" customHeight="1">
      <c r="G1220" s="36"/>
      <c r="H1220" s="36"/>
      <c r="I1220" s="36"/>
      <c r="J1220" s="39"/>
      <c r="K1220" s="39"/>
      <c r="AF1220" s="42">
        <v>2177400</v>
      </c>
      <c r="AG1220" s="42" t="s">
        <v>6528</v>
      </c>
    </row>
    <row r="1221" spans="7:33" ht="15.75" customHeight="1">
      <c r="G1221" s="36"/>
      <c r="H1221" s="36"/>
      <c r="I1221" s="36"/>
      <c r="J1221" s="39"/>
      <c r="K1221" s="39"/>
      <c r="AF1221" s="42">
        <v>2177404</v>
      </c>
      <c r="AG1221" s="42" t="s">
        <v>6528</v>
      </c>
    </row>
    <row r="1222" spans="7:33" ht="15.75" customHeight="1">
      <c r="G1222" s="36"/>
      <c r="H1222" s="36"/>
      <c r="I1222" s="36"/>
      <c r="J1222" s="39"/>
      <c r="K1222" s="39"/>
      <c r="AF1222" s="42">
        <v>2177512</v>
      </c>
      <c r="AG1222" s="42" t="s">
        <v>6528</v>
      </c>
    </row>
    <row r="1223" spans="7:33" ht="15.75" customHeight="1">
      <c r="G1223" s="36"/>
      <c r="H1223" s="36"/>
      <c r="I1223" s="36"/>
      <c r="J1223" s="39"/>
      <c r="K1223" s="39"/>
      <c r="AF1223" s="42">
        <v>2177514</v>
      </c>
      <c r="AG1223" s="42" t="s">
        <v>6528</v>
      </c>
    </row>
    <row r="1224" spans="7:33" ht="15.75" customHeight="1">
      <c r="G1224" s="36"/>
      <c r="H1224" s="36"/>
      <c r="I1224" s="36"/>
      <c r="J1224" s="39"/>
      <c r="K1224" s="39"/>
      <c r="AF1224" s="42">
        <v>2177518</v>
      </c>
      <c r="AG1224" s="42" t="s">
        <v>6528</v>
      </c>
    </row>
    <row r="1225" spans="7:33" ht="15.75" customHeight="1">
      <c r="G1225" s="36"/>
      <c r="H1225" s="36"/>
      <c r="I1225" s="36"/>
      <c r="J1225" s="39"/>
      <c r="K1225" s="39"/>
      <c r="AF1225" s="42">
        <v>2177524</v>
      </c>
      <c r="AG1225" s="42" t="s">
        <v>6528</v>
      </c>
    </row>
    <row r="1226" spans="7:33" ht="15.75" customHeight="1">
      <c r="G1226" s="36"/>
      <c r="H1226" s="36"/>
      <c r="I1226" s="36"/>
      <c r="J1226" s="39"/>
      <c r="K1226" s="39"/>
      <c r="AF1226" s="42">
        <v>2177525</v>
      </c>
      <c r="AG1226" s="42" t="s">
        <v>6528</v>
      </c>
    </row>
    <row r="1227" spans="7:33" ht="15.75" customHeight="1">
      <c r="G1227" s="36"/>
      <c r="H1227" s="36"/>
      <c r="I1227" s="36"/>
      <c r="J1227" s="39"/>
      <c r="K1227" s="39"/>
      <c r="AF1227" s="42">
        <v>2177534</v>
      </c>
      <c r="AG1227" s="42" t="s">
        <v>6528</v>
      </c>
    </row>
    <row r="1228" spans="7:33" ht="15.75" customHeight="1">
      <c r="G1228" s="36"/>
      <c r="H1228" s="36"/>
      <c r="I1228" s="36"/>
      <c r="J1228" s="39"/>
      <c r="K1228" s="39"/>
      <c r="AF1228" s="42">
        <v>2177542</v>
      </c>
      <c r="AG1228" s="42" t="s">
        <v>6528</v>
      </c>
    </row>
    <row r="1229" spans="7:33" ht="15.75" customHeight="1">
      <c r="G1229" s="36"/>
      <c r="H1229" s="36"/>
      <c r="I1229" s="36"/>
      <c r="J1229" s="39"/>
      <c r="K1229" s="39"/>
      <c r="AF1229" s="42">
        <v>2177686</v>
      </c>
      <c r="AG1229" s="42" t="s">
        <v>6673</v>
      </c>
    </row>
    <row r="1230" spans="7:33" ht="15.75" customHeight="1">
      <c r="G1230" s="36"/>
      <c r="H1230" s="36"/>
      <c r="I1230" s="36"/>
      <c r="J1230" s="39"/>
      <c r="K1230" s="39"/>
      <c r="AF1230" s="42">
        <v>2177693</v>
      </c>
      <c r="AG1230" s="42" t="s">
        <v>6673</v>
      </c>
    </row>
    <row r="1231" spans="7:33" ht="15.75" customHeight="1">
      <c r="G1231" s="36"/>
      <c r="H1231" s="36"/>
      <c r="I1231" s="36"/>
      <c r="J1231" s="39"/>
      <c r="K1231" s="39"/>
      <c r="AF1231" s="42">
        <v>2180482</v>
      </c>
      <c r="AG1231" s="42" t="s">
        <v>6528</v>
      </c>
    </row>
    <row r="1232" spans="7:33" ht="15.75" customHeight="1">
      <c r="G1232" s="36"/>
      <c r="H1232" s="36"/>
      <c r="I1232" s="36"/>
      <c r="J1232" s="39"/>
      <c r="K1232" s="39"/>
      <c r="AF1232" s="42">
        <v>2180495</v>
      </c>
      <c r="AG1232" s="42" t="s">
        <v>6528</v>
      </c>
    </row>
    <row r="1233" spans="7:33" ht="15.75" customHeight="1">
      <c r="G1233" s="36"/>
      <c r="H1233" s="36"/>
      <c r="I1233" s="36"/>
      <c r="J1233" s="39"/>
      <c r="K1233" s="39"/>
      <c r="AF1233" s="42">
        <v>2180496</v>
      </c>
      <c r="AG1233" s="42" t="s">
        <v>6528</v>
      </c>
    </row>
    <row r="1234" spans="7:33" ht="15.75" customHeight="1">
      <c r="G1234" s="36"/>
      <c r="H1234" s="36"/>
      <c r="I1234" s="36"/>
      <c r="J1234" s="39"/>
      <c r="K1234" s="39"/>
      <c r="AF1234" s="42">
        <v>2180499</v>
      </c>
      <c r="AG1234" s="42" t="s">
        <v>6528</v>
      </c>
    </row>
    <row r="1235" spans="7:33" ht="15.75" customHeight="1">
      <c r="G1235" s="36"/>
      <c r="H1235" s="36"/>
      <c r="I1235" s="36"/>
      <c r="J1235" s="39"/>
      <c r="K1235" s="39"/>
      <c r="AF1235" s="42">
        <v>2180500</v>
      </c>
      <c r="AG1235" s="42" t="s">
        <v>6528</v>
      </c>
    </row>
    <row r="1236" spans="7:33" ht="15.75" customHeight="1">
      <c r="G1236" s="36"/>
      <c r="H1236" s="36"/>
      <c r="I1236" s="36"/>
      <c r="J1236" s="39"/>
      <c r="K1236" s="39"/>
      <c r="AF1236" s="42">
        <v>2180501</v>
      </c>
      <c r="AG1236" s="42" t="s">
        <v>6528</v>
      </c>
    </row>
    <row r="1237" spans="7:33" ht="15.75" customHeight="1">
      <c r="G1237" s="36"/>
      <c r="H1237" s="36"/>
      <c r="I1237" s="36"/>
      <c r="J1237" s="39"/>
      <c r="K1237" s="39"/>
      <c r="AF1237" s="42">
        <v>2180508</v>
      </c>
      <c r="AG1237" s="42" t="s">
        <v>6528</v>
      </c>
    </row>
    <row r="1238" spans="7:33" ht="15.75" customHeight="1">
      <c r="G1238" s="36"/>
      <c r="H1238" s="36"/>
      <c r="I1238" s="36"/>
      <c r="J1238" s="39"/>
      <c r="K1238" s="39"/>
      <c r="AF1238" s="42">
        <v>2180518</v>
      </c>
      <c r="AG1238" s="42" t="s">
        <v>6528</v>
      </c>
    </row>
    <row r="1239" spans="7:33" ht="15.75" customHeight="1">
      <c r="G1239" s="36"/>
      <c r="H1239" s="36"/>
      <c r="I1239" s="36"/>
      <c r="J1239" s="39"/>
      <c r="K1239" s="39"/>
      <c r="AF1239" s="42">
        <v>2180551</v>
      </c>
      <c r="AG1239" s="42" t="s">
        <v>6528</v>
      </c>
    </row>
    <row r="1240" spans="7:33" ht="15.75" customHeight="1">
      <c r="G1240" s="36"/>
      <c r="H1240" s="36"/>
      <c r="I1240" s="36"/>
      <c r="J1240" s="39"/>
      <c r="K1240" s="39"/>
      <c r="AF1240" s="42">
        <v>2180616</v>
      </c>
      <c r="AG1240" s="42" t="s">
        <v>6528</v>
      </c>
    </row>
    <row r="1241" spans="7:33" ht="15.75" customHeight="1">
      <c r="G1241" s="36"/>
      <c r="H1241" s="36"/>
      <c r="I1241" s="36"/>
      <c r="J1241" s="39"/>
      <c r="K1241" s="39"/>
      <c r="AF1241" s="42">
        <v>2180626</v>
      </c>
      <c r="AG1241" s="42" t="s">
        <v>6528</v>
      </c>
    </row>
    <row r="1242" spans="7:33" ht="15.75" customHeight="1">
      <c r="G1242" s="36"/>
      <c r="H1242" s="36"/>
      <c r="I1242" s="36"/>
      <c r="J1242" s="39"/>
      <c r="K1242" s="39"/>
      <c r="AF1242" s="42">
        <v>2181718</v>
      </c>
      <c r="AG1242" s="42" t="s">
        <v>6673</v>
      </c>
    </row>
    <row r="1243" spans="7:33" ht="15.75" customHeight="1">
      <c r="G1243" s="36"/>
      <c r="H1243" s="36"/>
      <c r="I1243" s="36"/>
      <c r="J1243" s="39"/>
      <c r="K1243" s="39"/>
      <c r="AF1243" s="42">
        <v>2182568</v>
      </c>
      <c r="AG1243" s="42" t="s">
        <v>6528</v>
      </c>
    </row>
    <row r="1244" spans="7:33" ht="15.75" customHeight="1">
      <c r="G1244" s="36"/>
      <c r="H1244" s="36"/>
      <c r="I1244" s="36"/>
      <c r="J1244" s="39"/>
      <c r="K1244" s="39"/>
      <c r="AF1244" s="42">
        <v>2182571</v>
      </c>
      <c r="AG1244" s="42" t="s">
        <v>6528</v>
      </c>
    </row>
    <row r="1245" spans="7:33" ht="15.75" customHeight="1">
      <c r="G1245" s="36"/>
      <c r="H1245" s="36"/>
      <c r="I1245" s="36"/>
      <c r="J1245" s="39"/>
      <c r="K1245" s="39"/>
      <c r="AF1245" s="42">
        <v>2182981</v>
      </c>
      <c r="AG1245" s="42" t="s">
        <v>6672</v>
      </c>
    </row>
    <row r="1246" spans="7:33" ht="15.75" customHeight="1">
      <c r="G1246" s="36"/>
      <c r="H1246" s="36"/>
      <c r="I1246" s="36"/>
      <c r="J1246" s="39"/>
      <c r="K1246" s="39"/>
      <c r="AF1246" s="42">
        <v>2182982</v>
      </c>
      <c r="AG1246" s="42" t="s">
        <v>6672</v>
      </c>
    </row>
    <row r="1247" spans="7:33" ht="15.75" customHeight="1">
      <c r="G1247" s="36"/>
      <c r="H1247" s="36"/>
      <c r="I1247" s="36"/>
      <c r="J1247" s="39"/>
      <c r="K1247" s="39"/>
      <c r="AF1247" s="42">
        <v>2182983</v>
      </c>
      <c r="AG1247" s="42" t="s">
        <v>6672</v>
      </c>
    </row>
    <row r="1248" spans="7:33" ht="15.75" customHeight="1">
      <c r="G1248" s="36"/>
      <c r="H1248" s="36"/>
      <c r="I1248" s="36"/>
      <c r="J1248" s="39"/>
      <c r="K1248" s="39"/>
      <c r="AF1248" s="42">
        <v>2182988</v>
      </c>
      <c r="AG1248" s="42" t="s">
        <v>6672</v>
      </c>
    </row>
    <row r="1249" spans="7:33" ht="15.75" customHeight="1">
      <c r="G1249" s="36"/>
      <c r="H1249" s="36"/>
      <c r="I1249" s="36"/>
      <c r="J1249" s="39"/>
      <c r="K1249" s="39"/>
      <c r="AF1249" s="42">
        <v>2182991</v>
      </c>
      <c r="AG1249" s="42" t="s">
        <v>6672</v>
      </c>
    </row>
    <row r="1250" spans="7:33" ht="15.75" customHeight="1">
      <c r="G1250" s="36"/>
      <c r="H1250" s="36"/>
      <c r="I1250" s="36"/>
      <c r="J1250" s="39"/>
      <c r="K1250" s="39"/>
      <c r="AF1250" s="42">
        <v>2182997</v>
      </c>
      <c r="AG1250" s="42" t="s">
        <v>6672</v>
      </c>
    </row>
    <row r="1251" spans="7:33" ht="15.75" customHeight="1">
      <c r="G1251" s="36"/>
      <c r="H1251" s="36"/>
      <c r="I1251" s="36"/>
      <c r="J1251" s="39"/>
      <c r="K1251" s="39"/>
      <c r="AF1251" s="42">
        <v>2183006</v>
      </c>
      <c r="AG1251" s="42" t="s">
        <v>6672</v>
      </c>
    </row>
    <row r="1252" spans="7:33" ht="15.75" customHeight="1">
      <c r="G1252" s="36"/>
      <c r="H1252" s="36"/>
      <c r="I1252" s="36"/>
      <c r="J1252" s="39"/>
      <c r="K1252" s="39"/>
      <c r="AF1252" s="42">
        <v>2183186</v>
      </c>
      <c r="AG1252" s="42" t="s">
        <v>6671</v>
      </c>
    </row>
    <row r="1253" spans="7:33" ht="15.75" customHeight="1">
      <c r="G1253" s="36"/>
      <c r="H1253" s="36"/>
      <c r="I1253" s="36"/>
      <c r="J1253" s="39"/>
      <c r="K1253" s="39"/>
      <c r="AF1253" s="42">
        <v>2183461</v>
      </c>
      <c r="AG1253" s="42" t="s">
        <v>6672</v>
      </c>
    </row>
    <row r="1254" spans="7:33" ht="15.75" customHeight="1">
      <c r="G1254" s="36"/>
      <c r="H1254" s="36"/>
      <c r="I1254" s="36"/>
      <c r="J1254" s="39"/>
      <c r="K1254" s="39"/>
      <c r="AF1254" s="42">
        <v>2183462</v>
      </c>
      <c r="AG1254" s="42" t="s">
        <v>6672</v>
      </c>
    </row>
    <row r="1255" spans="7:33" ht="15.75" customHeight="1">
      <c r="G1255" s="36"/>
      <c r="H1255" s="36"/>
      <c r="I1255" s="36"/>
      <c r="J1255" s="39"/>
      <c r="K1255" s="39"/>
      <c r="AF1255" s="42">
        <v>2183463</v>
      </c>
      <c r="AG1255" s="42" t="s">
        <v>6672</v>
      </c>
    </row>
    <row r="1256" spans="7:33" ht="15.75" customHeight="1">
      <c r="G1256" s="36"/>
      <c r="H1256" s="36"/>
      <c r="I1256" s="36"/>
      <c r="J1256" s="39"/>
      <c r="K1256" s="39"/>
      <c r="AF1256" s="42">
        <v>2183464</v>
      </c>
      <c r="AG1256" s="42" t="s">
        <v>6672</v>
      </c>
    </row>
    <row r="1257" spans="7:33" ht="15.75" customHeight="1">
      <c r="G1257" s="36"/>
      <c r="H1257" s="36"/>
      <c r="I1257" s="36"/>
      <c r="J1257" s="39"/>
      <c r="K1257" s="39"/>
      <c r="AF1257" s="42">
        <v>2183465</v>
      </c>
      <c r="AG1257" s="42" t="s">
        <v>6672</v>
      </c>
    </row>
    <row r="1258" spans="7:33" ht="15.75" customHeight="1">
      <c r="G1258" s="36"/>
      <c r="H1258" s="36"/>
      <c r="I1258" s="36"/>
      <c r="J1258" s="39"/>
      <c r="K1258" s="39"/>
      <c r="AF1258" s="42">
        <v>2183466</v>
      </c>
      <c r="AG1258" s="42" t="s">
        <v>6672</v>
      </c>
    </row>
    <row r="1259" spans="7:33" ht="15.75" customHeight="1">
      <c r="G1259" s="36"/>
      <c r="H1259" s="36"/>
      <c r="I1259" s="36"/>
      <c r="J1259" s="39"/>
      <c r="K1259" s="39"/>
      <c r="AF1259" s="42">
        <v>2183467</v>
      </c>
      <c r="AG1259" s="42" t="s">
        <v>6672</v>
      </c>
    </row>
    <row r="1260" spans="7:33" ht="15.75" customHeight="1">
      <c r="G1260" s="36"/>
      <c r="H1260" s="36"/>
      <c r="I1260" s="36"/>
      <c r="J1260" s="39"/>
      <c r="K1260" s="39"/>
      <c r="AF1260" s="42">
        <v>2183468</v>
      </c>
      <c r="AG1260" s="42" t="s">
        <v>6672</v>
      </c>
    </row>
    <row r="1261" spans="7:33" ht="15.75" customHeight="1">
      <c r="G1261" s="36"/>
      <c r="H1261" s="36"/>
      <c r="I1261" s="36"/>
      <c r="J1261" s="39"/>
      <c r="K1261" s="39"/>
      <c r="AF1261" s="42">
        <v>2183469</v>
      </c>
      <c r="AG1261" s="42" t="s">
        <v>6672</v>
      </c>
    </row>
    <row r="1262" spans="7:33" ht="15.75" customHeight="1">
      <c r="G1262" s="36"/>
      <c r="H1262" s="36"/>
      <c r="I1262" s="36"/>
      <c r="J1262" s="39"/>
      <c r="K1262" s="39"/>
      <c r="AF1262" s="42">
        <v>2183470</v>
      </c>
      <c r="AG1262" s="42" t="s">
        <v>6672</v>
      </c>
    </row>
    <row r="1263" spans="7:33" ht="15.75" customHeight="1">
      <c r="G1263" s="36"/>
      <c r="H1263" s="36"/>
      <c r="I1263" s="36"/>
      <c r="J1263" s="39"/>
      <c r="K1263" s="39"/>
      <c r="AF1263" s="42">
        <v>2183471</v>
      </c>
      <c r="AG1263" s="42" t="s">
        <v>6672</v>
      </c>
    </row>
    <row r="1264" spans="7:33" ht="15.75" customHeight="1">
      <c r="G1264" s="36"/>
      <c r="H1264" s="36"/>
      <c r="I1264" s="36"/>
      <c r="J1264" s="39"/>
      <c r="K1264" s="39"/>
      <c r="AF1264" s="42">
        <v>2183472</v>
      </c>
      <c r="AG1264" s="42" t="s">
        <v>6672</v>
      </c>
    </row>
    <row r="1265" spans="7:33" ht="15.75" customHeight="1">
      <c r="G1265" s="36"/>
      <c r="H1265" s="36"/>
      <c r="I1265" s="36"/>
      <c r="J1265" s="39"/>
      <c r="K1265" s="39"/>
      <c r="AF1265" s="42">
        <v>2183473</v>
      </c>
      <c r="AG1265" s="42" t="s">
        <v>6672</v>
      </c>
    </row>
    <row r="1266" spans="7:33" ht="15.75" customHeight="1">
      <c r="G1266" s="36"/>
      <c r="H1266" s="36"/>
      <c r="I1266" s="36"/>
      <c r="J1266" s="39"/>
      <c r="K1266" s="39"/>
      <c r="AF1266" s="42">
        <v>2183474</v>
      </c>
      <c r="AG1266" s="42" t="s">
        <v>6672</v>
      </c>
    </row>
    <row r="1267" spans="7:33" ht="15.75" customHeight="1">
      <c r="G1267" s="36"/>
      <c r="H1267" s="36"/>
      <c r="I1267" s="36"/>
      <c r="J1267" s="39"/>
      <c r="K1267" s="39"/>
      <c r="AF1267" s="42">
        <v>2183475</v>
      </c>
      <c r="AG1267" s="42" t="s">
        <v>6672</v>
      </c>
    </row>
    <row r="1268" spans="7:33" ht="15.75" customHeight="1">
      <c r="G1268" s="36"/>
      <c r="H1268" s="36"/>
      <c r="I1268" s="36"/>
      <c r="J1268" s="39"/>
      <c r="K1268" s="39"/>
      <c r="AF1268" s="42">
        <v>2183476</v>
      </c>
      <c r="AG1268" s="42" t="s">
        <v>6672</v>
      </c>
    </row>
    <row r="1269" spans="7:33" ht="15.75" customHeight="1">
      <c r="G1269" s="36"/>
      <c r="H1269" s="36"/>
      <c r="I1269" s="36"/>
      <c r="J1269" s="39"/>
      <c r="K1269" s="39"/>
      <c r="AF1269" s="42">
        <v>2183477</v>
      </c>
      <c r="AG1269" s="42" t="s">
        <v>6672</v>
      </c>
    </row>
    <row r="1270" spans="7:33" ht="15.75" customHeight="1">
      <c r="G1270" s="36"/>
      <c r="H1270" s="36"/>
      <c r="I1270" s="36"/>
      <c r="J1270" s="39"/>
      <c r="K1270" s="39"/>
      <c r="AF1270" s="42">
        <v>2183478</v>
      </c>
      <c r="AG1270" s="42" t="s">
        <v>6672</v>
      </c>
    </row>
    <row r="1271" spans="7:33" ht="15.75" customHeight="1">
      <c r="G1271" s="36"/>
      <c r="H1271" s="36"/>
      <c r="I1271" s="36"/>
      <c r="J1271" s="39"/>
      <c r="K1271" s="39"/>
      <c r="AF1271" s="42">
        <v>2183479</v>
      </c>
      <c r="AG1271" s="42" t="s">
        <v>6672</v>
      </c>
    </row>
    <row r="1272" spans="7:33" ht="15.75" customHeight="1">
      <c r="G1272" s="36"/>
      <c r="H1272" s="36"/>
      <c r="I1272" s="36"/>
      <c r="J1272" s="39"/>
      <c r="K1272" s="39"/>
      <c r="AF1272" s="42">
        <v>2183480</v>
      </c>
      <c r="AG1272" s="42" t="s">
        <v>6672</v>
      </c>
    </row>
    <row r="1273" spans="7:33" ht="15.75" customHeight="1">
      <c r="G1273" s="36"/>
      <c r="H1273" s="36"/>
      <c r="I1273" s="36"/>
      <c r="J1273" s="39"/>
      <c r="K1273" s="39"/>
      <c r="AF1273" s="42">
        <v>2183481</v>
      </c>
      <c r="AG1273" s="42" t="s">
        <v>6672</v>
      </c>
    </row>
    <row r="1274" spans="7:33" ht="15.75" customHeight="1">
      <c r="G1274" s="36"/>
      <c r="H1274" s="36"/>
      <c r="I1274" s="36"/>
      <c r="J1274" s="39"/>
      <c r="K1274" s="39"/>
      <c r="AF1274" s="42">
        <v>2183482</v>
      </c>
      <c r="AG1274" s="42" t="s">
        <v>6672</v>
      </c>
    </row>
    <row r="1275" spans="7:33" ht="15.75" customHeight="1">
      <c r="G1275" s="36"/>
      <c r="H1275" s="36"/>
      <c r="I1275" s="36"/>
      <c r="J1275" s="39"/>
      <c r="K1275" s="39"/>
      <c r="AF1275" s="42">
        <v>2183483</v>
      </c>
      <c r="AG1275" s="42" t="s">
        <v>6672</v>
      </c>
    </row>
    <row r="1276" spans="7:33" ht="15.75" customHeight="1">
      <c r="G1276" s="36"/>
      <c r="H1276" s="36"/>
      <c r="I1276" s="36"/>
      <c r="J1276" s="39"/>
      <c r="K1276" s="39"/>
      <c r="AF1276" s="42">
        <v>2183484</v>
      </c>
      <c r="AG1276" s="42" t="s">
        <v>6672</v>
      </c>
    </row>
    <row r="1277" spans="7:33" ht="15.75" customHeight="1">
      <c r="G1277" s="36"/>
      <c r="H1277" s="36"/>
      <c r="I1277" s="36"/>
      <c r="J1277" s="39"/>
      <c r="K1277" s="39"/>
      <c r="AF1277" s="42">
        <v>2183485</v>
      </c>
      <c r="AG1277" s="42" t="s">
        <v>6672</v>
      </c>
    </row>
    <row r="1278" spans="7:33" ht="15.75" customHeight="1">
      <c r="G1278" s="36"/>
      <c r="H1278" s="36"/>
      <c r="I1278" s="36"/>
      <c r="J1278" s="39"/>
      <c r="K1278" s="39"/>
      <c r="AF1278" s="42">
        <v>2183486</v>
      </c>
      <c r="AG1278" s="42" t="s">
        <v>6672</v>
      </c>
    </row>
    <row r="1279" spans="7:33" ht="15.75" customHeight="1">
      <c r="G1279" s="36"/>
      <c r="H1279" s="36"/>
      <c r="I1279" s="36"/>
      <c r="J1279" s="39"/>
      <c r="K1279" s="39"/>
      <c r="AF1279" s="42">
        <v>2183487</v>
      </c>
      <c r="AG1279" s="42" t="s">
        <v>6672</v>
      </c>
    </row>
    <row r="1280" spans="7:33" ht="15.75" customHeight="1">
      <c r="G1280" s="36"/>
      <c r="H1280" s="36"/>
      <c r="I1280" s="36"/>
      <c r="J1280" s="39"/>
      <c r="K1280" s="39"/>
      <c r="AF1280" s="42">
        <v>2183488</v>
      </c>
      <c r="AG1280" s="42" t="s">
        <v>6672</v>
      </c>
    </row>
    <row r="1281" spans="7:33" ht="15.75" customHeight="1">
      <c r="G1281" s="36"/>
      <c r="H1281" s="36"/>
      <c r="I1281" s="36"/>
      <c r="J1281" s="39"/>
      <c r="K1281" s="39"/>
      <c r="AF1281" s="42">
        <v>2183489</v>
      </c>
      <c r="AG1281" s="42" t="s">
        <v>6672</v>
      </c>
    </row>
    <row r="1282" spans="7:33" ht="15.75" customHeight="1">
      <c r="G1282" s="36"/>
      <c r="H1282" s="36"/>
      <c r="I1282" s="36"/>
      <c r="J1282" s="39"/>
      <c r="K1282" s="39"/>
      <c r="AF1282" s="42">
        <v>2183490</v>
      </c>
      <c r="AG1282" s="42" t="s">
        <v>6672</v>
      </c>
    </row>
    <row r="1283" spans="7:33" ht="15.75" customHeight="1">
      <c r="G1283" s="36"/>
      <c r="H1283" s="36"/>
      <c r="I1283" s="36"/>
      <c r="J1283" s="39"/>
      <c r="K1283" s="39"/>
      <c r="AF1283" s="42">
        <v>2183491</v>
      </c>
      <c r="AG1283" s="42" t="s">
        <v>6672</v>
      </c>
    </row>
    <row r="1284" spans="7:33" ht="15.75" customHeight="1">
      <c r="G1284" s="36"/>
      <c r="H1284" s="36"/>
      <c r="I1284" s="36"/>
      <c r="J1284" s="39"/>
      <c r="K1284" s="39"/>
      <c r="AF1284" s="42">
        <v>2183492</v>
      </c>
      <c r="AG1284" s="42" t="s">
        <v>6672</v>
      </c>
    </row>
    <row r="1285" spans="7:33" ht="15.75" customHeight="1">
      <c r="G1285" s="36"/>
      <c r="H1285" s="36"/>
      <c r="I1285" s="36"/>
      <c r="J1285" s="39"/>
      <c r="K1285" s="39"/>
      <c r="AF1285" s="42">
        <v>2183493</v>
      </c>
      <c r="AG1285" s="42" t="s">
        <v>6672</v>
      </c>
    </row>
    <row r="1286" spans="7:33" ht="15.75" customHeight="1">
      <c r="G1286" s="36"/>
      <c r="H1286" s="36"/>
      <c r="I1286" s="36"/>
      <c r="J1286" s="39"/>
      <c r="K1286" s="39"/>
      <c r="AF1286" s="42">
        <v>2183494</v>
      </c>
      <c r="AG1286" s="42" t="s">
        <v>6672</v>
      </c>
    </row>
    <row r="1287" spans="7:33" ht="15.75" customHeight="1">
      <c r="G1287" s="36"/>
      <c r="H1287" s="36"/>
      <c r="I1287" s="36"/>
      <c r="J1287" s="39"/>
      <c r="K1287" s="39"/>
      <c r="AF1287" s="42">
        <v>2183495</v>
      </c>
      <c r="AG1287" s="42" t="s">
        <v>6672</v>
      </c>
    </row>
    <row r="1288" spans="7:33" ht="15.75" customHeight="1">
      <c r="G1288" s="36"/>
      <c r="H1288" s="36"/>
      <c r="I1288" s="36"/>
      <c r="J1288" s="39"/>
      <c r="K1288" s="39"/>
      <c r="AF1288" s="42">
        <v>2183496</v>
      </c>
      <c r="AG1288" s="42" t="s">
        <v>6672</v>
      </c>
    </row>
    <row r="1289" spans="7:33" ht="15.75" customHeight="1">
      <c r="G1289" s="36"/>
      <c r="H1289" s="36"/>
      <c r="I1289" s="36"/>
      <c r="J1289" s="39"/>
      <c r="K1289" s="39"/>
      <c r="AF1289" s="42">
        <v>2183497</v>
      </c>
      <c r="AG1289" s="42" t="s">
        <v>6672</v>
      </c>
    </row>
    <row r="1290" spans="7:33" ht="15.75" customHeight="1">
      <c r="G1290" s="36"/>
      <c r="H1290" s="36"/>
      <c r="I1290" s="36"/>
      <c r="J1290" s="39"/>
      <c r="K1290" s="39"/>
      <c r="AF1290" s="42">
        <v>2183498</v>
      </c>
      <c r="AG1290" s="42" t="s">
        <v>6672</v>
      </c>
    </row>
    <row r="1291" spans="7:33" ht="15.75" customHeight="1">
      <c r="G1291" s="36"/>
      <c r="H1291" s="36"/>
      <c r="I1291" s="36"/>
      <c r="J1291" s="39"/>
      <c r="K1291" s="39"/>
      <c r="AF1291" s="42">
        <v>2183499</v>
      </c>
      <c r="AG1291" s="42" t="s">
        <v>6672</v>
      </c>
    </row>
    <row r="1292" spans="7:33" ht="15.75" customHeight="1">
      <c r="G1292" s="36"/>
      <c r="H1292" s="36"/>
      <c r="I1292" s="36"/>
      <c r="J1292" s="39"/>
      <c r="K1292" s="39"/>
      <c r="AF1292" s="42">
        <v>2183500</v>
      </c>
      <c r="AG1292" s="42" t="s">
        <v>6672</v>
      </c>
    </row>
    <row r="1293" spans="7:33" ht="15.75" customHeight="1">
      <c r="G1293" s="36"/>
      <c r="H1293" s="36"/>
      <c r="I1293" s="36"/>
      <c r="J1293" s="39"/>
      <c r="K1293" s="39"/>
      <c r="AF1293" s="42">
        <v>2183501</v>
      </c>
      <c r="AG1293" s="42" t="s">
        <v>6672</v>
      </c>
    </row>
    <row r="1294" spans="7:33" ht="15.75" customHeight="1">
      <c r="G1294" s="36"/>
      <c r="H1294" s="36"/>
      <c r="I1294" s="36"/>
      <c r="J1294" s="39"/>
      <c r="K1294" s="39"/>
      <c r="AF1294" s="42">
        <v>2183502</v>
      </c>
      <c r="AG1294" s="42" t="s">
        <v>6672</v>
      </c>
    </row>
    <row r="1295" spans="7:33" ht="15.75" customHeight="1">
      <c r="G1295" s="36"/>
      <c r="H1295" s="36"/>
      <c r="I1295" s="36"/>
      <c r="J1295" s="39"/>
      <c r="K1295" s="39"/>
      <c r="AF1295" s="42">
        <v>2183503</v>
      </c>
      <c r="AG1295" s="42" t="s">
        <v>6672</v>
      </c>
    </row>
    <row r="1296" spans="7:33" ht="15.75" customHeight="1">
      <c r="G1296" s="36"/>
      <c r="H1296" s="36"/>
      <c r="I1296" s="36"/>
      <c r="J1296" s="39"/>
      <c r="K1296" s="39"/>
      <c r="AF1296" s="42">
        <v>2183504</v>
      </c>
      <c r="AG1296" s="42" t="s">
        <v>6672</v>
      </c>
    </row>
    <row r="1297" spans="7:33" ht="15.75" customHeight="1">
      <c r="G1297" s="36"/>
      <c r="H1297" s="36"/>
      <c r="I1297" s="36"/>
      <c r="J1297" s="39"/>
      <c r="K1297" s="39"/>
      <c r="AF1297" s="42">
        <v>2183505</v>
      </c>
      <c r="AG1297" s="42" t="s">
        <v>6672</v>
      </c>
    </row>
    <row r="1298" spans="7:33" ht="15.75" customHeight="1">
      <c r="G1298" s="36"/>
      <c r="H1298" s="36"/>
      <c r="I1298" s="36"/>
      <c r="J1298" s="39"/>
      <c r="K1298" s="39"/>
      <c r="AF1298" s="42">
        <v>2183506</v>
      </c>
      <c r="AG1298" s="42" t="s">
        <v>6672</v>
      </c>
    </row>
    <row r="1299" spans="7:33" ht="15.75" customHeight="1">
      <c r="G1299" s="36"/>
      <c r="H1299" s="36"/>
      <c r="I1299" s="36"/>
      <c r="J1299" s="39"/>
      <c r="K1299" s="39"/>
      <c r="AF1299" s="42">
        <v>2183507</v>
      </c>
      <c r="AG1299" s="42" t="s">
        <v>6672</v>
      </c>
    </row>
    <row r="1300" spans="7:33" ht="15.75" customHeight="1">
      <c r="G1300" s="36"/>
      <c r="H1300" s="36"/>
      <c r="I1300" s="36"/>
      <c r="J1300" s="39"/>
      <c r="K1300" s="39"/>
      <c r="AF1300" s="42">
        <v>2183508</v>
      </c>
      <c r="AG1300" s="42" t="s">
        <v>6672</v>
      </c>
    </row>
    <row r="1301" spans="7:33" ht="15.75" customHeight="1">
      <c r="G1301" s="36"/>
      <c r="H1301" s="36"/>
      <c r="I1301" s="36"/>
      <c r="J1301" s="39"/>
      <c r="K1301" s="39"/>
      <c r="AF1301" s="42">
        <v>2183509</v>
      </c>
      <c r="AG1301" s="42" t="s">
        <v>6672</v>
      </c>
    </row>
    <row r="1302" spans="7:33" ht="15.75" customHeight="1">
      <c r="G1302" s="36"/>
      <c r="H1302" s="36"/>
      <c r="I1302" s="36"/>
      <c r="J1302" s="39"/>
      <c r="K1302" s="39"/>
      <c r="AF1302" s="42">
        <v>2183510</v>
      </c>
      <c r="AG1302" s="42" t="s">
        <v>6672</v>
      </c>
    </row>
    <row r="1303" spans="7:33" ht="15.75" customHeight="1">
      <c r="G1303" s="36"/>
      <c r="H1303" s="36"/>
      <c r="I1303" s="36"/>
      <c r="J1303" s="39"/>
      <c r="K1303" s="39"/>
      <c r="AF1303" s="42">
        <v>2183511</v>
      </c>
      <c r="AG1303" s="42" t="s">
        <v>6672</v>
      </c>
    </row>
    <row r="1304" spans="7:33" ht="15.75" customHeight="1">
      <c r="G1304" s="36"/>
      <c r="H1304" s="36"/>
      <c r="I1304" s="36"/>
      <c r="J1304" s="39"/>
      <c r="K1304" s="39"/>
      <c r="AF1304" s="42">
        <v>2183512</v>
      </c>
      <c r="AG1304" s="42" t="s">
        <v>6672</v>
      </c>
    </row>
    <row r="1305" spans="7:33" ht="15.75" customHeight="1">
      <c r="G1305" s="36"/>
      <c r="H1305" s="36"/>
      <c r="I1305" s="36"/>
      <c r="J1305" s="39"/>
      <c r="K1305" s="39"/>
      <c r="AF1305" s="42">
        <v>2183513</v>
      </c>
      <c r="AG1305" s="42" t="s">
        <v>6672</v>
      </c>
    </row>
    <row r="1306" spans="7:33" ht="15.75" customHeight="1">
      <c r="G1306" s="36"/>
      <c r="H1306" s="36"/>
      <c r="I1306" s="36"/>
      <c r="J1306" s="39"/>
      <c r="K1306" s="39"/>
      <c r="AF1306" s="42">
        <v>2183514</v>
      </c>
      <c r="AG1306" s="42" t="s">
        <v>6672</v>
      </c>
    </row>
    <row r="1307" spans="7:33" ht="15.75" customHeight="1">
      <c r="G1307" s="36"/>
      <c r="H1307" s="36"/>
      <c r="I1307" s="36"/>
      <c r="J1307" s="39"/>
      <c r="K1307" s="39"/>
      <c r="AF1307" s="42">
        <v>2183515</v>
      </c>
      <c r="AG1307" s="42" t="s">
        <v>6672</v>
      </c>
    </row>
    <row r="1308" spans="7:33" ht="15.75" customHeight="1">
      <c r="G1308" s="36"/>
      <c r="H1308" s="36"/>
      <c r="I1308" s="36"/>
      <c r="J1308" s="39"/>
      <c r="K1308" s="39"/>
      <c r="AF1308" s="42">
        <v>2183516</v>
      </c>
      <c r="AG1308" s="42" t="s">
        <v>6672</v>
      </c>
    </row>
    <row r="1309" spans="7:33" ht="15.75" customHeight="1">
      <c r="G1309" s="36"/>
      <c r="H1309" s="36"/>
      <c r="I1309" s="36"/>
      <c r="J1309" s="39"/>
      <c r="K1309" s="39"/>
      <c r="AF1309" s="42">
        <v>2183517</v>
      </c>
      <c r="AG1309" s="42" t="s">
        <v>6672</v>
      </c>
    </row>
    <row r="1310" spans="7:33" ht="15.75" customHeight="1">
      <c r="G1310" s="36"/>
      <c r="H1310" s="36"/>
      <c r="I1310" s="36"/>
      <c r="J1310" s="39"/>
      <c r="K1310" s="39"/>
      <c r="AF1310" s="42">
        <v>2183518</v>
      </c>
      <c r="AG1310" s="42" t="s">
        <v>6672</v>
      </c>
    </row>
    <row r="1311" spans="7:33" ht="15.75" customHeight="1">
      <c r="G1311" s="36"/>
      <c r="H1311" s="36"/>
      <c r="I1311" s="36"/>
      <c r="J1311" s="39"/>
      <c r="K1311" s="39"/>
      <c r="AF1311" s="42">
        <v>2183519</v>
      </c>
      <c r="AG1311" s="42" t="s">
        <v>6672</v>
      </c>
    </row>
    <row r="1312" spans="7:33" ht="15.75" customHeight="1">
      <c r="G1312" s="36"/>
      <c r="H1312" s="36"/>
      <c r="I1312" s="36"/>
      <c r="J1312" s="39"/>
      <c r="K1312" s="39"/>
      <c r="AF1312" s="42">
        <v>2183520</v>
      </c>
      <c r="AG1312" s="42" t="s">
        <v>6672</v>
      </c>
    </row>
    <row r="1313" spans="7:33" ht="15.75" customHeight="1">
      <c r="G1313" s="36"/>
      <c r="H1313" s="36"/>
      <c r="I1313" s="36"/>
      <c r="J1313" s="39"/>
      <c r="K1313" s="39"/>
      <c r="AF1313" s="42">
        <v>2183521</v>
      </c>
      <c r="AG1313" s="42" t="s">
        <v>6672</v>
      </c>
    </row>
    <row r="1314" spans="7:33" ht="15.75" customHeight="1">
      <c r="G1314" s="36"/>
      <c r="H1314" s="36"/>
      <c r="I1314" s="36"/>
      <c r="J1314" s="39"/>
      <c r="K1314" s="39"/>
      <c r="AF1314" s="42">
        <v>2183522</v>
      </c>
      <c r="AG1314" s="42" t="s">
        <v>6672</v>
      </c>
    </row>
    <row r="1315" spans="7:33" ht="15.75" customHeight="1">
      <c r="G1315" s="36"/>
      <c r="H1315" s="36"/>
      <c r="I1315" s="36"/>
      <c r="J1315" s="39"/>
      <c r="K1315" s="39"/>
      <c r="AF1315" s="42">
        <v>2183523</v>
      </c>
      <c r="AG1315" s="42" t="s">
        <v>6672</v>
      </c>
    </row>
    <row r="1316" spans="7:33" ht="15.75" customHeight="1">
      <c r="G1316" s="36"/>
      <c r="H1316" s="36"/>
      <c r="I1316" s="36"/>
      <c r="J1316" s="39"/>
      <c r="K1316" s="39"/>
      <c r="AF1316" s="42">
        <v>2183524</v>
      </c>
      <c r="AG1316" s="42" t="s">
        <v>6672</v>
      </c>
    </row>
    <row r="1317" spans="7:33" ht="15.75" customHeight="1">
      <c r="G1317" s="36"/>
      <c r="H1317" s="36"/>
      <c r="I1317" s="36"/>
      <c r="J1317" s="39"/>
      <c r="K1317" s="39"/>
      <c r="AF1317" s="42">
        <v>2183525</v>
      </c>
      <c r="AG1317" s="42" t="s">
        <v>6672</v>
      </c>
    </row>
    <row r="1318" spans="7:33" ht="15.75" customHeight="1">
      <c r="G1318" s="36"/>
      <c r="H1318" s="36"/>
      <c r="I1318" s="36"/>
      <c r="J1318" s="39"/>
      <c r="K1318" s="39"/>
      <c r="AF1318" s="42">
        <v>2183526</v>
      </c>
      <c r="AG1318" s="42" t="s">
        <v>6672</v>
      </c>
    </row>
    <row r="1319" spans="7:33" ht="15.75" customHeight="1">
      <c r="G1319" s="36"/>
      <c r="H1319" s="36"/>
      <c r="I1319" s="36"/>
      <c r="J1319" s="39"/>
      <c r="K1319" s="39"/>
      <c r="AF1319" s="42">
        <v>2183527</v>
      </c>
      <c r="AG1319" s="42" t="s">
        <v>6672</v>
      </c>
    </row>
    <row r="1320" spans="7:33" ht="15.75" customHeight="1">
      <c r="G1320" s="36"/>
      <c r="H1320" s="36"/>
      <c r="I1320" s="36"/>
      <c r="J1320" s="39"/>
      <c r="K1320" s="39"/>
      <c r="AF1320" s="42">
        <v>2183528</v>
      </c>
      <c r="AG1320" s="42" t="s">
        <v>6672</v>
      </c>
    </row>
    <row r="1321" spans="7:33" ht="15.75" customHeight="1">
      <c r="G1321" s="36"/>
      <c r="H1321" s="36"/>
      <c r="I1321" s="36"/>
      <c r="J1321" s="39"/>
      <c r="K1321" s="39"/>
      <c r="AF1321" s="42">
        <v>2183529</v>
      </c>
      <c r="AG1321" s="42" t="s">
        <v>6672</v>
      </c>
    </row>
    <row r="1322" spans="7:33" ht="15.75" customHeight="1">
      <c r="G1322" s="36"/>
      <c r="H1322" s="36"/>
      <c r="I1322" s="36"/>
      <c r="J1322" s="39"/>
      <c r="K1322" s="39"/>
      <c r="AF1322" s="42">
        <v>2183530</v>
      </c>
      <c r="AG1322" s="42" t="s">
        <v>6672</v>
      </c>
    </row>
    <row r="1323" spans="7:33" ht="15.75" customHeight="1">
      <c r="G1323" s="36"/>
      <c r="H1323" s="36"/>
      <c r="I1323" s="36"/>
      <c r="J1323" s="39"/>
      <c r="K1323" s="39"/>
      <c r="AF1323" s="42">
        <v>2183531</v>
      </c>
      <c r="AG1323" s="42" t="s">
        <v>6672</v>
      </c>
    </row>
    <row r="1324" spans="7:33" ht="15.75" customHeight="1">
      <c r="G1324" s="36"/>
      <c r="H1324" s="36"/>
      <c r="I1324" s="36"/>
      <c r="J1324" s="39"/>
      <c r="K1324" s="39"/>
      <c r="AF1324" s="42">
        <v>2183532</v>
      </c>
      <c r="AG1324" s="42" t="s">
        <v>6672</v>
      </c>
    </row>
    <row r="1325" spans="7:33" ht="15.75" customHeight="1">
      <c r="G1325" s="36"/>
      <c r="H1325" s="36"/>
      <c r="I1325" s="36"/>
      <c r="J1325" s="39"/>
      <c r="K1325" s="39"/>
      <c r="AF1325" s="42">
        <v>2183533</v>
      </c>
      <c r="AG1325" s="42" t="s">
        <v>6672</v>
      </c>
    </row>
    <row r="1326" spans="7:33" ht="15.75" customHeight="1">
      <c r="G1326" s="36"/>
      <c r="H1326" s="36"/>
      <c r="I1326" s="36"/>
      <c r="J1326" s="39"/>
      <c r="K1326" s="39"/>
      <c r="AF1326" s="42">
        <v>2183534</v>
      </c>
      <c r="AG1326" s="42" t="s">
        <v>6672</v>
      </c>
    </row>
    <row r="1327" spans="7:33" ht="15.75" customHeight="1">
      <c r="G1327" s="36"/>
      <c r="H1327" s="36"/>
      <c r="I1327" s="36"/>
      <c r="J1327" s="39"/>
      <c r="K1327" s="39"/>
      <c r="AF1327" s="42">
        <v>2183535</v>
      </c>
      <c r="AG1327" s="42" t="s">
        <v>6672</v>
      </c>
    </row>
    <row r="1328" spans="7:33" ht="15.75" customHeight="1">
      <c r="G1328" s="36"/>
      <c r="H1328" s="36"/>
      <c r="I1328" s="36"/>
      <c r="J1328" s="39"/>
      <c r="K1328" s="39"/>
      <c r="AF1328" s="42">
        <v>2183536</v>
      </c>
      <c r="AG1328" s="42" t="s">
        <v>6672</v>
      </c>
    </row>
    <row r="1329" spans="7:33" ht="15.75" customHeight="1">
      <c r="G1329" s="36"/>
      <c r="H1329" s="36"/>
      <c r="I1329" s="36"/>
      <c r="J1329" s="39"/>
      <c r="K1329" s="39"/>
      <c r="AF1329" s="42">
        <v>2183537</v>
      </c>
      <c r="AG1329" s="42" t="s">
        <v>6672</v>
      </c>
    </row>
    <row r="1330" spans="7:33" ht="15.75" customHeight="1">
      <c r="G1330" s="36"/>
      <c r="H1330" s="36"/>
      <c r="I1330" s="36"/>
      <c r="J1330" s="39"/>
      <c r="K1330" s="39"/>
      <c r="AF1330" s="42">
        <v>2183538</v>
      </c>
      <c r="AG1330" s="42" t="s">
        <v>6672</v>
      </c>
    </row>
    <row r="1331" spans="7:33" ht="15.75" customHeight="1">
      <c r="G1331" s="36"/>
      <c r="H1331" s="36"/>
      <c r="I1331" s="36"/>
      <c r="J1331" s="39"/>
      <c r="K1331" s="39"/>
      <c r="AF1331" s="42">
        <v>2183539</v>
      </c>
      <c r="AG1331" s="42" t="s">
        <v>6672</v>
      </c>
    </row>
    <row r="1332" spans="7:33" ht="15.75" customHeight="1">
      <c r="G1332" s="36"/>
      <c r="H1332" s="36"/>
      <c r="I1332" s="36"/>
      <c r="J1332" s="39"/>
      <c r="K1332" s="39"/>
      <c r="AF1332" s="42">
        <v>2183540</v>
      </c>
      <c r="AG1332" s="42" t="s">
        <v>6672</v>
      </c>
    </row>
    <row r="1333" spans="7:33" ht="15.75" customHeight="1">
      <c r="G1333" s="36"/>
      <c r="H1333" s="36"/>
      <c r="I1333" s="36"/>
      <c r="J1333" s="39"/>
      <c r="K1333" s="39"/>
      <c r="AF1333" s="42">
        <v>2183541</v>
      </c>
      <c r="AG1333" s="42" t="s">
        <v>6672</v>
      </c>
    </row>
    <row r="1334" spans="7:33" ht="15.75" customHeight="1">
      <c r="G1334" s="36"/>
      <c r="H1334" s="36"/>
      <c r="I1334" s="36"/>
      <c r="J1334" s="39"/>
      <c r="K1334" s="39"/>
      <c r="AF1334" s="42">
        <v>2183542</v>
      </c>
      <c r="AG1334" s="42" t="s">
        <v>6672</v>
      </c>
    </row>
    <row r="1335" spans="7:33" ht="15.75" customHeight="1">
      <c r="G1335" s="36"/>
      <c r="H1335" s="36"/>
      <c r="I1335" s="36"/>
      <c r="J1335" s="39"/>
      <c r="K1335" s="39"/>
      <c r="AF1335" s="42">
        <v>2183543</v>
      </c>
      <c r="AG1335" s="42" t="s">
        <v>6672</v>
      </c>
    </row>
    <row r="1336" spans="7:33" ht="15.75" customHeight="1">
      <c r="G1336" s="36"/>
      <c r="H1336" s="36"/>
      <c r="I1336" s="36"/>
      <c r="J1336" s="39"/>
      <c r="K1336" s="39"/>
      <c r="AF1336" s="42">
        <v>2183544</v>
      </c>
      <c r="AG1336" s="42" t="s">
        <v>6672</v>
      </c>
    </row>
    <row r="1337" spans="7:33" ht="15.75" customHeight="1">
      <c r="G1337" s="36"/>
      <c r="H1337" s="36"/>
      <c r="I1337" s="36"/>
      <c r="J1337" s="39"/>
      <c r="K1337" s="39"/>
      <c r="AF1337" s="42">
        <v>2183545</v>
      </c>
      <c r="AG1337" s="42" t="s">
        <v>6672</v>
      </c>
    </row>
    <row r="1338" spans="7:33" ht="15.75" customHeight="1">
      <c r="G1338" s="36"/>
      <c r="H1338" s="36"/>
      <c r="I1338" s="36"/>
      <c r="J1338" s="39"/>
      <c r="K1338" s="39"/>
      <c r="AF1338" s="42">
        <v>2183546</v>
      </c>
      <c r="AG1338" s="42" t="s">
        <v>6672</v>
      </c>
    </row>
    <row r="1339" spans="7:33" ht="15.75" customHeight="1">
      <c r="G1339" s="36"/>
      <c r="H1339" s="36"/>
      <c r="I1339" s="36"/>
      <c r="J1339" s="39"/>
      <c r="K1339" s="39"/>
      <c r="AF1339" s="42">
        <v>2183547</v>
      </c>
      <c r="AG1339" s="42" t="s">
        <v>6672</v>
      </c>
    </row>
    <row r="1340" spans="7:33" ht="15.75" customHeight="1">
      <c r="G1340" s="36"/>
      <c r="H1340" s="36"/>
      <c r="I1340" s="36"/>
      <c r="J1340" s="39"/>
      <c r="K1340" s="39"/>
      <c r="AF1340" s="42">
        <v>2183548</v>
      </c>
      <c r="AG1340" s="42" t="s">
        <v>6672</v>
      </c>
    </row>
    <row r="1341" spans="7:33" ht="15.75" customHeight="1">
      <c r="G1341" s="36"/>
      <c r="H1341" s="36"/>
      <c r="I1341" s="36"/>
      <c r="J1341" s="39"/>
      <c r="K1341" s="39"/>
      <c r="AF1341" s="42">
        <v>2183549</v>
      </c>
      <c r="AG1341" s="42" t="s">
        <v>6672</v>
      </c>
    </row>
    <row r="1342" spans="7:33" ht="15.75" customHeight="1">
      <c r="G1342" s="36"/>
      <c r="H1342" s="36"/>
      <c r="I1342" s="36"/>
      <c r="J1342" s="39"/>
      <c r="K1342" s="39"/>
      <c r="AF1342" s="42">
        <v>2183550</v>
      </c>
      <c r="AG1342" s="42" t="s">
        <v>6672</v>
      </c>
    </row>
    <row r="1343" spans="7:33" ht="15.75" customHeight="1">
      <c r="G1343" s="36"/>
      <c r="H1343" s="36"/>
      <c r="I1343" s="36"/>
      <c r="J1343" s="39"/>
      <c r="K1343" s="39"/>
      <c r="AF1343" s="42">
        <v>2183551</v>
      </c>
      <c r="AG1343" s="42" t="s">
        <v>6672</v>
      </c>
    </row>
    <row r="1344" spans="7:33" ht="15.75" customHeight="1">
      <c r="G1344" s="36"/>
      <c r="H1344" s="36"/>
      <c r="I1344" s="36"/>
      <c r="J1344" s="39"/>
      <c r="K1344" s="39"/>
      <c r="AF1344" s="42">
        <v>2183552</v>
      </c>
      <c r="AG1344" s="42" t="s">
        <v>6672</v>
      </c>
    </row>
    <row r="1345" spans="7:33" ht="15.75" customHeight="1">
      <c r="G1345" s="36"/>
      <c r="H1345" s="36"/>
      <c r="I1345" s="36"/>
      <c r="J1345" s="39"/>
      <c r="K1345" s="39"/>
      <c r="AF1345" s="42">
        <v>2183553</v>
      </c>
      <c r="AG1345" s="42" t="s">
        <v>6672</v>
      </c>
    </row>
    <row r="1346" spans="7:33" ht="15.75" customHeight="1">
      <c r="G1346" s="36"/>
      <c r="H1346" s="36"/>
      <c r="I1346" s="36"/>
      <c r="J1346" s="39"/>
      <c r="K1346" s="39"/>
      <c r="AF1346" s="42">
        <v>2183554</v>
      </c>
      <c r="AG1346" s="42" t="s">
        <v>6672</v>
      </c>
    </row>
    <row r="1347" spans="7:33" ht="15.75" customHeight="1">
      <c r="G1347" s="36"/>
      <c r="H1347" s="36"/>
      <c r="I1347" s="36"/>
      <c r="J1347" s="39"/>
      <c r="K1347" s="39"/>
      <c r="AF1347" s="42">
        <v>2183555</v>
      </c>
      <c r="AG1347" s="42" t="s">
        <v>6672</v>
      </c>
    </row>
    <row r="1348" spans="7:33" ht="15.75" customHeight="1">
      <c r="G1348" s="36"/>
      <c r="H1348" s="36"/>
      <c r="I1348" s="36"/>
      <c r="J1348" s="39"/>
      <c r="K1348" s="39"/>
      <c r="AF1348" s="42">
        <v>2183556</v>
      </c>
      <c r="AG1348" s="42" t="s">
        <v>6672</v>
      </c>
    </row>
    <row r="1349" spans="7:33" ht="15.75" customHeight="1">
      <c r="G1349" s="36"/>
      <c r="H1349" s="36"/>
      <c r="I1349" s="36"/>
      <c r="J1349" s="39"/>
      <c r="K1349" s="39"/>
      <c r="AF1349" s="42">
        <v>2183557</v>
      </c>
      <c r="AG1349" s="42" t="s">
        <v>6672</v>
      </c>
    </row>
    <row r="1350" spans="7:33" ht="15.75" customHeight="1">
      <c r="G1350" s="36"/>
      <c r="H1350" s="36"/>
      <c r="I1350" s="36"/>
      <c r="J1350" s="39"/>
      <c r="K1350" s="39"/>
      <c r="AF1350" s="42">
        <v>2183558</v>
      </c>
      <c r="AG1350" s="42" t="s">
        <v>6672</v>
      </c>
    </row>
    <row r="1351" spans="7:33" ht="15.75" customHeight="1">
      <c r="G1351" s="36"/>
      <c r="H1351" s="36"/>
      <c r="I1351" s="36"/>
      <c r="J1351" s="39"/>
      <c r="K1351" s="39"/>
      <c r="AF1351" s="42">
        <v>2183559</v>
      </c>
      <c r="AG1351" s="42" t="s">
        <v>6672</v>
      </c>
    </row>
    <row r="1352" spans="7:33" ht="15.75" customHeight="1">
      <c r="G1352" s="36"/>
      <c r="H1352" s="36"/>
      <c r="I1352" s="36"/>
      <c r="J1352" s="39"/>
      <c r="K1352" s="39"/>
      <c r="AF1352" s="42">
        <v>2183560</v>
      </c>
      <c r="AG1352" s="42" t="s">
        <v>6672</v>
      </c>
    </row>
    <row r="1353" spans="7:33" ht="15.75" customHeight="1">
      <c r="G1353" s="36"/>
      <c r="H1353" s="36"/>
      <c r="I1353" s="36"/>
      <c r="J1353" s="39"/>
      <c r="K1353" s="39"/>
      <c r="AF1353" s="42">
        <v>2183561</v>
      </c>
      <c r="AG1353" s="42" t="s">
        <v>6672</v>
      </c>
    </row>
    <row r="1354" spans="7:33" ht="15.75" customHeight="1">
      <c r="G1354" s="36"/>
      <c r="H1354" s="36"/>
      <c r="I1354" s="36"/>
      <c r="J1354" s="39"/>
      <c r="K1354" s="39"/>
      <c r="AF1354" s="42">
        <v>2183562</v>
      </c>
      <c r="AG1354" s="42" t="s">
        <v>6672</v>
      </c>
    </row>
    <row r="1355" spans="7:33" ht="15.75" customHeight="1">
      <c r="G1355" s="36"/>
      <c r="H1355" s="36"/>
      <c r="I1355" s="36"/>
      <c r="J1355" s="39"/>
      <c r="K1355" s="39"/>
      <c r="AF1355" s="42">
        <v>2183563</v>
      </c>
      <c r="AG1355" s="42" t="s">
        <v>6672</v>
      </c>
    </row>
    <row r="1356" spans="7:33" ht="15.75" customHeight="1">
      <c r="G1356" s="36"/>
      <c r="H1356" s="36"/>
      <c r="I1356" s="36"/>
      <c r="J1356" s="39"/>
      <c r="K1356" s="39"/>
      <c r="AF1356" s="42">
        <v>2183564</v>
      </c>
      <c r="AG1356" s="42" t="s">
        <v>6672</v>
      </c>
    </row>
    <row r="1357" spans="7:33" ht="15.75" customHeight="1">
      <c r="G1357" s="36"/>
      <c r="H1357" s="36"/>
      <c r="I1357" s="36"/>
      <c r="J1357" s="39"/>
      <c r="K1357" s="39"/>
      <c r="AF1357" s="42">
        <v>2183565</v>
      </c>
      <c r="AG1357" s="42" t="s">
        <v>6672</v>
      </c>
    </row>
    <row r="1358" spans="7:33" ht="15.75" customHeight="1">
      <c r="G1358" s="36"/>
      <c r="H1358" s="36"/>
      <c r="I1358" s="36"/>
      <c r="J1358" s="39"/>
      <c r="K1358" s="39"/>
      <c r="AF1358" s="42">
        <v>2183566</v>
      </c>
      <c r="AG1358" s="42" t="s">
        <v>6672</v>
      </c>
    </row>
    <row r="1359" spans="7:33" ht="15.75" customHeight="1">
      <c r="G1359" s="36"/>
      <c r="H1359" s="36"/>
      <c r="I1359" s="36"/>
      <c r="J1359" s="39"/>
      <c r="K1359" s="39"/>
      <c r="AF1359" s="42">
        <v>2183567</v>
      </c>
      <c r="AG1359" s="42" t="s">
        <v>6672</v>
      </c>
    </row>
    <row r="1360" spans="7:33" ht="15.75" customHeight="1">
      <c r="G1360" s="36"/>
      <c r="H1360" s="36"/>
      <c r="I1360" s="36"/>
      <c r="J1360" s="39"/>
      <c r="K1360" s="39"/>
      <c r="AF1360" s="42">
        <v>2183568</v>
      </c>
      <c r="AG1360" s="42" t="s">
        <v>6672</v>
      </c>
    </row>
    <row r="1361" spans="7:33" ht="15.75" customHeight="1">
      <c r="G1361" s="36"/>
      <c r="H1361" s="36"/>
      <c r="I1361" s="36"/>
      <c r="J1361" s="39"/>
      <c r="K1361" s="39"/>
      <c r="AF1361" s="42">
        <v>2183569</v>
      </c>
      <c r="AG1361" s="42" t="s">
        <v>6672</v>
      </c>
    </row>
    <row r="1362" spans="7:33" ht="15.75" customHeight="1">
      <c r="G1362" s="36"/>
      <c r="H1362" s="36"/>
      <c r="I1362" s="36"/>
      <c r="J1362" s="39"/>
      <c r="K1362" s="39"/>
      <c r="AF1362" s="42">
        <v>2183570</v>
      </c>
      <c r="AG1362" s="42" t="s">
        <v>6672</v>
      </c>
    </row>
    <row r="1363" spans="7:33" ht="15.75" customHeight="1">
      <c r="G1363" s="36"/>
      <c r="H1363" s="36"/>
      <c r="I1363" s="36"/>
      <c r="J1363" s="39"/>
      <c r="K1363" s="39"/>
      <c r="AF1363" s="42">
        <v>2183571</v>
      </c>
      <c r="AG1363" s="42" t="s">
        <v>6672</v>
      </c>
    </row>
    <row r="1364" spans="7:33" ht="15.75" customHeight="1">
      <c r="G1364" s="36"/>
      <c r="H1364" s="36"/>
      <c r="I1364" s="36"/>
      <c r="J1364" s="39"/>
      <c r="K1364" s="39"/>
      <c r="AF1364" s="42">
        <v>2183572</v>
      </c>
      <c r="AG1364" s="42" t="s">
        <v>6672</v>
      </c>
    </row>
    <row r="1365" spans="7:33" ht="15.75" customHeight="1">
      <c r="G1365" s="36"/>
      <c r="H1365" s="36"/>
      <c r="I1365" s="36"/>
      <c r="J1365" s="39"/>
      <c r="K1365" s="39"/>
      <c r="AF1365" s="42">
        <v>2183573</v>
      </c>
      <c r="AG1365" s="42" t="s">
        <v>6672</v>
      </c>
    </row>
    <row r="1366" spans="7:33" ht="15.75" customHeight="1">
      <c r="G1366" s="36"/>
      <c r="H1366" s="36"/>
      <c r="I1366" s="36"/>
      <c r="J1366" s="39"/>
      <c r="K1366" s="39"/>
      <c r="AF1366" s="42">
        <v>2183574</v>
      </c>
      <c r="AG1366" s="42" t="s">
        <v>6672</v>
      </c>
    </row>
    <row r="1367" spans="7:33" ht="15.75" customHeight="1">
      <c r="G1367" s="36"/>
      <c r="H1367" s="36"/>
      <c r="I1367" s="36"/>
      <c r="J1367" s="39"/>
      <c r="K1367" s="39"/>
      <c r="AF1367" s="42">
        <v>2183575</v>
      </c>
      <c r="AG1367" s="42" t="s">
        <v>6672</v>
      </c>
    </row>
    <row r="1368" spans="7:33" ht="15.75" customHeight="1">
      <c r="G1368" s="36"/>
      <c r="H1368" s="36"/>
      <c r="I1368" s="36"/>
      <c r="J1368" s="39"/>
      <c r="K1368" s="39"/>
      <c r="AF1368" s="42">
        <v>2183576</v>
      </c>
      <c r="AG1368" s="42" t="s">
        <v>6672</v>
      </c>
    </row>
    <row r="1369" spans="7:33" ht="15.75" customHeight="1">
      <c r="G1369" s="36"/>
      <c r="H1369" s="36"/>
      <c r="I1369" s="36"/>
      <c r="J1369" s="39"/>
      <c r="K1369" s="39"/>
      <c r="AF1369" s="42">
        <v>2183577</v>
      </c>
      <c r="AG1369" s="42" t="s">
        <v>6672</v>
      </c>
    </row>
    <row r="1370" spans="7:33" ht="15.75" customHeight="1">
      <c r="G1370" s="36"/>
      <c r="H1370" s="36"/>
      <c r="I1370" s="36"/>
      <c r="J1370" s="39"/>
      <c r="K1370" s="39"/>
      <c r="AF1370" s="42">
        <v>2183578</v>
      </c>
      <c r="AG1370" s="42" t="s">
        <v>6672</v>
      </c>
    </row>
    <row r="1371" spans="7:33" ht="15.75" customHeight="1">
      <c r="G1371" s="36"/>
      <c r="H1371" s="36"/>
      <c r="I1371" s="36"/>
      <c r="J1371" s="39"/>
      <c r="K1371" s="39"/>
      <c r="AF1371" s="42">
        <v>2183579</v>
      </c>
      <c r="AG1371" s="42" t="s">
        <v>6672</v>
      </c>
    </row>
    <row r="1372" spans="7:33" ht="15.75" customHeight="1">
      <c r="G1372" s="36"/>
      <c r="H1372" s="36"/>
      <c r="I1372" s="36"/>
      <c r="J1372" s="39"/>
      <c r="K1372" s="39"/>
      <c r="AF1372" s="42">
        <v>2183580</v>
      </c>
      <c r="AG1372" s="42" t="s">
        <v>6672</v>
      </c>
    </row>
    <row r="1373" spans="7:33" ht="15.75" customHeight="1">
      <c r="G1373" s="36"/>
      <c r="H1373" s="36"/>
      <c r="I1373" s="36"/>
      <c r="J1373" s="39"/>
      <c r="K1373" s="39"/>
      <c r="AF1373" s="42">
        <v>2183581</v>
      </c>
      <c r="AG1373" s="42" t="s">
        <v>6672</v>
      </c>
    </row>
    <row r="1374" spans="7:33" ht="15.75" customHeight="1">
      <c r="G1374" s="36"/>
      <c r="H1374" s="36"/>
      <c r="I1374" s="36"/>
      <c r="J1374" s="39"/>
      <c r="K1374" s="39"/>
      <c r="AF1374" s="42">
        <v>2183582</v>
      </c>
      <c r="AG1374" s="42" t="s">
        <v>6672</v>
      </c>
    </row>
    <row r="1375" spans="7:33" ht="15.75" customHeight="1">
      <c r="G1375" s="36"/>
      <c r="H1375" s="36"/>
      <c r="I1375" s="36"/>
      <c r="J1375" s="39"/>
      <c r="K1375" s="39"/>
      <c r="AF1375" s="42">
        <v>2183583</v>
      </c>
      <c r="AG1375" s="42" t="s">
        <v>6672</v>
      </c>
    </row>
    <row r="1376" spans="7:33" ht="15.75" customHeight="1">
      <c r="G1376" s="36"/>
      <c r="H1376" s="36"/>
      <c r="I1376" s="36"/>
      <c r="J1376" s="39"/>
      <c r="K1376" s="39"/>
      <c r="AF1376" s="42">
        <v>2183584</v>
      </c>
      <c r="AG1376" s="42" t="s">
        <v>6672</v>
      </c>
    </row>
    <row r="1377" spans="7:33" ht="15.75" customHeight="1">
      <c r="G1377" s="36"/>
      <c r="H1377" s="36"/>
      <c r="I1377" s="36"/>
      <c r="J1377" s="39"/>
      <c r="K1377" s="39"/>
      <c r="AF1377" s="42">
        <v>2183585</v>
      </c>
      <c r="AG1377" s="42" t="s">
        <v>6672</v>
      </c>
    </row>
    <row r="1378" spans="7:33" ht="15.75" customHeight="1">
      <c r="G1378" s="36"/>
      <c r="H1378" s="36"/>
      <c r="I1378" s="36"/>
      <c r="J1378" s="39"/>
      <c r="K1378" s="39"/>
      <c r="AF1378" s="42">
        <v>2183586</v>
      </c>
      <c r="AG1378" s="42" t="s">
        <v>6672</v>
      </c>
    </row>
    <row r="1379" spans="7:33" ht="15.75" customHeight="1">
      <c r="G1379" s="36"/>
      <c r="H1379" s="36"/>
      <c r="I1379" s="36"/>
      <c r="J1379" s="39"/>
      <c r="K1379" s="39"/>
      <c r="AF1379" s="42">
        <v>2183587</v>
      </c>
      <c r="AG1379" s="42" t="s">
        <v>6672</v>
      </c>
    </row>
    <row r="1380" spans="7:33" ht="15.75" customHeight="1">
      <c r="G1380" s="36"/>
      <c r="H1380" s="36"/>
      <c r="I1380" s="36"/>
      <c r="J1380" s="39"/>
      <c r="K1380" s="39"/>
      <c r="AF1380" s="42">
        <v>2183588</v>
      </c>
      <c r="AG1380" s="42" t="s">
        <v>6672</v>
      </c>
    </row>
    <row r="1381" spans="7:33" ht="15.75" customHeight="1">
      <c r="G1381" s="36"/>
      <c r="H1381" s="36"/>
      <c r="I1381" s="36"/>
      <c r="J1381" s="39"/>
      <c r="K1381" s="39"/>
      <c r="AF1381" s="42">
        <v>2183589</v>
      </c>
      <c r="AG1381" s="42" t="s">
        <v>6672</v>
      </c>
    </row>
    <row r="1382" spans="7:33" ht="15.75" customHeight="1">
      <c r="G1382" s="36"/>
      <c r="H1382" s="36"/>
      <c r="I1382" s="36"/>
      <c r="J1382" s="39"/>
      <c r="K1382" s="39"/>
      <c r="AF1382" s="42">
        <v>2183590</v>
      </c>
      <c r="AG1382" s="42" t="s">
        <v>6672</v>
      </c>
    </row>
    <row r="1383" spans="7:33" ht="15.75" customHeight="1">
      <c r="G1383" s="36"/>
      <c r="H1383" s="36"/>
      <c r="I1383" s="36"/>
      <c r="J1383" s="39"/>
      <c r="K1383" s="39"/>
      <c r="AF1383" s="42">
        <v>2183591</v>
      </c>
      <c r="AG1383" s="42" t="s">
        <v>6672</v>
      </c>
    </row>
    <row r="1384" spans="7:33" ht="15.75" customHeight="1">
      <c r="G1384" s="36"/>
      <c r="H1384" s="36"/>
      <c r="I1384" s="36"/>
      <c r="J1384" s="39"/>
      <c r="K1384" s="39"/>
      <c r="AF1384" s="42">
        <v>2183592</v>
      </c>
      <c r="AG1384" s="42" t="s">
        <v>6672</v>
      </c>
    </row>
    <row r="1385" spans="7:33" ht="15.75" customHeight="1">
      <c r="G1385" s="36"/>
      <c r="H1385" s="36"/>
      <c r="I1385" s="36"/>
      <c r="J1385" s="39"/>
      <c r="K1385" s="39"/>
      <c r="AF1385" s="42">
        <v>2183593</v>
      </c>
      <c r="AG1385" s="42" t="s">
        <v>6672</v>
      </c>
    </row>
    <row r="1386" spans="7:33" ht="15.75" customHeight="1">
      <c r="G1386" s="36"/>
      <c r="H1386" s="36"/>
      <c r="I1386" s="36"/>
      <c r="J1386" s="39"/>
      <c r="K1386" s="39"/>
      <c r="AF1386" s="42">
        <v>2183594</v>
      </c>
      <c r="AG1386" s="42" t="s">
        <v>6672</v>
      </c>
    </row>
    <row r="1387" spans="7:33" ht="15.75" customHeight="1">
      <c r="G1387" s="36"/>
      <c r="H1387" s="36"/>
      <c r="I1387" s="36"/>
      <c r="J1387" s="39"/>
      <c r="K1387" s="39"/>
      <c r="AF1387" s="42">
        <v>2183595</v>
      </c>
      <c r="AG1387" s="42" t="s">
        <v>6672</v>
      </c>
    </row>
    <row r="1388" spans="7:33" ht="15.75" customHeight="1">
      <c r="G1388" s="36"/>
      <c r="H1388" s="36"/>
      <c r="I1388" s="36"/>
      <c r="J1388" s="39"/>
      <c r="K1388" s="39"/>
      <c r="AF1388" s="42">
        <v>2183596</v>
      </c>
      <c r="AG1388" s="42" t="s">
        <v>6672</v>
      </c>
    </row>
    <row r="1389" spans="7:33" ht="15.75" customHeight="1">
      <c r="G1389" s="36"/>
      <c r="H1389" s="36"/>
      <c r="I1389" s="36"/>
      <c r="J1389" s="39"/>
      <c r="K1389" s="39"/>
      <c r="AF1389" s="42">
        <v>2183597</v>
      </c>
      <c r="AG1389" s="42" t="s">
        <v>6672</v>
      </c>
    </row>
    <row r="1390" spans="7:33" ht="15.75" customHeight="1">
      <c r="G1390" s="36"/>
      <c r="H1390" s="36"/>
      <c r="I1390" s="36"/>
      <c r="J1390" s="39"/>
      <c r="K1390" s="39"/>
      <c r="AF1390" s="42">
        <v>2183598</v>
      </c>
      <c r="AG1390" s="42" t="s">
        <v>6672</v>
      </c>
    </row>
    <row r="1391" spans="7:33" ht="15.75" customHeight="1">
      <c r="G1391" s="36"/>
      <c r="H1391" s="36"/>
      <c r="I1391" s="36"/>
      <c r="J1391" s="39"/>
      <c r="K1391" s="39"/>
      <c r="AF1391" s="42">
        <v>2183599</v>
      </c>
      <c r="AG1391" s="42" t="s">
        <v>6672</v>
      </c>
    </row>
    <row r="1392" spans="7:33" ht="15.75" customHeight="1">
      <c r="G1392" s="36"/>
      <c r="H1392" s="36"/>
      <c r="I1392" s="36"/>
      <c r="J1392" s="39"/>
      <c r="K1392" s="39"/>
      <c r="AF1392" s="42">
        <v>2183600</v>
      </c>
      <c r="AG1392" s="42" t="s">
        <v>6672</v>
      </c>
    </row>
    <row r="1393" spans="7:33" ht="15.75" customHeight="1">
      <c r="G1393" s="36"/>
      <c r="H1393" s="36"/>
      <c r="I1393" s="36"/>
      <c r="J1393" s="39"/>
      <c r="K1393" s="39"/>
      <c r="AF1393" s="42">
        <v>2183601</v>
      </c>
      <c r="AG1393" s="42" t="s">
        <v>6672</v>
      </c>
    </row>
    <row r="1394" spans="7:33" ht="15.75" customHeight="1">
      <c r="G1394" s="36"/>
      <c r="H1394" s="36"/>
      <c r="I1394" s="36"/>
      <c r="J1394" s="39"/>
      <c r="K1394" s="39"/>
      <c r="AF1394" s="42">
        <v>2183602</v>
      </c>
      <c r="AG1394" s="42" t="s">
        <v>6672</v>
      </c>
    </row>
    <row r="1395" spans="7:33" ht="15.75" customHeight="1">
      <c r="G1395" s="36"/>
      <c r="H1395" s="36"/>
      <c r="I1395" s="36"/>
      <c r="J1395" s="39"/>
      <c r="K1395" s="39"/>
      <c r="AF1395" s="42">
        <v>2183603</v>
      </c>
      <c r="AG1395" s="42" t="s">
        <v>6672</v>
      </c>
    </row>
    <row r="1396" spans="7:33" ht="15.75" customHeight="1">
      <c r="G1396" s="36"/>
      <c r="H1396" s="36"/>
      <c r="I1396" s="36"/>
      <c r="J1396" s="39"/>
      <c r="K1396" s="39"/>
      <c r="AF1396" s="42">
        <v>2183604</v>
      </c>
      <c r="AG1396" s="42" t="s">
        <v>6672</v>
      </c>
    </row>
    <row r="1397" spans="7:33" ht="15.75" customHeight="1">
      <c r="G1397" s="36"/>
      <c r="H1397" s="36"/>
      <c r="I1397" s="36"/>
      <c r="J1397" s="39"/>
      <c r="K1397" s="39"/>
      <c r="AF1397" s="42">
        <v>2183605</v>
      </c>
      <c r="AG1397" s="42" t="s">
        <v>6672</v>
      </c>
    </row>
    <row r="1398" spans="7:33" ht="15.75" customHeight="1">
      <c r="G1398" s="36"/>
      <c r="H1398" s="36"/>
      <c r="I1398" s="36"/>
      <c r="J1398" s="39"/>
      <c r="K1398" s="39"/>
      <c r="AF1398" s="42">
        <v>2183606</v>
      </c>
      <c r="AG1398" s="42" t="s">
        <v>6672</v>
      </c>
    </row>
    <row r="1399" spans="7:33" ht="15.75" customHeight="1">
      <c r="G1399" s="36"/>
      <c r="H1399" s="36"/>
      <c r="I1399" s="36"/>
      <c r="J1399" s="39"/>
      <c r="K1399" s="39"/>
      <c r="AF1399" s="42">
        <v>2183607</v>
      </c>
      <c r="AG1399" s="42" t="s">
        <v>6672</v>
      </c>
    </row>
    <row r="1400" spans="7:33" ht="15.75" customHeight="1">
      <c r="G1400" s="36"/>
      <c r="H1400" s="36"/>
      <c r="I1400" s="36"/>
      <c r="J1400" s="39"/>
      <c r="K1400" s="39"/>
      <c r="AF1400" s="42">
        <v>2183608</v>
      </c>
      <c r="AG1400" s="42" t="s">
        <v>6672</v>
      </c>
    </row>
    <row r="1401" spans="7:33" ht="15.75" customHeight="1">
      <c r="G1401" s="36"/>
      <c r="H1401" s="36"/>
      <c r="I1401" s="36"/>
      <c r="J1401" s="39"/>
      <c r="K1401" s="39"/>
      <c r="AF1401" s="42">
        <v>2183609</v>
      </c>
      <c r="AG1401" s="42" t="s">
        <v>6672</v>
      </c>
    </row>
    <row r="1402" spans="7:33" ht="15.75" customHeight="1">
      <c r="G1402" s="36"/>
      <c r="H1402" s="36"/>
      <c r="I1402" s="36"/>
      <c r="J1402" s="39"/>
      <c r="K1402" s="39"/>
      <c r="AF1402" s="42">
        <v>2183610</v>
      </c>
      <c r="AG1402" s="42" t="s">
        <v>6672</v>
      </c>
    </row>
    <row r="1403" spans="7:33" ht="15.75" customHeight="1">
      <c r="G1403" s="36"/>
      <c r="H1403" s="36"/>
      <c r="I1403" s="36"/>
      <c r="J1403" s="39"/>
      <c r="K1403" s="39"/>
      <c r="AF1403" s="42">
        <v>2184680</v>
      </c>
      <c r="AG1403" s="42" t="s">
        <v>6673</v>
      </c>
    </row>
    <row r="1404" spans="7:33" ht="15.75" customHeight="1">
      <c r="G1404" s="36"/>
      <c r="H1404" s="36"/>
      <c r="I1404" s="36"/>
      <c r="J1404" s="39"/>
      <c r="K1404" s="39"/>
      <c r="AF1404" s="42">
        <v>2186855</v>
      </c>
      <c r="AG1404" s="42" t="s">
        <v>6673</v>
      </c>
    </row>
    <row r="1405" spans="7:33" ht="15.75" customHeight="1">
      <c r="G1405" s="36"/>
      <c r="H1405" s="36"/>
      <c r="I1405" s="36"/>
      <c r="J1405" s="39"/>
      <c r="K1405" s="39"/>
      <c r="AF1405" s="42">
        <v>2188677</v>
      </c>
      <c r="AG1405" s="42" t="s">
        <v>6528</v>
      </c>
    </row>
    <row r="1406" spans="7:33" ht="15.75" customHeight="1">
      <c r="G1406" s="36"/>
      <c r="H1406" s="36"/>
      <c r="I1406" s="36"/>
      <c r="J1406" s="39"/>
      <c r="K1406" s="39"/>
      <c r="AF1406" s="42">
        <v>2188797</v>
      </c>
      <c r="AG1406" s="42" t="s">
        <v>6672</v>
      </c>
    </row>
    <row r="1407" spans="7:33" ht="15.75" customHeight="1">
      <c r="G1407" s="36"/>
      <c r="H1407" s="36"/>
      <c r="I1407" s="36"/>
      <c r="J1407" s="39"/>
      <c r="K1407" s="39"/>
      <c r="AF1407" s="42">
        <v>2189628</v>
      </c>
      <c r="AG1407" s="42" t="s">
        <v>6673</v>
      </c>
    </row>
    <row r="1408" spans="7:33" ht="15.75" customHeight="1">
      <c r="G1408" s="36"/>
      <c r="H1408" s="36"/>
      <c r="I1408" s="36"/>
      <c r="J1408" s="39"/>
      <c r="K1408" s="39"/>
      <c r="AF1408" s="42">
        <v>2191117</v>
      </c>
      <c r="AG1408" s="42" t="s">
        <v>6528</v>
      </c>
    </row>
    <row r="1409" spans="7:33" ht="15.75" customHeight="1">
      <c r="G1409" s="36"/>
      <c r="H1409" s="36"/>
      <c r="I1409" s="36"/>
      <c r="J1409" s="39"/>
      <c r="K1409" s="39"/>
      <c r="AF1409" s="42">
        <v>2191125</v>
      </c>
      <c r="AG1409" s="42" t="s">
        <v>6528</v>
      </c>
    </row>
    <row r="1410" spans="7:33" ht="15.75" customHeight="1">
      <c r="G1410" s="36"/>
      <c r="H1410" s="36"/>
      <c r="I1410" s="36"/>
      <c r="J1410" s="39"/>
      <c r="K1410" s="39"/>
      <c r="AF1410" s="42">
        <v>2191126</v>
      </c>
      <c r="AG1410" s="42" t="s">
        <v>6528</v>
      </c>
    </row>
    <row r="1411" spans="7:33" ht="15.75" customHeight="1">
      <c r="G1411" s="36"/>
      <c r="H1411" s="36"/>
      <c r="I1411" s="36"/>
      <c r="J1411" s="39"/>
      <c r="K1411" s="39"/>
      <c r="AF1411" s="42">
        <v>2191127</v>
      </c>
      <c r="AG1411" s="42" t="s">
        <v>6528</v>
      </c>
    </row>
    <row r="1412" spans="7:33" ht="15.75" customHeight="1">
      <c r="G1412" s="36"/>
      <c r="H1412" s="36"/>
      <c r="I1412" s="36"/>
      <c r="J1412" s="39"/>
      <c r="K1412" s="39"/>
      <c r="AF1412" s="42">
        <v>2191136</v>
      </c>
      <c r="AG1412" s="42" t="s">
        <v>6528</v>
      </c>
    </row>
    <row r="1413" spans="7:33" ht="15.75" customHeight="1">
      <c r="G1413" s="36"/>
      <c r="H1413" s="36"/>
      <c r="I1413" s="36"/>
      <c r="J1413" s="39"/>
      <c r="K1413" s="39"/>
      <c r="AF1413" s="42">
        <v>2191142</v>
      </c>
      <c r="AG1413" s="42" t="s">
        <v>6528</v>
      </c>
    </row>
    <row r="1414" spans="7:33" ht="15.75" customHeight="1">
      <c r="G1414" s="36"/>
      <c r="H1414" s="36"/>
      <c r="I1414" s="36"/>
      <c r="J1414" s="39"/>
      <c r="K1414" s="39"/>
      <c r="AF1414" s="42">
        <v>2191145</v>
      </c>
      <c r="AG1414" s="42" t="s">
        <v>6528</v>
      </c>
    </row>
    <row r="1415" spans="7:33" ht="15.75" customHeight="1">
      <c r="G1415" s="36"/>
      <c r="H1415" s="36"/>
      <c r="I1415" s="36"/>
      <c r="J1415" s="39"/>
      <c r="K1415" s="39"/>
      <c r="AF1415" s="42">
        <v>2191148</v>
      </c>
      <c r="AG1415" s="42" t="s">
        <v>6528</v>
      </c>
    </row>
    <row r="1416" spans="7:33" ht="15.75" customHeight="1">
      <c r="G1416" s="36"/>
      <c r="H1416" s="36"/>
      <c r="I1416" s="36"/>
      <c r="J1416" s="39"/>
      <c r="K1416" s="39"/>
      <c r="AF1416" s="42">
        <v>2191159</v>
      </c>
      <c r="AG1416" s="42" t="s">
        <v>6528</v>
      </c>
    </row>
    <row r="1417" spans="7:33" ht="15.75" customHeight="1">
      <c r="G1417" s="36"/>
      <c r="H1417" s="36"/>
      <c r="I1417" s="36"/>
      <c r="J1417" s="39"/>
      <c r="K1417" s="39"/>
      <c r="AF1417" s="42">
        <v>2191166</v>
      </c>
      <c r="AG1417" s="42" t="s">
        <v>6528</v>
      </c>
    </row>
    <row r="1418" spans="7:33" ht="15.75" customHeight="1">
      <c r="G1418" s="36"/>
      <c r="H1418" s="36"/>
      <c r="I1418" s="36"/>
      <c r="J1418" s="39"/>
      <c r="K1418" s="39"/>
      <c r="AF1418" s="42">
        <v>2191169</v>
      </c>
      <c r="AG1418" s="42" t="s">
        <v>6528</v>
      </c>
    </row>
    <row r="1419" spans="7:33" ht="15.75" customHeight="1">
      <c r="G1419" s="36"/>
      <c r="H1419" s="36"/>
      <c r="I1419" s="36"/>
      <c r="J1419" s="39"/>
      <c r="K1419" s="39"/>
      <c r="AF1419" s="42">
        <v>2191173</v>
      </c>
      <c r="AG1419" s="42" t="s">
        <v>6528</v>
      </c>
    </row>
    <row r="1420" spans="7:33" ht="15.75" customHeight="1">
      <c r="G1420" s="36"/>
      <c r="H1420" s="36"/>
      <c r="I1420" s="36"/>
      <c r="J1420" s="39"/>
      <c r="K1420" s="39"/>
      <c r="AF1420" s="42">
        <v>2191185</v>
      </c>
      <c r="AG1420" s="42" t="s">
        <v>6528</v>
      </c>
    </row>
    <row r="1421" spans="7:33" ht="15.75" customHeight="1">
      <c r="G1421" s="36"/>
      <c r="H1421" s="36"/>
      <c r="I1421" s="36"/>
      <c r="J1421" s="39"/>
      <c r="K1421" s="39"/>
      <c r="AF1421" s="42">
        <v>2191195</v>
      </c>
      <c r="AG1421" s="42" t="s">
        <v>6528</v>
      </c>
    </row>
    <row r="1422" spans="7:33" ht="15.75" customHeight="1">
      <c r="G1422" s="36"/>
      <c r="H1422" s="36"/>
      <c r="I1422" s="36"/>
      <c r="J1422" s="39"/>
      <c r="K1422" s="39"/>
      <c r="AF1422" s="42">
        <v>2191196</v>
      </c>
      <c r="AG1422" s="42" t="s">
        <v>6528</v>
      </c>
    </row>
    <row r="1423" spans="7:33" ht="15.75" customHeight="1">
      <c r="G1423" s="36"/>
      <c r="H1423" s="36"/>
      <c r="I1423" s="36"/>
      <c r="J1423" s="39"/>
      <c r="K1423" s="39"/>
      <c r="AF1423" s="42">
        <v>2191200</v>
      </c>
      <c r="AG1423" s="42" t="s">
        <v>6528</v>
      </c>
    </row>
    <row r="1424" spans="7:33" ht="15.75" customHeight="1">
      <c r="G1424" s="36"/>
      <c r="H1424" s="36"/>
      <c r="I1424" s="36"/>
      <c r="J1424" s="39"/>
      <c r="K1424" s="39"/>
      <c r="AF1424" s="42">
        <v>2191201</v>
      </c>
      <c r="AG1424" s="42" t="s">
        <v>6528</v>
      </c>
    </row>
    <row r="1425" spans="7:33" ht="15.75" customHeight="1">
      <c r="G1425" s="36"/>
      <c r="H1425" s="36"/>
      <c r="I1425" s="36"/>
      <c r="J1425" s="39"/>
      <c r="K1425" s="39"/>
      <c r="AF1425" s="42">
        <v>2197762</v>
      </c>
      <c r="AG1425" s="42" t="s">
        <v>6672</v>
      </c>
    </row>
    <row r="1426" spans="7:33" ht="15.75" customHeight="1">
      <c r="G1426" s="36"/>
      <c r="H1426" s="36"/>
      <c r="I1426" s="36"/>
      <c r="J1426" s="39"/>
      <c r="K1426" s="39"/>
      <c r="AF1426" s="42">
        <v>2197765</v>
      </c>
      <c r="AG1426" s="42" t="s">
        <v>6672</v>
      </c>
    </row>
    <row r="1427" spans="7:33" ht="15.75" customHeight="1">
      <c r="G1427" s="36"/>
      <c r="H1427" s="36"/>
      <c r="I1427" s="36"/>
      <c r="J1427" s="39"/>
      <c r="K1427" s="39"/>
      <c r="AF1427" s="42">
        <v>2197773</v>
      </c>
      <c r="AG1427" s="42" t="s">
        <v>6672</v>
      </c>
    </row>
    <row r="1428" spans="7:33" ht="15.75" customHeight="1">
      <c r="G1428" s="36"/>
      <c r="H1428" s="36"/>
      <c r="I1428" s="36"/>
      <c r="J1428" s="39"/>
      <c r="K1428" s="39"/>
      <c r="AF1428" s="42">
        <v>2197774</v>
      </c>
      <c r="AG1428" s="42" t="s">
        <v>6672</v>
      </c>
    </row>
    <row r="1429" spans="7:33" ht="15.75" customHeight="1">
      <c r="G1429" s="36"/>
      <c r="H1429" s="36"/>
      <c r="I1429" s="36"/>
      <c r="J1429" s="39"/>
      <c r="K1429" s="39"/>
      <c r="AF1429" s="42">
        <v>2197798</v>
      </c>
      <c r="AG1429" s="42" t="s">
        <v>6672</v>
      </c>
    </row>
    <row r="1430" spans="7:33" ht="15.75" customHeight="1">
      <c r="G1430" s="36"/>
      <c r="H1430" s="36"/>
      <c r="I1430" s="36"/>
      <c r="J1430" s="39"/>
      <c r="K1430" s="39"/>
      <c r="AF1430" s="42">
        <v>2199630</v>
      </c>
      <c r="AG1430" s="42" t="s">
        <v>6673</v>
      </c>
    </row>
    <row r="1431" spans="7:33" ht="15.75" customHeight="1">
      <c r="G1431" s="36"/>
      <c r="H1431" s="36"/>
      <c r="I1431" s="36"/>
      <c r="J1431" s="39"/>
      <c r="K1431" s="39"/>
      <c r="AF1431" s="42">
        <v>2199631</v>
      </c>
      <c r="AG1431" s="42" t="s">
        <v>6673</v>
      </c>
    </row>
    <row r="1432" spans="7:33" ht="15.75" customHeight="1">
      <c r="G1432" s="36"/>
      <c r="H1432" s="36"/>
      <c r="I1432" s="36"/>
      <c r="J1432" s="39"/>
      <c r="K1432" s="39"/>
      <c r="AF1432" s="42">
        <v>2199632</v>
      </c>
      <c r="AG1432" s="42" t="s">
        <v>6673</v>
      </c>
    </row>
    <row r="1433" spans="7:33" ht="15.75" customHeight="1">
      <c r="G1433" s="36"/>
      <c r="H1433" s="36"/>
      <c r="I1433" s="36"/>
      <c r="J1433" s="39"/>
      <c r="K1433" s="39"/>
      <c r="AF1433" s="42">
        <v>2199634</v>
      </c>
      <c r="AG1433" s="42" t="s">
        <v>6673</v>
      </c>
    </row>
    <row r="1434" spans="7:33" ht="15.75" customHeight="1">
      <c r="G1434" s="36"/>
      <c r="H1434" s="36"/>
      <c r="I1434" s="36"/>
      <c r="J1434" s="39"/>
      <c r="K1434" s="39"/>
      <c r="AF1434" s="42">
        <v>2199635</v>
      </c>
      <c r="AG1434" s="42" t="s">
        <v>6673</v>
      </c>
    </row>
    <row r="1435" spans="7:33" ht="15.75" customHeight="1">
      <c r="G1435" s="36"/>
      <c r="H1435" s="36"/>
      <c r="I1435" s="36"/>
      <c r="J1435" s="39"/>
      <c r="K1435" s="39"/>
      <c r="AF1435" s="42">
        <v>2199637</v>
      </c>
      <c r="AG1435" s="42" t="s">
        <v>6673</v>
      </c>
    </row>
    <row r="1436" spans="7:33" ht="15.75" customHeight="1">
      <c r="G1436" s="36"/>
      <c r="H1436" s="36"/>
      <c r="I1436" s="36"/>
      <c r="J1436" s="39"/>
      <c r="K1436" s="39"/>
      <c r="AF1436" s="42">
        <v>2199638</v>
      </c>
      <c r="AG1436" s="42" t="s">
        <v>6673</v>
      </c>
    </row>
    <row r="1437" spans="7:33" ht="15.75" customHeight="1">
      <c r="G1437" s="36"/>
      <c r="H1437" s="36"/>
      <c r="I1437" s="36"/>
      <c r="J1437" s="39"/>
      <c r="K1437" s="39"/>
      <c r="AF1437" s="42">
        <v>2199639</v>
      </c>
      <c r="AG1437" s="42" t="s">
        <v>6673</v>
      </c>
    </row>
    <row r="1438" spans="7:33" ht="15.75" customHeight="1">
      <c r="G1438" s="36"/>
      <c r="H1438" s="36"/>
      <c r="I1438" s="36"/>
      <c r="J1438" s="39"/>
      <c r="K1438" s="39"/>
      <c r="AF1438" s="42">
        <v>2199642</v>
      </c>
      <c r="AG1438" s="42" t="s">
        <v>6673</v>
      </c>
    </row>
    <row r="1439" spans="7:33" ht="15.75" customHeight="1">
      <c r="G1439" s="36"/>
      <c r="H1439" s="36"/>
      <c r="I1439" s="36"/>
      <c r="J1439" s="39"/>
      <c r="K1439" s="39"/>
      <c r="AF1439" s="42">
        <v>2199644</v>
      </c>
      <c r="AG1439" s="42" t="s">
        <v>6673</v>
      </c>
    </row>
    <row r="1440" spans="7:33" ht="15.75" customHeight="1">
      <c r="G1440" s="36"/>
      <c r="H1440" s="36"/>
      <c r="I1440" s="36"/>
      <c r="J1440" s="39"/>
      <c r="K1440" s="39"/>
      <c r="AF1440" s="42">
        <v>2201194</v>
      </c>
      <c r="AG1440" s="42" t="s">
        <v>6673</v>
      </c>
    </row>
    <row r="1441" spans="7:33" ht="15.75" customHeight="1">
      <c r="G1441" s="36"/>
      <c r="H1441" s="36"/>
      <c r="I1441" s="36"/>
      <c r="J1441" s="39"/>
      <c r="K1441" s="39"/>
      <c r="AF1441" s="42">
        <v>2201195</v>
      </c>
      <c r="AG1441" s="42" t="s">
        <v>6673</v>
      </c>
    </row>
    <row r="1442" spans="7:33" ht="15.75" customHeight="1">
      <c r="G1442" s="36"/>
      <c r="H1442" s="36"/>
      <c r="I1442" s="36"/>
      <c r="J1442" s="39"/>
      <c r="K1442" s="39"/>
      <c r="AF1442" s="42">
        <v>2204532</v>
      </c>
      <c r="AG1442" s="42" t="s">
        <v>6528</v>
      </c>
    </row>
    <row r="1443" spans="7:33" ht="15.75" customHeight="1">
      <c r="G1443" s="36"/>
      <c r="H1443" s="36"/>
      <c r="I1443" s="36"/>
      <c r="J1443" s="39"/>
      <c r="K1443" s="39"/>
      <c r="AF1443" s="42">
        <v>2204551</v>
      </c>
      <c r="AG1443" s="42" t="s">
        <v>6528</v>
      </c>
    </row>
    <row r="1444" spans="7:33" ht="15.75" customHeight="1">
      <c r="G1444" s="36"/>
      <c r="H1444" s="36"/>
      <c r="I1444" s="36"/>
      <c r="J1444" s="39"/>
      <c r="K1444" s="39"/>
      <c r="AF1444" s="42">
        <v>2213310</v>
      </c>
      <c r="AG1444" s="42" t="s">
        <v>6672</v>
      </c>
    </row>
    <row r="1445" spans="7:33" ht="15.75" customHeight="1">
      <c r="G1445" s="36"/>
      <c r="H1445" s="36"/>
      <c r="I1445" s="36"/>
      <c r="J1445" s="39"/>
      <c r="K1445" s="39"/>
      <c r="AF1445" s="42">
        <v>2226043</v>
      </c>
      <c r="AG1445" s="42" t="s">
        <v>6529</v>
      </c>
    </row>
    <row r="1446" spans="7:33" ht="15.75" customHeight="1">
      <c r="G1446" s="36"/>
      <c r="H1446" s="36"/>
      <c r="I1446" s="36"/>
      <c r="J1446" s="39"/>
      <c r="K1446" s="39"/>
      <c r="AF1446" s="42">
        <v>2226044</v>
      </c>
      <c r="AG1446" s="42" t="s">
        <v>6529</v>
      </c>
    </row>
    <row r="1447" spans="7:33" ht="15.75" customHeight="1">
      <c r="G1447" s="36"/>
      <c r="H1447" s="36"/>
      <c r="I1447" s="36"/>
      <c r="J1447" s="39"/>
      <c r="K1447" s="39"/>
      <c r="AF1447" s="42">
        <v>2226045</v>
      </c>
      <c r="AG1447" s="42" t="s">
        <v>6529</v>
      </c>
    </row>
    <row r="1448" spans="7:33" ht="15.75" customHeight="1">
      <c r="G1448" s="36"/>
      <c r="H1448" s="36"/>
      <c r="I1448" s="36"/>
      <c r="J1448" s="39"/>
      <c r="K1448" s="39"/>
      <c r="AF1448" s="42">
        <v>2226047</v>
      </c>
      <c r="AG1448" s="42" t="s">
        <v>6529</v>
      </c>
    </row>
    <row r="1449" spans="7:33" ht="15.75" customHeight="1">
      <c r="G1449" s="36"/>
      <c r="H1449" s="36"/>
      <c r="I1449" s="36"/>
      <c r="J1449" s="39"/>
      <c r="K1449" s="39"/>
      <c r="AF1449" s="42">
        <v>2226050</v>
      </c>
      <c r="AG1449" s="42" t="s">
        <v>6529</v>
      </c>
    </row>
    <row r="1450" spans="7:33" ht="15.75" customHeight="1">
      <c r="G1450" s="36"/>
      <c r="H1450" s="36"/>
      <c r="I1450" s="36"/>
      <c r="J1450" s="39"/>
      <c r="K1450" s="39"/>
      <c r="AF1450" s="42">
        <v>2226052</v>
      </c>
      <c r="AG1450" s="42" t="s">
        <v>6529</v>
      </c>
    </row>
    <row r="1451" spans="7:33" ht="15.75" customHeight="1">
      <c r="G1451" s="36"/>
      <c r="H1451" s="36"/>
      <c r="I1451" s="36"/>
      <c r="J1451" s="39"/>
      <c r="K1451" s="39"/>
      <c r="AF1451" s="42">
        <v>2226053</v>
      </c>
      <c r="AG1451" s="42" t="s">
        <v>6529</v>
      </c>
    </row>
    <row r="1452" spans="7:33" ht="15.75" customHeight="1">
      <c r="G1452" s="36"/>
      <c r="H1452" s="36"/>
      <c r="I1452" s="36"/>
      <c r="J1452" s="39"/>
      <c r="K1452" s="39"/>
      <c r="AF1452" s="42">
        <v>2226054</v>
      </c>
      <c r="AG1452" s="42" t="s">
        <v>6529</v>
      </c>
    </row>
    <row r="1453" spans="7:33" ht="15.75" customHeight="1">
      <c r="G1453" s="36"/>
      <c r="H1453" s="36"/>
      <c r="I1453" s="36"/>
      <c r="J1453" s="39"/>
      <c r="K1453" s="39"/>
      <c r="AF1453" s="42">
        <v>2226055</v>
      </c>
      <c r="AG1453" s="42" t="s">
        <v>6529</v>
      </c>
    </row>
    <row r="1454" spans="7:33" ht="15.75" customHeight="1">
      <c r="G1454" s="36"/>
      <c r="H1454" s="36"/>
      <c r="I1454" s="36"/>
      <c r="J1454" s="39"/>
      <c r="K1454" s="39"/>
      <c r="AF1454" s="42">
        <v>2226058</v>
      </c>
      <c r="AG1454" s="42" t="s">
        <v>6529</v>
      </c>
    </row>
    <row r="1455" spans="7:33" ht="15.75" customHeight="1">
      <c r="G1455" s="36"/>
      <c r="H1455" s="36"/>
      <c r="I1455" s="36"/>
      <c r="J1455" s="39"/>
      <c r="K1455" s="39"/>
      <c r="AF1455" s="42">
        <v>2226060</v>
      </c>
      <c r="AG1455" s="42" t="s">
        <v>6529</v>
      </c>
    </row>
    <row r="1456" spans="7:33" ht="15.75" customHeight="1">
      <c r="G1456" s="36"/>
      <c r="H1456" s="36"/>
      <c r="I1456" s="36"/>
      <c r="J1456" s="39"/>
      <c r="K1456" s="39"/>
      <c r="AF1456" s="42">
        <v>2226061</v>
      </c>
      <c r="AG1456" s="42" t="s">
        <v>6529</v>
      </c>
    </row>
    <row r="1457" spans="7:33" ht="15.75" customHeight="1">
      <c r="G1457" s="36"/>
      <c r="H1457" s="36"/>
      <c r="I1457" s="36"/>
      <c r="J1457" s="39"/>
      <c r="K1457" s="39"/>
      <c r="AF1457" s="42">
        <v>2226062</v>
      </c>
      <c r="AG1457" s="42" t="s">
        <v>6529</v>
      </c>
    </row>
    <row r="1458" spans="7:33" ht="15.75" customHeight="1">
      <c r="G1458" s="36"/>
      <c r="H1458" s="36"/>
      <c r="I1458" s="36"/>
      <c r="J1458" s="39"/>
      <c r="K1458" s="39"/>
      <c r="AF1458" s="42">
        <v>2226065</v>
      </c>
      <c r="AG1458" s="42" t="s">
        <v>6529</v>
      </c>
    </row>
    <row r="1459" spans="7:33" ht="15.75" customHeight="1">
      <c r="G1459" s="36"/>
      <c r="H1459" s="36"/>
      <c r="I1459" s="36"/>
      <c r="J1459" s="39"/>
      <c r="K1459" s="39"/>
      <c r="AF1459" s="42">
        <v>2226066</v>
      </c>
      <c r="AG1459" s="42" t="s">
        <v>6529</v>
      </c>
    </row>
    <row r="1460" spans="7:33" ht="15.75" customHeight="1">
      <c r="G1460" s="36"/>
      <c r="H1460" s="36"/>
      <c r="I1460" s="36"/>
      <c r="J1460" s="39"/>
      <c r="K1460" s="39"/>
      <c r="AF1460" s="42">
        <v>2226067</v>
      </c>
      <c r="AG1460" s="42" t="s">
        <v>6529</v>
      </c>
    </row>
    <row r="1461" spans="7:33" ht="15.75" customHeight="1">
      <c r="G1461" s="36"/>
      <c r="H1461" s="36"/>
      <c r="I1461" s="36"/>
      <c r="J1461" s="39"/>
      <c r="K1461" s="39"/>
      <c r="AF1461" s="42">
        <v>2226068</v>
      </c>
      <c r="AG1461" s="42" t="s">
        <v>6529</v>
      </c>
    </row>
    <row r="1462" spans="7:33" ht="15.75" customHeight="1">
      <c r="G1462" s="36"/>
      <c r="H1462" s="36"/>
      <c r="I1462" s="36"/>
      <c r="J1462" s="39"/>
      <c r="K1462" s="39"/>
      <c r="AF1462" s="42">
        <v>2226070</v>
      </c>
      <c r="AG1462" s="42" t="s">
        <v>6529</v>
      </c>
    </row>
    <row r="1463" spans="7:33" ht="15.75" customHeight="1">
      <c r="G1463" s="36"/>
      <c r="H1463" s="36"/>
      <c r="I1463" s="36"/>
      <c r="J1463" s="39"/>
      <c r="K1463" s="39"/>
      <c r="AF1463" s="42">
        <v>2226071</v>
      </c>
      <c r="AG1463" s="42" t="s">
        <v>6529</v>
      </c>
    </row>
    <row r="1464" spans="7:33" ht="15.75" customHeight="1">
      <c r="G1464" s="36"/>
      <c r="H1464" s="36"/>
      <c r="I1464" s="36"/>
      <c r="J1464" s="39"/>
      <c r="K1464" s="39"/>
      <c r="AF1464" s="42">
        <v>2226072</v>
      </c>
      <c r="AG1464" s="42" t="s">
        <v>6529</v>
      </c>
    </row>
    <row r="1465" spans="7:33" ht="15.75" customHeight="1">
      <c r="G1465" s="36"/>
      <c r="H1465" s="36"/>
      <c r="I1465" s="36"/>
      <c r="J1465" s="39"/>
      <c r="K1465" s="39"/>
      <c r="AF1465" s="42">
        <v>2226073</v>
      </c>
      <c r="AG1465" s="42" t="s">
        <v>6529</v>
      </c>
    </row>
    <row r="1466" spans="7:33" ht="15.75" customHeight="1">
      <c r="G1466" s="36"/>
      <c r="H1466" s="36"/>
      <c r="I1466" s="36"/>
      <c r="J1466" s="39"/>
      <c r="K1466" s="39"/>
      <c r="AF1466" s="42">
        <v>2226097</v>
      </c>
      <c r="AG1466" s="42" t="s">
        <v>6529</v>
      </c>
    </row>
    <row r="1467" spans="7:33" ht="15.75" customHeight="1">
      <c r="G1467" s="36"/>
      <c r="H1467" s="36"/>
      <c r="I1467" s="36"/>
      <c r="J1467" s="39"/>
      <c r="K1467" s="39"/>
      <c r="AF1467" s="42">
        <v>2226098</v>
      </c>
      <c r="AG1467" s="42" t="s">
        <v>6529</v>
      </c>
    </row>
    <row r="1468" spans="7:33" ht="15.75" customHeight="1">
      <c r="G1468" s="36"/>
      <c r="H1468" s="36"/>
      <c r="I1468" s="36"/>
      <c r="J1468" s="39"/>
      <c r="K1468" s="39"/>
      <c r="AF1468" s="42">
        <v>2226099</v>
      </c>
      <c r="AG1468" s="42" t="s">
        <v>6529</v>
      </c>
    </row>
    <row r="1469" spans="7:33" ht="15.75" customHeight="1">
      <c r="G1469" s="36"/>
      <c r="H1469" s="36"/>
      <c r="I1469" s="36"/>
      <c r="J1469" s="39"/>
      <c r="K1469" s="39"/>
      <c r="AF1469" s="42">
        <v>2226100</v>
      </c>
      <c r="AG1469" s="42" t="s">
        <v>6529</v>
      </c>
    </row>
    <row r="1470" spans="7:33" ht="15.75" customHeight="1">
      <c r="G1470" s="36"/>
      <c r="H1470" s="36"/>
      <c r="I1470" s="36"/>
      <c r="J1470" s="39"/>
      <c r="K1470" s="39"/>
      <c r="AF1470" s="42">
        <v>2226101</v>
      </c>
      <c r="AG1470" s="42" t="s">
        <v>6529</v>
      </c>
    </row>
    <row r="1471" spans="7:33" ht="15.75" customHeight="1">
      <c r="G1471" s="36"/>
      <c r="H1471" s="36"/>
      <c r="I1471" s="36"/>
      <c r="J1471" s="39"/>
      <c r="K1471" s="39"/>
      <c r="AF1471" s="42">
        <v>2226102</v>
      </c>
      <c r="AG1471" s="42" t="s">
        <v>6529</v>
      </c>
    </row>
    <row r="1472" spans="7:33" ht="15.75" customHeight="1">
      <c r="G1472" s="36"/>
      <c r="H1472" s="36"/>
      <c r="I1472" s="36"/>
      <c r="J1472" s="39"/>
      <c r="K1472" s="39"/>
      <c r="AF1472" s="42">
        <v>2226103</v>
      </c>
      <c r="AG1472" s="42" t="s">
        <v>6529</v>
      </c>
    </row>
    <row r="1473" spans="7:33" ht="15.75" customHeight="1">
      <c r="G1473" s="36"/>
      <c r="H1473" s="36"/>
      <c r="I1473" s="36"/>
      <c r="J1473" s="39"/>
      <c r="K1473" s="39"/>
      <c r="AF1473" s="42">
        <v>2226104</v>
      </c>
      <c r="AG1473" s="42" t="s">
        <v>6529</v>
      </c>
    </row>
    <row r="1474" spans="7:33" ht="15.75" customHeight="1">
      <c r="G1474" s="36"/>
      <c r="H1474" s="36"/>
      <c r="I1474" s="36"/>
      <c r="J1474" s="39"/>
      <c r="K1474" s="39"/>
      <c r="AF1474" s="42">
        <v>2226105</v>
      </c>
      <c r="AG1474" s="42" t="s">
        <v>6529</v>
      </c>
    </row>
    <row r="1475" spans="7:33" ht="15.75" customHeight="1">
      <c r="G1475" s="36"/>
      <c r="H1475" s="36"/>
      <c r="I1475" s="36"/>
      <c r="J1475" s="39"/>
      <c r="K1475" s="39"/>
      <c r="AF1475" s="42">
        <v>2226106</v>
      </c>
      <c r="AG1475" s="42" t="s">
        <v>6529</v>
      </c>
    </row>
    <row r="1476" spans="7:33" ht="15.75" customHeight="1">
      <c r="G1476" s="36"/>
      <c r="H1476" s="36"/>
      <c r="I1476" s="36"/>
      <c r="J1476" s="39"/>
      <c r="K1476" s="39"/>
      <c r="AF1476" s="42">
        <v>2226107</v>
      </c>
      <c r="AG1476" s="42" t="s">
        <v>6529</v>
      </c>
    </row>
    <row r="1477" spans="7:33" ht="15.75" customHeight="1">
      <c r="G1477" s="36"/>
      <c r="H1477" s="36"/>
      <c r="I1477" s="36"/>
      <c r="J1477" s="39"/>
      <c r="K1477" s="39"/>
      <c r="AF1477" s="42">
        <v>2226108</v>
      </c>
      <c r="AG1477" s="42" t="s">
        <v>6529</v>
      </c>
    </row>
    <row r="1478" spans="7:33" ht="15.75" customHeight="1">
      <c r="G1478" s="36"/>
      <c r="H1478" s="36"/>
      <c r="I1478" s="36"/>
      <c r="J1478" s="39"/>
      <c r="K1478" s="39"/>
      <c r="AF1478" s="42">
        <v>2226109</v>
      </c>
      <c r="AG1478" s="42" t="s">
        <v>6529</v>
      </c>
    </row>
    <row r="1479" spans="7:33" ht="15.75" customHeight="1">
      <c r="G1479" s="36"/>
      <c r="H1479" s="36"/>
      <c r="I1479" s="36"/>
      <c r="J1479" s="39"/>
      <c r="K1479" s="39"/>
      <c r="AF1479" s="42">
        <v>2226110</v>
      </c>
      <c r="AG1479" s="42" t="s">
        <v>6529</v>
      </c>
    </row>
    <row r="1480" spans="7:33" ht="15.75" customHeight="1">
      <c r="G1480" s="36"/>
      <c r="H1480" s="36"/>
      <c r="I1480" s="36"/>
      <c r="J1480" s="39"/>
      <c r="K1480" s="39"/>
      <c r="AF1480" s="42">
        <v>2226111</v>
      </c>
      <c r="AG1480" s="42" t="s">
        <v>6529</v>
      </c>
    </row>
    <row r="1481" spans="7:33" ht="15.75" customHeight="1">
      <c r="G1481" s="36"/>
      <c r="H1481" s="36"/>
      <c r="I1481" s="36"/>
      <c r="J1481" s="39"/>
      <c r="K1481" s="39"/>
      <c r="AF1481" s="42">
        <v>2228715</v>
      </c>
      <c r="AG1481" s="42" t="s">
        <v>6529</v>
      </c>
    </row>
    <row r="1482" spans="7:33" ht="15.75" customHeight="1">
      <c r="G1482" s="36"/>
      <c r="H1482" s="36"/>
      <c r="I1482" s="36"/>
      <c r="J1482" s="39"/>
      <c r="K1482" s="39"/>
      <c r="AF1482" s="42">
        <v>2228716</v>
      </c>
      <c r="AG1482" s="42" t="s">
        <v>6529</v>
      </c>
    </row>
    <row r="1483" spans="7:33" ht="15.75" customHeight="1">
      <c r="G1483" s="36"/>
      <c r="H1483" s="36"/>
      <c r="I1483" s="36"/>
      <c r="J1483" s="39"/>
      <c r="K1483" s="39"/>
      <c r="AF1483" s="42">
        <v>2228717</v>
      </c>
      <c r="AG1483" s="42" t="s">
        <v>6529</v>
      </c>
    </row>
    <row r="1484" spans="7:33" ht="15.75" customHeight="1">
      <c r="G1484" s="36"/>
      <c r="H1484" s="36"/>
      <c r="I1484" s="36"/>
      <c r="J1484" s="39"/>
      <c r="K1484" s="39"/>
      <c r="AF1484" s="42">
        <v>2228718</v>
      </c>
      <c r="AG1484" s="42" t="s">
        <v>6529</v>
      </c>
    </row>
    <row r="1485" spans="7:33" ht="15.75" customHeight="1">
      <c r="G1485" s="36"/>
      <c r="H1485" s="36"/>
      <c r="I1485" s="36"/>
      <c r="J1485" s="39"/>
      <c r="K1485" s="39"/>
      <c r="AF1485" s="42">
        <v>2228719</v>
      </c>
      <c r="AG1485" s="42" t="s">
        <v>6529</v>
      </c>
    </row>
    <row r="1486" spans="7:33" ht="15.75" customHeight="1">
      <c r="G1486" s="36"/>
      <c r="H1486" s="36"/>
      <c r="I1486" s="36"/>
      <c r="J1486" s="39"/>
      <c r="K1486" s="39"/>
      <c r="AF1486" s="42">
        <v>2228720</v>
      </c>
      <c r="AG1486" s="42" t="s">
        <v>6529</v>
      </c>
    </row>
    <row r="1487" spans="7:33" ht="15.75" customHeight="1">
      <c r="G1487" s="36"/>
      <c r="H1487" s="36"/>
      <c r="I1487" s="36"/>
      <c r="J1487" s="39"/>
      <c r="K1487" s="39"/>
      <c r="AF1487" s="42">
        <v>2228721</v>
      </c>
      <c r="AG1487" s="42" t="s">
        <v>6529</v>
      </c>
    </row>
    <row r="1488" spans="7:33" ht="15.75" customHeight="1">
      <c r="G1488" s="36"/>
      <c r="H1488" s="36"/>
      <c r="I1488" s="36"/>
      <c r="J1488" s="39"/>
      <c r="K1488" s="39"/>
      <c r="AF1488" s="42">
        <v>2228722</v>
      </c>
      <c r="AG1488" s="42" t="s">
        <v>6529</v>
      </c>
    </row>
    <row r="1489" spans="7:33" ht="15.75" customHeight="1">
      <c r="G1489" s="36"/>
      <c r="H1489" s="36"/>
      <c r="I1489" s="36"/>
      <c r="J1489" s="39"/>
      <c r="K1489" s="39"/>
      <c r="AF1489" s="42">
        <v>2228723</v>
      </c>
      <c r="AG1489" s="42" t="s">
        <v>6529</v>
      </c>
    </row>
    <row r="1490" spans="7:33" ht="15.75" customHeight="1">
      <c r="G1490" s="36"/>
      <c r="H1490" s="36"/>
      <c r="I1490" s="36"/>
      <c r="J1490" s="39"/>
      <c r="K1490" s="39"/>
      <c r="AF1490" s="42">
        <v>2228724</v>
      </c>
      <c r="AG1490" s="42" t="s">
        <v>6529</v>
      </c>
    </row>
    <row r="1491" spans="7:33" ht="15.75" customHeight="1">
      <c r="G1491" s="36"/>
      <c r="H1491" s="36"/>
      <c r="I1491" s="36"/>
      <c r="J1491" s="39"/>
      <c r="K1491" s="39"/>
      <c r="AF1491" s="42">
        <v>2228725</v>
      </c>
      <c r="AG1491" s="42" t="s">
        <v>6529</v>
      </c>
    </row>
    <row r="1492" spans="7:33" ht="15.75" customHeight="1">
      <c r="G1492" s="36"/>
      <c r="H1492" s="36"/>
      <c r="I1492" s="36"/>
      <c r="J1492" s="39"/>
      <c r="K1492" s="39"/>
      <c r="AF1492" s="42">
        <v>2228726</v>
      </c>
      <c r="AG1492" s="42" t="s">
        <v>6529</v>
      </c>
    </row>
    <row r="1493" spans="7:33" ht="15.75" customHeight="1">
      <c r="G1493" s="36"/>
      <c r="H1493" s="36"/>
      <c r="I1493" s="36"/>
      <c r="J1493" s="39"/>
      <c r="K1493" s="39"/>
      <c r="AF1493" s="42">
        <v>2228727</v>
      </c>
      <c r="AG1493" s="42" t="s">
        <v>6529</v>
      </c>
    </row>
    <row r="1494" spans="7:33" ht="15.75" customHeight="1">
      <c r="G1494" s="36"/>
      <c r="H1494" s="36"/>
      <c r="I1494" s="36"/>
      <c r="J1494" s="39"/>
      <c r="K1494" s="39"/>
      <c r="AF1494" s="42">
        <v>2228728</v>
      </c>
      <c r="AG1494" s="42" t="s">
        <v>6529</v>
      </c>
    </row>
    <row r="1495" spans="7:33" ht="15.75" customHeight="1">
      <c r="G1495" s="36"/>
      <c r="H1495" s="36"/>
      <c r="I1495" s="36"/>
      <c r="J1495" s="39"/>
      <c r="K1495" s="39"/>
      <c r="AF1495" s="42">
        <v>2228729</v>
      </c>
      <c r="AG1495" s="42" t="s">
        <v>6529</v>
      </c>
    </row>
    <row r="1496" spans="7:33" ht="15.75" customHeight="1">
      <c r="G1496" s="36"/>
      <c r="H1496" s="36"/>
      <c r="I1496" s="36"/>
      <c r="J1496" s="39"/>
      <c r="K1496" s="39"/>
      <c r="AF1496" s="42">
        <v>2228730</v>
      </c>
      <c r="AG1496" s="42" t="s">
        <v>6529</v>
      </c>
    </row>
    <row r="1497" spans="7:33" ht="15.75" customHeight="1">
      <c r="G1497" s="36"/>
      <c r="H1497" s="36"/>
      <c r="I1497" s="36"/>
      <c r="J1497" s="39"/>
      <c r="K1497" s="39"/>
      <c r="AF1497" s="42">
        <v>2228731</v>
      </c>
      <c r="AG1497" s="42" t="s">
        <v>6529</v>
      </c>
    </row>
    <row r="1498" spans="7:33" ht="15.75" customHeight="1">
      <c r="G1498" s="36"/>
      <c r="H1498" s="36"/>
      <c r="I1498" s="36"/>
      <c r="J1498" s="39"/>
      <c r="K1498" s="39"/>
      <c r="AF1498" s="42">
        <v>2228732</v>
      </c>
      <c r="AG1498" s="42" t="s">
        <v>6529</v>
      </c>
    </row>
    <row r="1499" spans="7:33" ht="15.75" customHeight="1">
      <c r="G1499" s="36"/>
      <c r="H1499" s="36"/>
      <c r="I1499" s="36"/>
      <c r="J1499" s="39"/>
      <c r="K1499" s="39"/>
      <c r="AF1499" s="42">
        <v>2228733</v>
      </c>
      <c r="AG1499" s="42" t="s">
        <v>6529</v>
      </c>
    </row>
    <row r="1500" spans="7:33" ht="15.75" customHeight="1">
      <c r="G1500" s="36"/>
      <c r="H1500" s="36"/>
      <c r="I1500" s="36"/>
      <c r="J1500" s="39"/>
      <c r="K1500" s="39"/>
      <c r="AF1500" s="42">
        <v>2228734</v>
      </c>
      <c r="AG1500" s="42" t="s">
        <v>6529</v>
      </c>
    </row>
    <row r="1501" spans="7:33" ht="15.75" customHeight="1">
      <c r="G1501" s="36"/>
      <c r="H1501" s="36"/>
      <c r="I1501" s="36"/>
      <c r="J1501" s="39"/>
      <c r="K1501" s="39"/>
      <c r="AF1501" s="42">
        <v>2228735</v>
      </c>
      <c r="AG1501" s="42" t="s">
        <v>6529</v>
      </c>
    </row>
    <row r="1502" spans="7:33" ht="15.75" customHeight="1">
      <c r="G1502" s="36"/>
      <c r="H1502" s="36"/>
      <c r="I1502" s="36"/>
      <c r="J1502" s="39"/>
      <c r="K1502" s="39"/>
      <c r="AF1502" s="42">
        <v>2228736</v>
      </c>
      <c r="AG1502" s="42" t="s">
        <v>6529</v>
      </c>
    </row>
    <row r="1503" spans="7:33" ht="15.75" customHeight="1">
      <c r="G1503" s="36"/>
      <c r="H1503" s="36"/>
      <c r="I1503" s="36"/>
      <c r="J1503" s="39"/>
      <c r="K1503" s="39"/>
      <c r="AF1503" s="42">
        <v>2228737</v>
      </c>
      <c r="AG1503" s="42" t="s">
        <v>6529</v>
      </c>
    </row>
    <row r="1504" spans="7:33" ht="15.75" customHeight="1">
      <c r="G1504" s="36"/>
      <c r="H1504" s="36"/>
      <c r="I1504" s="36"/>
      <c r="J1504" s="39"/>
      <c r="K1504" s="39"/>
      <c r="AF1504" s="42">
        <v>2228738</v>
      </c>
      <c r="AG1504" s="42" t="s">
        <v>6529</v>
      </c>
    </row>
    <row r="1505" spans="7:33" ht="15.75" customHeight="1">
      <c r="G1505" s="36"/>
      <c r="H1505" s="36"/>
      <c r="I1505" s="36"/>
      <c r="J1505" s="39"/>
      <c r="K1505" s="39"/>
      <c r="AF1505" s="42">
        <v>2228739</v>
      </c>
      <c r="AG1505" s="42" t="s">
        <v>6529</v>
      </c>
    </row>
    <row r="1506" spans="7:33" ht="15.75" customHeight="1">
      <c r="G1506" s="36"/>
      <c r="H1506" s="36"/>
      <c r="I1506" s="36"/>
      <c r="J1506" s="39"/>
      <c r="K1506" s="39"/>
      <c r="AF1506" s="42">
        <v>2229722</v>
      </c>
      <c r="AG1506" s="42" t="s">
        <v>6672</v>
      </c>
    </row>
    <row r="1507" spans="7:33" ht="15.75" customHeight="1">
      <c r="G1507" s="36"/>
      <c r="H1507" s="36"/>
      <c r="I1507" s="36"/>
      <c r="J1507" s="39"/>
      <c r="K1507" s="39"/>
      <c r="AF1507" s="42">
        <v>2235679</v>
      </c>
      <c r="AG1507" s="42" t="s">
        <v>6529</v>
      </c>
    </row>
    <row r="1508" spans="7:33" ht="15.75" customHeight="1">
      <c r="G1508" s="36"/>
      <c r="H1508" s="36"/>
      <c r="I1508" s="36"/>
      <c r="J1508" s="39"/>
      <c r="K1508" s="39"/>
      <c r="AF1508" s="42">
        <v>2235680</v>
      </c>
      <c r="AG1508" s="42" t="s">
        <v>6529</v>
      </c>
    </row>
    <row r="1509" spans="7:33" ht="15.75" customHeight="1">
      <c r="G1509" s="36"/>
      <c r="H1509" s="36"/>
      <c r="I1509" s="36"/>
      <c r="J1509" s="39"/>
      <c r="K1509" s="39"/>
      <c r="AF1509" s="42">
        <v>2235681</v>
      </c>
      <c r="AG1509" s="42" t="s">
        <v>6529</v>
      </c>
    </row>
    <row r="1510" spans="7:33" ht="15.75" customHeight="1">
      <c r="G1510" s="36"/>
      <c r="H1510" s="36"/>
      <c r="I1510" s="36"/>
      <c r="J1510" s="39"/>
      <c r="K1510" s="39"/>
      <c r="AF1510" s="42">
        <v>2235685</v>
      </c>
      <c r="AG1510" s="42" t="s">
        <v>6529</v>
      </c>
    </row>
    <row r="1511" spans="7:33" ht="15.75" customHeight="1">
      <c r="G1511" s="36"/>
      <c r="H1511" s="36"/>
      <c r="I1511" s="36"/>
      <c r="J1511" s="39"/>
      <c r="K1511" s="39"/>
      <c r="AF1511" s="42">
        <v>2235686</v>
      </c>
      <c r="AG1511" s="42" t="s">
        <v>6529</v>
      </c>
    </row>
    <row r="1512" spans="7:33" ht="15.75" customHeight="1">
      <c r="G1512" s="36"/>
      <c r="H1512" s="36"/>
      <c r="I1512" s="36"/>
      <c r="J1512" s="39"/>
      <c r="K1512" s="39"/>
      <c r="AF1512" s="42">
        <v>2235693</v>
      </c>
      <c r="AG1512" s="42" t="s">
        <v>6529</v>
      </c>
    </row>
    <row r="1513" spans="7:33" ht="15.75" customHeight="1">
      <c r="G1513" s="36"/>
      <c r="H1513" s="36"/>
      <c r="I1513" s="36"/>
      <c r="J1513" s="39"/>
      <c r="K1513" s="39"/>
      <c r="AF1513" s="42">
        <v>2235795</v>
      </c>
      <c r="AG1513" s="42" t="s">
        <v>6529</v>
      </c>
    </row>
    <row r="1514" spans="7:33" ht="15.75" customHeight="1">
      <c r="G1514" s="36"/>
      <c r="H1514" s="36"/>
      <c r="I1514" s="36"/>
      <c r="J1514" s="39"/>
      <c r="K1514" s="39"/>
      <c r="AF1514" s="42">
        <v>2235798</v>
      </c>
      <c r="AG1514" s="42" t="s">
        <v>6529</v>
      </c>
    </row>
    <row r="1515" spans="7:33" ht="15.75" customHeight="1">
      <c r="G1515" s="36"/>
      <c r="H1515" s="36"/>
      <c r="I1515" s="36"/>
      <c r="J1515" s="39"/>
      <c r="K1515" s="39"/>
      <c r="AF1515" s="42">
        <v>2235800</v>
      </c>
      <c r="AG1515" s="42" t="s">
        <v>6529</v>
      </c>
    </row>
    <row r="1516" spans="7:33" ht="15.75" customHeight="1">
      <c r="G1516" s="36"/>
      <c r="H1516" s="36"/>
      <c r="I1516" s="36"/>
      <c r="J1516" s="39"/>
      <c r="K1516" s="39"/>
      <c r="AF1516" s="42">
        <v>2236030</v>
      </c>
      <c r="AG1516" s="42" t="s">
        <v>6673</v>
      </c>
    </row>
    <row r="1517" spans="7:33" ht="15.75" customHeight="1">
      <c r="G1517" s="36"/>
      <c r="H1517" s="36"/>
      <c r="I1517" s="36"/>
      <c r="J1517" s="39"/>
      <c r="K1517" s="39"/>
      <c r="AF1517" s="42">
        <v>2236031</v>
      </c>
      <c r="AG1517" s="42" t="s">
        <v>6673</v>
      </c>
    </row>
    <row r="1518" spans="7:33" ht="15.75" customHeight="1">
      <c r="G1518" s="36"/>
      <c r="H1518" s="36"/>
      <c r="I1518" s="36"/>
      <c r="J1518" s="39"/>
      <c r="K1518" s="39"/>
      <c r="AF1518" s="42">
        <v>2236035</v>
      </c>
      <c r="AG1518" s="42" t="s">
        <v>6673</v>
      </c>
    </row>
    <row r="1519" spans="7:33" ht="15.75" customHeight="1">
      <c r="G1519" s="36"/>
      <c r="H1519" s="36"/>
      <c r="I1519" s="36"/>
      <c r="J1519" s="39"/>
      <c r="K1519" s="39"/>
      <c r="AF1519" s="42">
        <v>2236036</v>
      </c>
      <c r="AG1519" s="42" t="s">
        <v>6673</v>
      </c>
    </row>
    <row r="1520" spans="7:33" ht="15.75" customHeight="1">
      <c r="G1520" s="36"/>
      <c r="H1520" s="36"/>
      <c r="I1520" s="36"/>
      <c r="J1520" s="39"/>
      <c r="K1520" s="39"/>
      <c r="AF1520" s="42">
        <v>2236038</v>
      </c>
      <c r="AG1520" s="42" t="s">
        <v>6673</v>
      </c>
    </row>
    <row r="1521" spans="7:33" ht="15.75" customHeight="1">
      <c r="G1521" s="36"/>
      <c r="H1521" s="36"/>
      <c r="I1521" s="36"/>
      <c r="J1521" s="39"/>
      <c r="K1521" s="39"/>
      <c r="AF1521" s="42">
        <v>2236040</v>
      </c>
      <c r="AG1521" s="42" t="s">
        <v>6673</v>
      </c>
    </row>
    <row r="1522" spans="7:33" ht="15.75" customHeight="1">
      <c r="G1522" s="36"/>
      <c r="H1522" s="36"/>
      <c r="I1522" s="36"/>
      <c r="J1522" s="39"/>
      <c r="K1522" s="39"/>
      <c r="AF1522" s="42">
        <v>2236041</v>
      </c>
      <c r="AG1522" s="42" t="s">
        <v>6673</v>
      </c>
    </row>
    <row r="1523" spans="7:33" ht="15.75" customHeight="1">
      <c r="G1523" s="36"/>
      <c r="H1523" s="36"/>
      <c r="I1523" s="36"/>
      <c r="J1523" s="39"/>
      <c r="K1523" s="39"/>
      <c r="AF1523" s="42">
        <v>2236042</v>
      </c>
      <c r="AG1523" s="42" t="s">
        <v>6673</v>
      </c>
    </row>
    <row r="1524" spans="7:33" ht="15.75" customHeight="1">
      <c r="G1524" s="36"/>
      <c r="H1524" s="36"/>
      <c r="I1524" s="36"/>
      <c r="J1524" s="39"/>
      <c r="K1524" s="39"/>
      <c r="AF1524" s="42">
        <v>2236043</v>
      </c>
      <c r="AG1524" s="42" t="s">
        <v>6673</v>
      </c>
    </row>
    <row r="1525" spans="7:33" ht="15.75" customHeight="1">
      <c r="G1525" s="36"/>
      <c r="H1525" s="36"/>
      <c r="I1525" s="36"/>
      <c r="J1525" s="39"/>
      <c r="K1525" s="39"/>
      <c r="AF1525" s="42">
        <v>2236044</v>
      </c>
      <c r="AG1525" s="42" t="s">
        <v>6673</v>
      </c>
    </row>
    <row r="1526" spans="7:33" ht="15.75" customHeight="1">
      <c r="G1526" s="36"/>
      <c r="H1526" s="36"/>
      <c r="I1526" s="36"/>
      <c r="J1526" s="39"/>
      <c r="K1526" s="39"/>
      <c r="AF1526" s="42">
        <v>2236045</v>
      </c>
      <c r="AG1526" s="42" t="s">
        <v>6673</v>
      </c>
    </row>
    <row r="1527" spans="7:33" ht="15.75" customHeight="1">
      <c r="G1527" s="36"/>
      <c r="H1527" s="36"/>
      <c r="I1527" s="36"/>
      <c r="J1527" s="39"/>
      <c r="K1527" s="39"/>
      <c r="AF1527" s="42">
        <v>2236046</v>
      </c>
      <c r="AG1527" s="42" t="s">
        <v>6673</v>
      </c>
    </row>
    <row r="1528" spans="7:33" ht="15.75" customHeight="1">
      <c r="G1528" s="36"/>
      <c r="H1528" s="36"/>
      <c r="I1528" s="36"/>
      <c r="J1528" s="39"/>
      <c r="K1528" s="39"/>
      <c r="AF1528" s="42">
        <v>2236047</v>
      </c>
      <c r="AG1528" s="42" t="s">
        <v>6673</v>
      </c>
    </row>
    <row r="1529" spans="7:33" ht="15.75" customHeight="1">
      <c r="G1529" s="36"/>
      <c r="H1529" s="36"/>
      <c r="I1529" s="36"/>
      <c r="J1529" s="39"/>
      <c r="K1529" s="39"/>
      <c r="AF1529" s="42">
        <v>2236048</v>
      </c>
      <c r="AG1529" s="42" t="s">
        <v>6673</v>
      </c>
    </row>
    <row r="1530" spans="7:33" ht="15.75" customHeight="1">
      <c r="G1530" s="36"/>
      <c r="H1530" s="36"/>
      <c r="I1530" s="36"/>
      <c r="J1530" s="39"/>
      <c r="K1530" s="39"/>
      <c r="AF1530" s="42">
        <v>2236049</v>
      </c>
      <c r="AG1530" s="42" t="s">
        <v>6673</v>
      </c>
    </row>
    <row r="1531" spans="7:33" ht="15.75" customHeight="1">
      <c r="G1531" s="36"/>
      <c r="H1531" s="36"/>
      <c r="I1531" s="36"/>
      <c r="J1531" s="39"/>
      <c r="K1531" s="39"/>
      <c r="AF1531" s="42">
        <v>2239794</v>
      </c>
      <c r="AG1531" s="42" t="s">
        <v>6673</v>
      </c>
    </row>
    <row r="1532" spans="7:33" ht="15.75" customHeight="1">
      <c r="G1532" s="36"/>
      <c r="H1532" s="36"/>
      <c r="I1532" s="36"/>
      <c r="J1532" s="39"/>
      <c r="K1532" s="39"/>
      <c r="AF1532" s="42">
        <v>2239795</v>
      </c>
      <c r="AG1532" s="42" t="s">
        <v>6673</v>
      </c>
    </row>
    <row r="1533" spans="7:33" ht="15.75" customHeight="1">
      <c r="G1533" s="36"/>
      <c r="H1533" s="36"/>
      <c r="I1533" s="36"/>
      <c r="J1533" s="39"/>
      <c r="K1533" s="39"/>
      <c r="AF1533" s="42">
        <v>2239796</v>
      </c>
      <c r="AG1533" s="42" t="s">
        <v>6673</v>
      </c>
    </row>
    <row r="1534" spans="7:33" ht="15.75" customHeight="1">
      <c r="G1534" s="36"/>
      <c r="H1534" s="36"/>
      <c r="I1534" s="36"/>
      <c r="J1534" s="39"/>
      <c r="K1534" s="39"/>
      <c r="AF1534" s="42">
        <v>2239799</v>
      </c>
      <c r="AG1534" s="42" t="s">
        <v>6673</v>
      </c>
    </row>
    <row r="1535" spans="7:33" ht="15.75" customHeight="1">
      <c r="G1535" s="36"/>
      <c r="H1535" s="36"/>
      <c r="I1535" s="36"/>
      <c r="J1535" s="39"/>
      <c r="K1535" s="39"/>
      <c r="AF1535" s="42">
        <v>2239800</v>
      </c>
      <c r="AG1535" s="42" t="s">
        <v>6673</v>
      </c>
    </row>
    <row r="1536" spans="7:33" ht="15.75" customHeight="1">
      <c r="G1536" s="36"/>
      <c r="H1536" s="36"/>
      <c r="I1536" s="36"/>
      <c r="J1536" s="39"/>
      <c r="K1536" s="39"/>
      <c r="AF1536" s="42">
        <v>2239801</v>
      </c>
      <c r="AG1536" s="42" t="s">
        <v>6673</v>
      </c>
    </row>
    <row r="1537" spans="7:33" ht="15.75" customHeight="1">
      <c r="G1537" s="36"/>
      <c r="H1537" s="36"/>
      <c r="I1537" s="36"/>
      <c r="J1537" s="39"/>
      <c r="K1537" s="39"/>
      <c r="AF1537" s="42">
        <v>2239802</v>
      </c>
      <c r="AG1537" s="42" t="s">
        <v>6673</v>
      </c>
    </row>
    <row r="1538" spans="7:33" ht="15.75" customHeight="1">
      <c r="G1538" s="36"/>
      <c r="H1538" s="36"/>
      <c r="I1538" s="36"/>
      <c r="J1538" s="39"/>
      <c r="K1538" s="39"/>
      <c r="AF1538" s="42">
        <v>2239803</v>
      </c>
      <c r="AG1538" s="42" t="s">
        <v>6673</v>
      </c>
    </row>
    <row r="1539" spans="7:33" ht="15.75" customHeight="1">
      <c r="G1539" s="36"/>
      <c r="H1539" s="36"/>
      <c r="I1539" s="36"/>
      <c r="J1539" s="39"/>
      <c r="K1539" s="39"/>
      <c r="AF1539" s="42">
        <v>2239807</v>
      </c>
      <c r="AG1539" s="42" t="s">
        <v>6673</v>
      </c>
    </row>
    <row r="1540" spans="7:33" ht="15.75" customHeight="1">
      <c r="G1540" s="36"/>
      <c r="H1540" s="36"/>
      <c r="I1540" s="36"/>
      <c r="J1540" s="39"/>
      <c r="K1540" s="39"/>
      <c r="AF1540" s="42">
        <v>2239808</v>
      </c>
      <c r="AG1540" s="42" t="s">
        <v>6673</v>
      </c>
    </row>
    <row r="1541" spans="7:33" ht="15.75" customHeight="1">
      <c r="G1541" s="36"/>
      <c r="H1541" s="36"/>
      <c r="I1541" s="36"/>
      <c r="J1541" s="39"/>
      <c r="K1541" s="39"/>
      <c r="AF1541" s="42">
        <v>2239809</v>
      </c>
      <c r="AG1541" s="42" t="s">
        <v>6673</v>
      </c>
    </row>
    <row r="1542" spans="7:33" ht="15.75" customHeight="1">
      <c r="G1542" s="36"/>
      <c r="H1542" s="36"/>
      <c r="I1542" s="36"/>
      <c r="J1542" s="39"/>
      <c r="K1542" s="39"/>
      <c r="AF1542" s="42">
        <v>2239810</v>
      </c>
      <c r="AG1542" s="42" t="s">
        <v>6673</v>
      </c>
    </row>
    <row r="1543" spans="7:33" ht="15.75" customHeight="1">
      <c r="G1543" s="36"/>
      <c r="H1543" s="36"/>
      <c r="I1543" s="36"/>
      <c r="J1543" s="39"/>
      <c r="K1543" s="39"/>
      <c r="AF1543" s="42">
        <v>2239811</v>
      </c>
      <c r="AG1543" s="42" t="s">
        <v>6673</v>
      </c>
    </row>
    <row r="1544" spans="7:33" ht="15.75" customHeight="1">
      <c r="G1544" s="36"/>
      <c r="H1544" s="36"/>
      <c r="I1544" s="36"/>
      <c r="J1544" s="39"/>
      <c r="K1544" s="39"/>
      <c r="AF1544" s="42">
        <v>2239813</v>
      </c>
      <c r="AG1544" s="42" t="s">
        <v>6673</v>
      </c>
    </row>
    <row r="1545" spans="7:33" ht="15.75" customHeight="1">
      <c r="G1545" s="36"/>
      <c r="H1545" s="36"/>
      <c r="I1545" s="36"/>
      <c r="J1545" s="39"/>
      <c r="K1545" s="39"/>
      <c r="AF1545" s="42">
        <v>2239904</v>
      </c>
      <c r="AG1545" s="42" t="s">
        <v>6673</v>
      </c>
    </row>
    <row r="1546" spans="7:33" ht="15.75" customHeight="1">
      <c r="G1546" s="36"/>
      <c r="H1546" s="36"/>
      <c r="I1546" s="36"/>
      <c r="J1546" s="39"/>
      <c r="K1546" s="39"/>
      <c r="AF1546" s="42">
        <v>2239910</v>
      </c>
      <c r="AG1546" s="42" t="s">
        <v>6673</v>
      </c>
    </row>
    <row r="1547" spans="7:33" ht="15.75" customHeight="1">
      <c r="G1547" s="36"/>
      <c r="H1547" s="36"/>
      <c r="I1547" s="36"/>
      <c r="J1547" s="39"/>
      <c r="K1547" s="39"/>
      <c r="AF1547" s="42">
        <v>2239912</v>
      </c>
      <c r="AG1547" s="42" t="s">
        <v>6673</v>
      </c>
    </row>
    <row r="1548" spans="7:33" ht="15.75" customHeight="1">
      <c r="G1548" s="36"/>
      <c r="H1548" s="36"/>
      <c r="I1548" s="36"/>
      <c r="J1548" s="39"/>
      <c r="K1548" s="39"/>
      <c r="AF1548" s="42">
        <v>2239920</v>
      </c>
      <c r="AG1548" s="42" t="s">
        <v>6673</v>
      </c>
    </row>
    <row r="1549" spans="7:33" ht="15.75" customHeight="1">
      <c r="G1549" s="36"/>
      <c r="H1549" s="36"/>
      <c r="I1549" s="36"/>
      <c r="J1549" s="39"/>
      <c r="K1549" s="39"/>
      <c r="AF1549" s="42">
        <v>2239925</v>
      </c>
      <c r="AG1549" s="42" t="s">
        <v>6673</v>
      </c>
    </row>
    <row r="1550" spans="7:33" ht="15.75" customHeight="1">
      <c r="G1550" s="36"/>
      <c r="H1550" s="36"/>
      <c r="I1550" s="36"/>
      <c r="J1550" s="39"/>
      <c r="K1550" s="39"/>
      <c r="AF1550" s="42">
        <v>2239928</v>
      </c>
      <c r="AG1550" s="42" t="s">
        <v>6673</v>
      </c>
    </row>
    <row r="1551" spans="7:33" ht="15.75" customHeight="1">
      <c r="G1551" s="36"/>
      <c r="H1551" s="36"/>
      <c r="I1551" s="36"/>
      <c r="J1551" s="39"/>
      <c r="K1551" s="39"/>
      <c r="AF1551" s="42">
        <v>2252492</v>
      </c>
      <c r="AG1551" s="42" t="s">
        <v>6675</v>
      </c>
    </row>
    <row r="1552" spans="7:33" ht="15.75" customHeight="1">
      <c r="G1552" s="36"/>
      <c r="H1552" s="36"/>
      <c r="I1552" s="36"/>
      <c r="J1552" s="39"/>
      <c r="K1552" s="39"/>
      <c r="AF1552" s="42">
        <v>2252494</v>
      </c>
      <c r="AG1552" s="42" t="s">
        <v>6675</v>
      </c>
    </row>
    <row r="1553" spans="7:33" ht="15.75" customHeight="1">
      <c r="G1553" s="36"/>
      <c r="H1553" s="36"/>
      <c r="I1553" s="36"/>
      <c r="J1553" s="39"/>
      <c r="K1553" s="39"/>
      <c r="AF1553" s="42">
        <v>2255165</v>
      </c>
      <c r="AG1553" s="42" t="s">
        <v>6672</v>
      </c>
    </row>
    <row r="1554" spans="7:33" ht="15.75" customHeight="1">
      <c r="G1554" s="36"/>
      <c r="H1554" s="36"/>
      <c r="I1554" s="36"/>
      <c r="J1554" s="39"/>
      <c r="K1554" s="39"/>
      <c r="AF1554" s="42">
        <v>2255167</v>
      </c>
      <c r="AG1554" s="42" t="s">
        <v>6672</v>
      </c>
    </row>
    <row r="1555" spans="7:33" ht="15.75" customHeight="1">
      <c r="G1555" s="36"/>
      <c r="H1555" s="36"/>
      <c r="I1555" s="36"/>
      <c r="J1555" s="39"/>
      <c r="K1555" s="39"/>
      <c r="AF1555" s="42">
        <v>2255168</v>
      </c>
      <c r="AG1555" s="42" t="s">
        <v>6672</v>
      </c>
    </row>
    <row r="1556" spans="7:33" ht="15.75" customHeight="1">
      <c r="G1556" s="36"/>
      <c r="H1556" s="36"/>
      <c r="I1556" s="36"/>
      <c r="J1556" s="39"/>
      <c r="K1556" s="39"/>
      <c r="AF1556" s="42">
        <v>2255172</v>
      </c>
      <c r="AG1556" s="42" t="s">
        <v>6672</v>
      </c>
    </row>
    <row r="1557" spans="7:33" ht="15.75" customHeight="1">
      <c r="G1557" s="36"/>
      <c r="H1557" s="36"/>
      <c r="I1557" s="36"/>
      <c r="J1557" s="39"/>
      <c r="K1557" s="39"/>
      <c r="AF1557" s="42">
        <v>5001440</v>
      </c>
      <c r="AG1557" s="42" t="s">
        <v>6677</v>
      </c>
    </row>
    <row r="1558" spans="7:33" ht="15.75" customHeight="1">
      <c r="G1558" s="36"/>
      <c r="H1558" s="36"/>
      <c r="I1558" s="36"/>
      <c r="J1558" s="39"/>
      <c r="K1558" s="39"/>
      <c r="AF1558" s="42">
        <v>5001441</v>
      </c>
      <c r="AG1558" s="42" t="s">
        <v>6677</v>
      </c>
    </row>
    <row r="1559" spans="7:33" ht="15.75" customHeight="1">
      <c r="G1559" s="36"/>
      <c r="H1559" s="36"/>
      <c r="I1559" s="36"/>
      <c r="J1559" s="39"/>
      <c r="K1559" s="39"/>
      <c r="AF1559" s="42">
        <v>5001442</v>
      </c>
      <c r="AG1559" s="42" t="s">
        <v>6677</v>
      </c>
    </row>
    <row r="1560" spans="7:33" ht="15.75" customHeight="1">
      <c r="G1560" s="36"/>
      <c r="H1560" s="36"/>
      <c r="I1560" s="36"/>
      <c r="J1560" s="39"/>
      <c r="K1560" s="39"/>
      <c r="AF1560" s="42">
        <v>5001443</v>
      </c>
      <c r="AG1560" s="42" t="s">
        <v>6677</v>
      </c>
    </row>
    <row r="1561" spans="7:33" ht="15.75" customHeight="1">
      <c r="G1561" s="36"/>
      <c r="H1561" s="36"/>
      <c r="I1561" s="36"/>
      <c r="J1561" s="39"/>
      <c r="K1561" s="39"/>
      <c r="AF1561" s="42">
        <v>5001444</v>
      </c>
      <c r="AG1561" s="42" t="s">
        <v>6677</v>
      </c>
    </row>
    <row r="1562" spans="7:33" ht="15.75" customHeight="1">
      <c r="G1562" s="36"/>
      <c r="H1562" s="36"/>
      <c r="I1562" s="36"/>
      <c r="J1562" s="39"/>
      <c r="K1562" s="39"/>
      <c r="AF1562" s="42">
        <v>5001445</v>
      </c>
      <c r="AG1562" s="42" t="s">
        <v>6677</v>
      </c>
    </row>
    <row r="1563" spans="7:33" ht="15.75" customHeight="1">
      <c r="G1563" s="36"/>
      <c r="H1563" s="36"/>
      <c r="I1563" s="36"/>
      <c r="J1563" s="39"/>
      <c r="K1563" s="39"/>
      <c r="AF1563" s="42">
        <v>5001446</v>
      </c>
      <c r="AG1563" s="42" t="s">
        <v>6677</v>
      </c>
    </row>
    <row r="1564" spans="7:33" ht="15.75" customHeight="1">
      <c r="G1564" s="36"/>
      <c r="H1564" s="36"/>
      <c r="I1564" s="36"/>
      <c r="J1564" s="39"/>
      <c r="K1564" s="39"/>
      <c r="AF1564" s="42">
        <v>5001447</v>
      </c>
      <c r="AG1564" s="42" t="s">
        <v>6677</v>
      </c>
    </row>
    <row r="1565" spans="7:33" ht="15.75" customHeight="1">
      <c r="G1565" s="36"/>
      <c r="H1565" s="36"/>
      <c r="I1565" s="36"/>
      <c r="J1565" s="39"/>
      <c r="K1565" s="39"/>
      <c r="AF1565" s="42">
        <v>5001448</v>
      </c>
      <c r="AG1565" s="42" t="s">
        <v>6677</v>
      </c>
    </row>
    <row r="1566" spans="7:33" ht="15.75" customHeight="1">
      <c r="G1566" s="36"/>
      <c r="H1566" s="36"/>
      <c r="I1566" s="36"/>
      <c r="J1566" s="39"/>
      <c r="K1566" s="39"/>
      <c r="AF1566" s="42">
        <v>5001449</v>
      </c>
      <c r="AG1566" s="42" t="s">
        <v>6677</v>
      </c>
    </row>
    <row r="1567" spans="7:33" ht="15.75" customHeight="1">
      <c r="G1567" s="36"/>
      <c r="H1567" s="36"/>
      <c r="I1567" s="36"/>
      <c r="J1567" s="39"/>
      <c r="K1567" s="39"/>
      <c r="AF1567" s="42">
        <v>5001450</v>
      </c>
      <c r="AG1567" s="42" t="s">
        <v>6677</v>
      </c>
    </row>
    <row r="1568" spans="7:33" ht="15.75" customHeight="1">
      <c r="G1568" s="36"/>
      <c r="H1568" s="36"/>
      <c r="I1568" s="36"/>
      <c r="J1568" s="39"/>
      <c r="K1568" s="39"/>
      <c r="AF1568" s="42">
        <v>5001451</v>
      </c>
      <c r="AG1568" s="42" t="s">
        <v>6677</v>
      </c>
    </row>
    <row r="1569" spans="7:33" ht="15.75" customHeight="1">
      <c r="G1569" s="36"/>
      <c r="H1569" s="36"/>
      <c r="I1569" s="36"/>
      <c r="J1569" s="39"/>
      <c r="K1569" s="39"/>
      <c r="AF1569" s="42">
        <v>5001452</v>
      </c>
      <c r="AG1569" s="42" t="s">
        <v>6677</v>
      </c>
    </row>
    <row r="1570" spans="7:33" ht="15.75" customHeight="1">
      <c r="G1570" s="36"/>
      <c r="H1570" s="36"/>
      <c r="I1570" s="36"/>
      <c r="J1570" s="39"/>
      <c r="K1570" s="39"/>
      <c r="AF1570" s="42">
        <v>5001453</v>
      </c>
      <c r="AG1570" s="42" t="s">
        <v>6677</v>
      </c>
    </row>
    <row r="1571" spans="7:33" ht="15.75" customHeight="1">
      <c r="G1571" s="36"/>
      <c r="H1571" s="36"/>
      <c r="I1571" s="36"/>
      <c r="J1571" s="39"/>
      <c r="K1571" s="39"/>
      <c r="AF1571" s="42">
        <v>5001454</v>
      </c>
      <c r="AG1571" s="42" t="s">
        <v>6677</v>
      </c>
    </row>
    <row r="1572" spans="7:33" ht="15.75" customHeight="1">
      <c r="G1572" s="36"/>
      <c r="H1572" s="36"/>
      <c r="I1572" s="36"/>
      <c r="J1572" s="39"/>
      <c r="K1572" s="39"/>
      <c r="AF1572" s="42">
        <v>5001455</v>
      </c>
      <c r="AG1572" s="42" t="s">
        <v>6677</v>
      </c>
    </row>
    <row r="1573" spans="7:33" ht="15.75" customHeight="1">
      <c r="G1573" s="36"/>
      <c r="H1573" s="36"/>
      <c r="I1573" s="36"/>
      <c r="J1573" s="39"/>
      <c r="K1573" s="39"/>
      <c r="AF1573" s="42">
        <v>5001456</v>
      </c>
      <c r="AG1573" s="42" t="s">
        <v>6677</v>
      </c>
    </row>
    <row r="1574" spans="7:33" ht="15.75" customHeight="1">
      <c r="G1574" s="36"/>
      <c r="H1574" s="36"/>
      <c r="I1574" s="36"/>
      <c r="J1574" s="39"/>
      <c r="K1574" s="39"/>
      <c r="AF1574" s="42">
        <v>5001457</v>
      </c>
      <c r="AG1574" s="42" t="s">
        <v>6677</v>
      </c>
    </row>
    <row r="1575" spans="7:33" ht="15.75" customHeight="1">
      <c r="G1575" s="36"/>
      <c r="H1575" s="36"/>
      <c r="I1575" s="36"/>
      <c r="J1575" s="39"/>
      <c r="K1575" s="39"/>
      <c r="AF1575" s="42">
        <v>5001458</v>
      </c>
      <c r="AG1575" s="42" t="s">
        <v>6677</v>
      </c>
    </row>
    <row r="1576" spans="7:33" ht="15.75" customHeight="1">
      <c r="G1576" s="36"/>
      <c r="H1576" s="36"/>
      <c r="I1576" s="36"/>
      <c r="J1576" s="39"/>
      <c r="K1576" s="39"/>
      <c r="AF1576" s="42">
        <v>5001459</v>
      </c>
      <c r="AG1576" s="42" t="s">
        <v>6677</v>
      </c>
    </row>
    <row r="1577" spans="7:33" ht="15.75" customHeight="1">
      <c r="G1577" s="36"/>
      <c r="H1577" s="36"/>
      <c r="I1577" s="36"/>
      <c r="J1577" s="39"/>
      <c r="K1577" s="39"/>
      <c r="AF1577" s="42">
        <v>5001460</v>
      </c>
      <c r="AG1577" s="42" t="s">
        <v>6677</v>
      </c>
    </row>
    <row r="1578" spans="7:33" ht="15.75" customHeight="1">
      <c r="G1578" s="36"/>
      <c r="H1578" s="36"/>
      <c r="I1578" s="36"/>
      <c r="J1578" s="39"/>
      <c r="K1578" s="39"/>
      <c r="AF1578" s="42">
        <v>5001461</v>
      </c>
      <c r="AG1578" s="42" t="s">
        <v>6677</v>
      </c>
    </row>
    <row r="1579" spans="7:33" ht="15.75" customHeight="1">
      <c r="G1579" s="36"/>
      <c r="H1579" s="36"/>
      <c r="I1579" s="36"/>
      <c r="J1579" s="39"/>
      <c r="K1579" s="39"/>
      <c r="AF1579" s="42">
        <v>5001462</v>
      </c>
      <c r="AG1579" s="42" t="s">
        <v>6677</v>
      </c>
    </row>
    <row r="1580" spans="7:33" ht="15.75" customHeight="1">
      <c r="G1580" s="36"/>
      <c r="H1580" s="36"/>
      <c r="I1580" s="36"/>
      <c r="J1580" s="39"/>
      <c r="K1580" s="39"/>
      <c r="AF1580" s="42">
        <v>5001463</v>
      </c>
      <c r="AG1580" s="42" t="s">
        <v>6677</v>
      </c>
    </row>
    <row r="1581" spans="7:33" ht="15.75" customHeight="1">
      <c r="G1581" s="36"/>
      <c r="H1581" s="36"/>
      <c r="I1581" s="36"/>
      <c r="J1581" s="39"/>
      <c r="K1581" s="39"/>
      <c r="AF1581" s="42">
        <v>5001464</v>
      </c>
      <c r="AG1581" s="42" t="s">
        <v>6677</v>
      </c>
    </row>
    <row r="1582" spans="7:33" ht="15.75" customHeight="1">
      <c r="G1582" s="36"/>
      <c r="H1582" s="36"/>
      <c r="I1582" s="36"/>
      <c r="J1582" s="39"/>
      <c r="K1582" s="39"/>
      <c r="AF1582" s="42">
        <v>5001465</v>
      </c>
      <c r="AG1582" s="42" t="s">
        <v>6677</v>
      </c>
    </row>
    <row r="1583" spans="7:33" ht="15.75" customHeight="1">
      <c r="G1583" s="36"/>
      <c r="H1583" s="36"/>
      <c r="I1583" s="36"/>
      <c r="J1583" s="39"/>
      <c r="K1583" s="39"/>
      <c r="AF1583" s="42">
        <v>5001466</v>
      </c>
      <c r="AG1583" s="42" t="s">
        <v>6677</v>
      </c>
    </row>
    <row r="1584" spans="7:33" ht="15.75" customHeight="1">
      <c r="G1584" s="36"/>
      <c r="H1584" s="36"/>
      <c r="I1584" s="36"/>
      <c r="J1584" s="39"/>
      <c r="K1584" s="39"/>
      <c r="AF1584" s="42">
        <v>5001467</v>
      </c>
      <c r="AG1584" s="42" t="s">
        <v>6677</v>
      </c>
    </row>
    <row r="1585" spans="7:33" ht="15.75" customHeight="1">
      <c r="G1585" s="36"/>
      <c r="H1585" s="36"/>
      <c r="I1585" s="36"/>
      <c r="J1585" s="39"/>
      <c r="K1585" s="39"/>
      <c r="AF1585" s="42">
        <v>5001468</v>
      </c>
      <c r="AG1585" s="42" t="s">
        <v>6677</v>
      </c>
    </row>
    <row r="1586" spans="7:33" ht="15.75" customHeight="1">
      <c r="G1586" s="36"/>
      <c r="H1586" s="36"/>
      <c r="I1586" s="36"/>
      <c r="J1586" s="39"/>
      <c r="K1586" s="39"/>
      <c r="AF1586" s="42">
        <v>5001469</v>
      </c>
      <c r="AG1586" s="42" t="s">
        <v>6677</v>
      </c>
    </row>
    <row r="1587" spans="7:33" ht="15.75" customHeight="1">
      <c r="G1587" s="36"/>
      <c r="H1587" s="36"/>
      <c r="I1587" s="36"/>
      <c r="J1587" s="39"/>
      <c r="K1587" s="39"/>
      <c r="AF1587" s="42">
        <v>5001470</v>
      </c>
      <c r="AG1587" s="42" t="s">
        <v>6677</v>
      </c>
    </row>
    <row r="1588" spans="7:33" ht="15.75" customHeight="1">
      <c r="G1588" s="36"/>
      <c r="H1588" s="36"/>
      <c r="I1588" s="36"/>
      <c r="J1588" s="39"/>
      <c r="K1588" s="39"/>
      <c r="AF1588" s="42">
        <v>5001471</v>
      </c>
      <c r="AG1588" s="42" t="s">
        <v>6677</v>
      </c>
    </row>
    <row r="1589" spans="7:33" ht="15.75" customHeight="1">
      <c r="G1589" s="36"/>
      <c r="H1589" s="36"/>
      <c r="I1589" s="36"/>
      <c r="J1589" s="39"/>
      <c r="K1589" s="39"/>
      <c r="AF1589" s="42">
        <v>5001472</v>
      </c>
      <c r="AG1589" s="42" t="s">
        <v>6677</v>
      </c>
    </row>
    <row r="1590" spans="7:33" ht="15.75" customHeight="1">
      <c r="G1590" s="36"/>
      <c r="H1590" s="36"/>
      <c r="I1590" s="36"/>
      <c r="J1590" s="39"/>
      <c r="K1590" s="39"/>
      <c r="AF1590" s="42">
        <v>5001473</v>
      </c>
      <c r="AG1590" s="42" t="s">
        <v>6677</v>
      </c>
    </row>
    <row r="1591" spans="7:33" ht="15.75" customHeight="1">
      <c r="G1591" s="36"/>
      <c r="H1591" s="36"/>
      <c r="I1591" s="36"/>
      <c r="J1591" s="39"/>
      <c r="K1591" s="39"/>
      <c r="AF1591" s="42">
        <v>5001474</v>
      </c>
      <c r="AG1591" s="42" t="s">
        <v>6677</v>
      </c>
    </row>
    <row r="1592" spans="7:33" ht="15.75" customHeight="1">
      <c r="G1592" s="36"/>
      <c r="H1592" s="36"/>
      <c r="I1592" s="36"/>
      <c r="J1592" s="39"/>
      <c r="K1592" s="39"/>
      <c r="AF1592" s="42">
        <v>5001475</v>
      </c>
      <c r="AG1592" s="42" t="s">
        <v>6677</v>
      </c>
    </row>
    <row r="1593" spans="7:33" ht="15.75" customHeight="1">
      <c r="G1593" s="36"/>
      <c r="H1593" s="36"/>
      <c r="I1593" s="36"/>
      <c r="J1593" s="39"/>
      <c r="K1593" s="39"/>
      <c r="AF1593" s="42">
        <v>5001476</v>
      </c>
      <c r="AG1593" s="42" t="s">
        <v>6677</v>
      </c>
    </row>
    <row r="1594" spans="7:33" ht="15.75" customHeight="1">
      <c r="G1594" s="36"/>
      <c r="H1594" s="36"/>
      <c r="I1594" s="36"/>
      <c r="J1594" s="39"/>
      <c r="K1594" s="39"/>
      <c r="AF1594" s="42">
        <v>5001477</v>
      </c>
      <c r="AG1594" s="42" t="s">
        <v>6677</v>
      </c>
    </row>
    <row r="1595" spans="7:33" ht="15.75" customHeight="1">
      <c r="G1595" s="36"/>
      <c r="H1595" s="36"/>
      <c r="I1595" s="36"/>
      <c r="J1595" s="39"/>
      <c r="K1595" s="39"/>
      <c r="AF1595" s="42">
        <v>5001478</v>
      </c>
      <c r="AG1595" s="42" t="s">
        <v>6677</v>
      </c>
    </row>
    <row r="1596" spans="7:33" ht="15.75" customHeight="1">
      <c r="G1596" s="36"/>
      <c r="H1596" s="36"/>
      <c r="I1596" s="36"/>
      <c r="J1596" s="39"/>
      <c r="K1596" s="39"/>
      <c r="AF1596" s="42">
        <v>5001479</v>
      </c>
      <c r="AG1596" s="42" t="s">
        <v>6677</v>
      </c>
    </row>
    <row r="1597" spans="7:33" ht="15.75" customHeight="1">
      <c r="G1597" s="36"/>
      <c r="H1597" s="36"/>
      <c r="I1597" s="36"/>
      <c r="J1597" s="39"/>
      <c r="K1597" s="39"/>
      <c r="AF1597" s="42">
        <v>5001843</v>
      </c>
      <c r="AG1597" s="42" t="s">
        <v>6677</v>
      </c>
    </row>
    <row r="1598" spans="7:33" ht="15.75" customHeight="1">
      <c r="G1598" s="36"/>
      <c r="H1598" s="36"/>
      <c r="I1598" s="36"/>
      <c r="J1598" s="39"/>
      <c r="K1598" s="39"/>
      <c r="AF1598" s="42">
        <v>5003022</v>
      </c>
      <c r="AG1598" s="42" t="s">
        <v>6677</v>
      </c>
    </row>
    <row r="1599" spans="7:33" ht="15.75" customHeight="1">
      <c r="G1599" s="36"/>
      <c r="H1599" s="36"/>
      <c r="I1599" s="36"/>
      <c r="J1599" s="39"/>
      <c r="K1599" s="39"/>
      <c r="AF1599" s="42">
        <v>5003023</v>
      </c>
      <c r="AG1599" s="42" t="s">
        <v>6677</v>
      </c>
    </row>
    <row r="1600" spans="7:33" ht="15.75" customHeight="1">
      <c r="G1600" s="36"/>
      <c r="H1600" s="36"/>
      <c r="I1600" s="36"/>
      <c r="J1600" s="39"/>
      <c r="K1600" s="39"/>
      <c r="AF1600" s="42">
        <v>5003045</v>
      </c>
      <c r="AG1600" s="42" t="s">
        <v>6677</v>
      </c>
    </row>
    <row r="1601" spans="7:33" ht="15.75" customHeight="1">
      <c r="G1601" s="36"/>
      <c r="H1601" s="36"/>
      <c r="I1601" s="36"/>
      <c r="J1601" s="39"/>
      <c r="K1601" s="39"/>
      <c r="AF1601" s="42">
        <v>5003047</v>
      </c>
      <c r="AG1601" s="42" t="s">
        <v>6677</v>
      </c>
    </row>
    <row r="1602" spans="7:33" ht="15.75" customHeight="1">
      <c r="G1602" s="36"/>
      <c r="H1602" s="36"/>
      <c r="I1602" s="36"/>
      <c r="J1602" s="39"/>
      <c r="K1602" s="39"/>
      <c r="AF1602" s="42">
        <v>5003048</v>
      </c>
      <c r="AG1602" s="42" t="s">
        <v>6677</v>
      </c>
    </row>
    <row r="1603" spans="7:33" ht="15.75" customHeight="1">
      <c r="G1603" s="36"/>
      <c r="H1603" s="36"/>
      <c r="I1603" s="36"/>
      <c r="J1603" s="39"/>
      <c r="K1603" s="39"/>
      <c r="AF1603" s="42">
        <v>5003089</v>
      </c>
      <c r="AG1603" s="42" t="s">
        <v>6677</v>
      </c>
    </row>
    <row r="1604" spans="7:33" ht="15.75" customHeight="1">
      <c r="G1604" s="36"/>
      <c r="H1604" s="36"/>
      <c r="I1604" s="36"/>
      <c r="J1604" s="39"/>
      <c r="K1604" s="39"/>
      <c r="AF1604" s="42">
        <v>5004781</v>
      </c>
      <c r="AG1604" s="42" t="s">
        <v>6677</v>
      </c>
    </row>
    <row r="1605" spans="7:33" ht="15.75" customHeight="1">
      <c r="G1605" s="36"/>
      <c r="H1605" s="36"/>
      <c r="I1605" s="36"/>
      <c r="J1605" s="39"/>
      <c r="K1605" s="39"/>
      <c r="AF1605" s="42">
        <v>5004782</v>
      </c>
      <c r="AG1605" s="42" t="s">
        <v>6677</v>
      </c>
    </row>
    <row r="1606" spans="7:33" ht="15.75" customHeight="1">
      <c r="G1606" s="36"/>
      <c r="H1606" s="36"/>
      <c r="I1606" s="36"/>
      <c r="J1606" s="39"/>
      <c r="K1606" s="39"/>
      <c r="AF1606" s="42">
        <v>5004783</v>
      </c>
      <c r="AG1606" s="42" t="s">
        <v>6677</v>
      </c>
    </row>
    <row r="1607" spans="7:33" ht="15.75" customHeight="1">
      <c r="G1607" s="36"/>
      <c r="H1607" s="36"/>
      <c r="I1607" s="36"/>
      <c r="J1607" s="39"/>
      <c r="K1607" s="39"/>
      <c r="AF1607" s="42">
        <v>5004784</v>
      </c>
      <c r="AG1607" s="42" t="s">
        <v>6677</v>
      </c>
    </row>
    <row r="1608" spans="7:33" ht="15.75" customHeight="1">
      <c r="G1608" s="36"/>
      <c r="H1608" s="36"/>
      <c r="I1608" s="36"/>
      <c r="J1608" s="39"/>
      <c r="K1608" s="39"/>
      <c r="AF1608" s="42">
        <v>5006420</v>
      </c>
      <c r="AG1608" s="42" t="s">
        <v>6677</v>
      </c>
    </row>
    <row r="1609" spans="7:33" ht="15.75" customHeight="1">
      <c r="G1609" s="36"/>
      <c r="H1609" s="36"/>
      <c r="I1609" s="36"/>
      <c r="J1609" s="39"/>
      <c r="K1609" s="39"/>
      <c r="AF1609" s="42">
        <v>5006421</v>
      </c>
      <c r="AG1609" s="42" t="s">
        <v>6677</v>
      </c>
    </row>
    <row r="1610" spans="7:33" ht="15.75" customHeight="1">
      <c r="G1610" s="36"/>
      <c r="H1610" s="36"/>
      <c r="I1610" s="36"/>
      <c r="J1610" s="39"/>
      <c r="K1610" s="39"/>
      <c r="AF1610" s="42">
        <v>5006422</v>
      </c>
      <c r="AG1610" s="42" t="s">
        <v>6677</v>
      </c>
    </row>
    <row r="1611" spans="7:33" ht="15.75" customHeight="1">
      <c r="G1611" s="36"/>
      <c r="H1611" s="36"/>
      <c r="I1611" s="36"/>
      <c r="J1611" s="39"/>
      <c r="K1611" s="39"/>
      <c r="AF1611" s="42">
        <v>5006423</v>
      </c>
      <c r="AG1611" s="42" t="s">
        <v>6677</v>
      </c>
    </row>
    <row r="1612" spans="7:33" ht="15.75" customHeight="1">
      <c r="G1612" s="36"/>
      <c r="H1612" s="36"/>
      <c r="I1612" s="36"/>
      <c r="J1612" s="39"/>
      <c r="K1612" s="39"/>
      <c r="AF1612" s="42">
        <v>5006424</v>
      </c>
      <c r="AG1612" s="42" t="s">
        <v>6677</v>
      </c>
    </row>
    <row r="1613" spans="7:33" ht="15.75" customHeight="1">
      <c r="G1613" s="36"/>
      <c r="H1613" s="36"/>
      <c r="I1613" s="36"/>
      <c r="J1613" s="39"/>
      <c r="K1613" s="39"/>
      <c r="AF1613" s="42">
        <v>5006425</v>
      </c>
      <c r="AG1613" s="42" t="s">
        <v>6677</v>
      </c>
    </row>
    <row r="1614" spans="7:33" ht="15.75" customHeight="1">
      <c r="G1614" s="36"/>
      <c r="H1614" s="36"/>
      <c r="I1614" s="36"/>
      <c r="J1614" s="39"/>
      <c r="K1614" s="39"/>
      <c r="AF1614" s="42">
        <v>5006426</v>
      </c>
      <c r="AG1614" s="42" t="s">
        <v>6677</v>
      </c>
    </row>
    <row r="1615" spans="7:33" ht="15.75" customHeight="1">
      <c r="G1615" s="36"/>
      <c r="H1615" s="36"/>
      <c r="I1615" s="36"/>
      <c r="J1615" s="39"/>
      <c r="K1615" s="39"/>
      <c r="AF1615" s="42">
        <v>5006427</v>
      </c>
      <c r="AG1615" s="42" t="s">
        <v>6677</v>
      </c>
    </row>
    <row r="1616" spans="7:33" ht="15.75" customHeight="1">
      <c r="G1616" s="36"/>
      <c r="H1616" s="36"/>
      <c r="I1616" s="36"/>
      <c r="J1616" s="39"/>
      <c r="K1616" s="39"/>
      <c r="AF1616" s="42">
        <v>5006428</v>
      </c>
      <c r="AG1616" s="42" t="s">
        <v>6677</v>
      </c>
    </row>
    <row r="1617" spans="7:33" ht="15.75" customHeight="1">
      <c r="G1617" s="36"/>
      <c r="H1617" s="36"/>
      <c r="I1617" s="36"/>
      <c r="J1617" s="39"/>
      <c r="K1617" s="39"/>
      <c r="AF1617" s="42">
        <v>5006429</v>
      </c>
      <c r="AG1617" s="42" t="s">
        <v>6677</v>
      </c>
    </row>
    <row r="1618" spans="7:33" ht="15.75" customHeight="1">
      <c r="G1618" s="36"/>
      <c r="H1618" s="36"/>
      <c r="I1618" s="36"/>
      <c r="J1618" s="39"/>
      <c r="K1618" s="39"/>
      <c r="AF1618" s="42">
        <v>5008416</v>
      </c>
      <c r="AG1618" s="42" t="s">
        <v>6683</v>
      </c>
    </row>
    <row r="1619" spans="7:33" ht="15.75" customHeight="1">
      <c r="G1619" s="36"/>
      <c r="H1619" s="36"/>
      <c r="I1619" s="36"/>
      <c r="J1619" s="39"/>
      <c r="K1619" s="39"/>
      <c r="AF1619" s="42">
        <v>5008417</v>
      </c>
      <c r="AG1619" s="42" t="s">
        <v>6683</v>
      </c>
    </row>
    <row r="1620" spans="7:33" ht="15.75" customHeight="1">
      <c r="G1620" s="36"/>
      <c r="H1620" s="36"/>
      <c r="I1620" s="36"/>
      <c r="J1620" s="39"/>
      <c r="K1620" s="39"/>
      <c r="AF1620" s="42">
        <v>5008418</v>
      </c>
      <c r="AG1620" s="42" t="s">
        <v>6683</v>
      </c>
    </row>
    <row r="1621" spans="7:33" ht="15.75" customHeight="1">
      <c r="G1621" s="36"/>
      <c r="H1621" s="36"/>
      <c r="I1621" s="36"/>
      <c r="J1621" s="39"/>
      <c r="K1621" s="39"/>
      <c r="AF1621" s="42">
        <v>5008419</v>
      </c>
      <c r="AG1621" s="42" t="s">
        <v>6683</v>
      </c>
    </row>
    <row r="1622" spans="7:33" ht="15.75" customHeight="1">
      <c r="G1622" s="36"/>
      <c r="H1622" s="36"/>
      <c r="I1622" s="36"/>
      <c r="J1622" s="39"/>
      <c r="K1622" s="39"/>
      <c r="AF1622" s="42">
        <v>5008420</v>
      </c>
      <c r="AG1622" s="42" t="s">
        <v>6683</v>
      </c>
    </row>
    <row r="1623" spans="7:33" ht="15.75" customHeight="1">
      <c r="G1623" s="36"/>
      <c r="H1623" s="36"/>
      <c r="I1623" s="36"/>
      <c r="J1623" s="39"/>
      <c r="K1623" s="39"/>
      <c r="AF1623" s="42">
        <v>5008421</v>
      </c>
      <c r="AG1623" s="42" t="s">
        <v>6683</v>
      </c>
    </row>
    <row r="1624" spans="7:33" ht="15.75" customHeight="1">
      <c r="G1624" s="36"/>
      <c r="H1624" s="36"/>
      <c r="I1624" s="36"/>
      <c r="J1624" s="39"/>
      <c r="K1624" s="39"/>
      <c r="AF1624" s="42">
        <v>5008422</v>
      </c>
      <c r="AG1624" s="42" t="s">
        <v>6683</v>
      </c>
    </row>
    <row r="1625" spans="7:33" ht="15.75" customHeight="1">
      <c r="G1625" s="36"/>
      <c r="H1625" s="36"/>
      <c r="I1625" s="36"/>
      <c r="J1625" s="39"/>
      <c r="K1625" s="39"/>
      <c r="AF1625" s="42">
        <v>5008423</v>
      </c>
      <c r="AG1625" s="42" t="s">
        <v>6683</v>
      </c>
    </row>
    <row r="1626" spans="7:33" ht="15.75" customHeight="1">
      <c r="G1626" s="36"/>
      <c r="H1626" s="36"/>
      <c r="I1626" s="36"/>
      <c r="J1626" s="39"/>
      <c r="K1626" s="39"/>
      <c r="AF1626" s="42">
        <v>5008424</v>
      </c>
      <c r="AG1626" s="42" t="s">
        <v>6683</v>
      </c>
    </row>
    <row r="1627" spans="7:33" ht="15.75" customHeight="1">
      <c r="G1627" s="36"/>
      <c r="H1627" s="36"/>
      <c r="I1627" s="36"/>
      <c r="J1627" s="39"/>
      <c r="K1627" s="39"/>
      <c r="AF1627" s="42">
        <v>5008425</v>
      </c>
      <c r="AG1627" s="42" t="s">
        <v>6683</v>
      </c>
    </row>
    <row r="1628" spans="7:33" ht="15.75" customHeight="1">
      <c r="G1628" s="36"/>
      <c r="H1628" s="36"/>
      <c r="I1628" s="36"/>
      <c r="J1628" s="39"/>
      <c r="K1628" s="39"/>
      <c r="AF1628" s="42">
        <v>5008426</v>
      </c>
      <c r="AG1628" s="42" t="s">
        <v>6683</v>
      </c>
    </row>
    <row r="1629" spans="7:33" ht="15.75" customHeight="1">
      <c r="G1629" s="36"/>
      <c r="H1629" s="36"/>
      <c r="I1629" s="36"/>
      <c r="J1629" s="39"/>
      <c r="K1629" s="39"/>
      <c r="AF1629" s="42">
        <v>5008427</v>
      </c>
      <c r="AG1629" s="42" t="s">
        <v>6683</v>
      </c>
    </row>
    <row r="1630" spans="7:33" ht="15.75" customHeight="1">
      <c r="G1630" s="36"/>
      <c r="H1630" s="36"/>
      <c r="I1630" s="36"/>
      <c r="J1630" s="39"/>
      <c r="K1630" s="39"/>
      <c r="AF1630" s="42">
        <v>5008428</v>
      </c>
      <c r="AG1630" s="42" t="s">
        <v>6683</v>
      </c>
    </row>
    <row r="1631" spans="7:33" ht="15.75" customHeight="1">
      <c r="G1631" s="36"/>
      <c r="H1631" s="36"/>
      <c r="I1631" s="36"/>
      <c r="J1631" s="39"/>
      <c r="K1631" s="39"/>
      <c r="AF1631" s="42">
        <v>5008430</v>
      </c>
      <c r="AG1631" s="42" t="s">
        <v>6683</v>
      </c>
    </row>
    <row r="1632" spans="7:33" ht="15.75" customHeight="1">
      <c r="G1632" s="36"/>
      <c r="H1632" s="36"/>
      <c r="I1632" s="36"/>
      <c r="J1632" s="39"/>
      <c r="K1632" s="39"/>
      <c r="AF1632" s="42">
        <v>5008432</v>
      </c>
      <c r="AG1632" s="42" t="s">
        <v>6683</v>
      </c>
    </row>
    <row r="1633" spans="7:33" ht="15.75" customHeight="1">
      <c r="G1633" s="36"/>
      <c r="H1633" s="36"/>
      <c r="I1633" s="36"/>
      <c r="J1633" s="39"/>
      <c r="K1633" s="39"/>
      <c r="AF1633" s="42">
        <v>5008433</v>
      </c>
      <c r="AG1633" s="42" t="s">
        <v>6683</v>
      </c>
    </row>
    <row r="1634" spans="7:33" ht="15.75" customHeight="1">
      <c r="G1634" s="36"/>
      <c r="H1634" s="36"/>
      <c r="I1634" s="36"/>
      <c r="J1634" s="39"/>
      <c r="K1634" s="39"/>
      <c r="AF1634" s="42">
        <v>5008434</v>
      </c>
      <c r="AG1634" s="42" t="s">
        <v>6683</v>
      </c>
    </row>
    <row r="1635" spans="7:33" ht="15.75" customHeight="1">
      <c r="G1635" s="36"/>
      <c r="H1635" s="36"/>
      <c r="I1635" s="36"/>
      <c r="J1635" s="39"/>
      <c r="K1635" s="39"/>
      <c r="AF1635" s="42">
        <v>5008435</v>
      </c>
      <c r="AG1635" s="42" t="s">
        <v>6683</v>
      </c>
    </row>
    <row r="1636" spans="7:33" ht="15.75" customHeight="1">
      <c r="G1636" s="36"/>
      <c r="H1636" s="36"/>
      <c r="I1636" s="36"/>
      <c r="J1636" s="39"/>
      <c r="K1636" s="39"/>
      <c r="AF1636" s="42">
        <v>5008436</v>
      </c>
      <c r="AG1636" s="42" t="s">
        <v>6683</v>
      </c>
    </row>
    <row r="1637" spans="7:33" ht="15.75" customHeight="1">
      <c r="G1637" s="36"/>
      <c r="H1637" s="36"/>
      <c r="I1637" s="36"/>
      <c r="J1637" s="39"/>
      <c r="K1637" s="39"/>
      <c r="AF1637" s="42">
        <v>5008439</v>
      </c>
      <c r="AG1637" s="42" t="s">
        <v>6683</v>
      </c>
    </row>
    <row r="1638" spans="7:33" ht="15.75" customHeight="1">
      <c r="G1638" s="36"/>
      <c r="H1638" s="36"/>
      <c r="I1638" s="36"/>
      <c r="J1638" s="39"/>
      <c r="K1638" s="39"/>
      <c r="AF1638" s="42">
        <v>5008440</v>
      </c>
      <c r="AG1638" s="42" t="s">
        <v>6683</v>
      </c>
    </row>
    <row r="1639" spans="7:33" ht="15.75" customHeight="1">
      <c r="G1639" s="36"/>
      <c r="H1639" s="36"/>
      <c r="I1639" s="36"/>
      <c r="J1639" s="39"/>
      <c r="K1639" s="39"/>
      <c r="AF1639" s="42">
        <v>5008441</v>
      </c>
      <c r="AG1639" s="42" t="s">
        <v>6683</v>
      </c>
    </row>
    <row r="1640" spans="7:33" ht="15.75" customHeight="1">
      <c r="G1640" s="36"/>
      <c r="H1640" s="36"/>
      <c r="I1640" s="36"/>
      <c r="J1640" s="39"/>
      <c r="K1640" s="39"/>
      <c r="AF1640" s="42">
        <v>5008442</v>
      </c>
      <c r="AG1640" s="42" t="s">
        <v>6683</v>
      </c>
    </row>
    <row r="1641" spans="7:33" ht="15.75" customHeight="1">
      <c r="G1641" s="36"/>
      <c r="H1641" s="36"/>
      <c r="I1641" s="36"/>
      <c r="J1641" s="39"/>
      <c r="K1641" s="39"/>
      <c r="AF1641" s="42">
        <v>5008443</v>
      </c>
      <c r="AG1641" s="42" t="s">
        <v>6683</v>
      </c>
    </row>
    <row r="1642" spans="7:33" ht="15.75" customHeight="1">
      <c r="G1642" s="36"/>
      <c r="H1642" s="36"/>
      <c r="I1642" s="36"/>
      <c r="J1642" s="39"/>
      <c r="K1642" s="39"/>
      <c r="AF1642" s="42">
        <v>5008452</v>
      </c>
      <c r="AG1642" s="42" t="s">
        <v>6683</v>
      </c>
    </row>
    <row r="1643" spans="7:33" ht="15.75" customHeight="1">
      <c r="G1643" s="36"/>
      <c r="H1643" s="36"/>
      <c r="I1643" s="36"/>
      <c r="J1643" s="39"/>
      <c r="K1643" s="39"/>
      <c r="AF1643" s="42">
        <v>5010061</v>
      </c>
      <c r="AG1643" s="42" t="s">
        <v>6677</v>
      </c>
    </row>
    <row r="1644" spans="7:33" ht="15.75" customHeight="1">
      <c r="G1644" s="36"/>
      <c r="H1644" s="36"/>
      <c r="I1644" s="36"/>
      <c r="J1644" s="39"/>
      <c r="K1644" s="39"/>
      <c r="AF1644" s="42">
        <v>5010075</v>
      </c>
      <c r="AG1644" s="42" t="s">
        <v>6677</v>
      </c>
    </row>
    <row r="1645" spans="7:33" ht="15.75" customHeight="1">
      <c r="G1645" s="36"/>
      <c r="H1645" s="36"/>
      <c r="I1645" s="36"/>
      <c r="J1645" s="39"/>
      <c r="K1645" s="39"/>
      <c r="AF1645" s="42">
        <v>5010202</v>
      </c>
      <c r="AG1645" s="42" t="s">
        <v>6677</v>
      </c>
    </row>
    <row r="1646" spans="7:33" ht="15.75" customHeight="1">
      <c r="G1646" s="36"/>
      <c r="H1646" s="36"/>
      <c r="I1646" s="36"/>
      <c r="J1646" s="39"/>
      <c r="K1646" s="39"/>
      <c r="AF1646" s="42">
        <v>5010205</v>
      </c>
      <c r="AG1646" s="42" t="s">
        <v>6677</v>
      </c>
    </row>
    <row r="1647" spans="7:33" ht="15.75" customHeight="1">
      <c r="G1647" s="36"/>
      <c r="H1647" s="36"/>
      <c r="I1647" s="36"/>
      <c r="J1647" s="39"/>
      <c r="K1647" s="39"/>
      <c r="AF1647" s="42">
        <v>5010210</v>
      </c>
      <c r="AG1647" s="42" t="s">
        <v>6677</v>
      </c>
    </row>
    <row r="1648" spans="7:33" ht="15.75" customHeight="1">
      <c r="G1648" s="36"/>
      <c r="H1648" s="36"/>
      <c r="I1648" s="36"/>
      <c r="J1648" s="39"/>
      <c r="K1648" s="39"/>
      <c r="AF1648" s="42">
        <v>5010211</v>
      </c>
      <c r="AG1648" s="42" t="s">
        <v>6677</v>
      </c>
    </row>
    <row r="1649" spans="7:33" ht="15.75" customHeight="1">
      <c r="G1649" s="36"/>
      <c r="H1649" s="36"/>
      <c r="I1649" s="36"/>
      <c r="J1649" s="39"/>
      <c r="K1649" s="39"/>
      <c r="AF1649" s="42">
        <v>5010216</v>
      </c>
      <c r="AG1649" s="42" t="s">
        <v>6677</v>
      </c>
    </row>
    <row r="1650" spans="7:33" ht="15.75" customHeight="1">
      <c r="G1650" s="36"/>
      <c r="H1650" s="36"/>
      <c r="I1650" s="36"/>
      <c r="J1650" s="39"/>
      <c r="K1650" s="39"/>
      <c r="AF1650" s="42">
        <v>5010217</v>
      </c>
      <c r="AG1650" s="42" t="s">
        <v>6677</v>
      </c>
    </row>
    <row r="1651" spans="7:33" ht="15.75" customHeight="1">
      <c r="G1651" s="36"/>
      <c r="H1651" s="36"/>
      <c r="I1651" s="36"/>
      <c r="J1651" s="39"/>
      <c r="K1651" s="39"/>
      <c r="AF1651" s="42">
        <v>5010219</v>
      </c>
      <c r="AG1651" s="42" t="s">
        <v>6677</v>
      </c>
    </row>
    <row r="1652" spans="7:33" ht="15.75" customHeight="1">
      <c r="G1652" s="36"/>
      <c r="H1652" s="36"/>
      <c r="I1652" s="36"/>
      <c r="J1652" s="39"/>
      <c r="K1652" s="39"/>
      <c r="AF1652" s="42">
        <v>5010224</v>
      </c>
      <c r="AG1652" s="42" t="s">
        <v>6677</v>
      </c>
    </row>
    <row r="1653" spans="7:33" ht="15.75" customHeight="1">
      <c r="G1653" s="36"/>
      <c r="H1653" s="36"/>
      <c r="I1653" s="36"/>
      <c r="J1653" s="39"/>
      <c r="K1653" s="39"/>
      <c r="AF1653" s="42">
        <v>5012460</v>
      </c>
      <c r="AG1653" s="42" t="s">
        <v>6677</v>
      </c>
    </row>
    <row r="1654" spans="7:33" ht="15.75" customHeight="1">
      <c r="G1654" s="36"/>
      <c r="H1654" s="36"/>
      <c r="I1654" s="36"/>
      <c r="J1654" s="39"/>
      <c r="K1654" s="39"/>
      <c r="AF1654" s="42">
        <v>5012461</v>
      </c>
      <c r="AG1654" s="42" t="s">
        <v>6677</v>
      </c>
    </row>
    <row r="1655" spans="7:33" ht="15.75" customHeight="1">
      <c r="G1655" s="36"/>
      <c r="H1655" s="36"/>
      <c r="I1655" s="36"/>
      <c r="J1655" s="39"/>
      <c r="K1655" s="39"/>
      <c r="AF1655" s="42">
        <v>5012462</v>
      </c>
      <c r="AG1655" s="42" t="s">
        <v>6677</v>
      </c>
    </row>
    <row r="1656" spans="7:33" ht="15.75" customHeight="1">
      <c r="G1656" s="36"/>
      <c r="H1656" s="36"/>
      <c r="I1656" s="36"/>
      <c r="J1656" s="39"/>
      <c r="K1656" s="39"/>
      <c r="AF1656" s="42">
        <v>5012463</v>
      </c>
      <c r="AG1656" s="42" t="s">
        <v>6677</v>
      </c>
    </row>
    <row r="1657" spans="7:33" ht="15.75" customHeight="1">
      <c r="G1657" s="36"/>
      <c r="H1657" s="36"/>
      <c r="I1657" s="36"/>
      <c r="J1657" s="39"/>
      <c r="K1657" s="39"/>
      <c r="AF1657" s="42">
        <v>5012464</v>
      </c>
      <c r="AG1657" s="42" t="s">
        <v>6677</v>
      </c>
    </row>
    <row r="1658" spans="7:33" ht="15.75" customHeight="1">
      <c r="G1658" s="36"/>
      <c r="H1658" s="36"/>
      <c r="I1658" s="36"/>
      <c r="J1658" s="39"/>
      <c r="K1658" s="39"/>
      <c r="AF1658" s="42">
        <v>5012465</v>
      </c>
      <c r="AG1658" s="42" t="s">
        <v>6677</v>
      </c>
    </row>
    <row r="1659" spans="7:33" ht="15.75" customHeight="1">
      <c r="G1659" s="36"/>
      <c r="H1659" s="36"/>
      <c r="I1659" s="36"/>
      <c r="J1659" s="39"/>
      <c r="K1659" s="39"/>
      <c r="AF1659" s="42">
        <v>5012466</v>
      </c>
      <c r="AG1659" s="42" t="s">
        <v>6677</v>
      </c>
    </row>
    <row r="1660" spans="7:33" ht="15.75" customHeight="1">
      <c r="G1660" s="36"/>
      <c r="H1660" s="36"/>
      <c r="I1660" s="36"/>
      <c r="J1660" s="39"/>
      <c r="K1660" s="39"/>
      <c r="AF1660" s="42">
        <v>5012467</v>
      </c>
      <c r="AG1660" s="42" t="s">
        <v>6677</v>
      </c>
    </row>
    <row r="1661" spans="7:33" ht="15.75" customHeight="1">
      <c r="G1661" s="36"/>
      <c r="H1661" s="36"/>
      <c r="I1661" s="36"/>
      <c r="J1661" s="39"/>
      <c r="K1661" s="39"/>
      <c r="AF1661" s="42">
        <v>5012468</v>
      </c>
      <c r="AG1661" s="42" t="s">
        <v>6677</v>
      </c>
    </row>
    <row r="1662" spans="7:33" ht="15.75" customHeight="1">
      <c r="G1662" s="36"/>
      <c r="H1662" s="36"/>
      <c r="I1662" s="36"/>
      <c r="J1662" s="39"/>
      <c r="K1662" s="39"/>
      <c r="AF1662" s="42">
        <v>5012469</v>
      </c>
      <c r="AG1662" s="42" t="s">
        <v>6677</v>
      </c>
    </row>
    <row r="1663" spans="7:33" ht="15.75" customHeight="1">
      <c r="G1663" s="36"/>
      <c r="H1663" s="36"/>
      <c r="I1663" s="36"/>
      <c r="J1663" s="39"/>
      <c r="K1663" s="39"/>
      <c r="AF1663" s="42">
        <v>5014440</v>
      </c>
      <c r="AG1663" s="42" t="s">
        <v>6677</v>
      </c>
    </row>
    <row r="1664" spans="7:33" ht="15.75" customHeight="1">
      <c r="G1664" s="36"/>
      <c r="H1664" s="36"/>
      <c r="I1664" s="36"/>
      <c r="J1664" s="39"/>
      <c r="K1664" s="39"/>
      <c r="AF1664" s="42">
        <v>5014441</v>
      </c>
      <c r="AG1664" s="42" t="s">
        <v>6677</v>
      </c>
    </row>
    <row r="1665" spans="7:33" ht="15.75" customHeight="1">
      <c r="G1665" s="36"/>
      <c r="H1665" s="36"/>
      <c r="I1665" s="36"/>
      <c r="J1665" s="39"/>
      <c r="K1665" s="39"/>
      <c r="AF1665" s="42">
        <v>5014442</v>
      </c>
      <c r="AG1665" s="42" t="s">
        <v>6677</v>
      </c>
    </row>
    <row r="1666" spans="7:33" ht="15.75" customHeight="1">
      <c r="G1666" s="36"/>
      <c r="H1666" s="36"/>
      <c r="I1666" s="36"/>
      <c r="J1666" s="39"/>
      <c r="K1666" s="39"/>
      <c r="AF1666" s="42">
        <v>5014443</v>
      </c>
      <c r="AG1666" s="42" t="s">
        <v>6677</v>
      </c>
    </row>
    <row r="1667" spans="7:33" ht="15.75" customHeight="1">
      <c r="G1667" s="36"/>
      <c r="H1667" s="36"/>
      <c r="I1667" s="36"/>
      <c r="J1667" s="39"/>
      <c r="K1667" s="39"/>
      <c r="AF1667" s="42">
        <v>5014444</v>
      </c>
      <c r="AG1667" s="42" t="s">
        <v>6677</v>
      </c>
    </row>
    <row r="1668" spans="7:33" ht="15.75" customHeight="1">
      <c r="G1668" s="36"/>
      <c r="H1668" s="36"/>
      <c r="I1668" s="36"/>
      <c r="J1668" s="39"/>
      <c r="K1668" s="39"/>
      <c r="AF1668" s="42">
        <v>5014445</v>
      </c>
      <c r="AG1668" s="42" t="s">
        <v>6677</v>
      </c>
    </row>
    <row r="1669" spans="7:33" ht="15.75" customHeight="1">
      <c r="G1669" s="36"/>
      <c r="H1669" s="36"/>
      <c r="I1669" s="36"/>
      <c r="J1669" s="39"/>
      <c r="K1669" s="39"/>
      <c r="AF1669" s="42">
        <v>5014446</v>
      </c>
      <c r="AG1669" s="42" t="s">
        <v>6677</v>
      </c>
    </row>
    <row r="1670" spans="7:33" ht="15.75" customHeight="1">
      <c r="G1670" s="36"/>
      <c r="H1670" s="36"/>
      <c r="I1670" s="36"/>
      <c r="J1670" s="39"/>
      <c r="K1670" s="39"/>
      <c r="AF1670" s="42">
        <v>5014447</v>
      </c>
      <c r="AG1670" s="42" t="s">
        <v>6677</v>
      </c>
    </row>
    <row r="1671" spans="7:33" ht="15.75" customHeight="1">
      <c r="G1671" s="36"/>
      <c r="H1671" s="36"/>
      <c r="I1671" s="36"/>
      <c r="J1671" s="39"/>
      <c r="K1671" s="39"/>
      <c r="AF1671" s="42">
        <v>5014448</v>
      </c>
      <c r="AG1671" s="42" t="s">
        <v>6677</v>
      </c>
    </row>
    <row r="1672" spans="7:33" ht="15.75" customHeight="1">
      <c r="G1672" s="36"/>
      <c r="H1672" s="36"/>
      <c r="I1672" s="36"/>
      <c r="J1672" s="39"/>
      <c r="K1672" s="39"/>
      <c r="AF1672" s="42">
        <v>5014449</v>
      </c>
      <c r="AG1672" s="42" t="s">
        <v>6677</v>
      </c>
    </row>
    <row r="1673" spans="7:33" ht="15.75" customHeight="1">
      <c r="G1673" s="36"/>
      <c r="H1673" s="36"/>
      <c r="I1673" s="36"/>
      <c r="J1673" s="39"/>
      <c r="K1673" s="39"/>
      <c r="AF1673" s="42">
        <v>5014450</v>
      </c>
      <c r="AG1673" s="42" t="s">
        <v>6677</v>
      </c>
    </row>
    <row r="1674" spans="7:33" ht="15.75" customHeight="1">
      <c r="G1674" s="36"/>
      <c r="H1674" s="36"/>
      <c r="I1674" s="36"/>
      <c r="J1674" s="39"/>
      <c r="K1674" s="39"/>
      <c r="AF1674" s="42">
        <v>5014451</v>
      </c>
      <c r="AG1674" s="42" t="s">
        <v>6677</v>
      </c>
    </row>
    <row r="1675" spans="7:33" ht="15.75" customHeight="1">
      <c r="G1675" s="36"/>
      <c r="H1675" s="36"/>
      <c r="I1675" s="36"/>
      <c r="J1675" s="39"/>
      <c r="K1675" s="39"/>
      <c r="AF1675" s="42">
        <v>5014452</v>
      </c>
      <c r="AG1675" s="42" t="s">
        <v>6677</v>
      </c>
    </row>
    <row r="1676" spans="7:33" ht="15.75" customHeight="1">
      <c r="G1676" s="36"/>
      <c r="H1676" s="36"/>
      <c r="I1676" s="36"/>
      <c r="J1676" s="39"/>
      <c r="K1676" s="39"/>
      <c r="AF1676" s="42">
        <v>5014453</v>
      </c>
      <c r="AG1676" s="42" t="s">
        <v>6677</v>
      </c>
    </row>
    <row r="1677" spans="7:33" ht="15.75" customHeight="1">
      <c r="G1677" s="36"/>
      <c r="H1677" s="36"/>
      <c r="I1677" s="36"/>
      <c r="J1677" s="39"/>
      <c r="K1677" s="39"/>
      <c r="AF1677" s="42">
        <v>5014454</v>
      </c>
      <c r="AG1677" s="42" t="s">
        <v>6677</v>
      </c>
    </row>
    <row r="1678" spans="7:33" ht="15.75" customHeight="1">
      <c r="G1678" s="36"/>
      <c r="H1678" s="36"/>
      <c r="I1678" s="36"/>
      <c r="J1678" s="39"/>
      <c r="K1678" s="39"/>
      <c r="AF1678" s="42">
        <v>5014455</v>
      </c>
      <c r="AG1678" s="42" t="s">
        <v>6677</v>
      </c>
    </row>
    <row r="1679" spans="7:33" ht="15.75" customHeight="1">
      <c r="G1679" s="36"/>
      <c r="H1679" s="36"/>
      <c r="I1679" s="36"/>
      <c r="J1679" s="39"/>
      <c r="K1679" s="39"/>
      <c r="AF1679" s="42">
        <v>5014456</v>
      </c>
      <c r="AG1679" s="42" t="s">
        <v>6677</v>
      </c>
    </row>
    <row r="1680" spans="7:33" ht="15.75" customHeight="1">
      <c r="G1680" s="36"/>
      <c r="H1680" s="36"/>
      <c r="I1680" s="36"/>
      <c r="J1680" s="39"/>
      <c r="K1680" s="39"/>
      <c r="AF1680" s="42">
        <v>5014457</v>
      </c>
      <c r="AG1680" s="42" t="s">
        <v>6677</v>
      </c>
    </row>
    <row r="1681" spans="7:33" ht="15.75" customHeight="1">
      <c r="G1681" s="36"/>
      <c r="H1681" s="36"/>
      <c r="I1681" s="36"/>
      <c r="J1681" s="39"/>
      <c r="K1681" s="39"/>
      <c r="AF1681" s="42">
        <v>5014458</v>
      </c>
      <c r="AG1681" s="42" t="s">
        <v>6677</v>
      </c>
    </row>
    <row r="1682" spans="7:33" ht="15.75" customHeight="1">
      <c r="G1682" s="36"/>
      <c r="H1682" s="36"/>
      <c r="I1682" s="36"/>
      <c r="J1682" s="39"/>
      <c r="K1682" s="39"/>
      <c r="AF1682" s="42">
        <v>5014459</v>
      </c>
      <c r="AG1682" s="42" t="s">
        <v>6677</v>
      </c>
    </row>
    <row r="1683" spans="7:33" ht="15.75" customHeight="1">
      <c r="G1683" s="36"/>
      <c r="H1683" s="36"/>
      <c r="I1683" s="36"/>
      <c r="J1683" s="39"/>
      <c r="K1683" s="39"/>
      <c r="AF1683" s="42">
        <v>5014460</v>
      </c>
      <c r="AG1683" s="42" t="s">
        <v>6677</v>
      </c>
    </row>
    <row r="1684" spans="7:33" ht="15.75" customHeight="1">
      <c r="G1684" s="36"/>
      <c r="H1684" s="36"/>
      <c r="I1684" s="36"/>
      <c r="J1684" s="39"/>
      <c r="K1684" s="39"/>
      <c r="AF1684" s="42">
        <v>5014461</v>
      </c>
      <c r="AG1684" s="42" t="s">
        <v>6677</v>
      </c>
    </row>
    <row r="1685" spans="7:33" ht="15.75" customHeight="1">
      <c r="G1685" s="36"/>
      <c r="H1685" s="36"/>
      <c r="I1685" s="36"/>
      <c r="J1685" s="39"/>
      <c r="K1685" s="39"/>
      <c r="AF1685" s="42">
        <v>5014462</v>
      </c>
      <c r="AG1685" s="42" t="s">
        <v>6677</v>
      </c>
    </row>
    <row r="1686" spans="7:33" ht="15.75" customHeight="1">
      <c r="G1686" s="36"/>
      <c r="H1686" s="36"/>
      <c r="I1686" s="36"/>
      <c r="J1686" s="39"/>
      <c r="K1686" s="39"/>
      <c r="AF1686" s="42">
        <v>5014463</v>
      </c>
      <c r="AG1686" s="42" t="s">
        <v>6677</v>
      </c>
    </row>
    <row r="1687" spans="7:33" ht="15.75" customHeight="1">
      <c r="G1687" s="36"/>
      <c r="H1687" s="36"/>
      <c r="I1687" s="36"/>
      <c r="J1687" s="39"/>
      <c r="K1687" s="39"/>
      <c r="AF1687" s="42">
        <v>5014464</v>
      </c>
      <c r="AG1687" s="42" t="s">
        <v>6677</v>
      </c>
    </row>
    <row r="1688" spans="7:33" ht="15.75" customHeight="1">
      <c r="G1688" s="36"/>
      <c r="H1688" s="36"/>
      <c r="I1688" s="36"/>
      <c r="J1688" s="39"/>
      <c r="K1688" s="39"/>
      <c r="AF1688" s="42">
        <v>5014465</v>
      </c>
      <c r="AG1688" s="42" t="s">
        <v>6677</v>
      </c>
    </row>
    <row r="1689" spans="7:33" ht="15.75" customHeight="1">
      <c r="G1689" s="36"/>
      <c r="H1689" s="36"/>
      <c r="I1689" s="36"/>
      <c r="J1689" s="39"/>
      <c r="K1689" s="39"/>
      <c r="AF1689" s="42">
        <v>5031820</v>
      </c>
      <c r="AG1689" s="42" t="s">
        <v>6677</v>
      </c>
    </row>
    <row r="1690" spans="7:33" ht="15.75" customHeight="1">
      <c r="G1690" s="36"/>
      <c r="H1690" s="36"/>
      <c r="I1690" s="36"/>
      <c r="J1690" s="39"/>
      <c r="K1690" s="39"/>
      <c r="AF1690" s="42">
        <v>5031821</v>
      </c>
      <c r="AG1690" s="42" t="s">
        <v>6677</v>
      </c>
    </row>
    <row r="1691" spans="7:33" ht="15.75" customHeight="1">
      <c r="G1691" s="36"/>
      <c r="H1691" s="36"/>
      <c r="I1691" s="36"/>
      <c r="J1691" s="39"/>
      <c r="K1691" s="39"/>
      <c r="AF1691" s="42">
        <v>5031822</v>
      </c>
      <c r="AG1691" s="42" t="s">
        <v>6677</v>
      </c>
    </row>
    <row r="1692" spans="7:33" ht="15.75" customHeight="1">
      <c r="G1692" s="36"/>
      <c r="H1692" s="36"/>
      <c r="I1692" s="36"/>
      <c r="J1692" s="39"/>
      <c r="K1692" s="39"/>
      <c r="AF1692" s="42">
        <v>5031823</v>
      </c>
      <c r="AG1692" s="42" t="s">
        <v>6677</v>
      </c>
    </row>
    <row r="1693" spans="7:33" ht="15.75" customHeight="1">
      <c r="G1693" s="36"/>
      <c r="H1693" s="36"/>
      <c r="I1693" s="36"/>
      <c r="J1693" s="39"/>
      <c r="K1693" s="39"/>
      <c r="AF1693" s="42">
        <v>5031824</v>
      </c>
      <c r="AG1693" s="42" t="s">
        <v>6677</v>
      </c>
    </row>
    <row r="1694" spans="7:33" ht="15.75" customHeight="1">
      <c r="G1694" s="36"/>
      <c r="H1694" s="36"/>
      <c r="I1694" s="36"/>
      <c r="J1694" s="39"/>
      <c r="K1694" s="39"/>
      <c r="AF1694" s="42">
        <v>5031825</v>
      </c>
      <c r="AG1694" s="42" t="s">
        <v>6677</v>
      </c>
    </row>
    <row r="1695" spans="7:33" ht="15.75" customHeight="1">
      <c r="G1695" s="36"/>
      <c r="H1695" s="36"/>
      <c r="I1695" s="36"/>
      <c r="J1695" s="39"/>
      <c r="K1695" s="39"/>
      <c r="AF1695" s="42">
        <v>5031826</v>
      </c>
      <c r="AG1695" s="42" t="s">
        <v>6677</v>
      </c>
    </row>
    <row r="1696" spans="7:33" ht="15.75" customHeight="1">
      <c r="G1696" s="36"/>
      <c r="H1696" s="36"/>
      <c r="I1696" s="36"/>
      <c r="J1696" s="39"/>
      <c r="K1696" s="39"/>
      <c r="AF1696" s="42">
        <v>5031827</v>
      </c>
      <c r="AG1696" s="42" t="s">
        <v>6677</v>
      </c>
    </row>
    <row r="1697" spans="7:33" ht="15.75" customHeight="1">
      <c r="G1697" s="36"/>
      <c r="H1697" s="36"/>
      <c r="I1697" s="36"/>
      <c r="J1697" s="39"/>
      <c r="K1697" s="39"/>
      <c r="AF1697" s="42">
        <v>5031828</v>
      </c>
      <c r="AG1697" s="42" t="s">
        <v>6677</v>
      </c>
    </row>
    <row r="1698" spans="7:33" ht="15.75" customHeight="1">
      <c r="G1698" s="36"/>
      <c r="H1698" s="36"/>
      <c r="I1698" s="36"/>
      <c r="J1698" s="39"/>
      <c r="K1698" s="39"/>
      <c r="AF1698" s="42">
        <v>5031829</v>
      </c>
      <c r="AG1698" s="42" t="s">
        <v>6677</v>
      </c>
    </row>
    <row r="1699" spans="7:33" ht="15.75" customHeight="1">
      <c r="G1699" s="36"/>
      <c r="H1699" s="36"/>
      <c r="I1699" s="36"/>
      <c r="J1699" s="39"/>
      <c r="K1699" s="39"/>
      <c r="AF1699" s="42">
        <v>5031830</v>
      </c>
      <c r="AG1699" s="42" t="s">
        <v>6677</v>
      </c>
    </row>
    <row r="1700" spans="7:33" ht="15.75" customHeight="1">
      <c r="G1700" s="36"/>
      <c r="H1700" s="36"/>
      <c r="I1700" s="36"/>
      <c r="J1700" s="39"/>
      <c r="K1700" s="39"/>
      <c r="AF1700" s="42">
        <v>5031831</v>
      </c>
      <c r="AG1700" s="42" t="s">
        <v>6677</v>
      </c>
    </row>
    <row r="1701" spans="7:33" ht="15.75" customHeight="1">
      <c r="G1701" s="36"/>
      <c r="H1701" s="36"/>
      <c r="I1701" s="36"/>
      <c r="J1701" s="39"/>
      <c r="K1701" s="39"/>
      <c r="AF1701" s="42">
        <v>5031832</v>
      </c>
      <c r="AG1701" s="42" t="s">
        <v>6677</v>
      </c>
    </row>
    <row r="1702" spans="7:33" ht="15.75" customHeight="1">
      <c r="G1702" s="36"/>
      <c r="H1702" s="36"/>
      <c r="I1702" s="36"/>
      <c r="J1702" s="39"/>
      <c r="K1702" s="39"/>
      <c r="AF1702" s="42">
        <v>5031834</v>
      </c>
      <c r="AG1702" s="42" t="s">
        <v>6677</v>
      </c>
    </row>
    <row r="1703" spans="7:33" ht="15.75" customHeight="1">
      <c r="G1703" s="36"/>
      <c r="H1703" s="36"/>
      <c r="I1703" s="36"/>
      <c r="J1703" s="39"/>
      <c r="K1703" s="39"/>
      <c r="AF1703" s="42">
        <v>5031835</v>
      </c>
      <c r="AG1703" s="42" t="s">
        <v>6677</v>
      </c>
    </row>
    <row r="1704" spans="7:33" ht="15.75" customHeight="1">
      <c r="G1704" s="36"/>
      <c r="H1704" s="36"/>
      <c r="I1704" s="36"/>
      <c r="J1704" s="39"/>
      <c r="K1704" s="39"/>
      <c r="AF1704" s="42">
        <v>5031836</v>
      </c>
      <c r="AG1704" s="42" t="s">
        <v>6677</v>
      </c>
    </row>
    <row r="1705" spans="7:33" ht="15.75" customHeight="1">
      <c r="G1705" s="36"/>
      <c r="H1705" s="36"/>
      <c r="I1705" s="36"/>
      <c r="J1705" s="39"/>
      <c r="K1705" s="39"/>
      <c r="AF1705" s="42">
        <v>5031837</v>
      </c>
      <c r="AG1705" s="42" t="s">
        <v>6677</v>
      </c>
    </row>
    <row r="1706" spans="7:33" ht="15.75" customHeight="1">
      <c r="G1706" s="36"/>
      <c r="H1706" s="36"/>
      <c r="I1706" s="36"/>
      <c r="J1706" s="39"/>
      <c r="K1706" s="39"/>
      <c r="AF1706" s="42">
        <v>5031838</v>
      </c>
      <c r="AG1706" s="42" t="s">
        <v>6677</v>
      </c>
    </row>
    <row r="1707" spans="7:33" ht="15.75" customHeight="1">
      <c r="G1707" s="36"/>
      <c r="H1707" s="36"/>
      <c r="I1707" s="36"/>
      <c r="J1707" s="39"/>
      <c r="K1707" s="39"/>
      <c r="AF1707" s="42">
        <v>5031839</v>
      </c>
      <c r="AG1707" s="42" t="s">
        <v>6677</v>
      </c>
    </row>
    <row r="1708" spans="7:33" ht="15.75" customHeight="1">
      <c r="G1708" s="36"/>
      <c r="H1708" s="36"/>
      <c r="I1708" s="36"/>
      <c r="J1708" s="39"/>
      <c r="K1708" s="39"/>
      <c r="AF1708" s="42">
        <v>5031840</v>
      </c>
      <c r="AG1708" s="42" t="s">
        <v>6677</v>
      </c>
    </row>
    <row r="1709" spans="7:33" ht="15.75" customHeight="1">
      <c r="G1709" s="36"/>
      <c r="H1709" s="36"/>
      <c r="I1709" s="36"/>
      <c r="J1709" s="39"/>
      <c r="K1709" s="39"/>
      <c r="AF1709" s="42">
        <v>5031841</v>
      </c>
      <c r="AG1709" s="42" t="s">
        <v>6677</v>
      </c>
    </row>
    <row r="1710" spans="7:33" ht="15.75" customHeight="1">
      <c r="G1710" s="36"/>
      <c r="H1710" s="36"/>
      <c r="I1710" s="36"/>
      <c r="J1710" s="39"/>
      <c r="K1710" s="39"/>
      <c r="AF1710" s="42">
        <v>5031842</v>
      </c>
      <c r="AG1710" s="42" t="s">
        <v>6677</v>
      </c>
    </row>
    <row r="1711" spans="7:33" ht="15.75" customHeight="1">
      <c r="G1711" s="36"/>
      <c r="H1711" s="36"/>
      <c r="I1711" s="36"/>
      <c r="J1711" s="39"/>
      <c r="K1711" s="39"/>
      <c r="AF1711" s="42">
        <v>5031844</v>
      </c>
      <c r="AG1711" s="42" t="s">
        <v>6677</v>
      </c>
    </row>
    <row r="1712" spans="7:33" ht="15.75" customHeight="1">
      <c r="G1712" s="36"/>
      <c r="H1712" s="36"/>
      <c r="I1712" s="36"/>
      <c r="J1712" s="39"/>
      <c r="K1712" s="39"/>
      <c r="AF1712" s="42">
        <v>5031845</v>
      </c>
      <c r="AG1712" s="42" t="s">
        <v>6677</v>
      </c>
    </row>
    <row r="1713" spans="7:33" ht="15.75" customHeight="1">
      <c r="G1713" s="36"/>
      <c r="H1713" s="36"/>
      <c r="I1713" s="36"/>
      <c r="J1713" s="39"/>
      <c r="K1713" s="39"/>
      <c r="AF1713" s="42">
        <v>5031846</v>
      </c>
      <c r="AG1713" s="42" t="s">
        <v>6677</v>
      </c>
    </row>
    <row r="1714" spans="7:33" ht="15.75" customHeight="1">
      <c r="G1714" s="36"/>
      <c r="H1714" s="36"/>
      <c r="I1714" s="36"/>
      <c r="J1714" s="39"/>
      <c r="K1714" s="39"/>
      <c r="AF1714" s="42">
        <v>5031847</v>
      </c>
      <c r="AG1714" s="42" t="s">
        <v>6677</v>
      </c>
    </row>
    <row r="1715" spans="7:33" ht="15.75" customHeight="1">
      <c r="G1715" s="36"/>
      <c r="H1715" s="36"/>
      <c r="I1715" s="36"/>
      <c r="J1715" s="39"/>
      <c r="K1715" s="39"/>
      <c r="AF1715" s="42">
        <v>5031848</v>
      </c>
      <c r="AG1715" s="42" t="s">
        <v>6677</v>
      </c>
    </row>
    <row r="1716" spans="7:33" ht="15.75" customHeight="1">
      <c r="G1716" s="36"/>
      <c r="H1716" s="36"/>
      <c r="I1716" s="36"/>
      <c r="J1716" s="39"/>
      <c r="K1716" s="39"/>
      <c r="AF1716" s="42">
        <v>5031849</v>
      </c>
      <c r="AG1716" s="42" t="s">
        <v>6677</v>
      </c>
    </row>
    <row r="1717" spans="7:33" ht="15.75" customHeight="1">
      <c r="G1717" s="36"/>
      <c r="H1717" s="36"/>
      <c r="I1717" s="36"/>
      <c r="J1717" s="39"/>
      <c r="K1717" s="39"/>
      <c r="AF1717" s="42">
        <v>5031850</v>
      </c>
      <c r="AG1717" s="42" t="s">
        <v>6677</v>
      </c>
    </row>
    <row r="1718" spans="7:33" ht="15.75" customHeight="1">
      <c r="G1718" s="36"/>
      <c r="H1718" s="36"/>
      <c r="I1718" s="36"/>
      <c r="J1718" s="39"/>
      <c r="K1718" s="39"/>
      <c r="AF1718" s="42">
        <v>5031851</v>
      </c>
      <c r="AG1718" s="42" t="s">
        <v>6677</v>
      </c>
    </row>
    <row r="1719" spans="7:33" ht="15.75" customHeight="1">
      <c r="G1719" s="36"/>
      <c r="H1719" s="36"/>
      <c r="I1719" s="36"/>
      <c r="J1719" s="39"/>
      <c r="K1719" s="39"/>
      <c r="AF1719" s="42">
        <v>5031852</v>
      </c>
      <c r="AG1719" s="42" t="s">
        <v>6677</v>
      </c>
    </row>
    <row r="1720" spans="7:33" ht="15.75" customHeight="1">
      <c r="G1720" s="36"/>
      <c r="H1720" s="36"/>
      <c r="I1720" s="36"/>
      <c r="J1720" s="39"/>
      <c r="K1720" s="39"/>
      <c r="AF1720" s="42">
        <v>5031853</v>
      </c>
      <c r="AG1720" s="42" t="s">
        <v>6677</v>
      </c>
    </row>
    <row r="1721" spans="7:33" ht="15.75" customHeight="1">
      <c r="G1721" s="36"/>
      <c r="H1721" s="36"/>
      <c r="I1721" s="36"/>
      <c r="J1721" s="39"/>
      <c r="K1721" s="39"/>
      <c r="AF1721" s="42">
        <v>5031854</v>
      </c>
      <c r="AG1721" s="42" t="s">
        <v>6677</v>
      </c>
    </row>
    <row r="1722" spans="7:33" ht="15.75" customHeight="1">
      <c r="G1722" s="36"/>
      <c r="H1722" s="36"/>
      <c r="I1722" s="36"/>
      <c r="J1722" s="39"/>
      <c r="K1722" s="39"/>
      <c r="AF1722" s="42">
        <v>5031855</v>
      </c>
      <c r="AG1722" s="42" t="s">
        <v>6677</v>
      </c>
    </row>
    <row r="1723" spans="7:33" ht="15.75" customHeight="1">
      <c r="G1723" s="36"/>
      <c r="H1723" s="36"/>
      <c r="I1723" s="36"/>
      <c r="J1723" s="39"/>
      <c r="K1723" s="39"/>
      <c r="AF1723" s="42">
        <v>5031856</v>
      </c>
      <c r="AG1723" s="42" t="s">
        <v>6677</v>
      </c>
    </row>
    <row r="1724" spans="7:33" ht="15.75" customHeight="1">
      <c r="G1724" s="36"/>
      <c r="H1724" s="36"/>
      <c r="I1724" s="36"/>
      <c r="J1724" s="39"/>
      <c r="K1724" s="39"/>
      <c r="AF1724" s="42">
        <v>5031857</v>
      </c>
      <c r="AG1724" s="42" t="s">
        <v>6677</v>
      </c>
    </row>
    <row r="1725" spans="7:33" ht="15.75" customHeight="1">
      <c r="G1725" s="36"/>
      <c r="H1725" s="36"/>
      <c r="I1725" s="36"/>
      <c r="J1725" s="39"/>
      <c r="K1725" s="39"/>
      <c r="AF1725" s="42">
        <v>5031858</v>
      </c>
      <c r="AG1725" s="42" t="s">
        <v>6677</v>
      </c>
    </row>
    <row r="1726" spans="7:33" ht="15.75" customHeight="1">
      <c r="G1726" s="36"/>
      <c r="H1726" s="36"/>
      <c r="I1726" s="36"/>
      <c r="J1726" s="39"/>
      <c r="K1726" s="39"/>
      <c r="AF1726" s="42">
        <v>5031859</v>
      </c>
      <c r="AG1726" s="42" t="s">
        <v>6677</v>
      </c>
    </row>
    <row r="1727" spans="7:33" ht="15.75" customHeight="1">
      <c r="G1727" s="36"/>
      <c r="H1727" s="36"/>
      <c r="I1727" s="36"/>
      <c r="J1727" s="39"/>
      <c r="K1727" s="39"/>
      <c r="AF1727" s="42">
        <v>5031860</v>
      </c>
      <c r="AG1727" s="42" t="s">
        <v>6677</v>
      </c>
    </row>
    <row r="1728" spans="7:33" ht="15.75" customHeight="1">
      <c r="G1728" s="36"/>
      <c r="H1728" s="36"/>
      <c r="I1728" s="36"/>
      <c r="J1728" s="39"/>
      <c r="K1728" s="39"/>
      <c r="AF1728" s="42">
        <v>5031861</v>
      </c>
      <c r="AG1728" s="42" t="s">
        <v>6677</v>
      </c>
    </row>
    <row r="1729" spans="7:33" ht="15.75" customHeight="1">
      <c r="G1729" s="36"/>
      <c r="H1729" s="36"/>
      <c r="I1729" s="36"/>
      <c r="J1729" s="39"/>
      <c r="K1729" s="39"/>
      <c r="AF1729" s="42">
        <v>5031862</v>
      </c>
      <c r="AG1729" s="42" t="s">
        <v>6677</v>
      </c>
    </row>
    <row r="1730" spans="7:33" ht="15.75" customHeight="1">
      <c r="G1730" s="36"/>
      <c r="H1730" s="36"/>
      <c r="I1730" s="36"/>
      <c r="J1730" s="39"/>
      <c r="K1730" s="39"/>
      <c r="AF1730" s="42">
        <v>5031863</v>
      </c>
      <c r="AG1730" s="42" t="s">
        <v>6677</v>
      </c>
    </row>
    <row r="1731" spans="7:33" ht="15.75" customHeight="1">
      <c r="G1731" s="36"/>
      <c r="H1731" s="36"/>
      <c r="I1731" s="36"/>
      <c r="J1731" s="39"/>
      <c r="K1731" s="39"/>
      <c r="AF1731" s="42">
        <v>5031864</v>
      </c>
      <c r="AG1731" s="42" t="s">
        <v>6677</v>
      </c>
    </row>
    <row r="1732" spans="7:33" ht="15.75" customHeight="1">
      <c r="G1732" s="36"/>
      <c r="H1732" s="36"/>
      <c r="I1732" s="36"/>
      <c r="J1732" s="39"/>
      <c r="K1732" s="39"/>
      <c r="AF1732" s="42">
        <v>5031865</v>
      </c>
      <c r="AG1732" s="42" t="s">
        <v>6677</v>
      </c>
    </row>
    <row r="1733" spans="7:33" ht="15.75" customHeight="1">
      <c r="G1733" s="36"/>
      <c r="H1733" s="36"/>
      <c r="I1733" s="36"/>
      <c r="J1733" s="39"/>
      <c r="K1733" s="39"/>
      <c r="AF1733" s="42">
        <v>5031866</v>
      </c>
      <c r="AG1733" s="42" t="s">
        <v>6677</v>
      </c>
    </row>
    <row r="1734" spans="7:33" ht="15.75" customHeight="1">
      <c r="G1734" s="36"/>
      <c r="H1734" s="36"/>
      <c r="I1734" s="36"/>
      <c r="J1734" s="39"/>
      <c r="K1734" s="39"/>
      <c r="AF1734" s="42">
        <v>5031867</v>
      </c>
      <c r="AG1734" s="42" t="s">
        <v>6677</v>
      </c>
    </row>
    <row r="1735" spans="7:33" ht="15.75" customHeight="1">
      <c r="G1735" s="36"/>
      <c r="H1735" s="36"/>
      <c r="I1735" s="36"/>
      <c r="J1735" s="39"/>
      <c r="K1735" s="39"/>
      <c r="AF1735" s="42">
        <v>5031868</v>
      </c>
      <c r="AG1735" s="42" t="s">
        <v>6677</v>
      </c>
    </row>
    <row r="1736" spans="7:33" ht="15.75" customHeight="1">
      <c r="G1736" s="36"/>
      <c r="H1736" s="36"/>
      <c r="I1736" s="36"/>
      <c r="J1736" s="39"/>
      <c r="K1736" s="39"/>
      <c r="AF1736" s="42">
        <v>5031869</v>
      </c>
      <c r="AG1736" s="42" t="s">
        <v>6677</v>
      </c>
    </row>
    <row r="1737" spans="7:33" ht="15.75" customHeight="1">
      <c r="G1737" s="36"/>
      <c r="H1737" s="36"/>
      <c r="I1737" s="36"/>
      <c r="J1737" s="39"/>
      <c r="K1737" s="39"/>
      <c r="AF1737" s="42">
        <v>5031870</v>
      </c>
      <c r="AG1737" s="42" t="s">
        <v>6677</v>
      </c>
    </row>
    <row r="1738" spans="7:33" ht="15.75" customHeight="1">
      <c r="G1738" s="36"/>
      <c r="H1738" s="36"/>
      <c r="I1738" s="36"/>
      <c r="J1738" s="39"/>
      <c r="K1738" s="39"/>
      <c r="AF1738" s="42">
        <v>5031871</v>
      </c>
      <c r="AG1738" s="42" t="s">
        <v>6677</v>
      </c>
    </row>
    <row r="1739" spans="7:33" ht="15.75" customHeight="1">
      <c r="G1739" s="36"/>
      <c r="H1739" s="36"/>
      <c r="I1739" s="36"/>
      <c r="J1739" s="39"/>
      <c r="K1739" s="39"/>
      <c r="AF1739" s="42">
        <v>5031872</v>
      </c>
      <c r="AG1739" s="42" t="s">
        <v>6677</v>
      </c>
    </row>
    <row r="1740" spans="7:33" ht="15.75" customHeight="1">
      <c r="G1740" s="36"/>
      <c r="H1740" s="36"/>
      <c r="I1740" s="36"/>
      <c r="J1740" s="39"/>
      <c r="K1740" s="39"/>
      <c r="AF1740" s="42">
        <v>5031873</v>
      </c>
      <c r="AG1740" s="42" t="s">
        <v>6677</v>
      </c>
    </row>
    <row r="1741" spans="7:33" ht="15.75" customHeight="1">
      <c r="G1741" s="36"/>
      <c r="H1741" s="36"/>
      <c r="I1741" s="36"/>
      <c r="J1741" s="39"/>
      <c r="K1741" s="39"/>
      <c r="AF1741" s="42">
        <v>5031874</v>
      </c>
      <c r="AG1741" s="42" t="s">
        <v>6677</v>
      </c>
    </row>
    <row r="1742" spans="7:33" ht="15.75" customHeight="1">
      <c r="G1742" s="36"/>
      <c r="H1742" s="36"/>
      <c r="I1742" s="36"/>
      <c r="J1742" s="39"/>
      <c r="K1742" s="39"/>
      <c r="AF1742" s="42">
        <v>5031875</v>
      </c>
      <c r="AG1742" s="42" t="s">
        <v>6677</v>
      </c>
    </row>
    <row r="1743" spans="7:33" ht="15.75" customHeight="1">
      <c r="G1743" s="36"/>
      <c r="H1743" s="36"/>
      <c r="I1743" s="36"/>
      <c r="J1743" s="39"/>
      <c r="K1743" s="39"/>
      <c r="AF1743" s="42">
        <v>5031876</v>
      </c>
      <c r="AG1743" s="42" t="s">
        <v>6677</v>
      </c>
    </row>
    <row r="1744" spans="7:33" ht="15.75" customHeight="1">
      <c r="G1744" s="36"/>
      <c r="H1744" s="36"/>
      <c r="I1744" s="36"/>
      <c r="J1744" s="39"/>
      <c r="K1744" s="39"/>
      <c r="AF1744" s="42">
        <v>5031877</v>
      </c>
      <c r="AG1744" s="42" t="s">
        <v>6677</v>
      </c>
    </row>
    <row r="1745" spans="7:33" ht="15.75" customHeight="1">
      <c r="G1745" s="36"/>
      <c r="H1745" s="36"/>
      <c r="I1745" s="36"/>
      <c r="J1745" s="39"/>
      <c r="K1745" s="39"/>
      <c r="AF1745" s="42">
        <v>5031878</v>
      </c>
      <c r="AG1745" s="42" t="s">
        <v>6677</v>
      </c>
    </row>
    <row r="1746" spans="7:33" ht="15.75" customHeight="1">
      <c r="G1746" s="36"/>
      <c r="H1746" s="36"/>
      <c r="I1746" s="36"/>
      <c r="J1746" s="39"/>
      <c r="K1746" s="39"/>
      <c r="AF1746" s="42">
        <v>5031879</v>
      </c>
      <c r="AG1746" s="42" t="s">
        <v>6677</v>
      </c>
    </row>
    <row r="1747" spans="7:33" ht="15.75" customHeight="1">
      <c r="G1747" s="36"/>
      <c r="H1747" s="36"/>
      <c r="I1747" s="36"/>
      <c r="J1747" s="39"/>
      <c r="K1747" s="39"/>
      <c r="AF1747" s="42">
        <v>5031880</v>
      </c>
      <c r="AG1747" s="42" t="s">
        <v>6677</v>
      </c>
    </row>
    <row r="1748" spans="7:33" ht="15.75" customHeight="1">
      <c r="G1748" s="36"/>
      <c r="H1748" s="36"/>
      <c r="I1748" s="36"/>
      <c r="J1748" s="39"/>
      <c r="K1748" s="39"/>
      <c r="AF1748" s="42">
        <v>5031881</v>
      </c>
      <c r="AG1748" s="42" t="s">
        <v>6677</v>
      </c>
    </row>
    <row r="1749" spans="7:33" ht="15.75" customHeight="1">
      <c r="G1749" s="36"/>
      <c r="H1749" s="36"/>
      <c r="I1749" s="36"/>
      <c r="J1749" s="39"/>
      <c r="K1749" s="39"/>
      <c r="AF1749" s="42">
        <v>5031882</v>
      </c>
      <c r="AG1749" s="42" t="s">
        <v>6677</v>
      </c>
    </row>
    <row r="1750" spans="7:33" ht="15.75" customHeight="1">
      <c r="G1750" s="36"/>
      <c r="H1750" s="36"/>
      <c r="I1750" s="36"/>
      <c r="J1750" s="39"/>
      <c r="K1750" s="39"/>
      <c r="AF1750" s="42">
        <v>5031883</v>
      </c>
      <c r="AG1750" s="42" t="s">
        <v>6677</v>
      </c>
    </row>
    <row r="1751" spans="7:33" ht="15.75" customHeight="1">
      <c r="G1751" s="36"/>
      <c r="H1751" s="36"/>
      <c r="I1751" s="36"/>
      <c r="J1751" s="39"/>
      <c r="K1751" s="39"/>
      <c r="AF1751" s="42">
        <v>5031884</v>
      </c>
      <c r="AG1751" s="42" t="s">
        <v>6677</v>
      </c>
    </row>
    <row r="1752" spans="7:33" ht="15.75" customHeight="1">
      <c r="G1752" s="36"/>
      <c r="H1752" s="36"/>
      <c r="I1752" s="36"/>
      <c r="J1752" s="39"/>
      <c r="K1752" s="39"/>
      <c r="AF1752" s="42">
        <v>5031885</v>
      </c>
      <c r="AG1752" s="42" t="s">
        <v>6677</v>
      </c>
    </row>
    <row r="1753" spans="7:33" ht="15.75" customHeight="1">
      <c r="G1753" s="36"/>
      <c r="H1753" s="36"/>
      <c r="I1753" s="36"/>
      <c r="J1753" s="39"/>
      <c r="K1753" s="39"/>
      <c r="AF1753" s="42">
        <v>5031886</v>
      </c>
      <c r="AG1753" s="42" t="s">
        <v>6677</v>
      </c>
    </row>
    <row r="1754" spans="7:33" ht="15.75" customHeight="1">
      <c r="G1754" s="36"/>
      <c r="H1754" s="36"/>
      <c r="I1754" s="36"/>
      <c r="J1754" s="39"/>
      <c r="K1754" s="39"/>
      <c r="AF1754" s="42">
        <v>5031887</v>
      </c>
      <c r="AG1754" s="42" t="s">
        <v>6677</v>
      </c>
    </row>
    <row r="1755" spans="7:33" ht="15.75" customHeight="1">
      <c r="G1755" s="36"/>
      <c r="H1755" s="36"/>
      <c r="I1755" s="36"/>
      <c r="J1755" s="39"/>
      <c r="K1755" s="39"/>
      <c r="AF1755" s="42">
        <v>5031888</v>
      </c>
      <c r="AG1755" s="42" t="s">
        <v>6677</v>
      </c>
    </row>
    <row r="1756" spans="7:33" ht="15.75" customHeight="1">
      <c r="G1756" s="36"/>
      <c r="H1756" s="36"/>
      <c r="I1756" s="36"/>
      <c r="J1756" s="39"/>
      <c r="K1756" s="39"/>
      <c r="AF1756" s="42">
        <v>5031889</v>
      </c>
      <c r="AG1756" s="42" t="s">
        <v>6677</v>
      </c>
    </row>
    <row r="1757" spans="7:33" ht="15.75" customHeight="1">
      <c r="G1757" s="36"/>
      <c r="H1757" s="36"/>
      <c r="I1757" s="36"/>
      <c r="J1757" s="39"/>
      <c r="K1757" s="39"/>
      <c r="AF1757" s="42">
        <v>5031890</v>
      </c>
      <c r="AG1757" s="42" t="s">
        <v>6677</v>
      </c>
    </row>
    <row r="1758" spans="7:33" ht="15.75" customHeight="1">
      <c r="G1758" s="36"/>
      <c r="H1758" s="36"/>
      <c r="I1758" s="36"/>
      <c r="J1758" s="39"/>
      <c r="K1758" s="39"/>
      <c r="AF1758" s="42">
        <v>5031891</v>
      </c>
      <c r="AG1758" s="42" t="s">
        <v>6677</v>
      </c>
    </row>
    <row r="1759" spans="7:33" ht="15.75" customHeight="1">
      <c r="G1759" s="36"/>
      <c r="H1759" s="36"/>
      <c r="I1759" s="36"/>
      <c r="J1759" s="39"/>
      <c r="K1759" s="39"/>
      <c r="AF1759" s="42">
        <v>5031892</v>
      </c>
      <c r="AG1759" s="42" t="s">
        <v>6677</v>
      </c>
    </row>
    <row r="1760" spans="7:33" ht="15.75" customHeight="1">
      <c r="G1760" s="36"/>
      <c r="H1760" s="36"/>
      <c r="I1760" s="36"/>
      <c r="J1760" s="39"/>
      <c r="K1760" s="39"/>
      <c r="AF1760" s="42">
        <v>5031893</v>
      </c>
      <c r="AG1760" s="42" t="s">
        <v>6677</v>
      </c>
    </row>
    <row r="1761" spans="7:33" ht="15.75" customHeight="1">
      <c r="G1761" s="36"/>
      <c r="H1761" s="36"/>
      <c r="I1761" s="36"/>
      <c r="J1761" s="39"/>
      <c r="K1761" s="39"/>
      <c r="AF1761" s="42">
        <v>5031894</v>
      </c>
      <c r="AG1761" s="42" t="s">
        <v>6677</v>
      </c>
    </row>
    <row r="1762" spans="7:33" ht="15.75" customHeight="1">
      <c r="G1762" s="36"/>
      <c r="H1762" s="36"/>
      <c r="I1762" s="36"/>
      <c r="J1762" s="39"/>
      <c r="K1762" s="39"/>
      <c r="AF1762" s="42">
        <v>5031895</v>
      </c>
      <c r="AG1762" s="42" t="s">
        <v>6677</v>
      </c>
    </row>
    <row r="1763" spans="7:33" ht="15.75" customHeight="1">
      <c r="G1763" s="36"/>
      <c r="H1763" s="36"/>
      <c r="I1763" s="36"/>
      <c r="J1763" s="39"/>
      <c r="K1763" s="39"/>
      <c r="AF1763" s="42">
        <v>5031896</v>
      </c>
      <c r="AG1763" s="42" t="s">
        <v>6677</v>
      </c>
    </row>
    <row r="1764" spans="7:33" ht="15.75" customHeight="1">
      <c r="G1764" s="36"/>
      <c r="H1764" s="36"/>
      <c r="I1764" s="36"/>
      <c r="J1764" s="39"/>
      <c r="K1764" s="39"/>
      <c r="AF1764" s="42">
        <v>5031897</v>
      </c>
      <c r="AG1764" s="42" t="s">
        <v>6677</v>
      </c>
    </row>
    <row r="1765" spans="7:33" ht="15.75" customHeight="1">
      <c r="G1765" s="36"/>
      <c r="H1765" s="36"/>
      <c r="I1765" s="36"/>
      <c r="J1765" s="39"/>
      <c r="K1765" s="39"/>
      <c r="AF1765" s="42">
        <v>5031898</v>
      </c>
      <c r="AG1765" s="42" t="s">
        <v>6677</v>
      </c>
    </row>
    <row r="1766" spans="7:33" ht="15.75" customHeight="1">
      <c r="G1766" s="36"/>
      <c r="H1766" s="36"/>
      <c r="I1766" s="36"/>
      <c r="J1766" s="39"/>
      <c r="K1766" s="39"/>
      <c r="AF1766" s="42">
        <v>5031899</v>
      </c>
      <c r="AG1766" s="42" t="s">
        <v>6677</v>
      </c>
    </row>
    <row r="1767" spans="7:33" ht="15.75" customHeight="1">
      <c r="G1767" s="36"/>
      <c r="H1767" s="36"/>
      <c r="I1767" s="36"/>
      <c r="J1767" s="39"/>
      <c r="K1767" s="39"/>
      <c r="AF1767" s="42">
        <v>5031900</v>
      </c>
      <c r="AG1767" s="42" t="s">
        <v>6677</v>
      </c>
    </row>
    <row r="1768" spans="7:33" ht="15.75" customHeight="1">
      <c r="G1768" s="36"/>
      <c r="H1768" s="36"/>
      <c r="I1768" s="36"/>
      <c r="J1768" s="39"/>
      <c r="K1768" s="39"/>
      <c r="AF1768" s="42">
        <v>5031901</v>
      </c>
      <c r="AG1768" s="42" t="s">
        <v>6677</v>
      </c>
    </row>
    <row r="1769" spans="7:33" ht="15.75" customHeight="1">
      <c r="G1769" s="36"/>
      <c r="H1769" s="36"/>
      <c r="I1769" s="36"/>
      <c r="J1769" s="39"/>
      <c r="K1769" s="39"/>
      <c r="AF1769" s="42">
        <v>5031902</v>
      </c>
      <c r="AG1769" s="42" t="s">
        <v>6677</v>
      </c>
    </row>
    <row r="1770" spans="7:33" ht="15.75" customHeight="1">
      <c r="G1770" s="36"/>
      <c r="H1770" s="36"/>
      <c r="I1770" s="36"/>
      <c r="J1770" s="39"/>
      <c r="K1770" s="39"/>
      <c r="AF1770" s="42">
        <v>5031903</v>
      </c>
      <c r="AG1770" s="42" t="s">
        <v>6677</v>
      </c>
    </row>
    <row r="1771" spans="7:33" ht="15.75" customHeight="1">
      <c r="G1771" s="36"/>
      <c r="H1771" s="36"/>
      <c r="I1771" s="36"/>
      <c r="J1771" s="39"/>
      <c r="K1771" s="39"/>
      <c r="AF1771" s="42">
        <v>5031904</v>
      </c>
      <c r="AG1771" s="42" t="s">
        <v>6677</v>
      </c>
    </row>
    <row r="1772" spans="7:33" ht="15.75" customHeight="1">
      <c r="G1772" s="36"/>
      <c r="H1772" s="36"/>
      <c r="I1772" s="36"/>
      <c r="J1772" s="39"/>
      <c r="K1772" s="39"/>
      <c r="AF1772" s="42">
        <v>5031905</v>
      </c>
      <c r="AG1772" s="42" t="s">
        <v>6677</v>
      </c>
    </row>
    <row r="1773" spans="7:33" ht="15.75" customHeight="1">
      <c r="G1773" s="36"/>
      <c r="H1773" s="36"/>
      <c r="I1773" s="36"/>
      <c r="J1773" s="39"/>
      <c r="K1773" s="39"/>
      <c r="AF1773" s="42">
        <v>5031906</v>
      </c>
      <c r="AG1773" s="42" t="s">
        <v>6677</v>
      </c>
    </row>
    <row r="1774" spans="7:33" ht="15.75" customHeight="1">
      <c r="G1774" s="36"/>
      <c r="H1774" s="36"/>
      <c r="I1774" s="36"/>
      <c r="J1774" s="39"/>
      <c r="K1774" s="39"/>
      <c r="AF1774" s="42">
        <v>5031907</v>
      </c>
      <c r="AG1774" s="42" t="s">
        <v>6677</v>
      </c>
    </row>
    <row r="1775" spans="7:33" ht="15.75" customHeight="1">
      <c r="G1775" s="36"/>
      <c r="H1775" s="36"/>
      <c r="I1775" s="36"/>
      <c r="J1775" s="39"/>
      <c r="K1775" s="39"/>
      <c r="AF1775" s="42">
        <v>5031908</v>
      </c>
      <c r="AG1775" s="42" t="s">
        <v>6677</v>
      </c>
    </row>
    <row r="1776" spans="7:33" ht="15.75" customHeight="1">
      <c r="G1776" s="36"/>
      <c r="H1776" s="36"/>
      <c r="I1776" s="36"/>
      <c r="J1776" s="39"/>
      <c r="K1776" s="39"/>
      <c r="AF1776" s="42">
        <v>5031909</v>
      </c>
      <c r="AG1776" s="42" t="s">
        <v>6677</v>
      </c>
    </row>
    <row r="1777" spans="7:33" ht="15.75" customHeight="1">
      <c r="G1777" s="36"/>
      <c r="H1777" s="36"/>
      <c r="I1777" s="36"/>
      <c r="J1777" s="39"/>
      <c r="K1777" s="39"/>
      <c r="AF1777" s="42">
        <v>5031910</v>
      </c>
      <c r="AG1777" s="42" t="s">
        <v>6677</v>
      </c>
    </row>
    <row r="1778" spans="7:33" ht="15.75" customHeight="1">
      <c r="G1778" s="36"/>
      <c r="H1778" s="36"/>
      <c r="I1778" s="36"/>
      <c r="J1778" s="39"/>
      <c r="K1778" s="39"/>
      <c r="AF1778" s="42">
        <v>5031911</v>
      </c>
      <c r="AG1778" s="42" t="s">
        <v>6677</v>
      </c>
    </row>
    <row r="1779" spans="7:33" ht="15.75" customHeight="1">
      <c r="G1779" s="36"/>
      <c r="H1779" s="36"/>
      <c r="I1779" s="36"/>
      <c r="J1779" s="39"/>
      <c r="K1779" s="39"/>
      <c r="AF1779" s="42">
        <v>5031912</v>
      </c>
      <c r="AG1779" s="42" t="s">
        <v>6677</v>
      </c>
    </row>
    <row r="1780" spans="7:33" ht="15.75" customHeight="1">
      <c r="G1780" s="36"/>
      <c r="H1780" s="36"/>
      <c r="I1780" s="36"/>
      <c r="J1780" s="39"/>
      <c r="K1780" s="39"/>
      <c r="AF1780" s="42">
        <v>5031913</v>
      </c>
      <c r="AG1780" s="42" t="s">
        <v>6677</v>
      </c>
    </row>
    <row r="1781" spans="7:33" ht="15.75" customHeight="1">
      <c r="G1781" s="36"/>
      <c r="H1781" s="36"/>
      <c r="I1781" s="36"/>
      <c r="J1781" s="39"/>
      <c r="K1781" s="39"/>
      <c r="AF1781" s="42">
        <v>5031914</v>
      </c>
      <c r="AG1781" s="42" t="s">
        <v>6677</v>
      </c>
    </row>
    <row r="1782" spans="7:33" ht="15.75" customHeight="1">
      <c r="G1782" s="36"/>
      <c r="H1782" s="36"/>
      <c r="I1782" s="36"/>
      <c r="J1782" s="39"/>
      <c r="K1782" s="39"/>
      <c r="AF1782" s="42">
        <v>5031915</v>
      </c>
      <c r="AG1782" s="42" t="s">
        <v>6677</v>
      </c>
    </row>
    <row r="1783" spans="7:33" ht="15.75" customHeight="1">
      <c r="G1783" s="36"/>
      <c r="H1783" s="36"/>
      <c r="I1783" s="36"/>
      <c r="J1783" s="39"/>
      <c r="K1783" s="39"/>
      <c r="AF1783" s="42">
        <v>5031916</v>
      </c>
      <c r="AG1783" s="42" t="s">
        <v>6677</v>
      </c>
    </row>
    <row r="1784" spans="7:33" ht="15.75" customHeight="1">
      <c r="G1784" s="36"/>
      <c r="H1784" s="36"/>
      <c r="I1784" s="36"/>
      <c r="J1784" s="39"/>
      <c r="K1784" s="39"/>
      <c r="AF1784" s="42">
        <v>5031917</v>
      </c>
      <c r="AG1784" s="42" t="s">
        <v>6677</v>
      </c>
    </row>
    <row r="1785" spans="7:33" ht="15.75" customHeight="1">
      <c r="G1785" s="36"/>
      <c r="H1785" s="36"/>
      <c r="I1785" s="36"/>
      <c r="J1785" s="39"/>
      <c r="K1785" s="39"/>
      <c r="AF1785" s="42">
        <v>5031918</v>
      </c>
      <c r="AG1785" s="42" t="s">
        <v>6677</v>
      </c>
    </row>
    <row r="1786" spans="7:33" ht="15.75" customHeight="1">
      <c r="G1786" s="36"/>
      <c r="H1786" s="36"/>
      <c r="I1786" s="36"/>
      <c r="J1786" s="39"/>
      <c r="K1786" s="39"/>
      <c r="AF1786" s="42">
        <v>5031919</v>
      </c>
      <c r="AG1786" s="42" t="s">
        <v>6677</v>
      </c>
    </row>
    <row r="1787" spans="7:33" ht="15.75" customHeight="1">
      <c r="G1787" s="36"/>
      <c r="H1787" s="36"/>
      <c r="I1787" s="36"/>
      <c r="J1787" s="39"/>
      <c r="K1787" s="39"/>
      <c r="AF1787" s="42">
        <v>5032240</v>
      </c>
      <c r="AG1787" s="42" t="s">
        <v>6677</v>
      </c>
    </row>
    <row r="1788" spans="7:33" ht="15.75" customHeight="1">
      <c r="G1788" s="36"/>
      <c r="H1788" s="36"/>
      <c r="I1788" s="36"/>
      <c r="J1788" s="39"/>
      <c r="K1788" s="39"/>
      <c r="AF1788" s="42">
        <v>5032241</v>
      </c>
      <c r="AG1788" s="42" t="s">
        <v>6677</v>
      </c>
    </row>
    <row r="1789" spans="7:33" ht="15.75" customHeight="1">
      <c r="G1789" s="36"/>
      <c r="H1789" s="36"/>
      <c r="I1789" s="36"/>
      <c r="J1789" s="39"/>
      <c r="K1789" s="39"/>
      <c r="AF1789" s="42">
        <v>5032242</v>
      </c>
      <c r="AG1789" s="42" t="s">
        <v>6677</v>
      </c>
    </row>
    <row r="1790" spans="7:33" ht="15.75" customHeight="1">
      <c r="G1790" s="36"/>
      <c r="H1790" s="36"/>
      <c r="I1790" s="36"/>
      <c r="J1790" s="39"/>
      <c r="K1790" s="39"/>
      <c r="AF1790" s="42">
        <v>5032243</v>
      </c>
      <c r="AG1790" s="42" t="s">
        <v>6677</v>
      </c>
    </row>
    <row r="1791" spans="7:33" ht="15.75" customHeight="1">
      <c r="G1791" s="36"/>
      <c r="H1791" s="36"/>
      <c r="I1791" s="36"/>
      <c r="J1791" s="39"/>
      <c r="K1791" s="39"/>
      <c r="AF1791" s="42">
        <v>5032244</v>
      </c>
      <c r="AG1791" s="42" t="s">
        <v>6677</v>
      </c>
    </row>
    <row r="1792" spans="7:33" ht="15.75" customHeight="1">
      <c r="G1792" s="36"/>
      <c r="H1792" s="36"/>
      <c r="I1792" s="36"/>
      <c r="J1792" s="39"/>
      <c r="K1792" s="39"/>
      <c r="AF1792" s="42">
        <v>5032245</v>
      </c>
      <c r="AG1792" s="42" t="s">
        <v>6677</v>
      </c>
    </row>
    <row r="1793" spans="7:33" ht="15.75" customHeight="1">
      <c r="G1793" s="36"/>
      <c r="H1793" s="36"/>
      <c r="I1793" s="36"/>
      <c r="J1793" s="39"/>
      <c r="K1793" s="39"/>
      <c r="AF1793" s="42">
        <v>5032246</v>
      </c>
      <c r="AG1793" s="42" t="s">
        <v>6677</v>
      </c>
    </row>
    <row r="1794" spans="7:33" ht="15.75" customHeight="1">
      <c r="G1794" s="36"/>
      <c r="H1794" s="36"/>
      <c r="I1794" s="36"/>
      <c r="J1794" s="39"/>
      <c r="K1794" s="39"/>
      <c r="AF1794" s="42">
        <v>5032247</v>
      </c>
      <c r="AG1794" s="42" t="s">
        <v>6677</v>
      </c>
    </row>
    <row r="1795" spans="7:33" ht="15.75" customHeight="1">
      <c r="G1795" s="36"/>
      <c r="H1795" s="36"/>
      <c r="I1795" s="36"/>
      <c r="J1795" s="39"/>
      <c r="K1795" s="39"/>
      <c r="AF1795" s="42">
        <v>5032248</v>
      </c>
      <c r="AG1795" s="42" t="s">
        <v>6677</v>
      </c>
    </row>
    <row r="1796" spans="7:33" ht="15.75" customHeight="1">
      <c r="G1796" s="36"/>
      <c r="H1796" s="36"/>
      <c r="I1796" s="36"/>
      <c r="J1796" s="39"/>
      <c r="K1796" s="39"/>
      <c r="AF1796" s="42">
        <v>5032249</v>
      </c>
      <c r="AG1796" s="42" t="s">
        <v>6677</v>
      </c>
    </row>
    <row r="1797" spans="7:33" ht="15.75" customHeight="1">
      <c r="G1797" s="36"/>
      <c r="H1797" s="36"/>
      <c r="I1797" s="36"/>
      <c r="J1797" s="39"/>
      <c r="K1797" s="39"/>
      <c r="AF1797" s="42">
        <v>5033020</v>
      </c>
      <c r="AG1797" s="42" t="s">
        <v>6677</v>
      </c>
    </row>
    <row r="1798" spans="7:33" ht="15.75" customHeight="1">
      <c r="G1798" s="36"/>
      <c r="H1798" s="36"/>
      <c r="I1798" s="36"/>
      <c r="J1798" s="39"/>
      <c r="K1798" s="39"/>
      <c r="AF1798" s="42">
        <v>5033021</v>
      </c>
      <c r="AG1798" s="42" t="s">
        <v>6677</v>
      </c>
    </row>
    <row r="1799" spans="7:33" ht="15.75" customHeight="1">
      <c r="G1799" s="36"/>
      <c r="H1799" s="36"/>
      <c r="I1799" s="36"/>
      <c r="J1799" s="39"/>
      <c r="K1799" s="39"/>
      <c r="AF1799" s="42">
        <v>5033022</v>
      </c>
      <c r="AG1799" s="42" t="s">
        <v>6677</v>
      </c>
    </row>
    <row r="1800" spans="7:33" ht="15.75" customHeight="1">
      <c r="G1800" s="36"/>
      <c r="H1800" s="36"/>
      <c r="I1800" s="36"/>
      <c r="J1800" s="39"/>
      <c r="K1800" s="39"/>
      <c r="AF1800" s="42">
        <v>5033023</v>
      </c>
      <c r="AG1800" s="42" t="s">
        <v>6677</v>
      </c>
    </row>
    <row r="1801" spans="7:33" ht="15.75" customHeight="1">
      <c r="G1801" s="36"/>
      <c r="H1801" s="36"/>
      <c r="I1801" s="36"/>
      <c r="J1801" s="39"/>
      <c r="K1801" s="39"/>
      <c r="AF1801" s="42">
        <v>5033024</v>
      </c>
      <c r="AG1801" s="42" t="s">
        <v>6677</v>
      </c>
    </row>
    <row r="1802" spans="7:33" ht="15.75" customHeight="1">
      <c r="G1802" s="36"/>
      <c r="H1802" s="36"/>
      <c r="I1802" s="36"/>
      <c r="J1802" s="39"/>
      <c r="K1802" s="39"/>
      <c r="AF1802" s="42">
        <v>5033025</v>
      </c>
      <c r="AG1802" s="42" t="s">
        <v>6677</v>
      </c>
    </row>
    <row r="1803" spans="7:33" ht="15.75" customHeight="1">
      <c r="G1803" s="36"/>
      <c r="H1803" s="36"/>
      <c r="I1803" s="36"/>
      <c r="J1803" s="39"/>
      <c r="K1803" s="39"/>
      <c r="AF1803" s="42">
        <v>5033026</v>
      </c>
      <c r="AG1803" s="42" t="s">
        <v>6677</v>
      </c>
    </row>
    <row r="1804" spans="7:33" ht="15.75" customHeight="1">
      <c r="G1804" s="36"/>
      <c r="H1804" s="36"/>
      <c r="I1804" s="36"/>
      <c r="J1804" s="39"/>
      <c r="K1804" s="39"/>
      <c r="AF1804" s="42">
        <v>5033027</v>
      </c>
      <c r="AG1804" s="42" t="s">
        <v>6677</v>
      </c>
    </row>
    <row r="1805" spans="7:33" ht="15.75" customHeight="1">
      <c r="G1805" s="36"/>
      <c r="H1805" s="36"/>
      <c r="I1805" s="36"/>
      <c r="J1805" s="39"/>
      <c r="K1805" s="39"/>
      <c r="AF1805" s="42">
        <v>5033028</v>
      </c>
      <c r="AG1805" s="42" t="s">
        <v>6677</v>
      </c>
    </row>
    <row r="1806" spans="7:33" ht="15.75" customHeight="1">
      <c r="G1806" s="36"/>
      <c r="H1806" s="36"/>
      <c r="I1806" s="36"/>
      <c r="J1806" s="39"/>
      <c r="K1806" s="39"/>
      <c r="AF1806" s="42">
        <v>5033029</v>
      </c>
      <c r="AG1806" s="42" t="s">
        <v>6677</v>
      </c>
    </row>
    <row r="1807" spans="7:33" ht="15.75" customHeight="1">
      <c r="G1807" s="36"/>
      <c r="H1807" s="36"/>
      <c r="I1807" s="36"/>
      <c r="J1807" s="39"/>
      <c r="K1807" s="39"/>
      <c r="AF1807" s="42">
        <v>5036847</v>
      </c>
      <c r="AG1807" s="42" t="s">
        <v>6677</v>
      </c>
    </row>
    <row r="1808" spans="7:33" ht="15.75" customHeight="1">
      <c r="G1808" s="36"/>
      <c r="H1808" s="36"/>
      <c r="I1808" s="36"/>
      <c r="J1808" s="39"/>
      <c r="K1808" s="39"/>
      <c r="AF1808" s="42">
        <v>5036848</v>
      </c>
      <c r="AG1808" s="42" t="s">
        <v>6677</v>
      </c>
    </row>
    <row r="1809" spans="7:33" ht="15.75" customHeight="1">
      <c r="G1809" s="36"/>
      <c r="H1809" s="36"/>
      <c r="I1809" s="36"/>
      <c r="J1809" s="39"/>
      <c r="K1809" s="39"/>
      <c r="AF1809" s="42">
        <v>5036850</v>
      </c>
      <c r="AG1809" s="42" t="s">
        <v>6677</v>
      </c>
    </row>
    <row r="1810" spans="7:33" ht="15.75" customHeight="1">
      <c r="G1810" s="36"/>
      <c r="H1810" s="36"/>
      <c r="I1810" s="36"/>
      <c r="J1810" s="39"/>
      <c r="K1810" s="39"/>
      <c r="AF1810" s="42">
        <v>5036851</v>
      </c>
      <c r="AG1810" s="42" t="s">
        <v>6677</v>
      </c>
    </row>
    <row r="1811" spans="7:33" ht="15.75" customHeight="1">
      <c r="G1811" s="36"/>
      <c r="H1811" s="36"/>
      <c r="I1811" s="36"/>
      <c r="J1811" s="39"/>
      <c r="K1811" s="39"/>
      <c r="AF1811" s="42">
        <v>5036852</v>
      </c>
      <c r="AG1811" s="42" t="s">
        <v>6677</v>
      </c>
    </row>
    <row r="1812" spans="7:33" ht="15.75" customHeight="1">
      <c r="G1812" s="36"/>
      <c r="H1812" s="36"/>
      <c r="I1812" s="36"/>
      <c r="J1812" s="39"/>
      <c r="K1812" s="39"/>
      <c r="AF1812" s="42">
        <v>5036853</v>
      </c>
      <c r="AG1812" s="42" t="s">
        <v>6677</v>
      </c>
    </row>
    <row r="1813" spans="7:33" ht="15.75" customHeight="1">
      <c r="G1813" s="36"/>
      <c r="H1813" s="36"/>
      <c r="I1813" s="36"/>
      <c r="J1813" s="39"/>
      <c r="K1813" s="39"/>
      <c r="AF1813" s="42">
        <v>5036855</v>
      </c>
      <c r="AG1813" s="42" t="s">
        <v>6677</v>
      </c>
    </row>
    <row r="1814" spans="7:33" ht="15.75" customHeight="1">
      <c r="G1814" s="36"/>
      <c r="H1814" s="36"/>
      <c r="I1814" s="36"/>
      <c r="J1814" s="39"/>
      <c r="K1814" s="39"/>
      <c r="AF1814" s="42">
        <v>5036911</v>
      </c>
      <c r="AG1814" s="42" t="s">
        <v>6677</v>
      </c>
    </row>
    <row r="1815" spans="7:33" ht="15.75" customHeight="1">
      <c r="G1815" s="36"/>
      <c r="H1815" s="36"/>
      <c r="I1815" s="36"/>
      <c r="J1815" s="39"/>
      <c r="K1815" s="39"/>
      <c r="AF1815" s="42">
        <v>5036919</v>
      </c>
      <c r="AG1815" s="42" t="s">
        <v>6677</v>
      </c>
    </row>
    <row r="1816" spans="7:33" ht="15.75" customHeight="1">
      <c r="G1816" s="36"/>
      <c r="H1816" s="36"/>
      <c r="I1816" s="36"/>
      <c r="J1816" s="39"/>
      <c r="K1816" s="39"/>
      <c r="AF1816" s="42">
        <v>5036924</v>
      </c>
      <c r="AG1816" s="42" t="s">
        <v>6677</v>
      </c>
    </row>
    <row r="1817" spans="7:33" ht="15.75" customHeight="1">
      <c r="G1817" s="36"/>
      <c r="H1817" s="36"/>
      <c r="I1817" s="36"/>
      <c r="J1817" s="39"/>
      <c r="K1817" s="39"/>
      <c r="AF1817" s="42">
        <v>5038121</v>
      </c>
      <c r="AG1817" s="42" t="s">
        <v>6677</v>
      </c>
    </row>
    <row r="1818" spans="7:33" ht="15.75" customHeight="1">
      <c r="G1818" s="36"/>
      <c r="H1818" s="36"/>
      <c r="I1818" s="36"/>
      <c r="J1818" s="39"/>
      <c r="K1818" s="39"/>
      <c r="AF1818" s="42">
        <v>5038122</v>
      </c>
      <c r="AG1818" s="42" t="s">
        <v>6677</v>
      </c>
    </row>
    <row r="1819" spans="7:33" ht="15.75" customHeight="1">
      <c r="G1819" s="36"/>
      <c r="H1819" s="36"/>
      <c r="I1819" s="36"/>
      <c r="J1819" s="39"/>
      <c r="K1819" s="39"/>
      <c r="AF1819" s="42">
        <v>5038124</v>
      </c>
      <c r="AG1819" s="42" t="s">
        <v>6677</v>
      </c>
    </row>
    <row r="1820" spans="7:33" ht="15.75" customHeight="1">
      <c r="G1820" s="36"/>
      <c r="H1820" s="36"/>
      <c r="I1820" s="36"/>
      <c r="J1820" s="39"/>
      <c r="K1820" s="39"/>
      <c r="AF1820" s="42">
        <v>5038126</v>
      </c>
      <c r="AG1820" s="42" t="s">
        <v>6677</v>
      </c>
    </row>
    <row r="1821" spans="7:33" ht="15.75" customHeight="1">
      <c r="G1821" s="36"/>
      <c r="H1821" s="36"/>
      <c r="I1821" s="36"/>
      <c r="J1821" s="39"/>
      <c r="K1821" s="39"/>
      <c r="AF1821" s="42">
        <v>5038127</v>
      </c>
      <c r="AG1821" s="42" t="s">
        <v>6677</v>
      </c>
    </row>
    <row r="1822" spans="7:33" ht="15.75" customHeight="1">
      <c r="G1822" s="36"/>
      <c r="H1822" s="36"/>
      <c r="I1822" s="36"/>
      <c r="J1822" s="39"/>
      <c r="K1822" s="39"/>
      <c r="AF1822" s="42">
        <v>5038128</v>
      </c>
      <c r="AG1822" s="42" t="s">
        <v>6677</v>
      </c>
    </row>
    <row r="1823" spans="7:33" ht="15.75" customHeight="1">
      <c r="G1823" s="36"/>
      <c r="H1823" s="36"/>
      <c r="I1823" s="36"/>
      <c r="J1823" s="39"/>
      <c r="K1823" s="39"/>
      <c r="AF1823" s="42">
        <v>5038131</v>
      </c>
      <c r="AG1823" s="42" t="s">
        <v>6677</v>
      </c>
    </row>
    <row r="1824" spans="7:33" ht="15.75" customHeight="1">
      <c r="G1824" s="36"/>
      <c r="H1824" s="36"/>
      <c r="I1824" s="36"/>
      <c r="J1824" s="39"/>
      <c r="K1824" s="39"/>
      <c r="AF1824" s="42">
        <v>5038132</v>
      </c>
      <c r="AG1824" s="42" t="s">
        <v>6677</v>
      </c>
    </row>
    <row r="1825" spans="7:33" ht="15.75" customHeight="1">
      <c r="G1825" s="36"/>
      <c r="H1825" s="36"/>
      <c r="I1825" s="36"/>
      <c r="J1825" s="39"/>
      <c r="K1825" s="39"/>
      <c r="AF1825" s="42">
        <v>5038133</v>
      </c>
      <c r="AG1825" s="42" t="s">
        <v>6677</v>
      </c>
    </row>
    <row r="1826" spans="7:33" ht="15.75" customHeight="1">
      <c r="G1826" s="36"/>
      <c r="H1826" s="36"/>
      <c r="I1826" s="36"/>
      <c r="J1826" s="39"/>
      <c r="K1826" s="39"/>
      <c r="AF1826" s="42">
        <v>5038136</v>
      </c>
      <c r="AG1826" s="42" t="s">
        <v>6677</v>
      </c>
    </row>
    <row r="1827" spans="7:33" ht="15.75" customHeight="1">
      <c r="G1827" s="36"/>
      <c r="H1827" s="36"/>
      <c r="I1827" s="36"/>
      <c r="J1827" s="39"/>
      <c r="K1827" s="39"/>
      <c r="AF1827" s="42">
        <v>5038139</v>
      </c>
      <c r="AG1827" s="42" t="s">
        <v>6677</v>
      </c>
    </row>
    <row r="1828" spans="7:33" ht="15.75" customHeight="1">
      <c r="G1828" s="36"/>
      <c r="H1828" s="36"/>
      <c r="I1828" s="36"/>
      <c r="J1828" s="39"/>
      <c r="K1828" s="39"/>
      <c r="AF1828" s="42">
        <v>5039008</v>
      </c>
      <c r="AG1828" s="42" t="s">
        <v>6683</v>
      </c>
    </row>
    <row r="1829" spans="7:33" ht="15.75" customHeight="1">
      <c r="G1829" s="36"/>
      <c r="H1829" s="36"/>
      <c r="I1829" s="36"/>
      <c r="J1829" s="39"/>
      <c r="K1829" s="39"/>
      <c r="AF1829" s="42">
        <v>5039010</v>
      </c>
      <c r="AG1829" s="42" t="s">
        <v>6683</v>
      </c>
    </row>
    <row r="1830" spans="7:33" ht="15.75" customHeight="1">
      <c r="G1830" s="36"/>
      <c r="H1830" s="36"/>
      <c r="I1830" s="36"/>
      <c r="J1830" s="39"/>
      <c r="K1830" s="39"/>
      <c r="AF1830" s="42">
        <v>5039011</v>
      </c>
      <c r="AG1830" s="42" t="s">
        <v>6683</v>
      </c>
    </row>
    <row r="1831" spans="7:33" ht="15.75" customHeight="1">
      <c r="G1831" s="36"/>
      <c r="H1831" s="36"/>
      <c r="I1831" s="36"/>
      <c r="J1831" s="39"/>
      <c r="K1831" s="39"/>
      <c r="AF1831" s="42">
        <v>5040880</v>
      </c>
      <c r="AG1831" s="42" t="s">
        <v>6677</v>
      </c>
    </row>
    <row r="1832" spans="7:33" ht="15.75" customHeight="1">
      <c r="G1832" s="36"/>
      <c r="H1832" s="36"/>
      <c r="I1832" s="36"/>
      <c r="J1832" s="39"/>
      <c r="K1832" s="39"/>
      <c r="AF1832" s="42">
        <v>5040881</v>
      </c>
      <c r="AG1832" s="42" t="s">
        <v>6677</v>
      </c>
    </row>
    <row r="1833" spans="7:33" ht="15.75" customHeight="1">
      <c r="G1833" s="36"/>
      <c r="H1833" s="36"/>
      <c r="I1833" s="36"/>
      <c r="J1833" s="39"/>
      <c r="K1833" s="39"/>
      <c r="AF1833" s="42">
        <v>5040882</v>
      </c>
      <c r="AG1833" s="42" t="s">
        <v>6677</v>
      </c>
    </row>
    <row r="1834" spans="7:33" ht="15.75" customHeight="1">
      <c r="G1834" s="36"/>
      <c r="H1834" s="36"/>
      <c r="I1834" s="36"/>
      <c r="J1834" s="39"/>
      <c r="K1834" s="39"/>
      <c r="AF1834" s="42">
        <v>5040883</v>
      </c>
      <c r="AG1834" s="42" t="s">
        <v>6677</v>
      </c>
    </row>
    <row r="1835" spans="7:33" ht="15.75" customHeight="1">
      <c r="G1835" s="36"/>
      <c r="H1835" s="36"/>
      <c r="I1835" s="36"/>
      <c r="J1835" s="39"/>
      <c r="K1835" s="39"/>
      <c r="AF1835" s="42">
        <v>5040884</v>
      </c>
      <c r="AG1835" s="42" t="s">
        <v>6677</v>
      </c>
    </row>
    <row r="1836" spans="7:33" ht="15.75" customHeight="1">
      <c r="G1836" s="36"/>
      <c r="H1836" s="36"/>
      <c r="I1836" s="36"/>
      <c r="J1836" s="39"/>
      <c r="K1836" s="39"/>
      <c r="AF1836" s="42">
        <v>5040885</v>
      </c>
      <c r="AG1836" s="42" t="s">
        <v>6677</v>
      </c>
    </row>
    <row r="1837" spans="7:33" ht="15.75" customHeight="1">
      <c r="G1837" s="36"/>
      <c r="H1837" s="36"/>
      <c r="I1837" s="36"/>
      <c r="J1837" s="39"/>
      <c r="K1837" s="39"/>
      <c r="AF1837" s="42">
        <v>5040886</v>
      </c>
      <c r="AG1837" s="42" t="s">
        <v>6677</v>
      </c>
    </row>
    <row r="1838" spans="7:33" ht="15.75" customHeight="1">
      <c r="G1838" s="36"/>
      <c r="H1838" s="36"/>
      <c r="I1838" s="36"/>
      <c r="J1838" s="39"/>
      <c r="K1838" s="39"/>
      <c r="AF1838" s="42">
        <v>5040887</v>
      </c>
      <c r="AG1838" s="42" t="s">
        <v>6677</v>
      </c>
    </row>
    <row r="1839" spans="7:33" ht="15.75" customHeight="1">
      <c r="G1839" s="36"/>
      <c r="H1839" s="36"/>
      <c r="I1839" s="36"/>
      <c r="J1839" s="39"/>
      <c r="K1839" s="39"/>
      <c r="AF1839" s="42">
        <v>5040888</v>
      </c>
      <c r="AG1839" s="42" t="s">
        <v>6677</v>
      </c>
    </row>
    <row r="1840" spans="7:33" ht="15.75" customHeight="1">
      <c r="G1840" s="36"/>
      <c r="H1840" s="36"/>
      <c r="I1840" s="36"/>
      <c r="J1840" s="39"/>
      <c r="K1840" s="39"/>
      <c r="AF1840" s="42">
        <v>5040889</v>
      </c>
      <c r="AG1840" s="42" t="s">
        <v>6677</v>
      </c>
    </row>
    <row r="1841" spans="7:33" ht="15.75" customHeight="1">
      <c r="G1841" s="36"/>
      <c r="H1841" s="36"/>
      <c r="I1841" s="36"/>
      <c r="J1841" s="39"/>
      <c r="K1841" s="39"/>
      <c r="AF1841" s="42">
        <v>5040890</v>
      </c>
      <c r="AG1841" s="42" t="s">
        <v>6677</v>
      </c>
    </row>
    <row r="1842" spans="7:33" ht="15.75" customHeight="1">
      <c r="G1842" s="36"/>
      <c r="H1842" s="36"/>
      <c r="I1842" s="36"/>
      <c r="J1842" s="39"/>
      <c r="K1842" s="39"/>
      <c r="AF1842" s="42">
        <v>5040891</v>
      </c>
      <c r="AG1842" s="42" t="s">
        <v>6677</v>
      </c>
    </row>
    <row r="1843" spans="7:33" ht="15.75" customHeight="1">
      <c r="G1843" s="36"/>
      <c r="H1843" s="36"/>
      <c r="I1843" s="36"/>
      <c r="J1843" s="39"/>
      <c r="K1843" s="39"/>
      <c r="AF1843" s="42">
        <v>5040892</v>
      </c>
      <c r="AG1843" s="42" t="s">
        <v>6677</v>
      </c>
    </row>
    <row r="1844" spans="7:33" ht="15.75" customHeight="1">
      <c r="G1844" s="36"/>
      <c r="H1844" s="36"/>
      <c r="I1844" s="36"/>
      <c r="J1844" s="39"/>
      <c r="K1844" s="39"/>
      <c r="AF1844" s="42">
        <v>5040893</v>
      </c>
      <c r="AG1844" s="42" t="s">
        <v>6677</v>
      </c>
    </row>
    <row r="1845" spans="7:33" ht="15.75" customHeight="1">
      <c r="G1845" s="36"/>
      <c r="H1845" s="36"/>
      <c r="I1845" s="36"/>
      <c r="J1845" s="39"/>
      <c r="K1845" s="39"/>
      <c r="AF1845" s="42">
        <v>5040894</v>
      </c>
      <c r="AG1845" s="42" t="s">
        <v>6677</v>
      </c>
    </row>
    <row r="1846" spans="7:33" ht="15.75" customHeight="1">
      <c r="G1846" s="36"/>
      <c r="H1846" s="36"/>
      <c r="I1846" s="36"/>
      <c r="J1846" s="39"/>
      <c r="K1846" s="39"/>
      <c r="AF1846" s="42">
        <v>5040895</v>
      </c>
      <c r="AG1846" s="42" t="s">
        <v>6677</v>
      </c>
    </row>
    <row r="1847" spans="7:33" ht="15.75" customHeight="1">
      <c r="G1847" s="36"/>
      <c r="H1847" s="36"/>
      <c r="I1847" s="36"/>
      <c r="J1847" s="39"/>
      <c r="K1847" s="39"/>
      <c r="AF1847" s="42">
        <v>5040896</v>
      </c>
      <c r="AG1847" s="42" t="s">
        <v>6677</v>
      </c>
    </row>
    <row r="1848" spans="7:33" ht="15.75" customHeight="1">
      <c r="G1848" s="36"/>
      <c r="H1848" s="36"/>
      <c r="I1848" s="36"/>
      <c r="J1848" s="39"/>
      <c r="K1848" s="39"/>
      <c r="AF1848" s="42">
        <v>5040897</v>
      </c>
      <c r="AG1848" s="42" t="s">
        <v>6677</v>
      </c>
    </row>
    <row r="1849" spans="7:33" ht="15.75" customHeight="1">
      <c r="G1849" s="36"/>
      <c r="H1849" s="36"/>
      <c r="I1849" s="36"/>
      <c r="J1849" s="39"/>
      <c r="K1849" s="39"/>
      <c r="AF1849" s="42">
        <v>5040898</v>
      </c>
      <c r="AG1849" s="42" t="s">
        <v>6677</v>
      </c>
    </row>
    <row r="1850" spans="7:33" ht="15.75" customHeight="1">
      <c r="G1850" s="36"/>
      <c r="H1850" s="36"/>
      <c r="I1850" s="36"/>
      <c r="J1850" s="39"/>
      <c r="K1850" s="39"/>
      <c r="AF1850" s="42">
        <v>5040899</v>
      </c>
      <c r="AG1850" s="42" t="s">
        <v>6677</v>
      </c>
    </row>
    <row r="1851" spans="7:33" ht="15.75" customHeight="1">
      <c r="G1851" s="36"/>
      <c r="H1851" s="36"/>
      <c r="I1851" s="36"/>
      <c r="J1851" s="39"/>
      <c r="K1851" s="39"/>
      <c r="AF1851" s="42">
        <v>5040900</v>
      </c>
      <c r="AG1851" s="42" t="s">
        <v>6677</v>
      </c>
    </row>
    <row r="1852" spans="7:33" ht="15.75" customHeight="1">
      <c r="G1852" s="36"/>
      <c r="H1852" s="36"/>
      <c r="I1852" s="36"/>
      <c r="J1852" s="39"/>
      <c r="K1852" s="39"/>
      <c r="AF1852" s="42">
        <v>5040901</v>
      </c>
      <c r="AG1852" s="42" t="s">
        <v>6677</v>
      </c>
    </row>
    <row r="1853" spans="7:33" ht="15.75" customHeight="1">
      <c r="G1853" s="36"/>
      <c r="H1853" s="36"/>
      <c r="I1853" s="36"/>
      <c r="J1853" s="39"/>
      <c r="K1853" s="39"/>
      <c r="AF1853" s="42">
        <v>5040902</v>
      </c>
      <c r="AG1853" s="42" t="s">
        <v>6677</v>
      </c>
    </row>
    <row r="1854" spans="7:33" ht="15.75" customHeight="1">
      <c r="G1854" s="36"/>
      <c r="H1854" s="36"/>
      <c r="I1854" s="36"/>
      <c r="J1854" s="39"/>
      <c r="K1854" s="39"/>
      <c r="AF1854" s="42">
        <v>5040903</v>
      </c>
      <c r="AG1854" s="42" t="s">
        <v>6677</v>
      </c>
    </row>
    <row r="1855" spans="7:33" ht="15.75" customHeight="1">
      <c r="G1855" s="36"/>
      <c r="H1855" s="36"/>
      <c r="I1855" s="36"/>
      <c r="J1855" s="39"/>
      <c r="K1855" s="39"/>
      <c r="AF1855" s="42">
        <v>5040904</v>
      </c>
      <c r="AG1855" s="42" t="s">
        <v>6677</v>
      </c>
    </row>
    <row r="1856" spans="7:33" ht="15.75" customHeight="1">
      <c r="G1856" s="36"/>
      <c r="H1856" s="36"/>
      <c r="I1856" s="36"/>
      <c r="J1856" s="39"/>
      <c r="K1856" s="39"/>
      <c r="AF1856" s="42">
        <v>5042640</v>
      </c>
      <c r="AG1856" s="42" t="s">
        <v>6677</v>
      </c>
    </row>
    <row r="1857" spans="7:33" ht="15.75" customHeight="1">
      <c r="G1857" s="36"/>
      <c r="H1857" s="36"/>
      <c r="I1857" s="36"/>
      <c r="J1857" s="39"/>
      <c r="K1857" s="39"/>
      <c r="AF1857" s="42">
        <v>5042641</v>
      </c>
      <c r="AG1857" s="42" t="s">
        <v>6677</v>
      </c>
    </row>
    <row r="1858" spans="7:33" ht="15.75" customHeight="1">
      <c r="G1858" s="36"/>
      <c r="H1858" s="36"/>
      <c r="I1858" s="36"/>
      <c r="J1858" s="39"/>
      <c r="K1858" s="39"/>
      <c r="AF1858" s="42">
        <v>5042642</v>
      </c>
      <c r="AG1858" s="42" t="s">
        <v>6677</v>
      </c>
    </row>
    <row r="1859" spans="7:33" ht="15.75" customHeight="1">
      <c r="G1859" s="36"/>
      <c r="H1859" s="36"/>
      <c r="I1859" s="36"/>
      <c r="J1859" s="39"/>
      <c r="K1859" s="39"/>
      <c r="AF1859" s="42">
        <v>5042643</v>
      </c>
      <c r="AG1859" s="42" t="s">
        <v>6677</v>
      </c>
    </row>
    <row r="1860" spans="7:33" ht="15.75" customHeight="1">
      <c r="G1860" s="36"/>
      <c r="H1860" s="36"/>
      <c r="I1860" s="36"/>
      <c r="J1860" s="39"/>
      <c r="K1860" s="39"/>
      <c r="AF1860" s="42">
        <v>5042644</v>
      </c>
      <c r="AG1860" s="42" t="s">
        <v>6677</v>
      </c>
    </row>
    <row r="1861" spans="7:33" ht="15.75" customHeight="1">
      <c r="G1861" s="36"/>
      <c r="H1861" s="36"/>
      <c r="I1861" s="36"/>
      <c r="J1861" s="39"/>
      <c r="K1861" s="39"/>
      <c r="AF1861" s="42">
        <v>5042645</v>
      </c>
      <c r="AG1861" s="42" t="s">
        <v>6677</v>
      </c>
    </row>
    <row r="1862" spans="7:33" ht="15.75" customHeight="1">
      <c r="G1862" s="36"/>
      <c r="H1862" s="36"/>
      <c r="I1862" s="36"/>
      <c r="J1862" s="39"/>
      <c r="K1862" s="39"/>
      <c r="AF1862" s="42">
        <v>5042646</v>
      </c>
      <c r="AG1862" s="42" t="s">
        <v>6677</v>
      </c>
    </row>
    <row r="1863" spans="7:33" ht="15.75" customHeight="1">
      <c r="G1863" s="36"/>
      <c r="H1863" s="36"/>
      <c r="I1863" s="36"/>
      <c r="J1863" s="39"/>
      <c r="K1863" s="39"/>
      <c r="AF1863" s="42">
        <v>5042647</v>
      </c>
      <c r="AG1863" s="42" t="s">
        <v>6677</v>
      </c>
    </row>
    <row r="1864" spans="7:33" ht="15.75" customHeight="1">
      <c r="G1864" s="36"/>
      <c r="H1864" s="36"/>
      <c r="I1864" s="36"/>
      <c r="J1864" s="39"/>
      <c r="K1864" s="39"/>
      <c r="AF1864" s="42">
        <v>5042648</v>
      </c>
      <c r="AG1864" s="42" t="s">
        <v>6677</v>
      </c>
    </row>
    <row r="1865" spans="7:33" ht="15.75" customHeight="1">
      <c r="G1865" s="36"/>
      <c r="H1865" s="36"/>
      <c r="I1865" s="36"/>
      <c r="J1865" s="39"/>
      <c r="K1865" s="39"/>
      <c r="AF1865" s="42">
        <v>5042649</v>
      </c>
      <c r="AG1865" s="42" t="s">
        <v>6677</v>
      </c>
    </row>
    <row r="1866" spans="7:33" ht="15.75" customHeight="1">
      <c r="G1866" s="36"/>
      <c r="H1866" s="36"/>
      <c r="I1866" s="36"/>
      <c r="J1866" s="39"/>
      <c r="K1866" s="39"/>
      <c r="AF1866" s="42">
        <v>5042650</v>
      </c>
      <c r="AG1866" s="42" t="s">
        <v>6677</v>
      </c>
    </row>
    <row r="1867" spans="7:33" ht="15.75" customHeight="1">
      <c r="G1867" s="36"/>
      <c r="H1867" s="36"/>
      <c r="I1867" s="36"/>
      <c r="J1867" s="39"/>
      <c r="K1867" s="39"/>
      <c r="AF1867" s="42">
        <v>5042651</v>
      </c>
      <c r="AG1867" s="42" t="s">
        <v>6677</v>
      </c>
    </row>
    <row r="1868" spans="7:33" ht="15.75" customHeight="1">
      <c r="G1868" s="36"/>
      <c r="H1868" s="36"/>
      <c r="I1868" s="36"/>
      <c r="J1868" s="39"/>
      <c r="K1868" s="39"/>
      <c r="AF1868" s="42">
        <v>5042652</v>
      </c>
      <c r="AG1868" s="42" t="s">
        <v>6677</v>
      </c>
    </row>
    <row r="1869" spans="7:33" ht="15.75" customHeight="1">
      <c r="G1869" s="36"/>
      <c r="H1869" s="36"/>
      <c r="I1869" s="36"/>
      <c r="J1869" s="39"/>
      <c r="K1869" s="39"/>
      <c r="AF1869" s="42">
        <v>5042653</v>
      </c>
      <c r="AG1869" s="42" t="s">
        <v>6677</v>
      </c>
    </row>
    <row r="1870" spans="7:33" ht="15.75" customHeight="1">
      <c r="G1870" s="36"/>
      <c r="H1870" s="36"/>
      <c r="I1870" s="36"/>
      <c r="J1870" s="39"/>
      <c r="K1870" s="39"/>
      <c r="AF1870" s="42">
        <v>5042654</v>
      </c>
      <c r="AG1870" s="42" t="s">
        <v>6677</v>
      </c>
    </row>
    <row r="1871" spans="7:33" ht="15.75" customHeight="1">
      <c r="G1871" s="36"/>
      <c r="H1871" s="36"/>
      <c r="I1871" s="36"/>
      <c r="J1871" s="39"/>
      <c r="K1871" s="39"/>
      <c r="AF1871" s="42">
        <v>5042655</v>
      </c>
      <c r="AG1871" s="42" t="s">
        <v>6677</v>
      </c>
    </row>
    <row r="1872" spans="7:33" ht="15.75" customHeight="1">
      <c r="G1872" s="36"/>
      <c r="H1872" s="36"/>
      <c r="I1872" s="36"/>
      <c r="J1872" s="39"/>
      <c r="K1872" s="39"/>
      <c r="AF1872" s="42">
        <v>5042656</v>
      </c>
      <c r="AG1872" s="42" t="s">
        <v>6677</v>
      </c>
    </row>
    <row r="1873" spans="7:33" ht="15.75" customHeight="1">
      <c r="G1873" s="36"/>
      <c r="H1873" s="36"/>
      <c r="I1873" s="36"/>
      <c r="J1873" s="39"/>
      <c r="K1873" s="39"/>
      <c r="AF1873" s="42">
        <v>5042657</v>
      </c>
      <c r="AG1873" s="42" t="s">
        <v>6677</v>
      </c>
    </row>
    <row r="1874" spans="7:33" ht="15.75" customHeight="1">
      <c r="G1874" s="36"/>
      <c r="H1874" s="36"/>
      <c r="I1874" s="36"/>
      <c r="J1874" s="39"/>
      <c r="K1874" s="39"/>
      <c r="AF1874" s="42">
        <v>5042658</v>
      </c>
      <c r="AG1874" s="42" t="s">
        <v>6677</v>
      </c>
    </row>
    <row r="1875" spans="7:33" ht="15.75" customHeight="1">
      <c r="G1875" s="36"/>
      <c r="H1875" s="36"/>
      <c r="I1875" s="36"/>
      <c r="J1875" s="39"/>
      <c r="K1875" s="39"/>
      <c r="AF1875" s="42">
        <v>5042659</v>
      </c>
      <c r="AG1875" s="42" t="s">
        <v>6677</v>
      </c>
    </row>
    <row r="1876" spans="7:33" ht="15.75" customHeight="1">
      <c r="G1876" s="36"/>
      <c r="H1876" s="36"/>
      <c r="I1876" s="36"/>
      <c r="J1876" s="39"/>
      <c r="K1876" s="39"/>
      <c r="AF1876" s="42">
        <v>5042660</v>
      </c>
      <c r="AG1876" s="42" t="s">
        <v>6677</v>
      </c>
    </row>
    <row r="1877" spans="7:33" ht="15.75" customHeight="1">
      <c r="G1877" s="36"/>
      <c r="H1877" s="36"/>
      <c r="I1877" s="36"/>
      <c r="J1877" s="39"/>
      <c r="K1877" s="39"/>
      <c r="AF1877" s="42">
        <v>5042661</v>
      </c>
      <c r="AG1877" s="42" t="s">
        <v>6677</v>
      </c>
    </row>
    <row r="1878" spans="7:33" ht="15.75" customHeight="1">
      <c r="G1878" s="36"/>
      <c r="H1878" s="36"/>
      <c r="I1878" s="36"/>
      <c r="J1878" s="39"/>
      <c r="K1878" s="39"/>
      <c r="AF1878" s="42">
        <v>5042662</v>
      </c>
      <c r="AG1878" s="42" t="s">
        <v>6677</v>
      </c>
    </row>
    <row r="1879" spans="7:33" ht="15.75" customHeight="1">
      <c r="G1879" s="36"/>
      <c r="H1879" s="36"/>
      <c r="I1879" s="36"/>
      <c r="J1879" s="39"/>
      <c r="K1879" s="39"/>
      <c r="AF1879" s="42">
        <v>5042663</v>
      </c>
      <c r="AG1879" s="42" t="s">
        <v>6677</v>
      </c>
    </row>
    <row r="1880" spans="7:33" ht="15.75" customHeight="1">
      <c r="G1880" s="36"/>
      <c r="H1880" s="36"/>
      <c r="I1880" s="36"/>
      <c r="J1880" s="39"/>
      <c r="K1880" s="39"/>
      <c r="AF1880" s="42">
        <v>5042664</v>
      </c>
      <c r="AG1880" s="42" t="s">
        <v>6677</v>
      </c>
    </row>
    <row r="1881" spans="7:33" ht="15.75" customHeight="1">
      <c r="G1881" s="36"/>
      <c r="H1881" s="36"/>
      <c r="I1881" s="36"/>
      <c r="J1881" s="39"/>
      <c r="K1881" s="39"/>
      <c r="AF1881" s="42">
        <v>5042665</v>
      </c>
      <c r="AG1881" s="42" t="s">
        <v>6677</v>
      </c>
    </row>
    <row r="1882" spans="7:33" ht="15.75" customHeight="1">
      <c r="G1882" s="36"/>
      <c r="H1882" s="36"/>
      <c r="I1882" s="36"/>
      <c r="J1882" s="39"/>
      <c r="K1882" s="39"/>
      <c r="AF1882" s="42">
        <v>5042666</v>
      </c>
      <c r="AG1882" s="42" t="s">
        <v>6677</v>
      </c>
    </row>
    <row r="1883" spans="7:33" ht="15.75" customHeight="1">
      <c r="G1883" s="36"/>
      <c r="H1883" s="36"/>
      <c r="I1883" s="36"/>
      <c r="J1883" s="39"/>
      <c r="K1883" s="39"/>
      <c r="AF1883" s="42">
        <v>5042667</v>
      </c>
      <c r="AG1883" s="42" t="s">
        <v>6677</v>
      </c>
    </row>
    <row r="1884" spans="7:33" ht="15.75" customHeight="1">
      <c r="G1884" s="36"/>
      <c r="H1884" s="36"/>
      <c r="I1884" s="36"/>
      <c r="J1884" s="39"/>
      <c r="K1884" s="39"/>
      <c r="AF1884" s="42">
        <v>5042668</v>
      </c>
      <c r="AG1884" s="42" t="s">
        <v>6677</v>
      </c>
    </row>
    <row r="1885" spans="7:33" ht="15.75" customHeight="1">
      <c r="G1885" s="36"/>
      <c r="H1885" s="36"/>
      <c r="I1885" s="36"/>
      <c r="J1885" s="39"/>
      <c r="K1885" s="39"/>
      <c r="AF1885" s="42">
        <v>5042669</v>
      </c>
      <c r="AG1885" s="42" t="s">
        <v>6677</v>
      </c>
    </row>
    <row r="1886" spans="7:33" ht="15.75" customHeight="1">
      <c r="G1886" s="36"/>
      <c r="H1886" s="36"/>
      <c r="I1886" s="36"/>
      <c r="J1886" s="39"/>
      <c r="K1886" s="39"/>
      <c r="AF1886" s="42">
        <v>5042670</v>
      </c>
      <c r="AG1886" s="42" t="s">
        <v>6677</v>
      </c>
    </row>
    <row r="1887" spans="7:33" ht="15.75" customHeight="1">
      <c r="G1887" s="36"/>
      <c r="H1887" s="36"/>
      <c r="I1887" s="36"/>
      <c r="J1887" s="39"/>
      <c r="K1887" s="39"/>
      <c r="AF1887" s="42">
        <v>5042671</v>
      </c>
      <c r="AG1887" s="42" t="s">
        <v>6677</v>
      </c>
    </row>
    <row r="1888" spans="7:33" ht="15.75" customHeight="1">
      <c r="G1888" s="36"/>
      <c r="H1888" s="36"/>
      <c r="I1888" s="36"/>
      <c r="J1888" s="39"/>
      <c r="K1888" s="39"/>
      <c r="AF1888" s="42">
        <v>5042672</v>
      </c>
      <c r="AG1888" s="42" t="s">
        <v>6677</v>
      </c>
    </row>
    <row r="1889" spans="7:33" ht="15.75" customHeight="1">
      <c r="G1889" s="36"/>
      <c r="H1889" s="36"/>
      <c r="I1889" s="36"/>
      <c r="J1889" s="39"/>
      <c r="K1889" s="39"/>
      <c r="AF1889" s="42">
        <v>5042673</v>
      </c>
      <c r="AG1889" s="42" t="s">
        <v>6677</v>
      </c>
    </row>
    <row r="1890" spans="7:33" ht="15.75" customHeight="1">
      <c r="G1890" s="36"/>
      <c r="H1890" s="36"/>
      <c r="I1890" s="36"/>
      <c r="J1890" s="39"/>
      <c r="K1890" s="39"/>
      <c r="AF1890" s="42">
        <v>5042674</v>
      </c>
      <c r="AG1890" s="42" t="s">
        <v>6677</v>
      </c>
    </row>
    <row r="1891" spans="7:33" ht="15.75" customHeight="1">
      <c r="G1891" s="36"/>
      <c r="H1891" s="36"/>
      <c r="I1891" s="36"/>
      <c r="J1891" s="39"/>
      <c r="K1891" s="39"/>
      <c r="AF1891" s="42">
        <v>5042770</v>
      </c>
      <c r="AG1891" s="42" t="s">
        <v>6677</v>
      </c>
    </row>
    <row r="1892" spans="7:33" ht="15.75" customHeight="1">
      <c r="G1892" s="36"/>
      <c r="H1892" s="36"/>
      <c r="I1892" s="36"/>
      <c r="J1892" s="39"/>
      <c r="K1892" s="39"/>
      <c r="AF1892" s="42">
        <v>5043109</v>
      </c>
      <c r="AG1892" s="42" t="s">
        <v>6677</v>
      </c>
    </row>
    <row r="1893" spans="7:33" ht="15.75" customHeight="1">
      <c r="G1893" s="36"/>
      <c r="H1893" s="36"/>
      <c r="I1893" s="36"/>
      <c r="J1893" s="39"/>
      <c r="K1893" s="39"/>
      <c r="AF1893" s="42">
        <v>5043112</v>
      </c>
      <c r="AG1893" s="42" t="s">
        <v>6677</v>
      </c>
    </row>
    <row r="1894" spans="7:33" ht="15.75" customHeight="1">
      <c r="G1894" s="36"/>
      <c r="H1894" s="36"/>
      <c r="I1894" s="36"/>
      <c r="J1894" s="39"/>
      <c r="K1894" s="39"/>
      <c r="AF1894" s="42">
        <v>5043113</v>
      </c>
      <c r="AG1894" s="42" t="s">
        <v>6677</v>
      </c>
    </row>
    <row r="1895" spans="7:33" ht="15.75" customHeight="1">
      <c r="G1895" s="36"/>
      <c r="H1895" s="36"/>
      <c r="I1895" s="36"/>
      <c r="J1895" s="39"/>
      <c r="K1895" s="39"/>
      <c r="AF1895" s="42">
        <v>5045631</v>
      </c>
      <c r="AG1895" s="42" t="s">
        <v>6677</v>
      </c>
    </row>
    <row r="1896" spans="7:33" ht="15.75" customHeight="1">
      <c r="G1896" s="36"/>
      <c r="H1896" s="36"/>
      <c r="I1896" s="36"/>
      <c r="J1896" s="39"/>
      <c r="K1896" s="39"/>
      <c r="AF1896" s="42">
        <v>5045632</v>
      </c>
      <c r="AG1896" s="42" t="s">
        <v>6677</v>
      </c>
    </row>
    <row r="1897" spans="7:33" ht="15.75" customHeight="1">
      <c r="G1897" s="36"/>
      <c r="H1897" s="36"/>
      <c r="I1897" s="36"/>
      <c r="J1897" s="39"/>
      <c r="K1897" s="39"/>
      <c r="AF1897" s="42">
        <v>5045633</v>
      </c>
      <c r="AG1897" s="42" t="s">
        <v>6677</v>
      </c>
    </row>
    <row r="1898" spans="7:33" ht="15.75" customHeight="1">
      <c r="G1898" s="36"/>
      <c r="H1898" s="36"/>
      <c r="I1898" s="36"/>
      <c r="J1898" s="39"/>
      <c r="K1898" s="39"/>
      <c r="AF1898" s="42">
        <v>5045635</v>
      </c>
      <c r="AG1898" s="42" t="s">
        <v>6677</v>
      </c>
    </row>
    <row r="1899" spans="7:33" ht="15.75" customHeight="1">
      <c r="G1899" s="36"/>
      <c r="H1899" s="36"/>
      <c r="I1899" s="36"/>
      <c r="J1899" s="39"/>
      <c r="K1899" s="39"/>
      <c r="AF1899" s="42">
        <v>5045636</v>
      </c>
      <c r="AG1899" s="42" t="s">
        <v>6677</v>
      </c>
    </row>
    <row r="1900" spans="7:33" ht="15.75" customHeight="1">
      <c r="G1900" s="36"/>
      <c r="H1900" s="36"/>
      <c r="I1900" s="36"/>
      <c r="J1900" s="39"/>
      <c r="K1900" s="39"/>
      <c r="AF1900" s="42">
        <v>5045639</v>
      </c>
      <c r="AG1900" s="42" t="s">
        <v>6677</v>
      </c>
    </row>
    <row r="1901" spans="7:33" ht="15.75" customHeight="1">
      <c r="G1901" s="36"/>
      <c r="H1901" s="36"/>
      <c r="I1901" s="36"/>
      <c r="J1901" s="39"/>
      <c r="K1901" s="39"/>
      <c r="AF1901" s="42">
        <v>5045642</v>
      </c>
      <c r="AG1901" s="42" t="s">
        <v>6677</v>
      </c>
    </row>
    <row r="1902" spans="7:33" ht="15.75" customHeight="1">
      <c r="G1902" s="36"/>
      <c r="H1902" s="36"/>
      <c r="I1902" s="36"/>
      <c r="J1902" s="39"/>
      <c r="K1902" s="39"/>
      <c r="AF1902" s="42">
        <v>5045644</v>
      </c>
      <c r="AG1902" s="42" t="s">
        <v>6677</v>
      </c>
    </row>
    <row r="1903" spans="7:33" ht="15.75" customHeight="1">
      <c r="G1903" s="36"/>
      <c r="H1903" s="36"/>
      <c r="I1903" s="36"/>
      <c r="J1903" s="39"/>
      <c r="K1903" s="39"/>
      <c r="AF1903" s="42">
        <v>5045645</v>
      </c>
      <c r="AG1903" s="42" t="s">
        <v>6677</v>
      </c>
    </row>
    <row r="1904" spans="7:33" ht="15.75" customHeight="1">
      <c r="G1904" s="36"/>
      <c r="H1904" s="36"/>
      <c r="I1904" s="36"/>
      <c r="J1904" s="39"/>
      <c r="K1904" s="39"/>
      <c r="AF1904" s="42">
        <v>5045646</v>
      </c>
      <c r="AG1904" s="42" t="s">
        <v>6677</v>
      </c>
    </row>
    <row r="1905" spans="7:33" ht="15.75" customHeight="1">
      <c r="G1905" s="36"/>
      <c r="H1905" s="36"/>
      <c r="I1905" s="36"/>
      <c r="J1905" s="39"/>
      <c r="K1905" s="39"/>
      <c r="AF1905" s="42">
        <v>5045647</v>
      </c>
      <c r="AG1905" s="42" t="s">
        <v>6677</v>
      </c>
    </row>
    <row r="1906" spans="7:33" ht="15.75" customHeight="1">
      <c r="G1906" s="36"/>
      <c r="H1906" s="36"/>
      <c r="I1906" s="36"/>
      <c r="J1906" s="39"/>
      <c r="K1906" s="39"/>
      <c r="AF1906" s="42">
        <v>5045649</v>
      </c>
      <c r="AG1906" s="42" t="s">
        <v>6677</v>
      </c>
    </row>
    <row r="1907" spans="7:33" ht="15.75" customHeight="1">
      <c r="G1907" s="36"/>
      <c r="H1907" s="36"/>
      <c r="I1907" s="36"/>
      <c r="J1907" s="39"/>
      <c r="K1907" s="39"/>
      <c r="AF1907" s="42">
        <v>5045650</v>
      </c>
      <c r="AG1907" s="42" t="s">
        <v>6677</v>
      </c>
    </row>
    <row r="1908" spans="7:33" ht="15.75" customHeight="1">
      <c r="G1908" s="36"/>
      <c r="H1908" s="36"/>
      <c r="I1908" s="36"/>
      <c r="J1908" s="39"/>
      <c r="K1908" s="39"/>
      <c r="AF1908" s="42">
        <v>5045651</v>
      </c>
      <c r="AG1908" s="42" t="s">
        <v>6677</v>
      </c>
    </row>
    <row r="1909" spans="7:33" ht="15.75" customHeight="1">
      <c r="G1909" s="36"/>
      <c r="H1909" s="36"/>
      <c r="I1909" s="36"/>
      <c r="J1909" s="39"/>
      <c r="K1909" s="39"/>
      <c r="AF1909" s="42">
        <v>5045652</v>
      </c>
      <c r="AG1909" s="42" t="s">
        <v>6677</v>
      </c>
    </row>
    <row r="1910" spans="7:33" ht="15.75" customHeight="1">
      <c r="G1910" s="36"/>
      <c r="H1910" s="36"/>
      <c r="I1910" s="36"/>
      <c r="J1910" s="39"/>
      <c r="K1910" s="39"/>
      <c r="AF1910" s="42">
        <v>5045653</v>
      </c>
      <c r="AG1910" s="42" t="s">
        <v>6677</v>
      </c>
    </row>
    <row r="1911" spans="7:33" ht="15.75" customHeight="1">
      <c r="G1911" s="36"/>
      <c r="H1911" s="36"/>
      <c r="I1911" s="36"/>
      <c r="J1911" s="39"/>
      <c r="K1911" s="39"/>
      <c r="AF1911" s="42">
        <v>5045654</v>
      </c>
      <c r="AG1911" s="42" t="s">
        <v>6677</v>
      </c>
    </row>
    <row r="1912" spans="7:33" ht="15.75" customHeight="1">
      <c r="G1912" s="36"/>
      <c r="H1912" s="36"/>
      <c r="I1912" s="36"/>
      <c r="J1912" s="39"/>
      <c r="K1912" s="39"/>
      <c r="AF1912" s="42">
        <v>5045655</v>
      </c>
      <c r="AG1912" s="42" t="s">
        <v>6677</v>
      </c>
    </row>
    <row r="1913" spans="7:33" ht="15.75" customHeight="1">
      <c r="G1913" s="36"/>
      <c r="H1913" s="36"/>
      <c r="I1913" s="36"/>
      <c r="J1913" s="39"/>
      <c r="K1913" s="39"/>
      <c r="AF1913" s="42">
        <v>5045656</v>
      </c>
      <c r="AG1913" s="42" t="s">
        <v>6677</v>
      </c>
    </row>
    <row r="1914" spans="7:33" ht="15.75" customHeight="1">
      <c r="G1914" s="36"/>
      <c r="H1914" s="36"/>
      <c r="I1914" s="36"/>
      <c r="J1914" s="39"/>
      <c r="K1914" s="39"/>
      <c r="AF1914" s="42">
        <v>5045657</v>
      </c>
      <c r="AG1914" s="42" t="s">
        <v>6677</v>
      </c>
    </row>
    <row r="1915" spans="7:33" ht="15.75" customHeight="1">
      <c r="G1915" s="36"/>
      <c r="H1915" s="36"/>
      <c r="I1915" s="36"/>
      <c r="J1915" s="39"/>
      <c r="K1915" s="39"/>
      <c r="AF1915" s="42">
        <v>5045658</v>
      </c>
      <c r="AG1915" s="42" t="s">
        <v>6677</v>
      </c>
    </row>
    <row r="1916" spans="7:33" ht="15.75" customHeight="1">
      <c r="G1916" s="36"/>
      <c r="H1916" s="36"/>
      <c r="I1916" s="36"/>
      <c r="J1916" s="39"/>
      <c r="K1916" s="39"/>
      <c r="AF1916" s="42">
        <v>5045659</v>
      </c>
      <c r="AG1916" s="42" t="s">
        <v>6677</v>
      </c>
    </row>
    <row r="1917" spans="7:33" ht="15.75" customHeight="1">
      <c r="G1917" s="36"/>
      <c r="H1917" s="36"/>
      <c r="I1917" s="36"/>
      <c r="J1917" s="39"/>
      <c r="K1917" s="39"/>
      <c r="AF1917" s="42">
        <v>5045660</v>
      </c>
      <c r="AG1917" s="42" t="s">
        <v>6677</v>
      </c>
    </row>
    <row r="1918" spans="7:33" ht="15.75" customHeight="1">
      <c r="G1918" s="36"/>
      <c r="H1918" s="36"/>
      <c r="I1918" s="36"/>
      <c r="J1918" s="39"/>
      <c r="K1918" s="39"/>
      <c r="AF1918" s="42">
        <v>5045661</v>
      </c>
      <c r="AG1918" s="42" t="s">
        <v>6677</v>
      </c>
    </row>
    <row r="1919" spans="7:33" ht="15.75" customHeight="1">
      <c r="G1919" s="36"/>
      <c r="H1919" s="36"/>
      <c r="I1919" s="36"/>
      <c r="J1919" s="39"/>
      <c r="K1919" s="39"/>
      <c r="AF1919" s="42">
        <v>5045662</v>
      </c>
      <c r="AG1919" s="42" t="s">
        <v>6677</v>
      </c>
    </row>
    <row r="1920" spans="7:33" ht="15.75" customHeight="1">
      <c r="G1920" s="36"/>
      <c r="H1920" s="36"/>
      <c r="I1920" s="36"/>
      <c r="J1920" s="39"/>
      <c r="K1920" s="39"/>
      <c r="AF1920" s="42">
        <v>5045663</v>
      </c>
      <c r="AG1920" s="42" t="s">
        <v>6677</v>
      </c>
    </row>
    <row r="1921" spans="7:33" ht="15.75" customHeight="1">
      <c r="G1921" s="36"/>
      <c r="H1921" s="36"/>
      <c r="I1921" s="36"/>
      <c r="J1921" s="39"/>
      <c r="K1921" s="39"/>
      <c r="AF1921" s="42">
        <v>5045664</v>
      </c>
      <c r="AG1921" s="42" t="s">
        <v>6677</v>
      </c>
    </row>
    <row r="1922" spans="7:33" ht="15.75" customHeight="1">
      <c r="G1922" s="36"/>
      <c r="H1922" s="36"/>
      <c r="I1922" s="36"/>
      <c r="J1922" s="39"/>
      <c r="K1922" s="39"/>
      <c r="AF1922" s="42">
        <v>5045665</v>
      </c>
      <c r="AG1922" s="42" t="s">
        <v>6677</v>
      </c>
    </row>
    <row r="1923" spans="7:33" ht="15.75" customHeight="1">
      <c r="G1923" s="36"/>
      <c r="H1923" s="36"/>
      <c r="I1923" s="36"/>
      <c r="J1923" s="39"/>
      <c r="K1923" s="39"/>
      <c r="AF1923" s="42">
        <v>5045666</v>
      </c>
      <c r="AG1923" s="42" t="s">
        <v>6677</v>
      </c>
    </row>
    <row r="1924" spans="7:33" ht="15.75" customHeight="1">
      <c r="G1924" s="36"/>
      <c r="H1924" s="36"/>
      <c r="I1924" s="36"/>
      <c r="J1924" s="39"/>
      <c r="K1924" s="39"/>
      <c r="AF1924" s="42">
        <v>5045667</v>
      </c>
      <c r="AG1924" s="42" t="s">
        <v>6677</v>
      </c>
    </row>
    <row r="1925" spans="7:33" ht="15.75" customHeight="1">
      <c r="G1925" s="36"/>
      <c r="H1925" s="36"/>
      <c r="I1925" s="36"/>
      <c r="J1925" s="39"/>
      <c r="K1925" s="39"/>
      <c r="AF1925" s="42">
        <v>5045668</v>
      </c>
      <c r="AG1925" s="42" t="s">
        <v>6677</v>
      </c>
    </row>
    <row r="1926" spans="7:33" ht="15.75" customHeight="1">
      <c r="G1926" s="36"/>
      <c r="H1926" s="36"/>
      <c r="I1926" s="36"/>
      <c r="J1926" s="39"/>
      <c r="K1926" s="39"/>
      <c r="AF1926" s="42">
        <v>5045669</v>
      </c>
      <c r="AG1926" s="42" t="s">
        <v>6677</v>
      </c>
    </row>
    <row r="1927" spans="7:33" ht="15.75" customHeight="1">
      <c r="G1927" s="36"/>
      <c r="H1927" s="36"/>
      <c r="I1927" s="36"/>
      <c r="J1927" s="39"/>
      <c r="K1927" s="39"/>
      <c r="AF1927" s="42">
        <v>5045670</v>
      </c>
      <c r="AG1927" s="42" t="s">
        <v>6677</v>
      </c>
    </row>
    <row r="1928" spans="7:33" ht="15.75" customHeight="1">
      <c r="G1928" s="36"/>
      <c r="H1928" s="36"/>
      <c r="I1928" s="36"/>
      <c r="J1928" s="39"/>
      <c r="K1928" s="39"/>
      <c r="AF1928" s="42">
        <v>5045671</v>
      </c>
      <c r="AG1928" s="42" t="s">
        <v>6677</v>
      </c>
    </row>
    <row r="1929" spans="7:33" ht="15.75" customHeight="1">
      <c r="G1929" s="36"/>
      <c r="H1929" s="36"/>
      <c r="I1929" s="36"/>
      <c r="J1929" s="39"/>
      <c r="K1929" s="39"/>
      <c r="AF1929" s="42">
        <v>5045672</v>
      </c>
      <c r="AG1929" s="42" t="s">
        <v>6677</v>
      </c>
    </row>
    <row r="1930" spans="7:33" ht="15.75" customHeight="1">
      <c r="G1930" s="36"/>
      <c r="H1930" s="36"/>
      <c r="I1930" s="36"/>
      <c r="J1930" s="39"/>
      <c r="K1930" s="39"/>
      <c r="AF1930" s="42">
        <v>5045673</v>
      </c>
      <c r="AG1930" s="42" t="s">
        <v>6677</v>
      </c>
    </row>
    <row r="1931" spans="7:33" ht="15.75" customHeight="1">
      <c r="G1931" s="36"/>
      <c r="H1931" s="36"/>
      <c r="I1931" s="36"/>
      <c r="J1931" s="39"/>
      <c r="K1931" s="39"/>
      <c r="AF1931" s="42">
        <v>5045674</v>
      </c>
      <c r="AG1931" s="42" t="s">
        <v>6677</v>
      </c>
    </row>
    <row r="1932" spans="7:33" ht="15.75" customHeight="1">
      <c r="G1932" s="36"/>
      <c r="H1932" s="36"/>
      <c r="I1932" s="36"/>
      <c r="J1932" s="39"/>
      <c r="K1932" s="39"/>
      <c r="AF1932" s="42">
        <v>5045675</v>
      </c>
      <c r="AG1932" s="42" t="s">
        <v>6677</v>
      </c>
    </row>
    <row r="1933" spans="7:33" ht="15.75" customHeight="1">
      <c r="G1933" s="36"/>
      <c r="H1933" s="36"/>
      <c r="I1933" s="36"/>
      <c r="J1933" s="39"/>
      <c r="K1933" s="39"/>
      <c r="AF1933" s="42">
        <v>5045676</v>
      </c>
      <c r="AG1933" s="42" t="s">
        <v>6677</v>
      </c>
    </row>
    <row r="1934" spans="7:33" ht="15.75" customHeight="1">
      <c r="G1934" s="36"/>
      <c r="H1934" s="36"/>
      <c r="I1934" s="36"/>
      <c r="J1934" s="39"/>
      <c r="K1934" s="39"/>
      <c r="AF1934" s="42">
        <v>5045677</v>
      </c>
      <c r="AG1934" s="42" t="s">
        <v>6677</v>
      </c>
    </row>
    <row r="1935" spans="7:33" ht="15.75" customHeight="1">
      <c r="G1935" s="36"/>
      <c r="H1935" s="36"/>
      <c r="I1935" s="36"/>
      <c r="J1935" s="39"/>
      <c r="K1935" s="39"/>
      <c r="AF1935" s="42">
        <v>5045678</v>
      </c>
      <c r="AG1935" s="42" t="s">
        <v>6677</v>
      </c>
    </row>
    <row r="1936" spans="7:33" ht="15.75" customHeight="1">
      <c r="G1936" s="36"/>
      <c r="H1936" s="36"/>
      <c r="I1936" s="36"/>
      <c r="J1936" s="39"/>
      <c r="K1936" s="39"/>
      <c r="AF1936" s="42">
        <v>5045679</v>
      </c>
      <c r="AG1936" s="42" t="s">
        <v>6677</v>
      </c>
    </row>
    <row r="1937" spans="7:33" ht="15.75" customHeight="1">
      <c r="G1937" s="36"/>
      <c r="H1937" s="36"/>
      <c r="I1937" s="36"/>
      <c r="J1937" s="39"/>
      <c r="K1937" s="39"/>
      <c r="AF1937" s="42">
        <v>5045680</v>
      </c>
      <c r="AG1937" s="42" t="s">
        <v>6677</v>
      </c>
    </row>
    <row r="1938" spans="7:33" ht="15.75" customHeight="1">
      <c r="G1938" s="36"/>
      <c r="H1938" s="36"/>
      <c r="I1938" s="36"/>
      <c r="J1938" s="39"/>
      <c r="K1938" s="39"/>
      <c r="AF1938" s="42">
        <v>5045681</v>
      </c>
      <c r="AG1938" s="42" t="s">
        <v>6677</v>
      </c>
    </row>
    <row r="1939" spans="7:33" ht="15.75" customHeight="1">
      <c r="G1939" s="36"/>
      <c r="H1939" s="36"/>
      <c r="I1939" s="36"/>
      <c r="J1939" s="39"/>
      <c r="K1939" s="39"/>
      <c r="AF1939" s="42">
        <v>5045682</v>
      </c>
      <c r="AG1939" s="42" t="s">
        <v>6677</v>
      </c>
    </row>
    <row r="1940" spans="7:33" ht="15.75" customHeight="1">
      <c r="G1940" s="36"/>
      <c r="H1940" s="36"/>
      <c r="I1940" s="36"/>
      <c r="J1940" s="39"/>
      <c r="K1940" s="39"/>
      <c r="AF1940" s="42">
        <v>5045683</v>
      </c>
      <c r="AG1940" s="42" t="s">
        <v>6677</v>
      </c>
    </row>
    <row r="1941" spans="7:33" ht="15.75" customHeight="1">
      <c r="G1941" s="36"/>
      <c r="H1941" s="36"/>
      <c r="I1941" s="36"/>
      <c r="J1941" s="39"/>
      <c r="K1941" s="39"/>
      <c r="AF1941" s="42">
        <v>5045684</v>
      </c>
      <c r="AG1941" s="42" t="s">
        <v>6677</v>
      </c>
    </row>
    <row r="1942" spans="7:33" ht="15.75" customHeight="1">
      <c r="G1942" s="36"/>
      <c r="H1942" s="36"/>
      <c r="I1942" s="36"/>
      <c r="J1942" s="39"/>
      <c r="K1942" s="39"/>
      <c r="AF1942" s="42">
        <v>5045685</v>
      </c>
      <c r="AG1942" s="42" t="s">
        <v>6677</v>
      </c>
    </row>
    <row r="1943" spans="7:33" ht="15.75" customHeight="1">
      <c r="G1943" s="36"/>
      <c r="H1943" s="36"/>
      <c r="I1943" s="36"/>
      <c r="J1943" s="39"/>
      <c r="K1943" s="39"/>
      <c r="AF1943" s="42">
        <v>5045686</v>
      </c>
      <c r="AG1943" s="42" t="s">
        <v>6677</v>
      </c>
    </row>
    <row r="1944" spans="7:33" ht="15.75" customHeight="1">
      <c r="G1944" s="36"/>
      <c r="H1944" s="36"/>
      <c r="I1944" s="36"/>
      <c r="J1944" s="39"/>
      <c r="K1944" s="39"/>
      <c r="AF1944" s="42">
        <v>5045687</v>
      </c>
      <c r="AG1944" s="42" t="s">
        <v>6677</v>
      </c>
    </row>
    <row r="1945" spans="7:33" ht="15.75" customHeight="1">
      <c r="G1945" s="36"/>
      <c r="H1945" s="36"/>
      <c r="I1945" s="36"/>
      <c r="J1945" s="39"/>
      <c r="K1945" s="39"/>
      <c r="AF1945" s="42">
        <v>5045688</v>
      </c>
      <c r="AG1945" s="42" t="s">
        <v>6677</v>
      </c>
    </row>
    <row r="1946" spans="7:33" ht="15.75" customHeight="1">
      <c r="G1946" s="36"/>
      <c r="H1946" s="36"/>
      <c r="I1946" s="36"/>
      <c r="J1946" s="39"/>
      <c r="K1946" s="39"/>
      <c r="AF1946" s="42">
        <v>5045689</v>
      </c>
      <c r="AG1946" s="42" t="s">
        <v>6677</v>
      </c>
    </row>
    <row r="1947" spans="7:33" ht="15.75" customHeight="1">
      <c r="G1947" s="36"/>
      <c r="H1947" s="36"/>
      <c r="I1947" s="36"/>
      <c r="J1947" s="39"/>
      <c r="K1947" s="39"/>
      <c r="AF1947" s="42">
        <v>5045690</v>
      </c>
      <c r="AG1947" s="42" t="s">
        <v>6677</v>
      </c>
    </row>
    <row r="1948" spans="7:33" ht="15.75" customHeight="1">
      <c r="G1948" s="36"/>
      <c r="H1948" s="36"/>
      <c r="I1948" s="36"/>
      <c r="J1948" s="39"/>
      <c r="K1948" s="39"/>
      <c r="AF1948" s="42">
        <v>5045691</v>
      </c>
      <c r="AG1948" s="42" t="s">
        <v>6677</v>
      </c>
    </row>
    <row r="1949" spans="7:33" ht="15.75" customHeight="1">
      <c r="G1949" s="36"/>
      <c r="H1949" s="36"/>
      <c r="I1949" s="36"/>
      <c r="J1949" s="39"/>
      <c r="K1949" s="39"/>
      <c r="AF1949" s="42">
        <v>5045692</v>
      </c>
      <c r="AG1949" s="42" t="s">
        <v>6677</v>
      </c>
    </row>
    <row r="1950" spans="7:33" ht="15.75" customHeight="1">
      <c r="G1950" s="36"/>
      <c r="H1950" s="36"/>
      <c r="I1950" s="36"/>
      <c r="J1950" s="39"/>
      <c r="K1950" s="39"/>
      <c r="AF1950" s="42">
        <v>5045693</v>
      </c>
      <c r="AG1950" s="42" t="s">
        <v>6677</v>
      </c>
    </row>
    <row r="1951" spans="7:33" ht="15.75" customHeight="1">
      <c r="G1951" s="36"/>
      <c r="H1951" s="36"/>
      <c r="I1951" s="36"/>
      <c r="J1951" s="39"/>
      <c r="K1951" s="39"/>
      <c r="AF1951" s="42">
        <v>5045694</v>
      </c>
      <c r="AG1951" s="42" t="s">
        <v>6677</v>
      </c>
    </row>
    <row r="1952" spans="7:33" ht="15.75" customHeight="1">
      <c r="G1952" s="36"/>
      <c r="H1952" s="36"/>
      <c r="I1952" s="36"/>
      <c r="J1952" s="39"/>
      <c r="K1952" s="39"/>
      <c r="AF1952" s="42">
        <v>5045695</v>
      </c>
      <c r="AG1952" s="42" t="s">
        <v>6677</v>
      </c>
    </row>
    <row r="1953" spans="7:33" ht="15.75" customHeight="1">
      <c r="G1953" s="36"/>
      <c r="H1953" s="36"/>
      <c r="I1953" s="36"/>
      <c r="J1953" s="39"/>
      <c r="K1953" s="39"/>
      <c r="AF1953" s="42">
        <v>5045696</v>
      </c>
      <c r="AG1953" s="42" t="s">
        <v>6677</v>
      </c>
    </row>
    <row r="1954" spans="7:33" ht="15.75" customHeight="1">
      <c r="G1954" s="36"/>
      <c r="H1954" s="36"/>
      <c r="I1954" s="36"/>
      <c r="J1954" s="39"/>
      <c r="K1954" s="39"/>
      <c r="AF1954" s="42">
        <v>5045697</v>
      </c>
      <c r="AG1954" s="42" t="s">
        <v>6677</v>
      </c>
    </row>
    <row r="1955" spans="7:33" ht="15.75" customHeight="1">
      <c r="G1955" s="36"/>
      <c r="H1955" s="36"/>
      <c r="I1955" s="36"/>
      <c r="J1955" s="39"/>
      <c r="K1955" s="39"/>
      <c r="AF1955" s="42">
        <v>5045698</v>
      </c>
      <c r="AG1955" s="42" t="s">
        <v>6677</v>
      </c>
    </row>
    <row r="1956" spans="7:33" ht="15.75" customHeight="1">
      <c r="G1956" s="36"/>
      <c r="H1956" s="36"/>
      <c r="I1956" s="36"/>
      <c r="J1956" s="39"/>
      <c r="K1956" s="39"/>
      <c r="AF1956" s="42">
        <v>5045699</v>
      </c>
      <c r="AG1956" s="42" t="s">
        <v>6677</v>
      </c>
    </row>
    <row r="1957" spans="7:33" ht="15.75" customHeight="1">
      <c r="G1957" s="36"/>
      <c r="H1957" s="36"/>
      <c r="I1957" s="36"/>
      <c r="J1957" s="39"/>
      <c r="K1957" s="39"/>
      <c r="AF1957" s="42">
        <v>5046312</v>
      </c>
      <c r="AG1957" s="42" t="s">
        <v>6677</v>
      </c>
    </row>
    <row r="1958" spans="7:33" ht="15.75" customHeight="1">
      <c r="G1958" s="36"/>
      <c r="H1958" s="36"/>
      <c r="I1958" s="36"/>
      <c r="J1958" s="39"/>
      <c r="K1958" s="39"/>
      <c r="AF1958" s="42">
        <v>5046329</v>
      </c>
      <c r="AG1958" s="42" t="s">
        <v>6677</v>
      </c>
    </row>
    <row r="1959" spans="7:33" ht="15.75" customHeight="1">
      <c r="G1959" s="36"/>
      <c r="H1959" s="36"/>
      <c r="I1959" s="36"/>
      <c r="J1959" s="39"/>
      <c r="K1959" s="39"/>
      <c r="AF1959" s="42">
        <v>5046333</v>
      </c>
      <c r="AG1959" s="42" t="s">
        <v>6677</v>
      </c>
    </row>
    <row r="1960" spans="7:33" ht="15.75" customHeight="1">
      <c r="G1960" s="36"/>
      <c r="H1960" s="36"/>
      <c r="I1960" s="36"/>
      <c r="J1960" s="39"/>
      <c r="K1960" s="39"/>
      <c r="AF1960" s="42">
        <v>5047870</v>
      </c>
      <c r="AG1960" s="42" t="s">
        <v>6677</v>
      </c>
    </row>
    <row r="1961" spans="7:33" ht="15.75" customHeight="1">
      <c r="G1961" s="36"/>
      <c r="H1961" s="36"/>
      <c r="I1961" s="36"/>
      <c r="J1961" s="39"/>
      <c r="K1961" s="39"/>
      <c r="AF1961" s="42">
        <v>5047871</v>
      </c>
      <c r="AG1961" s="42" t="s">
        <v>6677</v>
      </c>
    </row>
    <row r="1962" spans="7:33" ht="15.75" customHeight="1">
      <c r="G1962" s="36"/>
      <c r="H1962" s="36"/>
      <c r="I1962" s="36"/>
      <c r="J1962" s="39"/>
      <c r="K1962" s="39"/>
      <c r="AF1962" s="42">
        <v>5047872</v>
      </c>
      <c r="AG1962" s="42" t="s">
        <v>6677</v>
      </c>
    </row>
    <row r="1963" spans="7:33" ht="15.75" customHeight="1">
      <c r="G1963" s="36"/>
      <c r="H1963" s="36"/>
      <c r="I1963" s="36"/>
      <c r="J1963" s="39"/>
      <c r="K1963" s="39"/>
      <c r="AF1963" s="42">
        <v>5047873</v>
      </c>
      <c r="AG1963" s="42" t="s">
        <v>6677</v>
      </c>
    </row>
    <row r="1964" spans="7:33" ht="15.75" customHeight="1">
      <c r="G1964" s="36"/>
      <c r="H1964" s="36"/>
      <c r="I1964" s="36"/>
      <c r="J1964" s="39"/>
      <c r="K1964" s="39"/>
      <c r="AF1964" s="42">
        <v>5047874</v>
      </c>
      <c r="AG1964" s="42" t="s">
        <v>6677</v>
      </c>
    </row>
    <row r="1965" spans="7:33" ht="15.75" customHeight="1">
      <c r="G1965" s="36"/>
      <c r="H1965" s="36"/>
      <c r="I1965" s="36"/>
      <c r="J1965" s="39"/>
      <c r="K1965" s="39"/>
      <c r="AF1965" s="42">
        <v>5047875</v>
      </c>
      <c r="AG1965" s="42" t="s">
        <v>6677</v>
      </c>
    </row>
    <row r="1966" spans="7:33" ht="15.75" customHeight="1">
      <c r="G1966" s="36"/>
      <c r="H1966" s="36"/>
      <c r="I1966" s="36"/>
      <c r="J1966" s="39"/>
      <c r="K1966" s="39"/>
      <c r="AF1966" s="42">
        <v>5047876</v>
      </c>
      <c r="AG1966" s="42" t="s">
        <v>6677</v>
      </c>
    </row>
    <row r="1967" spans="7:33" ht="15.75" customHeight="1">
      <c r="G1967" s="36"/>
      <c r="H1967" s="36"/>
      <c r="I1967" s="36"/>
      <c r="J1967" s="39"/>
      <c r="K1967" s="39"/>
      <c r="AF1967" s="42">
        <v>5047877</v>
      </c>
      <c r="AG1967" s="42" t="s">
        <v>6677</v>
      </c>
    </row>
    <row r="1968" spans="7:33" ht="15.75" customHeight="1">
      <c r="G1968" s="36"/>
      <c r="H1968" s="36"/>
      <c r="I1968" s="36"/>
      <c r="J1968" s="39"/>
      <c r="K1968" s="39"/>
      <c r="AF1968" s="42">
        <v>5047878</v>
      </c>
      <c r="AG1968" s="42" t="s">
        <v>6677</v>
      </c>
    </row>
    <row r="1969" spans="7:33" ht="15.75" customHeight="1">
      <c r="G1969" s="36"/>
      <c r="H1969" s="36"/>
      <c r="I1969" s="36"/>
      <c r="J1969" s="39"/>
      <c r="K1969" s="39"/>
      <c r="AF1969" s="42">
        <v>5047879</v>
      </c>
      <c r="AG1969" s="42" t="s">
        <v>6677</v>
      </c>
    </row>
    <row r="1970" spans="7:33" ht="15.75" customHeight="1">
      <c r="G1970" s="36"/>
      <c r="H1970" s="36"/>
      <c r="I1970" s="36"/>
      <c r="J1970" s="39"/>
      <c r="K1970" s="39"/>
      <c r="AF1970" s="42">
        <v>5048921</v>
      </c>
      <c r="AG1970" s="42" t="s">
        <v>6677</v>
      </c>
    </row>
    <row r="1971" spans="7:33" ht="15.75" customHeight="1">
      <c r="G1971" s="36"/>
      <c r="H1971" s="36"/>
      <c r="I1971" s="36"/>
      <c r="J1971" s="39"/>
      <c r="K1971" s="39"/>
      <c r="AF1971" s="42">
        <v>5048924</v>
      </c>
      <c r="AG1971" s="42" t="s">
        <v>6677</v>
      </c>
    </row>
    <row r="1972" spans="7:33" ht="15.75" customHeight="1">
      <c r="G1972" s="36"/>
      <c r="H1972" s="36"/>
      <c r="I1972" s="36"/>
      <c r="J1972" s="39"/>
      <c r="K1972" s="39"/>
      <c r="AF1972" s="42">
        <v>5048925</v>
      </c>
      <c r="AG1972" s="42" t="s">
        <v>6677</v>
      </c>
    </row>
    <row r="1973" spans="7:33" ht="15.75" customHeight="1">
      <c r="G1973" s="36"/>
      <c r="H1973" s="36"/>
      <c r="I1973" s="36"/>
      <c r="J1973" s="39"/>
      <c r="K1973" s="39"/>
      <c r="AF1973" s="42">
        <v>5048933</v>
      </c>
      <c r="AG1973" s="42" t="s">
        <v>6677</v>
      </c>
    </row>
    <row r="1974" spans="7:33" ht="15.75" customHeight="1">
      <c r="G1974" s="36"/>
      <c r="H1974" s="36"/>
      <c r="I1974" s="36"/>
      <c r="J1974" s="39"/>
      <c r="K1974" s="39"/>
      <c r="AF1974" s="42">
        <v>5048934</v>
      </c>
      <c r="AG1974" s="42" t="s">
        <v>6677</v>
      </c>
    </row>
    <row r="1975" spans="7:33" ht="15.75" customHeight="1">
      <c r="G1975" s="36"/>
      <c r="H1975" s="36"/>
      <c r="I1975" s="36"/>
      <c r="J1975" s="39"/>
      <c r="K1975" s="39"/>
      <c r="AF1975" s="42">
        <v>5048935</v>
      </c>
      <c r="AG1975" s="42" t="s">
        <v>6677</v>
      </c>
    </row>
    <row r="1976" spans="7:33" ht="15.75" customHeight="1">
      <c r="G1976" s="36"/>
      <c r="H1976" s="36"/>
      <c r="I1976" s="36"/>
      <c r="J1976" s="39"/>
      <c r="K1976" s="39"/>
      <c r="AF1976" s="42">
        <v>5048936</v>
      </c>
      <c r="AG1976" s="42" t="s">
        <v>6677</v>
      </c>
    </row>
    <row r="1977" spans="7:33" ht="15.75" customHeight="1">
      <c r="G1977" s="36"/>
      <c r="H1977" s="36"/>
      <c r="I1977" s="36"/>
      <c r="J1977" s="39"/>
      <c r="K1977" s="39"/>
      <c r="AF1977" s="42">
        <v>5048939</v>
      </c>
      <c r="AG1977" s="42" t="s">
        <v>6677</v>
      </c>
    </row>
    <row r="1978" spans="7:33" ht="15.75" customHeight="1">
      <c r="G1978" s="36"/>
      <c r="H1978" s="36"/>
      <c r="I1978" s="36"/>
      <c r="J1978" s="39"/>
      <c r="K1978" s="39"/>
      <c r="AF1978" s="42">
        <v>5049672</v>
      </c>
      <c r="AG1978" s="42" t="s">
        <v>6677</v>
      </c>
    </row>
    <row r="1979" spans="7:33" ht="15.75" customHeight="1">
      <c r="G1979" s="36"/>
      <c r="H1979" s="36"/>
      <c r="I1979" s="36"/>
      <c r="J1979" s="39"/>
      <c r="K1979" s="39"/>
      <c r="AF1979" s="42">
        <v>5049673</v>
      </c>
      <c r="AG1979" s="42" t="s">
        <v>6677</v>
      </c>
    </row>
    <row r="1980" spans="7:33" ht="15.75" customHeight="1">
      <c r="G1980" s="36"/>
      <c r="H1980" s="36"/>
      <c r="I1980" s="36"/>
      <c r="J1980" s="39"/>
      <c r="K1980" s="39"/>
      <c r="AF1980" s="42">
        <v>5049674</v>
      </c>
      <c r="AG1980" s="42" t="s">
        <v>6677</v>
      </c>
    </row>
    <row r="1981" spans="7:33" ht="15.75" customHeight="1">
      <c r="G1981" s="36"/>
      <c r="H1981" s="36"/>
      <c r="I1981" s="36"/>
      <c r="J1981" s="39"/>
      <c r="K1981" s="39"/>
      <c r="AF1981" s="42">
        <v>5049675</v>
      </c>
      <c r="AG1981" s="42" t="s">
        <v>6677</v>
      </c>
    </row>
    <row r="1982" spans="7:33" ht="15.75" customHeight="1">
      <c r="G1982" s="36"/>
      <c r="H1982" s="36"/>
      <c r="I1982" s="36"/>
      <c r="J1982" s="39"/>
      <c r="K1982" s="39"/>
      <c r="AF1982" s="42">
        <v>5049676</v>
      </c>
      <c r="AG1982" s="42" t="s">
        <v>6677</v>
      </c>
    </row>
    <row r="1983" spans="7:33" ht="15.75" customHeight="1">
      <c r="G1983" s="36"/>
      <c r="H1983" s="36"/>
      <c r="I1983" s="36"/>
      <c r="J1983" s="39"/>
      <c r="K1983" s="39"/>
      <c r="AF1983" s="42">
        <v>5049677</v>
      </c>
      <c r="AG1983" s="42" t="s">
        <v>6677</v>
      </c>
    </row>
    <row r="1984" spans="7:33" ht="15.75" customHeight="1">
      <c r="G1984" s="36"/>
      <c r="H1984" s="36"/>
      <c r="I1984" s="36"/>
      <c r="J1984" s="39"/>
      <c r="K1984" s="39"/>
      <c r="AF1984" s="42">
        <v>5049678</v>
      </c>
      <c r="AG1984" s="42" t="s">
        <v>6677</v>
      </c>
    </row>
    <row r="1985" spans="7:33" ht="15.75" customHeight="1">
      <c r="G1985" s="36"/>
      <c r="H1985" s="36"/>
      <c r="I1985" s="36"/>
      <c r="J1985" s="39"/>
      <c r="K1985" s="39"/>
      <c r="AF1985" s="42">
        <v>5049679</v>
      </c>
      <c r="AG1985" s="42" t="s">
        <v>6677</v>
      </c>
    </row>
    <row r="1986" spans="7:33" ht="15.75" customHeight="1">
      <c r="G1986" s="36"/>
      <c r="H1986" s="36"/>
      <c r="I1986" s="36"/>
      <c r="J1986" s="39"/>
      <c r="K1986" s="39"/>
      <c r="AF1986" s="42">
        <v>5049680</v>
      </c>
      <c r="AG1986" s="42" t="s">
        <v>6677</v>
      </c>
    </row>
    <row r="1987" spans="7:33" ht="15.75" customHeight="1">
      <c r="G1987" s="36"/>
      <c r="H1987" s="36"/>
      <c r="I1987" s="36"/>
      <c r="J1987" s="39"/>
      <c r="K1987" s="39"/>
      <c r="AF1987" s="42">
        <v>5049681</v>
      </c>
      <c r="AG1987" s="42" t="s">
        <v>6677</v>
      </c>
    </row>
    <row r="1988" spans="7:33" ht="15.75" customHeight="1">
      <c r="G1988" s="36"/>
      <c r="H1988" s="36"/>
      <c r="I1988" s="36"/>
      <c r="J1988" s="39"/>
      <c r="K1988" s="39"/>
      <c r="AF1988" s="42">
        <v>5049682</v>
      </c>
      <c r="AG1988" s="42" t="s">
        <v>6677</v>
      </c>
    </row>
    <row r="1989" spans="7:33" ht="15.75" customHeight="1">
      <c r="G1989" s="36"/>
      <c r="H1989" s="36"/>
      <c r="I1989" s="36"/>
      <c r="J1989" s="39"/>
      <c r="K1989" s="39"/>
      <c r="AF1989" s="42">
        <v>5049683</v>
      </c>
      <c r="AG1989" s="42" t="s">
        <v>6677</v>
      </c>
    </row>
    <row r="1990" spans="7:33" ht="15.75" customHeight="1">
      <c r="G1990" s="36"/>
      <c r="H1990" s="36"/>
      <c r="I1990" s="36"/>
      <c r="J1990" s="39"/>
      <c r="K1990" s="39"/>
      <c r="AF1990" s="42">
        <v>5049684</v>
      </c>
      <c r="AG1990" s="42" t="s">
        <v>6677</v>
      </c>
    </row>
    <row r="1991" spans="7:33" ht="15.75" customHeight="1">
      <c r="G1991" s="36"/>
      <c r="H1991" s="36"/>
      <c r="I1991" s="36"/>
      <c r="J1991" s="39"/>
      <c r="K1991" s="39"/>
      <c r="AF1991" s="42">
        <v>5049685</v>
      </c>
      <c r="AG1991" s="42" t="s">
        <v>6677</v>
      </c>
    </row>
    <row r="1992" spans="7:33" ht="15.75" customHeight="1">
      <c r="G1992" s="36"/>
      <c r="H1992" s="36"/>
      <c r="I1992" s="36"/>
      <c r="J1992" s="39"/>
      <c r="K1992" s="39"/>
      <c r="AF1992" s="42">
        <v>5049686</v>
      </c>
      <c r="AG1992" s="42" t="s">
        <v>6677</v>
      </c>
    </row>
    <row r="1993" spans="7:33" ht="15.75" customHeight="1">
      <c r="G1993" s="36"/>
      <c r="H1993" s="36"/>
      <c r="I1993" s="36"/>
      <c r="J1993" s="39"/>
      <c r="K1993" s="39"/>
      <c r="AF1993" s="42">
        <v>5049687</v>
      </c>
      <c r="AG1993" s="42" t="s">
        <v>6677</v>
      </c>
    </row>
    <row r="1994" spans="7:33" ht="15.75" customHeight="1">
      <c r="G1994" s="36"/>
      <c r="H1994" s="36"/>
      <c r="I1994" s="36"/>
      <c r="J1994" s="39"/>
      <c r="K1994" s="39"/>
      <c r="AF1994" s="42">
        <v>5049688</v>
      </c>
      <c r="AG1994" s="42" t="s">
        <v>6677</v>
      </c>
    </row>
    <row r="1995" spans="7:33" ht="15.75" customHeight="1">
      <c r="G1995" s="36"/>
      <c r="H1995" s="36"/>
      <c r="I1995" s="36"/>
      <c r="J1995" s="39"/>
      <c r="K1995" s="39"/>
      <c r="AF1995" s="42">
        <v>5049689</v>
      </c>
      <c r="AG1995" s="42" t="s">
        <v>6677</v>
      </c>
    </row>
    <row r="1996" spans="7:33" ht="15.75" customHeight="1">
      <c r="G1996" s="36"/>
      <c r="H1996" s="36"/>
      <c r="I1996" s="36"/>
      <c r="J1996" s="39"/>
      <c r="K1996" s="39"/>
      <c r="AF1996" s="42">
        <v>5049690</v>
      </c>
      <c r="AG1996" s="42" t="s">
        <v>6677</v>
      </c>
    </row>
    <row r="1997" spans="7:33" ht="15.75" customHeight="1">
      <c r="G1997" s="36"/>
      <c r="H1997" s="36"/>
      <c r="I1997" s="36"/>
      <c r="J1997" s="39"/>
      <c r="K1997" s="39"/>
      <c r="AF1997" s="42">
        <v>5049691</v>
      </c>
      <c r="AG1997" s="42" t="s">
        <v>6677</v>
      </c>
    </row>
    <row r="1998" spans="7:33" ht="15.75" customHeight="1">
      <c r="G1998" s="36"/>
      <c r="H1998" s="36"/>
      <c r="I1998" s="36"/>
      <c r="J1998" s="39"/>
      <c r="K1998" s="39"/>
      <c r="AF1998" s="42">
        <v>5049692</v>
      </c>
      <c r="AG1998" s="42" t="s">
        <v>6677</v>
      </c>
    </row>
    <row r="1999" spans="7:33" ht="15.75" customHeight="1">
      <c r="G1999" s="36"/>
      <c r="H1999" s="36"/>
      <c r="I1999" s="36"/>
      <c r="J1999" s="39"/>
      <c r="K1999" s="39"/>
      <c r="AF1999" s="42">
        <v>5049693</v>
      </c>
      <c r="AG1999" s="42" t="s">
        <v>6677</v>
      </c>
    </row>
    <row r="2000" spans="7:33" ht="15.75" customHeight="1">
      <c r="G2000" s="36"/>
      <c r="H2000" s="36"/>
      <c r="I2000" s="36"/>
      <c r="J2000" s="39"/>
      <c r="K2000" s="39"/>
      <c r="AF2000" s="42">
        <v>5049694</v>
      </c>
      <c r="AG2000" s="42" t="s">
        <v>6677</v>
      </c>
    </row>
    <row r="2001" spans="7:33" ht="15.75" customHeight="1">
      <c r="G2001" s="36"/>
      <c r="H2001" s="36"/>
      <c r="I2001" s="36"/>
      <c r="J2001" s="39"/>
      <c r="K2001" s="39"/>
      <c r="AF2001" s="42">
        <v>5049695</v>
      </c>
      <c r="AG2001" s="42" t="s">
        <v>6677</v>
      </c>
    </row>
    <row r="2002" spans="7:33" ht="15.75" customHeight="1">
      <c r="G2002" s="36"/>
      <c r="H2002" s="36"/>
      <c r="I2002" s="36"/>
      <c r="J2002" s="39"/>
      <c r="K2002" s="39"/>
      <c r="AF2002" s="42">
        <v>5049696</v>
      </c>
      <c r="AG2002" s="42" t="s">
        <v>6677</v>
      </c>
    </row>
    <row r="2003" spans="7:33" ht="15.75" customHeight="1">
      <c r="G2003" s="36"/>
      <c r="H2003" s="36"/>
      <c r="I2003" s="36"/>
      <c r="J2003" s="39"/>
      <c r="K2003" s="39"/>
      <c r="AF2003" s="42">
        <v>5049697</v>
      </c>
      <c r="AG2003" s="42" t="s">
        <v>6677</v>
      </c>
    </row>
    <row r="2004" spans="7:33" ht="15.75" customHeight="1">
      <c r="G2004" s="36"/>
      <c r="H2004" s="36"/>
      <c r="I2004" s="36"/>
      <c r="J2004" s="39"/>
      <c r="K2004" s="39"/>
      <c r="AF2004" s="42">
        <v>5049698</v>
      </c>
      <c r="AG2004" s="42" t="s">
        <v>6677</v>
      </c>
    </row>
    <row r="2005" spans="7:33" ht="15.75" customHeight="1">
      <c r="G2005" s="36"/>
      <c r="H2005" s="36"/>
      <c r="I2005" s="36"/>
      <c r="J2005" s="39"/>
      <c r="K2005" s="39"/>
      <c r="AF2005" s="42">
        <v>5049699</v>
      </c>
      <c r="AG2005" s="42" t="s">
        <v>6677</v>
      </c>
    </row>
    <row r="2006" spans="7:33" ht="15.75" customHeight="1">
      <c r="G2006" s="36"/>
      <c r="H2006" s="36"/>
      <c r="I2006" s="36"/>
      <c r="J2006" s="39"/>
      <c r="K2006" s="39"/>
      <c r="AF2006" s="42">
        <v>5049700</v>
      </c>
      <c r="AG2006" s="42" t="s">
        <v>6677</v>
      </c>
    </row>
    <row r="2007" spans="7:33" ht="15.75" customHeight="1">
      <c r="G2007" s="36"/>
      <c r="H2007" s="36"/>
      <c r="I2007" s="36"/>
      <c r="J2007" s="39"/>
      <c r="K2007" s="39"/>
      <c r="AF2007" s="42">
        <v>5049701</v>
      </c>
      <c r="AG2007" s="42" t="s">
        <v>6677</v>
      </c>
    </row>
    <row r="2008" spans="7:33" ht="15.75" customHeight="1">
      <c r="G2008" s="36"/>
      <c r="H2008" s="36"/>
      <c r="I2008" s="36"/>
      <c r="J2008" s="39"/>
      <c r="K2008" s="39"/>
      <c r="AF2008" s="42">
        <v>5049702</v>
      </c>
      <c r="AG2008" s="42" t="s">
        <v>6677</v>
      </c>
    </row>
    <row r="2009" spans="7:33" ht="15.75" customHeight="1">
      <c r="G2009" s="36"/>
      <c r="H2009" s="36"/>
      <c r="I2009" s="36"/>
      <c r="J2009" s="39"/>
      <c r="K2009" s="39"/>
      <c r="AF2009" s="42">
        <v>5049703</v>
      </c>
      <c r="AG2009" s="42" t="s">
        <v>6677</v>
      </c>
    </row>
    <row r="2010" spans="7:33" ht="15.75" customHeight="1">
      <c r="G2010" s="36"/>
      <c r="H2010" s="36"/>
      <c r="I2010" s="36"/>
      <c r="J2010" s="39"/>
      <c r="K2010" s="39"/>
      <c r="AF2010" s="42">
        <v>5049704</v>
      </c>
      <c r="AG2010" s="42" t="s">
        <v>6677</v>
      </c>
    </row>
    <row r="2011" spans="7:33" ht="15.75" customHeight="1">
      <c r="G2011" s="36"/>
      <c r="H2011" s="36"/>
      <c r="I2011" s="36"/>
      <c r="J2011" s="39"/>
      <c r="K2011" s="39"/>
      <c r="AF2011" s="42">
        <v>5049705</v>
      </c>
      <c r="AG2011" s="42" t="s">
        <v>6677</v>
      </c>
    </row>
    <row r="2012" spans="7:33" ht="15.75" customHeight="1">
      <c r="G2012" s="36"/>
      <c r="H2012" s="36"/>
      <c r="I2012" s="36"/>
      <c r="J2012" s="39"/>
      <c r="K2012" s="39"/>
      <c r="AF2012" s="42">
        <v>5049706</v>
      </c>
      <c r="AG2012" s="42" t="s">
        <v>6677</v>
      </c>
    </row>
    <row r="2013" spans="7:33" ht="15.75" customHeight="1">
      <c r="G2013" s="36"/>
      <c r="H2013" s="36"/>
      <c r="I2013" s="36"/>
      <c r="J2013" s="39"/>
      <c r="K2013" s="39"/>
      <c r="AF2013" s="42">
        <v>5049707</v>
      </c>
      <c r="AG2013" s="42" t="s">
        <v>6677</v>
      </c>
    </row>
    <row r="2014" spans="7:33" ht="15.75" customHeight="1">
      <c r="G2014" s="36"/>
      <c r="H2014" s="36"/>
      <c r="I2014" s="36"/>
      <c r="J2014" s="39"/>
      <c r="K2014" s="39"/>
      <c r="AF2014" s="42">
        <v>5049708</v>
      </c>
      <c r="AG2014" s="42" t="s">
        <v>6677</v>
      </c>
    </row>
    <row r="2015" spans="7:33" ht="15.75" customHeight="1">
      <c r="G2015" s="36"/>
      <c r="H2015" s="36"/>
      <c r="I2015" s="36"/>
      <c r="J2015" s="39"/>
      <c r="K2015" s="39"/>
      <c r="AF2015" s="42">
        <v>5049709</v>
      </c>
      <c r="AG2015" s="42" t="s">
        <v>6677</v>
      </c>
    </row>
    <row r="2016" spans="7:33" ht="15.75" customHeight="1">
      <c r="G2016" s="36"/>
      <c r="H2016" s="36"/>
      <c r="I2016" s="36"/>
      <c r="J2016" s="39"/>
      <c r="K2016" s="39"/>
      <c r="AF2016" s="42">
        <v>5049710</v>
      </c>
      <c r="AG2016" s="42" t="s">
        <v>6677</v>
      </c>
    </row>
    <row r="2017" spans="7:33" ht="15.75" customHeight="1">
      <c r="G2017" s="36"/>
      <c r="H2017" s="36"/>
      <c r="I2017" s="36"/>
      <c r="J2017" s="39"/>
      <c r="K2017" s="39"/>
      <c r="AF2017" s="42">
        <v>5049711</v>
      </c>
      <c r="AG2017" s="42" t="s">
        <v>6677</v>
      </c>
    </row>
    <row r="2018" spans="7:33" ht="15.75" customHeight="1">
      <c r="G2018" s="36"/>
      <c r="H2018" s="36"/>
      <c r="I2018" s="36"/>
      <c r="J2018" s="39"/>
      <c r="K2018" s="39"/>
      <c r="AF2018" s="42">
        <v>5049712</v>
      </c>
      <c r="AG2018" s="42" t="s">
        <v>6677</v>
      </c>
    </row>
    <row r="2019" spans="7:33" ht="15.75" customHeight="1">
      <c r="G2019" s="36"/>
      <c r="H2019" s="36"/>
      <c r="I2019" s="36"/>
      <c r="J2019" s="39"/>
      <c r="K2019" s="39"/>
      <c r="AF2019" s="42">
        <v>5049713</v>
      </c>
      <c r="AG2019" s="42" t="s">
        <v>6677</v>
      </c>
    </row>
    <row r="2020" spans="7:33" ht="15.75" customHeight="1">
      <c r="G2020" s="36"/>
      <c r="H2020" s="36"/>
      <c r="I2020" s="36"/>
      <c r="J2020" s="39"/>
      <c r="K2020" s="39"/>
      <c r="AF2020" s="42">
        <v>5049714</v>
      </c>
      <c r="AG2020" s="42" t="s">
        <v>6677</v>
      </c>
    </row>
    <row r="2021" spans="7:33" ht="15.75" customHeight="1">
      <c r="G2021" s="36"/>
      <c r="H2021" s="36"/>
      <c r="I2021" s="36"/>
      <c r="J2021" s="39"/>
      <c r="K2021" s="39"/>
      <c r="AF2021" s="42">
        <v>5049715</v>
      </c>
      <c r="AG2021" s="42" t="s">
        <v>6677</v>
      </c>
    </row>
    <row r="2022" spans="7:33" ht="15.75" customHeight="1">
      <c r="G2022" s="36"/>
      <c r="H2022" s="36"/>
      <c r="I2022" s="36"/>
      <c r="J2022" s="39"/>
      <c r="K2022" s="39"/>
      <c r="AF2022" s="42">
        <v>5049716</v>
      </c>
      <c r="AG2022" s="42" t="s">
        <v>6677</v>
      </c>
    </row>
    <row r="2023" spans="7:33" ht="15.75" customHeight="1">
      <c r="G2023" s="36"/>
      <c r="H2023" s="36"/>
      <c r="I2023" s="36"/>
      <c r="J2023" s="39"/>
      <c r="K2023" s="39"/>
      <c r="AF2023" s="42">
        <v>5049717</v>
      </c>
      <c r="AG2023" s="42" t="s">
        <v>6677</v>
      </c>
    </row>
    <row r="2024" spans="7:33" ht="15.75" customHeight="1">
      <c r="G2024" s="36"/>
      <c r="H2024" s="36"/>
      <c r="I2024" s="36"/>
      <c r="J2024" s="39"/>
      <c r="K2024" s="39"/>
      <c r="AF2024" s="42">
        <v>5049718</v>
      </c>
      <c r="AG2024" s="42" t="s">
        <v>6677</v>
      </c>
    </row>
    <row r="2025" spans="7:33" ht="15.75" customHeight="1">
      <c r="G2025" s="36"/>
      <c r="H2025" s="36"/>
      <c r="I2025" s="36"/>
      <c r="J2025" s="39"/>
      <c r="K2025" s="39"/>
      <c r="AF2025" s="42">
        <v>5049719</v>
      </c>
      <c r="AG2025" s="42" t="s">
        <v>6677</v>
      </c>
    </row>
    <row r="2026" spans="7:33" ht="15.75" customHeight="1">
      <c r="G2026" s="36"/>
      <c r="H2026" s="36"/>
      <c r="I2026" s="36"/>
      <c r="J2026" s="39"/>
      <c r="K2026" s="39"/>
      <c r="AF2026" s="42">
        <v>5049720</v>
      </c>
      <c r="AG2026" s="42" t="s">
        <v>6677</v>
      </c>
    </row>
    <row r="2027" spans="7:33" ht="15.75" customHeight="1">
      <c r="G2027" s="36"/>
      <c r="H2027" s="36"/>
      <c r="I2027" s="36"/>
      <c r="J2027" s="39"/>
      <c r="K2027" s="39"/>
      <c r="AF2027" s="42">
        <v>5049721</v>
      </c>
      <c r="AG2027" s="42" t="s">
        <v>6677</v>
      </c>
    </row>
    <row r="2028" spans="7:33" ht="15.75" customHeight="1">
      <c r="G2028" s="36"/>
      <c r="H2028" s="36"/>
      <c r="I2028" s="36"/>
      <c r="J2028" s="39"/>
      <c r="K2028" s="39"/>
      <c r="AF2028" s="42">
        <v>5050420</v>
      </c>
      <c r="AG2028" s="42" t="s">
        <v>6677</v>
      </c>
    </row>
    <row r="2029" spans="7:33" ht="15.75" customHeight="1">
      <c r="G2029" s="36"/>
      <c r="H2029" s="36"/>
      <c r="I2029" s="36"/>
      <c r="J2029" s="39"/>
      <c r="K2029" s="39"/>
      <c r="AF2029" s="42">
        <v>5050421</v>
      </c>
      <c r="AG2029" s="42" t="s">
        <v>6677</v>
      </c>
    </row>
    <row r="2030" spans="7:33" ht="15.75" customHeight="1">
      <c r="G2030" s="36"/>
      <c r="H2030" s="36"/>
      <c r="I2030" s="36"/>
      <c r="J2030" s="39"/>
      <c r="K2030" s="39"/>
      <c r="AF2030" s="42">
        <v>5050422</v>
      </c>
      <c r="AG2030" s="42" t="s">
        <v>6677</v>
      </c>
    </row>
    <row r="2031" spans="7:33" ht="15.75" customHeight="1">
      <c r="G2031" s="36"/>
      <c r="H2031" s="36"/>
      <c r="I2031" s="36"/>
      <c r="J2031" s="39"/>
      <c r="K2031" s="39"/>
      <c r="AF2031" s="42">
        <v>5050423</v>
      </c>
      <c r="AG2031" s="42" t="s">
        <v>6677</v>
      </c>
    </row>
    <row r="2032" spans="7:33" ht="15.75" customHeight="1">
      <c r="G2032" s="36"/>
      <c r="H2032" s="36"/>
      <c r="I2032" s="36"/>
      <c r="J2032" s="39"/>
      <c r="K2032" s="39"/>
      <c r="AF2032" s="42">
        <v>5050424</v>
      </c>
      <c r="AG2032" s="42" t="s">
        <v>6677</v>
      </c>
    </row>
    <row r="2033" spans="7:33" ht="15.75" customHeight="1">
      <c r="G2033" s="36"/>
      <c r="H2033" s="36"/>
      <c r="I2033" s="36"/>
      <c r="J2033" s="39"/>
      <c r="K2033" s="39"/>
      <c r="AF2033" s="42">
        <v>5050425</v>
      </c>
      <c r="AG2033" s="42" t="s">
        <v>6677</v>
      </c>
    </row>
    <row r="2034" spans="7:33" ht="15.75" customHeight="1">
      <c r="G2034" s="36"/>
      <c r="H2034" s="36"/>
      <c r="I2034" s="36"/>
      <c r="J2034" s="39"/>
      <c r="K2034" s="39"/>
      <c r="AF2034" s="42">
        <v>5050426</v>
      </c>
      <c r="AG2034" s="42" t="s">
        <v>6677</v>
      </c>
    </row>
    <row r="2035" spans="7:33" ht="15.75" customHeight="1">
      <c r="G2035" s="36"/>
      <c r="H2035" s="36"/>
      <c r="I2035" s="36"/>
      <c r="J2035" s="39"/>
      <c r="K2035" s="39"/>
      <c r="AF2035" s="42">
        <v>5050427</v>
      </c>
      <c r="AG2035" s="42" t="s">
        <v>6677</v>
      </c>
    </row>
    <row r="2036" spans="7:33" ht="15.75" customHeight="1">
      <c r="G2036" s="36"/>
      <c r="H2036" s="36"/>
      <c r="I2036" s="36"/>
      <c r="J2036" s="39"/>
      <c r="K2036" s="39"/>
      <c r="AF2036" s="42">
        <v>5050428</v>
      </c>
      <c r="AG2036" s="42" t="s">
        <v>6677</v>
      </c>
    </row>
    <row r="2037" spans="7:33" ht="15.75" customHeight="1">
      <c r="G2037" s="36"/>
      <c r="H2037" s="36"/>
      <c r="I2037" s="36"/>
      <c r="J2037" s="39"/>
      <c r="K2037" s="39"/>
      <c r="AF2037" s="42">
        <v>5050429</v>
      </c>
      <c r="AG2037" s="42" t="s">
        <v>6677</v>
      </c>
    </row>
    <row r="2038" spans="7:33" ht="15.75" customHeight="1">
      <c r="G2038" s="36"/>
      <c r="H2038" s="36"/>
      <c r="I2038" s="36"/>
      <c r="J2038" s="39"/>
      <c r="K2038" s="39"/>
      <c r="AF2038" s="42">
        <v>5050430</v>
      </c>
      <c r="AG2038" s="42" t="s">
        <v>6677</v>
      </c>
    </row>
    <row r="2039" spans="7:33" ht="15.75" customHeight="1">
      <c r="G2039" s="36"/>
      <c r="H2039" s="36"/>
      <c r="I2039" s="36"/>
      <c r="J2039" s="39"/>
      <c r="K2039" s="39"/>
      <c r="AF2039" s="42">
        <v>5050431</v>
      </c>
      <c r="AG2039" s="42" t="s">
        <v>6677</v>
      </c>
    </row>
    <row r="2040" spans="7:33" ht="15.75" customHeight="1">
      <c r="G2040" s="36"/>
      <c r="H2040" s="36"/>
      <c r="I2040" s="36"/>
      <c r="J2040" s="39"/>
      <c r="K2040" s="39"/>
      <c r="AF2040" s="42">
        <v>5050432</v>
      </c>
      <c r="AG2040" s="42" t="s">
        <v>6677</v>
      </c>
    </row>
    <row r="2041" spans="7:33" ht="15.75" customHeight="1">
      <c r="G2041" s="36"/>
      <c r="H2041" s="36"/>
      <c r="I2041" s="36"/>
      <c r="J2041" s="39"/>
      <c r="K2041" s="39"/>
      <c r="AF2041" s="42">
        <v>5050433</v>
      </c>
      <c r="AG2041" s="42" t="s">
        <v>6677</v>
      </c>
    </row>
    <row r="2042" spans="7:33" ht="15.75" customHeight="1">
      <c r="G2042" s="36"/>
      <c r="H2042" s="36"/>
      <c r="I2042" s="36"/>
      <c r="J2042" s="39"/>
      <c r="K2042" s="39"/>
      <c r="AF2042" s="42">
        <v>5050434</v>
      </c>
      <c r="AG2042" s="42" t="s">
        <v>6677</v>
      </c>
    </row>
    <row r="2043" spans="7:33" ht="15.75" customHeight="1">
      <c r="G2043" s="36"/>
      <c r="H2043" s="36"/>
      <c r="I2043" s="36"/>
      <c r="J2043" s="39"/>
      <c r="K2043" s="39"/>
      <c r="AF2043" s="42">
        <v>5050435</v>
      </c>
      <c r="AG2043" s="42" t="s">
        <v>6677</v>
      </c>
    </row>
    <row r="2044" spans="7:33" ht="15.75" customHeight="1">
      <c r="G2044" s="36"/>
      <c r="H2044" s="36"/>
      <c r="I2044" s="36"/>
      <c r="J2044" s="39"/>
      <c r="K2044" s="39"/>
      <c r="AF2044" s="42">
        <v>5050436</v>
      </c>
      <c r="AG2044" s="42" t="s">
        <v>6677</v>
      </c>
    </row>
    <row r="2045" spans="7:33" ht="15.75" customHeight="1">
      <c r="G2045" s="36"/>
      <c r="H2045" s="36"/>
      <c r="I2045" s="36"/>
      <c r="J2045" s="39"/>
      <c r="K2045" s="39"/>
      <c r="AF2045" s="42">
        <v>5050437</v>
      </c>
      <c r="AG2045" s="42" t="s">
        <v>6677</v>
      </c>
    </row>
    <row r="2046" spans="7:33" ht="15.75" customHeight="1">
      <c r="G2046" s="36"/>
      <c r="H2046" s="36"/>
      <c r="I2046" s="36"/>
      <c r="J2046" s="39"/>
      <c r="K2046" s="39"/>
      <c r="AF2046" s="42">
        <v>5050438</v>
      </c>
      <c r="AG2046" s="42" t="s">
        <v>6677</v>
      </c>
    </row>
    <row r="2047" spans="7:33" ht="15.75" customHeight="1">
      <c r="G2047" s="36"/>
      <c r="H2047" s="36"/>
      <c r="I2047" s="36"/>
      <c r="J2047" s="39"/>
      <c r="K2047" s="39"/>
      <c r="AF2047" s="42">
        <v>5050439</v>
      </c>
      <c r="AG2047" s="42" t="s">
        <v>6677</v>
      </c>
    </row>
    <row r="2048" spans="7:33" ht="15.75" customHeight="1">
      <c r="G2048" s="36"/>
      <c r="H2048" s="36"/>
      <c r="I2048" s="36"/>
      <c r="J2048" s="39"/>
      <c r="K2048" s="39"/>
      <c r="AF2048" s="42">
        <v>5050440</v>
      </c>
      <c r="AG2048" s="42" t="s">
        <v>6677</v>
      </c>
    </row>
    <row r="2049" spans="7:33" ht="15.75" customHeight="1">
      <c r="G2049" s="36"/>
      <c r="H2049" s="36"/>
      <c r="I2049" s="36"/>
      <c r="J2049" s="39"/>
      <c r="K2049" s="39"/>
      <c r="AF2049" s="42">
        <v>5050441</v>
      </c>
      <c r="AG2049" s="42" t="s">
        <v>6677</v>
      </c>
    </row>
    <row r="2050" spans="7:33" ht="15.75" customHeight="1">
      <c r="G2050" s="36"/>
      <c r="H2050" s="36"/>
      <c r="I2050" s="36"/>
      <c r="J2050" s="39"/>
      <c r="K2050" s="39"/>
      <c r="AF2050" s="42">
        <v>5050442</v>
      </c>
      <c r="AG2050" s="42" t="s">
        <v>6677</v>
      </c>
    </row>
    <row r="2051" spans="7:33" ht="15.75" customHeight="1">
      <c r="G2051" s="36"/>
      <c r="H2051" s="36"/>
      <c r="I2051" s="36"/>
      <c r="J2051" s="39"/>
      <c r="K2051" s="39"/>
      <c r="AF2051" s="42">
        <v>5050443</v>
      </c>
      <c r="AG2051" s="42" t="s">
        <v>6677</v>
      </c>
    </row>
    <row r="2052" spans="7:33" ht="15.75" customHeight="1">
      <c r="G2052" s="36"/>
      <c r="H2052" s="36"/>
      <c r="I2052" s="36"/>
      <c r="J2052" s="39"/>
      <c r="K2052" s="39"/>
      <c r="AF2052" s="42">
        <v>5050444</v>
      </c>
      <c r="AG2052" s="42" t="s">
        <v>6677</v>
      </c>
    </row>
    <row r="2053" spans="7:33" ht="15.75" customHeight="1">
      <c r="G2053" s="36"/>
      <c r="H2053" s="36"/>
      <c r="I2053" s="36"/>
      <c r="J2053" s="39"/>
      <c r="K2053" s="39"/>
      <c r="AF2053" s="42">
        <v>5050445</v>
      </c>
      <c r="AG2053" s="42" t="s">
        <v>6677</v>
      </c>
    </row>
    <row r="2054" spans="7:33" ht="15.75" customHeight="1">
      <c r="G2054" s="36"/>
      <c r="H2054" s="36"/>
      <c r="I2054" s="36"/>
      <c r="J2054" s="39"/>
      <c r="K2054" s="39"/>
      <c r="AF2054" s="42">
        <v>5050446</v>
      </c>
      <c r="AG2054" s="42" t="s">
        <v>6677</v>
      </c>
    </row>
    <row r="2055" spans="7:33" ht="15.75" customHeight="1">
      <c r="G2055" s="36"/>
      <c r="H2055" s="36"/>
      <c r="I2055" s="36"/>
      <c r="J2055" s="39"/>
      <c r="K2055" s="39"/>
      <c r="AF2055" s="42">
        <v>5050447</v>
      </c>
      <c r="AG2055" s="42" t="s">
        <v>6677</v>
      </c>
    </row>
    <row r="2056" spans="7:33" ht="15.75" customHeight="1">
      <c r="G2056" s="36"/>
      <c r="H2056" s="36"/>
      <c r="I2056" s="36"/>
      <c r="J2056" s="39"/>
      <c r="K2056" s="39"/>
      <c r="AF2056" s="42">
        <v>5050448</v>
      </c>
      <c r="AG2056" s="42" t="s">
        <v>6677</v>
      </c>
    </row>
    <row r="2057" spans="7:33" ht="15.75" customHeight="1">
      <c r="G2057" s="36"/>
      <c r="H2057" s="36"/>
      <c r="I2057" s="36"/>
      <c r="J2057" s="39"/>
      <c r="K2057" s="39"/>
      <c r="AF2057" s="42">
        <v>5050449</v>
      </c>
      <c r="AG2057" s="42" t="s">
        <v>6677</v>
      </c>
    </row>
    <row r="2058" spans="7:33" ht="15.75" customHeight="1">
      <c r="G2058" s="36"/>
      <c r="H2058" s="36"/>
      <c r="I2058" s="36"/>
      <c r="J2058" s="39"/>
      <c r="K2058" s="39"/>
      <c r="AF2058" s="42">
        <v>5050450</v>
      </c>
      <c r="AG2058" s="42" t="s">
        <v>6677</v>
      </c>
    </row>
    <row r="2059" spans="7:33" ht="15.75" customHeight="1">
      <c r="G2059" s="36"/>
      <c r="H2059" s="36"/>
      <c r="I2059" s="36"/>
      <c r="J2059" s="39"/>
      <c r="K2059" s="39"/>
      <c r="AF2059" s="42">
        <v>5050451</v>
      </c>
      <c r="AG2059" s="42" t="s">
        <v>6677</v>
      </c>
    </row>
    <row r="2060" spans="7:33" ht="15.75" customHeight="1">
      <c r="G2060" s="36"/>
      <c r="H2060" s="36"/>
      <c r="I2060" s="36"/>
      <c r="J2060" s="39"/>
      <c r="K2060" s="39"/>
      <c r="AF2060" s="42">
        <v>5050452</v>
      </c>
      <c r="AG2060" s="42" t="s">
        <v>6677</v>
      </c>
    </row>
    <row r="2061" spans="7:33" ht="15.75" customHeight="1">
      <c r="G2061" s="36"/>
      <c r="H2061" s="36"/>
      <c r="I2061" s="36"/>
      <c r="J2061" s="39"/>
      <c r="K2061" s="39"/>
      <c r="AF2061" s="42">
        <v>5050453</v>
      </c>
      <c r="AG2061" s="42" t="s">
        <v>6677</v>
      </c>
    </row>
    <row r="2062" spans="7:33" ht="15.75" customHeight="1">
      <c r="G2062" s="36"/>
      <c r="H2062" s="36"/>
      <c r="I2062" s="36"/>
      <c r="J2062" s="39"/>
      <c r="K2062" s="39"/>
      <c r="AF2062" s="42">
        <v>5050454</v>
      </c>
      <c r="AG2062" s="42" t="s">
        <v>6677</v>
      </c>
    </row>
    <row r="2063" spans="7:33" ht="15.75" customHeight="1">
      <c r="G2063" s="36"/>
      <c r="H2063" s="36"/>
      <c r="I2063" s="36"/>
      <c r="J2063" s="39"/>
      <c r="K2063" s="39"/>
      <c r="AF2063" s="42">
        <v>5050455</v>
      </c>
      <c r="AG2063" s="42" t="s">
        <v>6677</v>
      </c>
    </row>
    <row r="2064" spans="7:33" ht="15.75" customHeight="1">
      <c r="G2064" s="36"/>
      <c r="H2064" s="36"/>
      <c r="I2064" s="36"/>
      <c r="J2064" s="39"/>
      <c r="K2064" s="39"/>
      <c r="AF2064" s="42">
        <v>5050456</v>
      </c>
      <c r="AG2064" s="42" t="s">
        <v>6677</v>
      </c>
    </row>
    <row r="2065" spans="7:33" ht="15.75" customHeight="1">
      <c r="G2065" s="36"/>
      <c r="H2065" s="36"/>
      <c r="I2065" s="36"/>
      <c r="J2065" s="39"/>
      <c r="K2065" s="39"/>
      <c r="AF2065" s="42">
        <v>5050457</v>
      </c>
      <c r="AG2065" s="42" t="s">
        <v>6677</v>
      </c>
    </row>
    <row r="2066" spans="7:33" ht="15.75" customHeight="1">
      <c r="G2066" s="36"/>
      <c r="H2066" s="36"/>
      <c r="I2066" s="36"/>
      <c r="J2066" s="39"/>
      <c r="K2066" s="39"/>
      <c r="AF2066" s="42">
        <v>5050458</v>
      </c>
      <c r="AG2066" s="42" t="s">
        <v>6677</v>
      </c>
    </row>
    <row r="2067" spans="7:33" ht="15.75" customHeight="1">
      <c r="G2067" s="36"/>
      <c r="H2067" s="36"/>
      <c r="I2067" s="36"/>
      <c r="J2067" s="39"/>
      <c r="K2067" s="39"/>
      <c r="AF2067" s="42">
        <v>5050459</v>
      </c>
      <c r="AG2067" s="42" t="s">
        <v>6677</v>
      </c>
    </row>
    <row r="2068" spans="7:33" ht="15.75" customHeight="1">
      <c r="G2068" s="36"/>
      <c r="H2068" s="36"/>
      <c r="I2068" s="36"/>
      <c r="J2068" s="39"/>
      <c r="K2068" s="39"/>
      <c r="AF2068" s="42">
        <v>5050460</v>
      </c>
      <c r="AG2068" s="42" t="s">
        <v>6677</v>
      </c>
    </row>
    <row r="2069" spans="7:33" ht="15.75" customHeight="1">
      <c r="G2069" s="36"/>
      <c r="H2069" s="36"/>
      <c r="I2069" s="36"/>
      <c r="J2069" s="39"/>
      <c r="K2069" s="39"/>
      <c r="AF2069" s="42">
        <v>5050461</v>
      </c>
      <c r="AG2069" s="42" t="s">
        <v>6677</v>
      </c>
    </row>
    <row r="2070" spans="7:33" ht="15.75" customHeight="1">
      <c r="G2070" s="36"/>
      <c r="H2070" s="36"/>
      <c r="I2070" s="36"/>
      <c r="J2070" s="39"/>
      <c r="K2070" s="39"/>
      <c r="AF2070" s="42">
        <v>5050462</v>
      </c>
      <c r="AG2070" s="42" t="s">
        <v>6677</v>
      </c>
    </row>
    <row r="2071" spans="7:33" ht="15.75" customHeight="1">
      <c r="G2071" s="36"/>
      <c r="H2071" s="36"/>
      <c r="I2071" s="36"/>
      <c r="J2071" s="39"/>
      <c r="K2071" s="39"/>
      <c r="AF2071" s="42">
        <v>5050464</v>
      </c>
      <c r="AG2071" s="42" t="s">
        <v>6677</v>
      </c>
    </row>
    <row r="2072" spans="7:33" ht="15.75" customHeight="1">
      <c r="G2072" s="36"/>
      <c r="H2072" s="36"/>
      <c r="I2072" s="36"/>
      <c r="J2072" s="39"/>
      <c r="K2072" s="39"/>
      <c r="AF2072" s="42">
        <v>5050465</v>
      </c>
      <c r="AG2072" s="42" t="s">
        <v>6677</v>
      </c>
    </row>
    <row r="2073" spans="7:33" ht="15.75" customHeight="1">
      <c r="G2073" s="36"/>
      <c r="H2073" s="36"/>
      <c r="I2073" s="36"/>
      <c r="J2073" s="39"/>
      <c r="K2073" s="39"/>
      <c r="AF2073" s="42">
        <v>5050466</v>
      </c>
      <c r="AG2073" s="42" t="s">
        <v>6677</v>
      </c>
    </row>
    <row r="2074" spans="7:33" ht="15.75" customHeight="1">
      <c r="G2074" s="36"/>
      <c r="H2074" s="36"/>
      <c r="I2074" s="36"/>
      <c r="J2074" s="39"/>
      <c r="K2074" s="39"/>
      <c r="AF2074" s="42">
        <v>5050467</v>
      </c>
      <c r="AG2074" s="42" t="s">
        <v>6677</v>
      </c>
    </row>
    <row r="2075" spans="7:33" ht="15.75" customHeight="1">
      <c r="G2075" s="36"/>
      <c r="H2075" s="36"/>
      <c r="I2075" s="36"/>
      <c r="J2075" s="39"/>
      <c r="K2075" s="39"/>
      <c r="AF2075" s="42">
        <v>5050468</v>
      </c>
      <c r="AG2075" s="42" t="s">
        <v>6677</v>
      </c>
    </row>
    <row r="2076" spans="7:33" ht="15.75" customHeight="1">
      <c r="G2076" s="36"/>
      <c r="H2076" s="36"/>
      <c r="I2076" s="36"/>
      <c r="J2076" s="39"/>
      <c r="K2076" s="39"/>
      <c r="AF2076" s="42">
        <v>5050469</v>
      </c>
      <c r="AG2076" s="42" t="s">
        <v>6677</v>
      </c>
    </row>
    <row r="2077" spans="7:33" ht="15.75" customHeight="1">
      <c r="G2077" s="36"/>
      <c r="H2077" s="36"/>
      <c r="I2077" s="36"/>
      <c r="J2077" s="39"/>
      <c r="K2077" s="39"/>
      <c r="AF2077" s="42">
        <v>5050502</v>
      </c>
      <c r="AG2077" s="42" t="s">
        <v>6677</v>
      </c>
    </row>
    <row r="2078" spans="7:33" ht="15.75" customHeight="1">
      <c r="G2078" s="36"/>
      <c r="H2078" s="36"/>
      <c r="I2078" s="36"/>
      <c r="J2078" s="39"/>
      <c r="K2078" s="39"/>
      <c r="AF2078" s="42">
        <v>5050509</v>
      </c>
      <c r="AG2078" s="42" t="s">
        <v>6677</v>
      </c>
    </row>
    <row r="2079" spans="7:33" ht="15.75" customHeight="1">
      <c r="G2079" s="36"/>
      <c r="H2079" s="36"/>
      <c r="I2079" s="36"/>
      <c r="J2079" s="39"/>
      <c r="K2079" s="39"/>
      <c r="AF2079" s="42">
        <v>5050531</v>
      </c>
      <c r="AG2079" s="42" t="s">
        <v>6677</v>
      </c>
    </row>
    <row r="2080" spans="7:33" ht="15.75" customHeight="1">
      <c r="G2080" s="36"/>
      <c r="H2080" s="36"/>
      <c r="I2080" s="36"/>
      <c r="J2080" s="39"/>
      <c r="K2080" s="39"/>
      <c r="AF2080" s="42">
        <v>5050545</v>
      </c>
      <c r="AG2080" s="42" t="s">
        <v>6677</v>
      </c>
    </row>
    <row r="2081" spans="7:33" ht="15.75" customHeight="1">
      <c r="G2081" s="36"/>
      <c r="H2081" s="36"/>
      <c r="I2081" s="36"/>
      <c r="J2081" s="39"/>
      <c r="K2081" s="39"/>
      <c r="AF2081" s="42">
        <v>5050600</v>
      </c>
      <c r="AG2081" s="42" t="s">
        <v>6677</v>
      </c>
    </row>
    <row r="2082" spans="7:33" ht="15.75" customHeight="1">
      <c r="G2082" s="36"/>
      <c r="H2082" s="36"/>
      <c r="I2082" s="36"/>
      <c r="J2082" s="39"/>
      <c r="K2082" s="39"/>
      <c r="AF2082" s="42">
        <v>5050601</v>
      </c>
      <c r="AG2082" s="42" t="s">
        <v>6677</v>
      </c>
    </row>
    <row r="2083" spans="7:33" ht="15.75" customHeight="1">
      <c r="G2083" s="36"/>
      <c r="H2083" s="36"/>
      <c r="I2083" s="36"/>
      <c r="J2083" s="39"/>
      <c r="K2083" s="39"/>
      <c r="AF2083" s="42">
        <v>5050602</v>
      </c>
      <c r="AG2083" s="42" t="s">
        <v>6677</v>
      </c>
    </row>
    <row r="2084" spans="7:33" ht="15.75" customHeight="1">
      <c r="G2084" s="36"/>
      <c r="H2084" s="36"/>
      <c r="I2084" s="36"/>
      <c r="J2084" s="39"/>
      <c r="K2084" s="39"/>
      <c r="AF2084" s="42">
        <v>5050603</v>
      </c>
      <c r="AG2084" s="42" t="s">
        <v>6677</v>
      </c>
    </row>
    <row r="2085" spans="7:33" ht="15.75" customHeight="1">
      <c r="G2085" s="36"/>
      <c r="H2085" s="36"/>
      <c r="I2085" s="36"/>
      <c r="J2085" s="39"/>
      <c r="K2085" s="39"/>
      <c r="AF2085" s="42">
        <v>5050604</v>
      </c>
      <c r="AG2085" s="42" t="s">
        <v>6677</v>
      </c>
    </row>
    <row r="2086" spans="7:33" ht="15.75" customHeight="1">
      <c r="G2086" s="36"/>
      <c r="H2086" s="36"/>
      <c r="I2086" s="36"/>
      <c r="J2086" s="39"/>
      <c r="K2086" s="39"/>
      <c r="AF2086" s="42">
        <v>5050605</v>
      </c>
      <c r="AG2086" s="42" t="s">
        <v>6677</v>
      </c>
    </row>
    <row r="2087" spans="7:33" ht="15.75" customHeight="1">
      <c r="G2087" s="36"/>
      <c r="H2087" s="36"/>
      <c r="I2087" s="36"/>
      <c r="J2087" s="39"/>
      <c r="K2087" s="39"/>
      <c r="AF2087" s="42">
        <v>5050606</v>
      </c>
      <c r="AG2087" s="42" t="s">
        <v>6677</v>
      </c>
    </row>
    <row r="2088" spans="7:33" ht="15.75" customHeight="1">
      <c r="G2088" s="36"/>
      <c r="H2088" s="36"/>
      <c r="I2088" s="36"/>
      <c r="J2088" s="39"/>
      <c r="K2088" s="39"/>
      <c r="AF2088" s="42">
        <v>5050607</v>
      </c>
      <c r="AG2088" s="42" t="s">
        <v>6677</v>
      </c>
    </row>
    <row r="2089" spans="7:33" ht="15.75" customHeight="1">
      <c r="G2089" s="36"/>
      <c r="H2089" s="36"/>
      <c r="I2089" s="36"/>
      <c r="J2089" s="39"/>
      <c r="K2089" s="39"/>
      <c r="AF2089" s="42">
        <v>5050608</v>
      </c>
      <c r="AG2089" s="42" t="s">
        <v>6677</v>
      </c>
    </row>
    <row r="2090" spans="7:33" ht="15.75" customHeight="1">
      <c r="G2090" s="36"/>
      <c r="H2090" s="36"/>
      <c r="I2090" s="36"/>
      <c r="J2090" s="39"/>
      <c r="K2090" s="39"/>
      <c r="AF2090" s="42">
        <v>5050609</v>
      </c>
      <c r="AG2090" s="42" t="s">
        <v>6677</v>
      </c>
    </row>
    <row r="2091" spans="7:33" ht="15.75" customHeight="1">
      <c r="G2091" s="36"/>
      <c r="H2091" s="36"/>
      <c r="I2091" s="36"/>
      <c r="J2091" s="39"/>
      <c r="K2091" s="39"/>
      <c r="AF2091" s="42">
        <v>5051811</v>
      </c>
      <c r="AG2091" s="42" t="s">
        <v>6677</v>
      </c>
    </row>
    <row r="2092" spans="7:33" ht="15.75" customHeight="1">
      <c r="G2092" s="36"/>
      <c r="H2092" s="36"/>
      <c r="I2092" s="36"/>
      <c r="J2092" s="39"/>
      <c r="K2092" s="39"/>
      <c r="AF2092" s="42">
        <v>5051827</v>
      </c>
      <c r="AG2092" s="42" t="s">
        <v>6677</v>
      </c>
    </row>
    <row r="2093" spans="7:33" ht="15.75" customHeight="1">
      <c r="G2093" s="36"/>
      <c r="H2093" s="36"/>
      <c r="I2093" s="36"/>
      <c r="J2093" s="39"/>
      <c r="K2093" s="39"/>
      <c r="AF2093" s="42">
        <v>5051830</v>
      </c>
      <c r="AG2093" s="42" t="s">
        <v>6677</v>
      </c>
    </row>
    <row r="2094" spans="7:33" ht="15.75" customHeight="1">
      <c r="G2094" s="36"/>
      <c r="H2094" s="36"/>
      <c r="I2094" s="36"/>
      <c r="J2094" s="39"/>
      <c r="K2094" s="39"/>
      <c r="AF2094" s="42">
        <v>5051835</v>
      </c>
      <c r="AG2094" s="42" t="s">
        <v>6677</v>
      </c>
    </row>
    <row r="2095" spans="7:33" ht="15.75" customHeight="1">
      <c r="G2095" s="36"/>
      <c r="H2095" s="36"/>
      <c r="I2095" s="36"/>
      <c r="J2095" s="39"/>
      <c r="K2095" s="39"/>
      <c r="AF2095" s="42">
        <v>5051899</v>
      </c>
      <c r="AG2095" s="42" t="s">
        <v>6677</v>
      </c>
    </row>
    <row r="2096" spans="7:33" ht="15.75" customHeight="1">
      <c r="G2096" s="36"/>
      <c r="H2096" s="36"/>
      <c r="I2096" s="36"/>
      <c r="J2096" s="39"/>
      <c r="K2096" s="39"/>
      <c r="AF2096" s="42">
        <v>5051900</v>
      </c>
      <c r="AG2096" s="42" t="s">
        <v>6677</v>
      </c>
    </row>
    <row r="2097" spans="7:33" ht="15.75" customHeight="1">
      <c r="G2097" s="36"/>
      <c r="H2097" s="36"/>
      <c r="I2097" s="36"/>
      <c r="J2097" s="39"/>
      <c r="K2097" s="39"/>
      <c r="AF2097" s="42">
        <v>5051901</v>
      </c>
      <c r="AG2097" s="42" t="s">
        <v>6677</v>
      </c>
    </row>
    <row r="2098" spans="7:33" ht="15.75" customHeight="1">
      <c r="G2098" s="36"/>
      <c r="H2098" s="36"/>
      <c r="I2098" s="36"/>
      <c r="J2098" s="39"/>
      <c r="K2098" s="39"/>
      <c r="AF2098" s="42">
        <v>5051902</v>
      </c>
      <c r="AG2098" s="42" t="s">
        <v>6677</v>
      </c>
    </row>
    <row r="2099" spans="7:33" ht="15.75" customHeight="1">
      <c r="G2099" s="36"/>
      <c r="H2099" s="36"/>
      <c r="I2099" s="36"/>
      <c r="J2099" s="39"/>
      <c r="K2099" s="39"/>
      <c r="AF2099" s="42">
        <v>5051903</v>
      </c>
      <c r="AG2099" s="42" t="s">
        <v>6677</v>
      </c>
    </row>
    <row r="2100" spans="7:33" ht="15.75" customHeight="1">
      <c r="G2100" s="36"/>
      <c r="H2100" s="36"/>
      <c r="I2100" s="36"/>
      <c r="J2100" s="39"/>
      <c r="K2100" s="39"/>
      <c r="AF2100" s="42">
        <v>5051904</v>
      </c>
      <c r="AG2100" s="42" t="s">
        <v>6677</v>
      </c>
    </row>
    <row r="2101" spans="7:33" ht="15.75" customHeight="1">
      <c r="G2101" s="36"/>
      <c r="H2101" s="36"/>
      <c r="I2101" s="36"/>
      <c r="J2101" s="39"/>
      <c r="K2101" s="39"/>
      <c r="AF2101" s="42">
        <v>5051905</v>
      </c>
      <c r="AG2101" s="42" t="s">
        <v>6677</v>
      </c>
    </row>
    <row r="2102" spans="7:33" ht="15.75" customHeight="1">
      <c r="G2102" s="36"/>
      <c r="H2102" s="36"/>
      <c r="I2102" s="36"/>
      <c r="J2102" s="39"/>
      <c r="K2102" s="39"/>
      <c r="AF2102" s="42">
        <v>5051906</v>
      </c>
      <c r="AG2102" s="42" t="s">
        <v>6677</v>
      </c>
    </row>
    <row r="2103" spans="7:33" ht="15.75" customHeight="1">
      <c r="G2103" s="36"/>
      <c r="H2103" s="36"/>
      <c r="I2103" s="36"/>
      <c r="J2103" s="39"/>
      <c r="K2103" s="39"/>
      <c r="AF2103" s="42">
        <v>5051907</v>
      </c>
      <c r="AG2103" s="42" t="s">
        <v>6677</v>
      </c>
    </row>
    <row r="2104" spans="7:33" ht="15.75" customHeight="1">
      <c r="G2104" s="36"/>
      <c r="H2104" s="36"/>
      <c r="I2104" s="36"/>
      <c r="J2104" s="39"/>
      <c r="K2104" s="39"/>
      <c r="AF2104" s="42">
        <v>5051908</v>
      </c>
      <c r="AG2104" s="42" t="s">
        <v>6677</v>
      </c>
    </row>
    <row r="2105" spans="7:33" ht="15.75" customHeight="1">
      <c r="G2105" s="36"/>
      <c r="H2105" s="36"/>
      <c r="I2105" s="36"/>
      <c r="J2105" s="39"/>
      <c r="K2105" s="39"/>
      <c r="AF2105" s="42">
        <v>5053724</v>
      </c>
      <c r="AG2105" s="42" t="s">
        <v>6677</v>
      </c>
    </row>
    <row r="2106" spans="7:33" ht="15.75" customHeight="1">
      <c r="G2106" s="36"/>
      <c r="H2106" s="36"/>
      <c r="I2106" s="36"/>
      <c r="J2106" s="39"/>
      <c r="K2106" s="39"/>
      <c r="AF2106" s="42">
        <v>5053785</v>
      </c>
      <c r="AG2106" s="42" t="s">
        <v>6677</v>
      </c>
    </row>
    <row r="2107" spans="7:33" ht="15.75" customHeight="1">
      <c r="G2107" s="36"/>
      <c r="H2107" s="36"/>
      <c r="I2107" s="36"/>
      <c r="J2107" s="39"/>
      <c r="K2107" s="39"/>
      <c r="AF2107" s="42">
        <v>5053804</v>
      </c>
      <c r="AG2107" s="42" t="s">
        <v>6677</v>
      </c>
    </row>
    <row r="2108" spans="7:33" ht="15.75" customHeight="1">
      <c r="G2108" s="36"/>
      <c r="H2108" s="36"/>
      <c r="I2108" s="36"/>
      <c r="J2108" s="39"/>
      <c r="K2108" s="39"/>
      <c r="AF2108" s="42">
        <v>5053808</v>
      </c>
      <c r="AG2108" s="42" t="s">
        <v>6677</v>
      </c>
    </row>
    <row r="2109" spans="7:33" ht="15.75" customHeight="1">
      <c r="G2109" s="36"/>
      <c r="H2109" s="36"/>
      <c r="I2109" s="36"/>
      <c r="J2109" s="39"/>
      <c r="K2109" s="39"/>
      <c r="AF2109" s="42">
        <v>5053810</v>
      </c>
      <c r="AG2109" s="42" t="s">
        <v>6677</v>
      </c>
    </row>
    <row r="2110" spans="7:33" ht="15.75" customHeight="1">
      <c r="G2110" s="36"/>
      <c r="H2110" s="36"/>
      <c r="I2110" s="36"/>
      <c r="J2110" s="39"/>
      <c r="K2110" s="39"/>
      <c r="AF2110" s="42">
        <v>5053811</v>
      </c>
      <c r="AG2110" s="42" t="s">
        <v>6677</v>
      </c>
    </row>
    <row r="2111" spans="7:33" ht="15.75" customHeight="1">
      <c r="G2111" s="36"/>
      <c r="H2111" s="36"/>
      <c r="I2111" s="36"/>
      <c r="J2111" s="39"/>
      <c r="K2111" s="39"/>
      <c r="AF2111" s="42">
        <v>5053814</v>
      </c>
      <c r="AG2111" s="42" t="s">
        <v>6677</v>
      </c>
    </row>
    <row r="2112" spans="7:33" ht="15.75" customHeight="1">
      <c r="G2112" s="36"/>
      <c r="H2112" s="36"/>
      <c r="I2112" s="36"/>
      <c r="J2112" s="39"/>
      <c r="K2112" s="39"/>
      <c r="AF2112" s="42">
        <v>5053815</v>
      </c>
      <c r="AG2112" s="42" t="s">
        <v>6677</v>
      </c>
    </row>
    <row r="2113" spans="7:33" ht="15.75" customHeight="1">
      <c r="G2113" s="36"/>
      <c r="H2113" s="36"/>
      <c r="I2113" s="36"/>
      <c r="J2113" s="39"/>
      <c r="K2113" s="39"/>
      <c r="AF2113" s="42">
        <v>5053816</v>
      </c>
      <c r="AG2113" s="42" t="s">
        <v>6677</v>
      </c>
    </row>
    <row r="2114" spans="7:33" ht="15.75" customHeight="1">
      <c r="G2114" s="36"/>
      <c r="H2114" s="36"/>
      <c r="I2114" s="36"/>
      <c r="J2114" s="39"/>
      <c r="K2114" s="39"/>
      <c r="AF2114" s="42">
        <v>5053817</v>
      </c>
      <c r="AG2114" s="42" t="s">
        <v>6677</v>
      </c>
    </row>
    <row r="2115" spans="7:33" ht="15.75" customHeight="1">
      <c r="G2115" s="36"/>
      <c r="H2115" s="36"/>
      <c r="I2115" s="36"/>
      <c r="J2115" s="39"/>
      <c r="K2115" s="39"/>
      <c r="AF2115" s="42">
        <v>5053818</v>
      </c>
      <c r="AG2115" s="42" t="s">
        <v>6677</v>
      </c>
    </row>
    <row r="2116" spans="7:33" ht="15.75" customHeight="1">
      <c r="G2116" s="36"/>
      <c r="H2116" s="36"/>
      <c r="I2116" s="36"/>
      <c r="J2116" s="39"/>
      <c r="K2116" s="39"/>
      <c r="AF2116" s="42">
        <v>5053819</v>
      </c>
      <c r="AG2116" s="42" t="s">
        <v>6677</v>
      </c>
    </row>
    <row r="2117" spans="7:33" ht="15.75" customHeight="1">
      <c r="G2117" s="36"/>
      <c r="H2117" s="36"/>
      <c r="I2117" s="36"/>
      <c r="J2117" s="39"/>
      <c r="K2117" s="39"/>
      <c r="AF2117" s="42">
        <v>5053820</v>
      </c>
      <c r="AG2117" s="42" t="s">
        <v>6677</v>
      </c>
    </row>
    <row r="2118" spans="7:33" ht="15.75" customHeight="1">
      <c r="G2118" s="36"/>
      <c r="H2118" s="36"/>
      <c r="I2118" s="36"/>
      <c r="J2118" s="39"/>
      <c r="K2118" s="39"/>
      <c r="AF2118" s="42">
        <v>5053821</v>
      </c>
      <c r="AG2118" s="42" t="s">
        <v>6677</v>
      </c>
    </row>
    <row r="2119" spans="7:33" ht="15.75" customHeight="1">
      <c r="G2119" s="36"/>
      <c r="H2119" s="36"/>
      <c r="I2119" s="36"/>
      <c r="J2119" s="39"/>
      <c r="K2119" s="39"/>
      <c r="AF2119" s="42">
        <v>5053822</v>
      </c>
      <c r="AG2119" s="42" t="s">
        <v>6677</v>
      </c>
    </row>
    <row r="2120" spans="7:33" ht="15.75" customHeight="1">
      <c r="G2120" s="36"/>
      <c r="H2120" s="36"/>
      <c r="I2120" s="36"/>
      <c r="J2120" s="39"/>
      <c r="K2120" s="39"/>
      <c r="AF2120" s="42">
        <v>5053823</v>
      </c>
      <c r="AG2120" s="42" t="s">
        <v>6677</v>
      </c>
    </row>
    <row r="2121" spans="7:33" ht="15.75" customHeight="1">
      <c r="G2121" s="36"/>
      <c r="H2121" s="36"/>
      <c r="I2121" s="36"/>
      <c r="J2121" s="39"/>
      <c r="K2121" s="39"/>
      <c r="AF2121" s="42">
        <v>5053833</v>
      </c>
      <c r="AG2121" s="42" t="s">
        <v>6677</v>
      </c>
    </row>
    <row r="2122" spans="7:33" ht="15.75" customHeight="1">
      <c r="G2122" s="36"/>
      <c r="H2122" s="36"/>
      <c r="I2122" s="36"/>
      <c r="J2122" s="39"/>
      <c r="K2122" s="39"/>
      <c r="AF2122" s="42">
        <v>5053842</v>
      </c>
      <c r="AG2122" s="42" t="s">
        <v>6677</v>
      </c>
    </row>
    <row r="2123" spans="7:33" ht="15.75" customHeight="1">
      <c r="G2123" s="36"/>
      <c r="H2123" s="36"/>
      <c r="I2123" s="36"/>
      <c r="J2123" s="39"/>
      <c r="K2123" s="39"/>
      <c r="AF2123" s="42">
        <v>5053843</v>
      </c>
      <c r="AG2123" s="42" t="s">
        <v>6677</v>
      </c>
    </row>
    <row r="2124" spans="7:33" ht="15.75" customHeight="1">
      <c r="G2124" s="36"/>
      <c r="H2124" s="36"/>
      <c r="I2124" s="36"/>
      <c r="J2124" s="39"/>
      <c r="K2124" s="39"/>
      <c r="AF2124" s="42">
        <v>5059289</v>
      </c>
      <c r="AG2124" s="42" t="s">
        <v>6677</v>
      </c>
    </row>
    <row r="2125" spans="7:33" ht="15.75" customHeight="1">
      <c r="G2125" s="36"/>
      <c r="H2125" s="36"/>
      <c r="I2125" s="36"/>
      <c r="J2125" s="39"/>
      <c r="K2125" s="39"/>
      <c r="AF2125" s="42">
        <v>5059290</v>
      </c>
      <c r="AG2125" s="42" t="s">
        <v>6677</v>
      </c>
    </row>
    <row r="2126" spans="7:33" ht="15.75" customHeight="1">
      <c r="G2126" s="36"/>
      <c r="H2126" s="36"/>
      <c r="I2126" s="36"/>
      <c r="J2126" s="39"/>
      <c r="K2126" s="39"/>
      <c r="AF2126" s="42">
        <v>5059291</v>
      </c>
      <c r="AG2126" s="42" t="s">
        <v>6677</v>
      </c>
    </row>
    <row r="2127" spans="7:33" ht="15.75" customHeight="1">
      <c r="G2127" s="36"/>
      <c r="H2127" s="36"/>
      <c r="I2127" s="36"/>
      <c r="J2127" s="39"/>
      <c r="K2127" s="39"/>
      <c r="AF2127" s="42">
        <v>5059292</v>
      </c>
      <c r="AG2127" s="42" t="s">
        <v>6677</v>
      </c>
    </row>
    <row r="2128" spans="7:33" ht="15.75" customHeight="1">
      <c r="G2128" s="36"/>
      <c r="H2128" s="36"/>
      <c r="I2128" s="36"/>
      <c r="J2128" s="39"/>
      <c r="K2128" s="39"/>
      <c r="AF2128" s="42">
        <v>5059293</v>
      </c>
      <c r="AG2128" s="42" t="s">
        <v>6677</v>
      </c>
    </row>
    <row r="2129" spans="7:33" ht="15.75" customHeight="1">
      <c r="G2129" s="36"/>
      <c r="H2129" s="36"/>
      <c r="I2129" s="36"/>
      <c r="J2129" s="39"/>
      <c r="K2129" s="39"/>
      <c r="AF2129" s="42">
        <v>5059294</v>
      </c>
      <c r="AG2129" s="42" t="s">
        <v>6677</v>
      </c>
    </row>
    <row r="2130" spans="7:33" ht="15.75" customHeight="1">
      <c r="G2130" s="36"/>
      <c r="H2130" s="36"/>
      <c r="I2130" s="36"/>
      <c r="J2130" s="39"/>
      <c r="K2130" s="39"/>
      <c r="AF2130" s="42">
        <v>5059295</v>
      </c>
      <c r="AG2130" s="42" t="s">
        <v>6677</v>
      </c>
    </row>
    <row r="2131" spans="7:33" ht="15.75" customHeight="1">
      <c r="G2131" s="36"/>
      <c r="H2131" s="36"/>
      <c r="I2131" s="36"/>
      <c r="J2131" s="39"/>
      <c r="K2131" s="39"/>
      <c r="AF2131" s="42">
        <v>5059297</v>
      </c>
      <c r="AG2131" s="42" t="s">
        <v>6677</v>
      </c>
    </row>
    <row r="2132" spans="7:33" ht="15.75" customHeight="1">
      <c r="G2132" s="36"/>
      <c r="H2132" s="36"/>
      <c r="I2132" s="36"/>
      <c r="J2132" s="39"/>
      <c r="K2132" s="39"/>
      <c r="AF2132" s="42">
        <v>5059298</v>
      </c>
      <c r="AG2132" s="42" t="s">
        <v>6677</v>
      </c>
    </row>
    <row r="2133" spans="7:33" ht="15.75" customHeight="1">
      <c r="G2133" s="36"/>
      <c r="H2133" s="36"/>
      <c r="I2133" s="36"/>
      <c r="J2133" s="39"/>
      <c r="K2133" s="39"/>
      <c r="AF2133" s="42">
        <v>5059299</v>
      </c>
      <c r="AG2133" s="42" t="s">
        <v>6677</v>
      </c>
    </row>
    <row r="2134" spans="7:33" ht="15.75" customHeight="1">
      <c r="G2134" s="36"/>
      <c r="H2134" s="36"/>
      <c r="I2134" s="36"/>
      <c r="J2134" s="39"/>
      <c r="K2134" s="39"/>
      <c r="AF2134" s="42">
        <v>5059300</v>
      </c>
      <c r="AG2134" s="42" t="s">
        <v>6677</v>
      </c>
    </row>
    <row r="2135" spans="7:33" ht="15.75" customHeight="1">
      <c r="G2135" s="36"/>
      <c r="H2135" s="36"/>
      <c r="I2135" s="36"/>
      <c r="J2135" s="39"/>
      <c r="K2135" s="39"/>
      <c r="AF2135" s="42">
        <v>5059301</v>
      </c>
      <c r="AG2135" s="42" t="s">
        <v>6677</v>
      </c>
    </row>
    <row r="2136" spans="7:33" ht="15.75" customHeight="1">
      <c r="G2136" s="36"/>
      <c r="H2136" s="36"/>
      <c r="I2136" s="36"/>
      <c r="J2136" s="39"/>
      <c r="K2136" s="39"/>
      <c r="AF2136" s="42">
        <v>5059302</v>
      </c>
      <c r="AG2136" s="42" t="s">
        <v>6677</v>
      </c>
    </row>
    <row r="2137" spans="7:33" ht="15.75" customHeight="1">
      <c r="G2137" s="36"/>
      <c r="H2137" s="36"/>
      <c r="I2137" s="36"/>
      <c r="J2137" s="39"/>
      <c r="K2137" s="39"/>
      <c r="AF2137" s="42">
        <v>5059303</v>
      </c>
      <c r="AG2137" s="42" t="s">
        <v>6677</v>
      </c>
    </row>
    <row r="2138" spans="7:33" ht="15.75" customHeight="1">
      <c r="G2138" s="36"/>
      <c r="H2138" s="36"/>
      <c r="I2138" s="36"/>
      <c r="J2138" s="39"/>
      <c r="K2138" s="39"/>
      <c r="AF2138" s="42">
        <v>5059304</v>
      </c>
      <c r="AG2138" s="42" t="s">
        <v>6677</v>
      </c>
    </row>
    <row r="2139" spans="7:33" ht="15.75" customHeight="1">
      <c r="G2139" s="36"/>
      <c r="H2139" s="36"/>
      <c r="I2139" s="36"/>
      <c r="J2139" s="39"/>
      <c r="K2139" s="39"/>
      <c r="AF2139" s="42">
        <v>5059305</v>
      </c>
      <c r="AG2139" s="42" t="s">
        <v>6677</v>
      </c>
    </row>
    <row r="2140" spans="7:33" ht="15.75" customHeight="1">
      <c r="G2140" s="36"/>
      <c r="H2140" s="36"/>
      <c r="I2140" s="36"/>
      <c r="J2140" s="39"/>
      <c r="K2140" s="39"/>
      <c r="AF2140" s="42">
        <v>5059306</v>
      </c>
      <c r="AG2140" s="42" t="s">
        <v>6677</v>
      </c>
    </row>
    <row r="2141" spans="7:33" ht="15.75" customHeight="1">
      <c r="G2141" s="36"/>
      <c r="H2141" s="36"/>
      <c r="I2141" s="36"/>
      <c r="J2141" s="39"/>
      <c r="K2141" s="39"/>
      <c r="AF2141" s="42">
        <v>5059307</v>
      </c>
      <c r="AG2141" s="42" t="s">
        <v>6677</v>
      </c>
    </row>
    <row r="2142" spans="7:33" ht="15.75" customHeight="1">
      <c r="G2142" s="36"/>
      <c r="H2142" s="36"/>
      <c r="I2142" s="36"/>
      <c r="J2142" s="39"/>
      <c r="K2142" s="39"/>
      <c r="AF2142" s="42">
        <v>5059308</v>
      </c>
      <c r="AG2142" s="42" t="s">
        <v>6677</v>
      </c>
    </row>
    <row r="2143" spans="7:33" ht="15.75" customHeight="1">
      <c r="G2143" s="36"/>
      <c r="H2143" s="36"/>
      <c r="I2143" s="36"/>
      <c r="J2143" s="39"/>
      <c r="K2143" s="39"/>
      <c r="AF2143" s="42">
        <v>5059309</v>
      </c>
      <c r="AG2143" s="42" t="s">
        <v>6677</v>
      </c>
    </row>
    <row r="2144" spans="7:33" ht="15.75" customHeight="1">
      <c r="G2144" s="36"/>
      <c r="H2144" s="36"/>
      <c r="I2144" s="36"/>
      <c r="J2144" s="39"/>
      <c r="K2144" s="39"/>
      <c r="AF2144" s="42">
        <v>5059310</v>
      </c>
      <c r="AG2144" s="42" t="s">
        <v>6677</v>
      </c>
    </row>
    <row r="2145" spans="7:33" ht="15.75" customHeight="1">
      <c r="G2145" s="36"/>
      <c r="H2145" s="36"/>
      <c r="I2145" s="36"/>
      <c r="J2145" s="39"/>
      <c r="K2145" s="39"/>
      <c r="AF2145" s="42">
        <v>5059311</v>
      </c>
      <c r="AG2145" s="42" t="s">
        <v>6677</v>
      </c>
    </row>
    <row r="2146" spans="7:33" ht="15.75" customHeight="1">
      <c r="G2146" s="36"/>
      <c r="H2146" s="36"/>
      <c r="I2146" s="36"/>
      <c r="J2146" s="39"/>
      <c r="K2146" s="39"/>
      <c r="AF2146" s="42">
        <v>5059312</v>
      </c>
      <c r="AG2146" s="42" t="s">
        <v>6677</v>
      </c>
    </row>
    <row r="2147" spans="7:33" ht="15.75" customHeight="1">
      <c r="G2147" s="36"/>
      <c r="H2147" s="36"/>
      <c r="I2147" s="36"/>
      <c r="J2147" s="39"/>
      <c r="K2147" s="39"/>
      <c r="AF2147" s="42">
        <v>5059313</v>
      </c>
      <c r="AG2147" s="42" t="s">
        <v>6677</v>
      </c>
    </row>
    <row r="2148" spans="7:33" ht="15.75" customHeight="1">
      <c r="G2148" s="36"/>
      <c r="H2148" s="36"/>
      <c r="I2148" s="36"/>
      <c r="J2148" s="39"/>
      <c r="K2148" s="39"/>
      <c r="AF2148" s="42">
        <v>5059314</v>
      </c>
      <c r="AG2148" s="42" t="s">
        <v>6677</v>
      </c>
    </row>
    <row r="2149" spans="7:33" ht="15.75" customHeight="1">
      <c r="G2149" s="36"/>
      <c r="H2149" s="36"/>
      <c r="I2149" s="36"/>
      <c r="J2149" s="39"/>
      <c r="K2149" s="39"/>
      <c r="AF2149" s="42">
        <v>5059315</v>
      </c>
      <c r="AG2149" s="42" t="s">
        <v>6677</v>
      </c>
    </row>
    <row r="2150" spans="7:33" ht="15.75" customHeight="1">
      <c r="G2150" s="36"/>
      <c r="H2150" s="36"/>
      <c r="I2150" s="36"/>
      <c r="J2150" s="39"/>
      <c r="K2150" s="39"/>
      <c r="AF2150" s="42">
        <v>5059316</v>
      </c>
      <c r="AG2150" s="42" t="s">
        <v>6677</v>
      </c>
    </row>
    <row r="2151" spans="7:33" ht="15.75" customHeight="1">
      <c r="G2151" s="36"/>
      <c r="H2151" s="36"/>
      <c r="I2151" s="36"/>
      <c r="J2151" s="39"/>
      <c r="K2151" s="39"/>
      <c r="AF2151" s="42">
        <v>5059317</v>
      </c>
      <c r="AG2151" s="42" t="s">
        <v>6677</v>
      </c>
    </row>
    <row r="2152" spans="7:33" ht="15.75" customHeight="1">
      <c r="G2152" s="36"/>
      <c r="H2152" s="36"/>
      <c r="I2152" s="36"/>
      <c r="J2152" s="39"/>
      <c r="K2152" s="39"/>
      <c r="AF2152" s="42">
        <v>5059318</v>
      </c>
      <c r="AG2152" s="42" t="s">
        <v>6677</v>
      </c>
    </row>
    <row r="2153" spans="7:33" ht="15.75" customHeight="1">
      <c r="G2153" s="36"/>
      <c r="H2153" s="36"/>
      <c r="I2153" s="36"/>
      <c r="J2153" s="39"/>
      <c r="K2153" s="39"/>
      <c r="AF2153" s="42">
        <v>5059319</v>
      </c>
      <c r="AG2153" s="42" t="s">
        <v>6677</v>
      </c>
    </row>
    <row r="2154" spans="7:33" ht="15.75" customHeight="1">
      <c r="G2154" s="36"/>
      <c r="H2154" s="36"/>
      <c r="I2154" s="36"/>
      <c r="J2154" s="39"/>
      <c r="K2154" s="39"/>
      <c r="AF2154" s="42">
        <v>5059320</v>
      </c>
      <c r="AG2154" s="42" t="s">
        <v>6677</v>
      </c>
    </row>
    <row r="2155" spans="7:33" ht="15.75" customHeight="1">
      <c r="G2155" s="36"/>
      <c r="H2155" s="36"/>
      <c r="I2155" s="36"/>
      <c r="J2155" s="39"/>
      <c r="K2155" s="39"/>
      <c r="AF2155" s="42">
        <v>5059321</v>
      </c>
      <c r="AG2155" s="42" t="s">
        <v>6677</v>
      </c>
    </row>
    <row r="2156" spans="7:33" ht="15.75" customHeight="1">
      <c r="G2156" s="36"/>
      <c r="H2156" s="36"/>
      <c r="I2156" s="36"/>
      <c r="J2156" s="39"/>
      <c r="K2156" s="39"/>
      <c r="AF2156" s="42">
        <v>5059322</v>
      </c>
      <c r="AG2156" s="42" t="s">
        <v>6677</v>
      </c>
    </row>
    <row r="2157" spans="7:33" ht="15.75" customHeight="1">
      <c r="G2157" s="36"/>
      <c r="H2157" s="36"/>
      <c r="I2157" s="36"/>
      <c r="J2157" s="39"/>
      <c r="K2157" s="39"/>
      <c r="AF2157" s="42">
        <v>5059323</v>
      </c>
      <c r="AG2157" s="42" t="s">
        <v>6677</v>
      </c>
    </row>
    <row r="2158" spans="7:33" ht="15.75" customHeight="1">
      <c r="G2158" s="36"/>
      <c r="H2158" s="36"/>
      <c r="I2158" s="36"/>
      <c r="J2158" s="39"/>
      <c r="K2158" s="39"/>
      <c r="AF2158" s="42">
        <v>5059324</v>
      </c>
      <c r="AG2158" s="42" t="s">
        <v>6677</v>
      </c>
    </row>
    <row r="2159" spans="7:33" ht="15.75" customHeight="1">
      <c r="G2159" s="36"/>
      <c r="H2159" s="36"/>
      <c r="I2159" s="36"/>
      <c r="J2159" s="39"/>
      <c r="K2159" s="39"/>
      <c r="AF2159" s="42">
        <v>5059325</v>
      </c>
      <c r="AG2159" s="42" t="s">
        <v>6677</v>
      </c>
    </row>
    <row r="2160" spans="7:33" ht="15.75" customHeight="1">
      <c r="G2160" s="36"/>
      <c r="H2160" s="36"/>
      <c r="I2160" s="36"/>
      <c r="J2160" s="39"/>
      <c r="K2160" s="39"/>
      <c r="AF2160" s="42">
        <v>5059326</v>
      </c>
      <c r="AG2160" s="42" t="s">
        <v>6677</v>
      </c>
    </row>
    <row r="2161" spans="7:33" ht="15.75" customHeight="1">
      <c r="G2161" s="36"/>
      <c r="H2161" s="36"/>
      <c r="I2161" s="36"/>
      <c r="J2161" s="39"/>
      <c r="K2161" s="39"/>
      <c r="AF2161" s="42">
        <v>5059327</v>
      </c>
      <c r="AG2161" s="42" t="s">
        <v>6677</v>
      </c>
    </row>
    <row r="2162" spans="7:33" ht="15.75" customHeight="1">
      <c r="G2162" s="36"/>
      <c r="H2162" s="36"/>
      <c r="I2162" s="36"/>
      <c r="J2162" s="39"/>
      <c r="K2162" s="39"/>
      <c r="AF2162" s="42">
        <v>5059328</v>
      </c>
      <c r="AG2162" s="42" t="s">
        <v>6677</v>
      </c>
    </row>
    <row r="2163" spans="7:33" ht="15.75" customHeight="1">
      <c r="G2163" s="36"/>
      <c r="H2163" s="36"/>
      <c r="I2163" s="36"/>
      <c r="J2163" s="39"/>
      <c r="K2163" s="39"/>
      <c r="AF2163" s="42">
        <v>5059329</v>
      </c>
      <c r="AG2163" s="42" t="s">
        <v>6677</v>
      </c>
    </row>
    <row r="2164" spans="7:33" ht="15.75" customHeight="1">
      <c r="G2164" s="36"/>
      <c r="H2164" s="36"/>
      <c r="I2164" s="36"/>
      <c r="J2164" s="39"/>
      <c r="K2164" s="39"/>
      <c r="AF2164" s="42">
        <v>5059330</v>
      </c>
      <c r="AG2164" s="42" t="s">
        <v>6677</v>
      </c>
    </row>
    <row r="2165" spans="7:33" ht="15.75" customHeight="1">
      <c r="G2165" s="36"/>
      <c r="H2165" s="36"/>
      <c r="I2165" s="36"/>
      <c r="J2165" s="39"/>
      <c r="K2165" s="39"/>
      <c r="AF2165" s="42">
        <v>5059331</v>
      </c>
      <c r="AG2165" s="42" t="s">
        <v>6677</v>
      </c>
    </row>
    <row r="2166" spans="7:33" ht="15.75" customHeight="1">
      <c r="G2166" s="36"/>
      <c r="H2166" s="36"/>
      <c r="I2166" s="36"/>
      <c r="J2166" s="39"/>
      <c r="K2166" s="39"/>
      <c r="AF2166" s="42">
        <v>5059332</v>
      </c>
      <c r="AG2166" s="42" t="s">
        <v>6677</v>
      </c>
    </row>
    <row r="2167" spans="7:33" ht="15.75" customHeight="1">
      <c r="G2167" s="36"/>
      <c r="H2167" s="36"/>
      <c r="I2167" s="36"/>
      <c r="J2167" s="39"/>
      <c r="K2167" s="39"/>
      <c r="AF2167" s="42">
        <v>5059333</v>
      </c>
      <c r="AG2167" s="42" t="s">
        <v>6677</v>
      </c>
    </row>
    <row r="2168" spans="7:33" ht="15.75" customHeight="1">
      <c r="G2168" s="36"/>
      <c r="H2168" s="36"/>
      <c r="I2168" s="36"/>
      <c r="J2168" s="39"/>
      <c r="K2168" s="39"/>
      <c r="AF2168" s="42">
        <v>5059334</v>
      </c>
      <c r="AG2168" s="42" t="s">
        <v>6677</v>
      </c>
    </row>
    <row r="2169" spans="7:33" ht="15.75" customHeight="1">
      <c r="G2169" s="36"/>
      <c r="H2169" s="36"/>
      <c r="I2169" s="36"/>
      <c r="J2169" s="39"/>
      <c r="K2169" s="39"/>
      <c r="AF2169" s="42">
        <v>5059335</v>
      </c>
      <c r="AG2169" s="42" t="s">
        <v>6677</v>
      </c>
    </row>
    <row r="2170" spans="7:33" ht="15.75" customHeight="1">
      <c r="G2170" s="36"/>
      <c r="H2170" s="36"/>
      <c r="I2170" s="36"/>
      <c r="J2170" s="39"/>
      <c r="K2170" s="39"/>
      <c r="AF2170" s="42">
        <v>5059336</v>
      </c>
      <c r="AG2170" s="42" t="s">
        <v>6677</v>
      </c>
    </row>
    <row r="2171" spans="7:33" ht="15.75" customHeight="1">
      <c r="G2171" s="36"/>
      <c r="H2171" s="36"/>
      <c r="I2171" s="36"/>
      <c r="J2171" s="39"/>
      <c r="K2171" s="39"/>
      <c r="AF2171" s="42">
        <v>5059337</v>
      </c>
      <c r="AG2171" s="42" t="s">
        <v>6677</v>
      </c>
    </row>
    <row r="2172" spans="7:33" ht="15.75" customHeight="1">
      <c r="G2172" s="36"/>
      <c r="H2172" s="36"/>
      <c r="I2172" s="36"/>
      <c r="J2172" s="39"/>
      <c r="K2172" s="39"/>
      <c r="AF2172" s="42">
        <v>5059338</v>
      </c>
      <c r="AG2172" s="42" t="s">
        <v>6677</v>
      </c>
    </row>
    <row r="2173" spans="7:33" ht="15.75" customHeight="1">
      <c r="G2173" s="36"/>
      <c r="H2173" s="36"/>
      <c r="I2173" s="36"/>
      <c r="J2173" s="39"/>
      <c r="K2173" s="39"/>
      <c r="AF2173" s="42">
        <v>5059339</v>
      </c>
      <c r="AG2173" s="42" t="s">
        <v>6677</v>
      </c>
    </row>
    <row r="2174" spans="7:33" ht="15.75" customHeight="1">
      <c r="G2174" s="36"/>
      <c r="H2174" s="36"/>
      <c r="I2174" s="36"/>
      <c r="J2174" s="39"/>
      <c r="K2174" s="39"/>
      <c r="AF2174" s="42">
        <v>5059340</v>
      </c>
      <c r="AG2174" s="42" t="s">
        <v>6677</v>
      </c>
    </row>
    <row r="2175" spans="7:33" ht="15.75" customHeight="1">
      <c r="G2175" s="36"/>
      <c r="H2175" s="36"/>
      <c r="I2175" s="36"/>
      <c r="J2175" s="39"/>
      <c r="K2175" s="39"/>
      <c r="AF2175" s="42">
        <v>5059341</v>
      </c>
      <c r="AG2175" s="42" t="s">
        <v>6677</v>
      </c>
    </row>
    <row r="2176" spans="7:33" ht="15.75" customHeight="1">
      <c r="G2176" s="36"/>
      <c r="H2176" s="36"/>
      <c r="I2176" s="36"/>
      <c r="J2176" s="39"/>
      <c r="K2176" s="39"/>
      <c r="AF2176" s="42">
        <v>5059342</v>
      </c>
      <c r="AG2176" s="42" t="s">
        <v>6677</v>
      </c>
    </row>
    <row r="2177" spans="7:33" ht="15.75" customHeight="1">
      <c r="G2177" s="36"/>
      <c r="H2177" s="36"/>
      <c r="I2177" s="36"/>
      <c r="J2177" s="39"/>
      <c r="K2177" s="39"/>
      <c r="AF2177" s="42">
        <v>5059343</v>
      </c>
      <c r="AG2177" s="42" t="s">
        <v>6677</v>
      </c>
    </row>
    <row r="2178" spans="7:33" ht="15.75" customHeight="1">
      <c r="G2178" s="36"/>
      <c r="H2178" s="36"/>
      <c r="I2178" s="36"/>
      <c r="J2178" s="39"/>
      <c r="K2178" s="39"/>
      <c r="AF2178" s="42">
        <v>5059344</v>
      </c>
      <c r="AG2178" s="42" t="s">
        <v>6677</v>
      </c>
    </row>
    <row r="2179" spans="7:33" ht="15.75" customHeight="1">
      <c r="G2179" s="36"/>
      <c r="H2179" s="36"/>
      <c r="I2179" s="36"/>
      <c r="J2179" s="39"/>
      <c r="K2179" s="39"/>
      <c r="AF2179" s="42">
        <v>5059345</v>
      </c>
      <c r="AG2179" s="42" t="s">
        <v>6677</v>
      </c>
    </row>
    <row r="2180" spans="7:33" ht="15.75" customHeight="1">
      <c r="G2180" s="36"/>
      <c r="H2180" s="36"/>
      <c r="I2180" s="36"/>
      <c r="J2180" s="39"/>
      <c r="K2180" s="39"/>
      <c r="AF2180" s="42">
        <v>5059346</v>
      </c>
      <c r="AG2180" s="42" t="s">
        <v>6677</v>
      </c>
    </row>
    <row r="2181" spans="7:33" ht="15.75" customHeight="1">
      <c r="G2181" s="36"/>
      <c r="H2181" s="36"/>
      <c r="I2181" s="36"/>
      <c r="J2181" s="39"/>
      <c r="K2181" s="39"/>
      <c r="AF2181" s="42">
        <v>5059347</v>
      </c>
      <c r="AG2181" s="42" t="s">
        <v>6677</v>
      </c>
    </row>
    <row r="2182" spans="7:33" ht="15.75" customHeight="1">
      <c r="G2182" s="36"/>
      <c r="H2182" s="36"/>
      <c r="I2182" s="36"/>
      <c r="J2182" s="39"/>
      <c r="K2182" s="39"/>
      <c r="AF2182" s="42">
        <v>5059348</v>
      </c>
      <c r="AG2182" s="42" t="s">
        <v>6677</v>
      </c>
    </row>
    <row r="2183" spans="7:33" ht="15.75" customHeight="1">
      <c r="G2183" s="36"/>
      <c r="H2183" s="36"/>
      <c r="I2183" s="36"/>
      <c r="J2183" s="39"/>
      <c r="K2183" s="39"/>
      <c r="AF2183" s="42">
        <v>5059349</v>
      </c>
      <c r="AG2183" s="42" t="s">
        <v>6677</v>
      </c>
    </row>
    <row r="2184" spans="7:33" ht="15.75" customHeight="1">
      <c r="G2184" s="36"/>
      <c r="H2184" s="36"/>
      <c r="I2184" s="36"/>
      <c r="J2184" s="39"/>
      <c r="K2184" s="39"/>
      <c r="AF2184" s="42">
        <v>5059350</v>
      </c>
      <c r="AG2184" s="42" t="s">
        <v>6677</v>
      </c>
    </row>
    <row r="2185" spans="7:33" ht="15.75" customHeight="1">
      <c r="G2185" s="36"/>
      <c r="H2185" s="36"/>
      <c r="I2185" s="36"/>
      <c r="J2185" s="39"/>
      <c r="K2185" s="39"/>
      <c r="AF2185" s="42">
        <v>5059351</v>
      </c>
      <c r="AG2185" s="42" t="s">
        <v>6677</v>
      </c>
    </row>
    <row r="2186" spans="7:33" ht="15.75" customHeight="1">
      <c r="G2186" s="36"/>
      <c r="H2186" s="36"/>
      <c r="I2186" s="36"/>
      <c r="J2186" s="39"/>
      <c r="K2186" s="39"/>
      <c r="AF2186" s="42">
        <v>5059352</v>
      </c>
      <c r="AG2186" s="42" t="s">
        <v>6677</v>
      </c>
    </row>
    <row r="2187" spans="7:33" ht="15.75" customHeight="1">
      <c r="G2187" s="36"/>
      <c r="H2187" s="36"/>
      <c r="I2187" s="36"/>
      <c r="J2187" s="39"/>
      <c r="K2187" s="39"/>
      <c r="AF2187" s="42">
        <v>5059353</v>
      </c>
      <c r="AG2187" s="42" t="s">
        <v>6677</v>
      </c>
    </row>
    <row r="2188" spans="7:33" ht="15.75" customHeight="1">
      <c r="G2188" s="36"/>
      <c r="H2188" s="36"/>
      <c r="I2188" s="36"/>
      <c r="J2188" s="39"/>
      <c r="K2188" s="39"/>
      <c r="AF2188" s="42">
        <v>5059354</v>
      </c>
      <c r="AG2188" s="42" t="s">
        <v>6677</v>
      </c>
    </row>
    <row r="2189" spans="7:33" ht="15.75" customHeight="1">
      <c r="G2189" s="36"/>
      <c r="H2189" s="36"/>
      <c r="I2189" s="36"/>
      <c r="J2189" s="39"/>
      <c r="K2189" s="39"/>
      <c r="AF2189" s="42">
        <v>5059355</v>
      </c>
      <c r="AG2189" s="42" t="s">
        <v>6677</v>
      </c>
    </row>
    <row r="2190" spans="7:33" ht="15.75" customHeight="1">
      <c r="G2190" s="36"/>
      <c r="H2190" s="36"/>
      <c r="I2190" s="36"/>
      <c r="J2190" s="39"/>
      <c r="K2190" s="39"/>
      <c r="AF2190" s="42">
        <v>5059356</v>
      </c>
      <c r="AG2190" s="42" t="s">
        <v>6677</v>
      </c>
    </row>
    <row r="2191" spans="7:33" ht="15.75" customHeight="1">
      <c r="G2191" s="36"/>
      <c r="H2191" s="36"/>
      <c r="I2191" s="36"/>
      <c r="J2191" s="39"/>
      <c r="K2191" s="39"/>
      <c r="AF2191" s="42">
        <v>5059357</v>
      </c>
      <c r="AG2191" s="42" t="s">
        <v>6677</v>
      </c>
    </row>
    <row r="2192" spans="7:33" ht="15.75" customHeight="1">
      <c r="G2192" s="36"/>
      <c r="H2192" s="36"/>
      <c r="I2192" s="36"/>
      <c r="J2192" s="39"/>
      <c r="K2192" s="39"/>
      <c r="AF2192" s="42">
        <v>5059358</v>
      </c>
      <c r="AG2192" s="42" t="s">
        <v>6677</v>
      </c>
    </row>
    <row r="2193" spans="7:33" ht="15.75" customHeight="1">
      <c r="G2193" s="36"/>
      <c r="H2193" s="36"/>
      <c r="I2193" s="36"/>
      <c r="J2193" s="39"/>
      <c r="K2193" s="39"/>
      <c r="AF2193" s="42">
        <v>5059359</v>
      </c>
      <c r="AG2193" s="42" t="s">
        <v>6677</v>
      </c>
    </row>
    <row r="2194" spans="7:33" ht="15.75" customHeight="1">
      <c r="G2194" s="36"/>
      <c r="H2194" s="36"/>
      <c r="I2194" s="36"/>
      <c r="J2194" s="39"/>
      <c r="K2194" s="39"/>
      <c r="AF2194" s="42">
        <v>5059360</v>
      </c>
      <c r="AG2194" s="42" t="s">
        <v>6677</v>
      </c>
    </row>
    <row r="2195" spans="7:33" ht="15.75" customHeight="1">
      <c r="G2195" s="36"/>
      <c r="H2195" s="36"/>
      <c r="I2195" s="36"/>
      <c r="J2195" s="39"/>
      <c r="K2195" s="39"/>
      <c r="AF2195" s="42">
        <v>5059361</v>
      </c>
      <c r="AG2195" s="42" t="s">
        <v>6677</v>
      </c>
    </row>
    <row r="2196" spans="7:33" ht="15.75" customHeight="1">
      <c r="G2196" s="36"/>
      <c r="H2196" s="36"/>
      <c r="I2196" s="36"/>
      <c r="J2196" s="39"/>
      <c r="K2196" s="39"/>
      <c r="AF2196" s="42">
        <v>5059362</v>
      </c>
      <c r="AG2196" s="42" t="s">
        <v>6677</v>
      </c>
    </row>
    <row r="2197" spans="7:33" ht="15.75" customHeight="1">
      <c r="G2197" s="36"/>
      <c r="H2197" s="36"/>
      <c r="I2197" s="36"/>
      <c r="J2197" s="39"/>
      <c r="K2197" s="39"/>
      <c r="AF2197" s="42">
        <v>5059363</v>
      </c>
      <c r="AG2197" s="42" t="s">
        <v>6677</v>
      </c>
    </row>
    <row r="2198" spans="7:33" ht="15.75" customHeight="1">
      <c r="G2198" s="36"/>
      <c r="H2198" s="36"/>
      <c r="I2198" s="36"/>
      <c r="J2198" s="39"/>
      <c r="K2198" s="39"/>
      <c r="AF2198" s="42">
        <v>5059364</v>
      </c>
      <c r="AG2198" s="42" t="s">
        <v>6677</v>
      </c>
    </row>
    <row r="2199" spans="7:33" ht="15.75" customHeight="1">
      <c r="G2199" s="36"/>
      <c r="H2199" s="36"/>
      <c r="I2199" s="36"/>
      <c r="J2199" s="39"/>
      <c r="K2199" s="39"/>
      <c r="AF2199" s="42">
        <v>5059365</v>
      </c>
      <c r="AG2199" s="42" t="s">
        <v>6677</v>
      </c>
    </row>
    <row r="2200" spans="7:33" ht="15.75" customHeight="1">
      <c r="G2200" s="36"/>
      <c r="H2200" s="36"/>
      <c r="I2200" s="36"/>
      <c r="J2200" s="39"/>
      <c r="K2200" s="39"/>
      <c r="AF2200" s="42">
        <v>5059366</v>
      </c>
      <c r="AG2200" s="42" t="s">
        <v>6677</v>
      </c>
    </row>
    <row r="2201" spans="7:33" ht="15.75" customHeight="1">
      <c r="G2201" s="36"/>
      <c r="H2201" s="36"/>
      <c r="I2201" s="36"/>
      <c r="J2201" s="39"/>
      <c r="K2201" s="39"/>
      <c r="AF2201" s="42">
        <v>5059367</v>
      </c>
      <c r="AG2201" s="42" t="s">
        <v>6677</v>
      </c>
    </row>
    <row r="2202" spans="7:33" ht="15.75" customHeight="1">
      <c r="G2202" s="36"/>
      <c r="H2202" s="36"/>
      <c r="I2202" s="36"/>
      <c r="J2202" s="39"/>
      <c r="K2202" s="39"/>
      <c r="AF2202" s="42">
        <v>5059368</v>
      </c>
      <c r="AG2202" s="42" t="s">
        <v>6677</v>
      </c>
    </row>
    <row r="2203" spans="7:33" ht="15.75" customHeight="1">
      <c r="G2203" s="36"/>
      <c r="H2203" s="36"/>
      <c r="I2203" s="36"/>
      <c r="J2203" s="39"/>
      <c r="K2203" s="39"/>
      <c r="AF2203" s="42">
        <v>5059369</v>
      </c>
      <c r="AG2203" s="42" t="s">
        <v>6677</v>
      </c>
    </row>
    <row r="2204" spans="7:33" ht="15.75" customHeight="1">
      <c r="G2204" s="36"/>
      <c r="H2204" s="36"/>
      <c r="I2204" s="36"/>
      <c r="J2204" s="39"/>
      <c r="K2204" s="39"/>
      <c r="AF2204" s="42">
        <v>5059370</v>
      </c>
      <c r="AG2204" s="42" t="s">
        <v>6677</v>
      </c>
    </row>
    <row r="2205" spans="7:33" ht="15.75" customHeight="1">
      <c r="G2205" s="36"/>
      <c r="H2205" s="36"/>
      <c r="I2205" s="36"/>
      <c r="J2205" s="39"/>
      <c r="K2205" s="39"/>
      <c r="AF2205" s="42">
        <v>5059371</v>
      </c>
      <c r="AG2205" s="42" t="s">
        <v>6677</v>
      </c>
    </row>
    <row r="2206" spans="7:33" ht="15.75" customHeight="1">
      <c r="G2206" s="36"/>
      <c r="H2206" s="36"/>
      <c r="I2206" s="36"/>
      <c r="J2206" s="39"/>
      <c r="K2206" s="39"/>
      <c r="AF2206" s="42">
        <v>5059372</v>
      </c>
      <c r="AG2206" s="42" t="s">
        <v>6677</v>
      </c>
    </row>
    <row r="2207" spans="7:33" ht="15.75" customHeight="1">
      <c r="G2207" s="36"/>
      <c r="H2207" s="36"/>
      <c r="I2207" s="36"/>
      <c r="J2207" s="39"/>
      <c r="K2207" s="39"/>
      <c r="AF2207" s="42">
        <v>5059373</v>
      </c>
      <c r="AG2207" s="42" t="s">
        <v>6677</v>
      </c>
    </row>
    <row r="2208" spans="7:33" ht="15.75" customHeight="1">
      <c r="G2208" s="36"/>
      <c r="H2208" s="36"/>
      <c r="I2208" s="36"/>
      <c r="J2208" s="39"/>
      <c r="K2208" s="39"/>
      <c r="AF2208" s="42">
        <v>5059374</v>
      </c>
      <c r="AG2208" s="42" t="s">
        <v>6677</v>
      </c>
    </row>
    <row r="2209" spans="7:33" ht="15.75" customHeight="1">
      <c r="G2209" s="36"/>
      <c r="H2209" s="36"/>
      <c r="I2209" s="36"/>
      <c r="J2209" s="39"/>
      <c r="K2209" s="39"/>
      <c r="AF2209" s="42">
        <v>5059375</v>
      </c>
      <c r="AG2209" s="42" t="s">
        <v>6677</v>
      </c>
    </row>
    <row r="2210" spans="7:33" ht="15.75" customHeight="1">
      <c r="G2210" s="36"/>
      <c r="H2210" s="36"/>
      <c r="I2210" s="36"/>
      <c r="J2210" s="39"/>
      <c r="K2210" s="39"/>
      <c r="AF2210" s="42">
        <v>5059376</v>
      </c>
      <c r="AG2210" s="42" t="s">
        <v>6677</v>
      </c>
    </row>
    <row r="2211" spans="7:33" ht="15.75" customHeight="1">
      <c r="G2211" s="36"/>
      <c r="H2211" s="36"/>
      <c r="I2211" s="36"/>
      <c r="J2211" s="39"/>
      <c r="K2211" s="39"/>
      <c r="AF2211" s="42">
        <v>5059377</v>
      </c>
      <c r="AG2211" s="42" t="s">
        <v>6677</v>
      </c>
    </row>
    <row r="2212" spans="7:33" ht="15.75" customHeight="1">
      <c r="G2212" s="36"/>
      <c r="H2212" s="36"/>
      <c r="I2212" s="36"/>
      <c r="J2212" s="39"/>
      <c r="K2212" s="39"/>
      <c r="AF2212" s="42">
        <v>5059378</v>
      </c>
      <c r="AG2212" s="42" t="s">
        <v>6677</v>
      </c>
    </row>
    <row r="2213" spans="7:33" ht="15.75" customHeight="1">
      <c r="G2213" s="36"/>
      <c r="H2213" s="36"/>
      <c r="I2213" s="36"/>
      <c r="J2213" s="39"/>
      <c r="K2213" s="39"/>
      <c r="AF2213" s="42">
        <v>5059379</v>
      </c>
      <c r="AG2213" s="42" t="s">
        <v>6677</v>
      </c>
    </row>
    <row r="2214" spans="7:33" ht="15.75" customHeight="1">
      <c r="G2214" s="36"/>
      <c r="H2214" s="36"/>
      <c r="I2214" s="36"/>
      <c r="J2214" s="39"/>
      <c r="K2214" s="39"/>
      <c r="AF2214" s="42">
        <v>5059380</v>
      </c>
      <c r="AG2214" s="42" t="s">
        <v>6677</v>
      </c>
    </row>
    <row r="2215" spans="7:33" ht="15.75" customHeight="1">
      <c r="G2215" s="36"/>
      <c r="H2215" s="36"/>
      <c r="I2215" s="36"/>
      <c r="J2215" s="39"/>
      <c r="K2215" s="39"/>
      <c r="AF2215" s="42">
        <v>5059381</v>
      </c>
      <c r="AG2215" s="42" t="s">
        <v>6677</v>
      </c>
    </row>
    <row r="2216" spans="7:33" ht="15.75" customHeight="1">
      <c r="G2216" s="36"/>
      <c r="H2216" s="36"/>
      <c r="I2216" s="36"/>
      <c r="J2216" s="39"/>
      <c r="K2216" s="39"/>
      <c r="AF2216" s="42">
        <v>5059382</v>
      </c>
      <c r="AG2216" s="42" t="s">
        <v>6677</v>
      </c>
    </row>
    <row r="2217" spans="7:33" ht="15.75" customHeight="1">
      <c r="G2217" s="36"/>
      <c r="H2217" s="36"/>
      <c r="I2217" s="36"/>
      <c r="J2217" s="39"/>
      <c r="K2217" s="39"/>
      <c r="AF2217" s="42">
        <v>5059383</v>
      </c>
      <c r="AG2217" s="42" t="s">
        <v>6677</v>
      </c>
    </row>
    <row r="2218" spans="7:33" ht="15.75" customHeight="1">
      <c r="G2218" s="36"/>
      <c r="H2218" s="36"/>
      <c r="I2218" s="36"/>
      <c r="J2218" s="39"/>
      <c r="K2218" s="39"/>
      <c r="AF2218" s="42">
        <v>5059384</v>
      </c>
      <c r="AG2218" s="42" t="s">
        <v>6677</v>
      </c>
    </row>
    <row r="2219" spans="7:33" ht="15.75" customHeight="1">
      <c r="G2219" s="36"/>
      <c r="H2219" s="36"/>
      <c r="I2219" s="36"/>
      <c r="J2219" s="39"/>
      <c r="K2219" s="39"/>
      <c r="AF2219" s="42">
        <v>5059385</v>
      </c>
      <c r="AG2219" s="42" t="s">
        <v>6677</v>
      </c>
    </row>
    <row r="2220" spans="7:33" ht="15.75" customHeight="1">
      <c r="G2220" s="36"/>
      <c r="H2220" s="36"/>
      <c r="I2220" s="36"/>
      <c r="J2220" s="39"/>
      <c r="K2220" s="39"/>
      <c r="AF2220" s="42">
        <v>5059386</v>
      </c>
      <c r="AG2220" s="42" t="s">
        <v>6677</v>
      </c>
    </row>
    <row r="2221" spans="7:33" ht="15.75" customHeight="1">
      <c r="G2221" s="36"/>
      <c r="H2221" s="36"/>
      <c r="I2221" s="36"/>
      <c r="J2221" s="39"/>
      <c r="K2221" s="39"/>
      <c r="AF2221" s="42">
        <v>5059387</v>
      </c>
      <c r="AG2221" s="42" t="s">
        <v>6677</v>
      </c>
    </row>
    <row r="2222" spans="7:33" ht="15.75" customHeight="1">
      <c r="G2222" s="36"/>
      <c r="H2222" s="36"/>
      <c r="I2222" s="36"/>
      <c r="J2222" s="39"/>
      <c r="K2222" s="39"/>
      <c r="AF2222" s="42">
        <v>5059388</v>
      </c>
      <c r="AG2222" s="42" t="s">
        <v>6677</v>
      </c>
    </row>
    <row r="2223" spans="7:33" ht="15.75" customHeight="1">
      <c r="G2223" s="36"/>
      <c r="H2223" s="36"/>
      <c r="I2223" s="36"/>
      <c r="J2223" s="39"/>
      <c r="K2223" s="39"/>
      <c r="AF2223" s="42">
        <v>5070881</v>
      </c>
      <c r="AG2223" s="42" t="s">
        <v>6677</v>
      </c>
    </row>
    <row r="2224" spans="7:33" ht="15.75" customHeight="1">
      <c r="G2224" s="36"/>
      <c r="H2224" s="36"/>
      <c r="I2224" s="36"/>
      <c r="J2224" s="39"/>
      <c r="K2224" s="39"/>
      <c r="AF2224" s="42">
        <v>5070882</v>
      </c>
      <c r="AG2224" s="42" t="s">
        <v>6677</v>
      </c>
    </row>
    <row r="2225" spans="7:33" ht="15.75" customHeight="1">
      <c r="G2225" s="36"/>
      <c r="H2225" s="36"/>
      <c r="I2225" s="36"/>
      <c r="J2225" s="39"/>
      <c r="K2225" s="39"/>
      <c r="AF2225" s="42">
        <v>5070883</v>
      </c>
      <c r="AG2225" s="42" t="s">
        <v>6677</v>
      </c>
    </row>
    <row r="2226" spans="7:33" ht="15.75" customHeight="1">
      <c r="G2226" s="36"/>
      <c r="H2226" s="36"/>
      <c r="I2226" s="36"/>
      <c r="J2226" s="39"/>
      <c r="K2226" s="39"/>
      <c r="AF2226" s="42">
        <v>5070884</v>
      </c>
      <c r="AG2226" s="42" t="s">
        <v>6677</v>
      </c>
    </row>
    <row r="2227" spans="7:33" ht="15.75" customHeight="1">
      <c r="G2227" s="36"/>
      <c r="H2227" s="36"/>
      <c r="I2227" s="36"/>
      <c r="J2227" s="39"/>
      <c r="K2227" s="39"/>
      <c r="AF2227" s="42">
        <v>5070885</v>
      </c>
      <c r="AG2227" s="42" t="s">
        <v>6677</v>
      </c>
    </row>
    <row r="2228" spans="7:33" ht="15.75" customHeight="1">
      <c r="G2228" s="36"/>
      <c r="H2228" s="36"/>
      <c r="I2228" s="36"/>
      <c r="J2228" s="39"/>
      <c r="K2228" s="39"/>
      <c r="AF2228" s="42">
        <v>5070886</v>
      </c>
      <c r="AG2228" s="42" t="s">
        <v>6677</v>
      </c>
    </row>
    <row r="2229" spans="7:33" ht="15.75" customHeight="1">
      <c r="G2229" s="36"/>
      <c r="H2229" s="36"/>
      <c r="I2229" s="36"/>
      <c r="J2229" s="39"/>
      <c r="K2229" s="39"/>
      <c r="AF2229" s="42">
        <v>5070887</v>
      </c>
      <c r="AG2229" s="42" t="s">
        <v>6677</v>
      </c>
    </row>
    <row r="2230" spans="7:33" ht="15.75" customHeight="1">
      <c r="G2230" s="36"/>
      <c r="H2230" s="36"/>
      <c r="I2230" s="36"/>
      <c r="J2230" s="39"/>
      <c r="K2230" s="39"/>
      <c r="AF2230" s="42">
        <v>5070888</v>
      </c>
      <c r="AG2230" s="42" t="s">
        <v>6677</v>
      </c>
    </row>
    <row r="2231" spans="7:33" ht="15.75" customHeight="1">
      <c r="G2231" s="36"/>
      <c r="H2231" s="36"/>
      <c r="I2231" s="36"/>
      <c r="J2231" s="39"/>
      <c r="K2231" s="39"/>
      <c r="AF2231" s="42">
        <v>5070889</v>
      </c>
      <c r="AG2231" s="42" t="s">
        <v>6677</v>
      </c>
    </row>
    <row r="2232" spans="7:33" ht="15.75" customHeight="1">
      <c r="G2232" s="36"/>
      <c r="H2232" s="36"/>
      <c r="I2232" s="36"/>
      <c r="J2232" s="39"/>
      <c r="K2232" s="39"/>
      <c r="AF2232" s="42">
        <v>5070890</v>
      </c>
      <c r="AG2232" s="42" t="s">
        <v>6677</v>
      </c>
    </row>
    <row r="2233" spans="7:33" ht="15.75" customHeight="1">
      <c r="G2233" s="36"/>
      <c r="H2233" s="36"/>
      <c r="I2233" s="36"/>
      <c r="J2233" s="39"/>
      <c r="K2233" s="39"/>
      <c r="AF2233" s="42">
        <v>5070891</v>
      </c>
      <c r="AG2233" s="42" t="s">
        <v>6677</v>
      </c>
    </row>
    <row r="2234" spans="7:33" ht="15.75" customHeight="1">
      <c r="G2234" s="36"/>
      <c r="H2234" s="36"/>
      <c r="I2234" s="36"/>
      <c r="J2234" s="39"/>
      <c r="K2234" s="39"/>
      <c r="AF2234" s="42">
        <v>5070892</v>
      </c>
      <c r="AG2234" s="42" t="s">
        <v>6677</v>
      </c>
    </row>
    <row r="2235" spans="7:33" ht="15.75" customHeight="1">
      <c r="G2235" s="36"/>
      <c r="H2235" s="36"/>
      <c r="I2235" s="36"/>
      <c r="J2235" s="39"/>
      <c r="K2235" s="39"/>
      <c r="AF2235" s="42">
        <v>5070893</v>
      </c>
      <c r="AG2235" s="42" t="s">
        <v>6677</v>
      </c>
    </row>
    <row r="2236" spans="7:33" ht="15.75" customHeight="1">
      <c r="G2236" s="36"/>
      <c r="H2236" s="36"/>
      <c r="I2236" s="36"/>
      <c r="J2236" s="39"/>
      <c r="K2236" s="39"/>
      <c r="AF2236" s="42">
        <v>5070894</v>
      </c>
      <c r="AG2236" s="42" t="s">
        <v>6677</v>
      </c>
    </row>
    <row r="2237" spans="7:33" ht="15.75" customHeight="1">
      <c r="G2237" s="36"/>
      <c r="H2237" s="36"/>
      <c r="I2237" s="36"/>
      <c r="J2237" s="39"/>
      <c r="K2237" s="39"/>
      <c r="AF2237" s="42">
        <v>5070895</v>
      </c>
      <c r="AG2237" s="42" t="s">
        <v>6677</v>
      </c>
    </row>
    <row r="2238" spans="7:33" ht="15.75" customHeight="1">
      <c r="G2238" s="36"/>
      <c r="H2238" s="36"/>
      <c r="I2238" s="36"/>
      <c r="J2238" s="39"/>
      <c r="K2238" s="39"/>
      <c r="AF2238" s="42">
        <v>5070896</v>
      </c>
      <c r="AG2238" s="42" t="s">
        <v>6677</v>
      </c>
    </row>
    <row r="2239" spans="7:33" ht="15.75" customHeight="1">
      <c r="G2239" s="36"/>
      <c r="H2239" s="36"/>
      <c r="I2239" s="36"/>
      <c r="J2239" s="39"/>
      <c r="K2239" s="39"/>
      <c r="AF2239" s="42">
        <v>5070897</v>
      </c>
      <c r="AG2239" s="42" t="s">
        <v>6677</v>
      </c>
    </row>
    <row r="2240" spans="7:33" ht="15.75" customHeight="1">
      <c r="G2240" s="36"/>
      <c r="H2240" s="36"/>
      <c r="I2240" s="36"/>
      <c r="J2240" s="39"/>
      <c r="K2240" s="39"/>
      <c r="AF2240" s="42">
        <v>5070898</v>
      </c>
      <c r="AG2240" s="42" t="s">
        <v>6677</v>
      </c>
    </row>
    <row r="2241" spans="7:33" ht="15.75" customHeight="1">
      <c r="G2241" s="36"/>
      <c r="H2241" s="36"/>
      <c r="I2241" s="36"/>
      <c r="J2241" s="39"/>
      <c r="K2241" s="39"/>
      <c r="AF2241" s="42">
        <v>5070899</v>
      </c>
      <c r="AG2241" s="42" t="s">
        <v>6677</v>
      </c>
    </row>
    <row r="2242" spans="7:33" ht="15.75" customHeight="1">
      <c r="G2242" s="36"/>
      <c r="H2242" s="36"/>
      <c r="I2242" s="36"/>
      <c r="J2242" s="39"/>
      <c r="K2242" s="39"/>
      <c r="AF2242" s="42">
        <v>5070900</v>
      </c>
      <c r="AG2242" s="42" t="s">
        <v>6677</v>
      </c>
    </row>
    <row r="2243" spans="7:33" ht="15.75" customHeight="1">
      <c r="G2243" s="36"/>
      <c r="H2243" s="36"/>
      <c r="I2243" s="36"/>
      <c r="J2243" s="39"/>
      <c r="K2243" s="39"/>
      <c r="AF2243" s="42">
        <v>5070901</v>
      </c>
      <c r="AG2243" s="42" t="s">
        <v>6677</v>
      </c>
    </row>
    <row r="2244" spans="7:33" ht="15.75" customHeight="1">
      <c r="G2244" s="36"/>
      <c r="H2244" s="36"/>
      <c r="I2244" s="36"/>
      <c r="J2244" s="39"/>
      <c r="K2244" s="39"/>
      <c r="AF2244" s="42">
        <v>5070902</v>
      </c>
      <c r="AG2244" s="42" t="s">
        <v>6677</v>
      </c>
    </row>
    <row r="2245" spans="7:33" ht="15.75" customHeight="1">
      <c r="G2245" s="36"/>
      <c r="H2245" s="36"/>
      <c r="I2245" s="36"/>
      <c r="J2245" s="39"/>
      <c r="K2245" s="39"/>
      <c r="AF2245" s="42">
        <v>5070903</v>
      </c>
      <c r="AG2245" s="42" t="s">
        <v>6677</v>
      </c>
    </row>
    <row r="2246" spans="7:33" ht="15.75" customHeight="1">
      <c r="G2246" s="36"/>
      <c r="H2246" s="36"/>
      <c r="I2246" s="36"/>
      <c r="J2246" s="39"/>
      <c r="K2246" s="39"/>
      <c r="AF2246" s="42">
        <v>5070904</v>
      </c>
      <c r="AG2246" s="42" t="s">
        <v>6677</v>
      </c>
    </row>
    <row r="2247" spans="7:33" ht="15.75" customHeight="1">
      <c r="G2247" s="36"/>
      <c r="H2247" s="36"/>
      <c r="I2247" s="36"/>
      <c r="J2247" s="39"/>
      <c r="K2247" s="39"/>
      <c r="AF2247" s="42">
        <v>5070905</v>
      </c>
      <c r="AG2247" s="42" t="s">
        <v>6677</v>
      </c>
    </row>
    <row r="2248" spans="7:33" ht="15.75" customHeight="1">
      <c r="G2248" s="36"/>
      <c r="H2248" s="36"/>
      <c r="I2248" s="36"/>
      <c r="J2248" s="39"/>
      <c r="K2248" s="39"/>
      <c r="AF2248" s="42">
        <v>5077351</v>
      </c>
      <c r="AG2248" s="42" t="s">
        <v>6677</v>
      </c>
    </row>
    <row r="2249" spans="7:33" ht="15.75" customHeight="1">
      <c r="G2249" s="36"/>
      <c r="H2249" s="36"/>
      <c r="I2249" s="36"/>
      <c r="J2249" s="39"/>
      <c r="K2249" s="39"/>
      <c r="AF2249" s="42">
        <v>5077352</v>
      </c>
      <c r="AG2249" s="42" t="s">
        <v>6677</v>
      </c>
    </row>
    <row r="2250" spans="7:33" ht="15.75" customHeight="1">
      <c r="G2250" s="36"/>
      <c r="H2250" s="36"/>
      <c r="I2250" s="36"/>
      <c r="J2250" s="39"/>
      <c r="K2250" s="39"/>
      <c r="AF2250" s="42">
        <v>5077353</v>
      </c>
      <c r="AG2250" s="42" t="s">
        <v>6677</v>
      </c>
    </row>
    <row r="2251" spans="7:33" ht="15.75" customHeight="1">
      <c r="G2251" s="36"/>
      <c r="H2251" s="36"/>
      <c r="I2251" s="36"/>
      <c r="J2251" s="39"/>
      <c r="K2251" s="39"/>
      <c r="AF2251" s="42">
        <v>5077354</v>
      </c>
      <c r="AG2251" s="42" t="s">
        <v>6677</v>
      </c>
    </row>
    <row r="2252" spans="7:33" ht="15.75" customHeight="1">
      <c r="G2252" s="36"/>
      <c r="H2252" s="36"/>
      <c r="I2252" s="36"/>
      <c r="J2252" s="39"/>
      <c r="K2252" s="39"/>
      <c r="AF2252" s="42">
        <v>5077357</v>
      </c>
      <c r="AG2252" s="42" t="s">
        <v>6677</v>
      </c>
    </row>
    <row r="2253" spans="7:33" ht="15.75" customHeight="1">
      <c r="G2253" s="36"/>
      <c r="H2253" s="36"/>
      <c r="I2253" s="36"/>
      <c r="J2253" s="39"/>
      <c r="K2253" s="39"/>
      <c r="AF2253" s="42">
        <v>5077360</v>
      </c>
      <c r="AG2253" s="42" t="s">
        <v>6677</v>
      </c>
    </row>
    <row r="2254" spans="7:33" ht="15.75" customHeight="1">
      <c r="G2254" s="36"/>
      <c r="H2254" s="36"/>
      <c r="I2254" s="36"/>
      <c r="J2254" s="39"/>
      <c r="K2254" s="39"/>
      <c r="AF2254" s="42">
        <v>5087334</v>
      </c>
      <c r="AG2254" s="42" t="s">
        <v>6677</v>
      </c>
    </row>
    <row r="2255" spans="7:33" ht="15.75" customHeight="1">
      <c r="G2255" s="36"/>
      <c r="H2255" s="36"/>
      <c r="I2255" s="36"/>
      <c r="J2255" s="39"/>
      <c r="K2255" s="39"/>
      <c r="AF2255" s="42">
        <v>5087338</v>
      </c>
      <c r="AG2255" s="42" t="s">
        <v>6677</v>
      </c>
    </row>
    <row r="2256" spans="7:33" ht="15.75" customHeight="1">
      <c r="G2256" s="36"/>
      <c r="H2256" s="36"/>
      <c r="I2256" s="36"/>
      <c r="J2256" s="39"/>
      <c r="K2256" s="39"/>
      <c r="AF2256" s="42">
        <v>5087340</v>
      </c>
      <c r="AG2256" s="42" t="s">
        <v>6677</v>
      </c>
    </row>
    <row r="2257" spans="7:33" ht="15.75" customHeight="1">
      <c r="G2257" s="36"/>
      <c r="H2257" s="36"/>
      <c r="I2257" s="36"/>
      <c r="J2257" s="39"/>
      <c r="K2257" s="39"/>
      <c r="AF2257" s="42">
        <v>5087342</v>
      </c>
      <c r="AG2257" s="42" t="s">
        <v>6677</v>
      </c>
    </row>
    <row r="2258" spans="7:33" ht="15.75" customHeight="1">
      <c r="G2258" s="36"/>
      <c r="H2258" s="36"/>
      <c r="I2258" s="36"/>
      <c r="J2258" s="39"/>
      <c r="K2258" s="39"/>
      <c r="AF2258" s="42">
        <v>5087343</v>
      </c>
      <c r="AG2258" s="42" t="s">
        <v>6677</v>
      </c>
    </row>
    <row r="2259" spans="7:33" ht="15.75" customHeight="1">
      <c r="G2259" s="36"/>
      <c r="H2259" s="36"/>
      <c r="I2259" s="36"/>
      <c r="J2259" s="39"/>
      <c r="K2259" s="39"/>
      <c r="AF2259" s="42">
        <v>5087345</v>
      </c>
      <c r="AG2259" s="42" t="s">
        <v>6677</v>
      </c>
    </row>
    <row r="2260" spans="7:33" ht="15.75" customHeight="1">
      <c r="G2260" s="36"/>
      <c r="H2260" s="36"/>
      <c r="I2260" s="36"/>
      <c r="J2260" s="39"/>
      <c r="K2260" s="39"/>
      <c r="AF2260" s="42">
        <v>5087347</v>
      </c>
      <c r="AG2260" s="42" t="s">
        <v>6677</v>
      </c>
    </row>
    <row r="2261" spans="7:33" ht="15.75" customHeight="1">
      <c r="G2261" s="36"/>
      <c r="H2261" s="36"/>
      <c r="I2261" s="36"/>
      <c r="J2261" s="39"/>
      <c r="K2261" s="39"/>
      <c r="AF2261" s="42">
        <v>5087350</v>
      </c>
      <c r="AG2261" s="42" t="s">
        <v>6677</v>
      </c>
    </row>
    <row r="2262" spans="7:33" ht="15.75" customHeight="1">
      <c r="G2262" s="36"/>
      <c r="H2262" s="36"/>
      <c r="I2262" s="36"/>
      <c r="J2262" s="39"/>
      <c r="K2262" s="39"/>
      <c r="AF2262" s="42">
        <v>5089723</v>
      </c>
      <c r="AG2262" s="42" t="s">
        <v>6677</v>
      </c>
    </row>
    <row r="2263" spans="7:33" ht="15.75" customHeight="1">
      <c r="G2263" s="36"/>
      <c r="H2263" s="36"/>
      <c r="I2263" s="36"/>
      <c r="J2263" s="39"/>
      <c r="K2263" s="39"/>
      <c r="AF2263" s="42">
        <v>5089771</v>
      </c>
      <c r="AG2263" s="42" t="s">
        <v>6677</v>
      </c>
    </row>
    <row r="2264" spans="7:33" ht="15.75" customHeight="1">
      <c r="G2264" s="36"/>
      <c r="H2264" s="36"/>
      <c r="I2264" s="36"/>
      <c r="J2264" s="39"/>
      <c r="K2264" s="39"/>
      <c r="AF2264" s="42">
        <v>5097596</v>
      </c>
      <c r="AG2264" s="42" t="s">
        <v>7638</v>
      </c>
    </row>
    <row r="2265" spans="7:33" ht="15.75" customHeight="1">
      <c r="G2265" s="36"/>
      <c r="H2265" s="36"/>
      <c r="I2265" s="36"/>
      <c r="J2265" s="39"/>
      <c r="K2265" s="39"/>
      <c r="AF2265" s="42">
        <v>5097597</v>
      </c>
      <c r="AG2265" s="42" t="s">
        <v>7638</v>
      </c>
    </row>
    <row r="2266" spans="7:33" ht="15.75" customHeight="1">
      <c r="G2266" s="36"/>
      <c r="H2266" s="36"/>
      <c r="I2266" s="36"/>
      <c r="J2266" s="39"/>
      <c r="K2266" s="39"/>
      <c r="AF2266" s="42">
        <v>5097598</v>
      </c>
      <c r="AG2266" s="42" t="s">
        <v>7638</v>
      </c>
    </row>
    <row r="2267" spans="7:33" ht="15.75" customHeight="1">
      <c r="G2267" s="36"/>
      <c r="H2267" s="36"/>
      <c r="I2267" s="36"/>
      <c r="J2267" s="39"/>
      <c r="K2267" s="39"/>
      <c r="AF2267" s="42">
        <v>5097599</v>
      </c>
      <c r="AG2267" s="42" t="s">
        <v>7638</v>
      </c>
    </row>
    <row r="2268" spans="7:33" ht="15.75" customHeight="1">
      <c r="G2268" s="36"/>
      <c r="H2268" s="36"/>
      <c r="I2268" s="36"/>
      <c r="J2268" s="39"/>
      <c r="K2268" s="39"/>
      <c r="AF2268" s="42">
        <v>5097600</v>
      </c>
      <c r="AG2268" s="42" t="s">
        <v>7638</v>
      </c>
    </row>
    <row r="2269" spans="7:33" ht="15.75" customHeight="1">
      <c r="G2269" s="36"/>
      <c r="H2269" s="36"/>
      <c r="I2269" s="36"/>
      <c r="J2269" s="39"/>
      <c r="K2269" s="39"/>
      <c r="AF2269" s="42">
        <v>5097601</v>
      </c>
      <c r="AG2269" s="42" t="s">
        <v>7638</v>
      </c>
    </row>
    <row r="2270" spans="7:33" ht="15.75" customHeight="1">
      <c r="G2270" s="36"/>
      <c r="H2270" s="36"/>
      <c r="I2270" s="36"/>
      <c r="J2270" s="39"/>
      <c r="K2270" s="39"/>
      <c r="AF2270" s="42">
        <v>5097602</v>
      </c>
      <c r="AG2270" s="42" t="s">
        <v>7638</v>
      </c>
    </row>
    <row r="2271" spans="7:33" ht="15.75" customHeight="1">
      <c r="G2271" s="36"/>
      <c r="H2271" s="36"/>
      <c r="I2271" s="36"/>
      <c r="J2271" s="39"/>
      <c r="K2271" s="39"/>
      <c r="AF2271" s="42">
        <v>5097603</v>
      </c>
      <c r="AG2271" s="42" t="s">
        <v>7638</v>
      </c>
    </row>
    <row r="2272" spans="7:33" ht="15.75" customHeight="1">
      <c r="G2272" s="36"/>
      <c r="H2272" s="36"/>
      <c r="I2272" s="36"/>
      <c r="J2272" s="39"/>
      <c r="K2272" s="39"/>
      <c r="AF2272" s="42">
        <v>5097604</v>
      </c>
      <c r="AG2272" s="42" t="s">
        <v>7638</v>
      </c>
    </row>
    <row r="2273" spans="7:33" ht="15.75" customHeight="1">
      <c r="G2273" s="36"/>
      <c r="H2273" s="36"/>
      <c r="I2273" s="36"/>
      <c r="J2273" s="39"/>
      <c r="K2273" s="39"/>
      <c r="AF2273" s="42">
        <v>5097605</v>
      </c>
      <c r="AG2273" s="42" t="s">
        <v>7638</v>
      </c>
    </row>
    <row r="2274" spans="7:33" ht="15.75" customHeight="1">
      <c r="G2274" s="36"/>
      <c r="H2274" s="36"/>
      <c r="I2274" s="36"/>
      <c r="J2274" s="39"/>
      <c r="K2274" s="39"/>
      <c r="AF2274" s="42">
        <v>5099456</v>
      </c>
      <c r="AG2274" s="42" t="s">
        <v>7638</v>
      </c>
    </row>
    <row r="2275" spans="7:33" ht="15.75" customHeight="1">
      <c r="G2275" s="36"/>
      <c r="H2275" s="36"/>
      <c r="I2275" s="36"/>
      <c r="J2275" s="39"/>
      <c r="K2275" s="39"/>
      <c r="AF2275" s="42">
        <v>5100155</v>
      </c>
      <c r="AG2275" s="42" t="s">
        <v>7638</v>
      </c>
    </row>
    <row r="2276" spans="7:33" ht="15.75" customHeight="1">
      <c r="G2276" s="36"/>
      <c r="H2276" s="36"/>
      <c r="I2276" s="36"/>
      <c r="J2276" s="39"/>
      <c r="K2276" s="39"/>
      <c r="AF2276" s="42">
        <v>5100156</v>
      </c>
      <c r="AG2276" s="42" t="s">
        <v>7638</v>
      </c>
    </row>
    <row r="2277" spans="7:33" ht="15.75" customHeight="1">
      <c r="G2277" s="36"/>
      <c r="H2277" s="36"/>
      <c r="I2277" s="36"/>
      <c r="J2277" s="39"/>
      <c r="K2277" s="39"/>
      <c r="AF2277" s="42">
        <v>5100157</v>
      </c>
      <c r="AG2277" s="42" t="s">
        <v>7638</v>
      </c>
    </row>
    <row r="2278" spans="7:33" ht="15.75" customHeight="1">
      <c r="G2278" s="36"/>
      <c r="H2278" s="36"/>
      <c r="I2278" s="36"/>
      <c r="J2278" s="39"/>
      <c r="K2278" s="39"/>
      <c r="AF2278" s="42">
        <v>5100158</v>
      </c>
      <c r="AG2278" s="42" t="s">
        <v>7638</v>
      </c>
    </row>
    <row r="2279" spans="7:33" ht="15.75" customHeight="1">
      <c r="G2279" s="36"/>
      <c r="H2279" s="36"/>
      <c r="I2279" s="36"/>
      <c r="J2279" s="39"/>
      <c r="K2279" s="39"/>
      <c r="AF2279" s="42">
        <v>5100159</v>
      </c>
      <c r="AG2279" s="42" t="s">
        <v>7638</v>
      </c>
    </row>
    <row r="2280" spans="7:33" ht="15.75" customHeight="1">
      <c r="G2280" s="36"/>
      <c r="H2280" s="36"/>
      <c r="I2280" s="36"/>
      <c r="J2280" s="39"/>
      <c r="K2280" s="39"/>
      <c r="AF2280" s="42">
        <v>5100160</v>
      </c>
      <c r="AG2280" s="42" t="s">
        <v>7638</v>
      </c>
    </row>
    <row r="2281" spans="7:33" ht="15.75" customHeight="1">
      <c r="G2281" s="36"/>
      <c r="H2281" s="36"/>
      <c r="I2281" s="36"/>
      <c r="J2281" s="39"/>
      <c r="K2281" s="39"/>
      <c r="AF2281" s="42">
        <v>5100161</v>
      </c>
      <c r="AG2281" s="42" t="s">
        <v>7638</v>
      </c>
    </row>
    <row r="2282" spans="7:33" ht="15.75" customHeight="1">
      <c r="G2282" s="36"/>
      <c r="H2282" s="36"/>
      <c r="I2282" s="36"/>
      <c r="J2282" s="39"/>
      <c r="K2282" s="39"/>
      <c r="AF2282" s="42">
        <v>5100162</v>
      </c>
      <c r="AG2282" s="42" t="s">
        <v>7638</v>
      </c>
    </row>
    <row r="2283" spans="7:33" ht="15.75" customHeight="1">
      <c r="G2283" s="36"/>
      <c r="H2283" s="36"/>
      <c r="I2283" s="36"/>
      <c r="J2283" s="39"/>
      <c r="K2283" s="39"/>
      <c r="AF2283" s="42">
        <v>5100163</v>
      </c>
      <c r="AG2283" s="42" t="s">
        <v>7638</v>
      </c>
    </row>
    <row r="2284" spans="7:33" ht="15.75" customHeight="1">
      <c r="G2284" s="36"/>
      <c r="H2284" s="36"/>
      <c r="I2284" s="36"/>
      <c r="J2284" s="39"/>
      <c r="K2284" s="39"/>
      <c r="AF2284" s="42">
        <v>5100164</v>
      </c>
      <c r="AG2284" s="42" t="s">
        <v>7638</v>
      </c>
    </row>
    <row r="2285" spans="7:33" ht="15.75" customHeight="1">
      <c r="G2285" s="36"/>
      <c r="H2285" s="36"/>
      <c r="I2285" s="36"/>
      <c r="J2285" s="39"/>
      <c r="K2285" s="39"/>
      <c r="AF2285" s="42">
        <v>5100165</v>
      </c>
      <c r="AG2285" s="42" t="s">
        <v>7638</v>
      </c>
    </row>
    <row r="2286" spans="7:33" ht="15.75" customHeight="1">
      <c r="G2286" s="36"/>
      <c r="H2286" s="36"/>
      <c r="I2286" s="36"/>
      <c r="J2286" s="39"/>
      <c r="K2286" s="39"/>
      <c r="AF2286" s="42">
        <v>5100166</v>
      </c>
      <c r="AG2286" s="42" t="s">
        <v>7638</v>
      </c>
    </row>
    <row r="2287" spans="7:33" ht="15.75" customHeight="1">
      <c r="G2287" s="36"/>
      <c r="H2287" s="36"/>
      <c r="I2287" s="36"/>
      <c r="J2287" s="39"/>
      <c r="K2287" s="39"/>
      <c r="AF2287" s="42">
        <v>5100167</v>
      </c>
      <c r="AG2287" s="42" t="s">
        <v>7638</v>
      </c>
    </row>
    <row r="2288" spans="7:33" ht="15.75" customHeight="1">
      <c r="G2288" s="36"/>
      <c r="H2288" s="36"/>
      <c r="I2288" s="36"/>
      <c r="J2288" s="39"/>
      <c r="K2288" s="39"/>
      <c r="AF2288" s="42">
        <v>5100168</v>
      </c>
      <c r="AG2288" s="42" t="s">
        <v>7638</v>
      </c>
    </row>
    <row r="2289" spans="7:33" ht="15.75" customHeight="1">
      <c r="G2289" s="36"/>
      <c r="H2289" s="36"/>
      <c r="I2289" s="36"/>
      <c r="J2289" s="39"/>
      <c r="K2289" s="39"/>
      <c r="AF2289" s="42">
        <v>5100169</v>
      </c>
      <c r="AG2289" s="42" t="s">
        <v>7638</v>
      </c>
    </row>
    <row r="2290" spans="7:33" ht="15.75" customHeight="1">
      <c r="G2290" s="36"/>
      <c r="H2290" s="36"/>
      <c r="I2290" s="36"/>
      <c r="J2290" s="39"/>
      <c r="K2290" s="39"/>
      <c r="AF2290" s="42">
        <v>5100170</v>
      </c>
      <c r="AG2290" s="42" t="s">
        <v>7638</v>
      </c>
    </row>
    <row r="2291" spans="7:33" ht="15.75" customHeight="1">
      <c r="G2291" s="36"/>
      <c r="H2291" s="36"/>
      <c r="I2291" s="36"/>
      <c r="J2291" s="39"/>
      <c r="K2291" s="39"/>
      <c r="AF2291" s="42">
        <v>5100171</v>
      </c>
      <c r="AG2291" s="42" t="s">
        <v>7638</v>
      </c>
    </row>
    <row r="2292" spans="7:33" ht="15.75" customHeight="1">
      <c r="G2292" s="36"/>
      <c r="H2292" s="36"/>
      <c r="I2292" s="36"/>
      <c r="J2292" s="39"/>
      <c r="K2292" s="39"/>
      <c r="AF2292" s="42">
        <v>5100172</v>
      </c>
      <c r="AG2292" s="42" t="s">
        <v>7638</v>
      </c>
    </row>
    <row r="2293" spans="7:33" ht="15.75" customHeight="1">
      <c r="G2293" s="36"/>
      <c r="H2293" s="36"/>
      <c r="I2293" s="36"/>
      <c r="J2293" s="39"/>
      <c r="K2293" s="39"/>
      <c r="AF2293" s="42">
        <v>5100173</v>
      </c>
      <c r="AG2293" s="42" t="s">
        <v>7638</v>
      </c>
    </row>
    <row r="2294" spans="7:33" ht="15.75" customHeight="1">
      <c r="G2294" s="36"/>
      <c r="H2294" s="36"/>
      <c r="I2294" s="36"/>
      <c r="J2294" s="39"/>
      <c r="K2294" s="39"/>
      <c r="AF2294" s="42">
        <v>5100174</v>
      </c>
      <c r="AG2294" s="42" t="s">
        <v>7638</v>
      </c>
    </row>
    <row r="2295" spans="7:33" ht="15.75" customHeight="1">
      <c r="G2295" s="36"/>
      <c r="H2295" s="36"/>
      <c r="I2295" s="36"/>
      <c r="J2295" s="39"/>
      <c r="K2295" s="39"/>
      <c r="AF2295" s="42">
        <v>5100175</v>
      </c>
      <c r="AG2295" s="42" t="s">
        <v>7638</v>
      </c>
    </row>
    <row r="2296" spans="7:33" ht="15.75" customHeight="1">
      <c r="G2296" s="36"/>
      <c r="H2296" s="36"/>
      <c r="I2296" s="36"/>
      <c r="J2296" s="39"/>
      <c r="K2296" s="39"/>
      <c r="AF2296" s="42">
        <v>5100176</v>
      </c>
      <c r="AG2296" s="42" t="s">
        <v>7638</v>
      </c>
    </row>
    <row r="2297" spans="7:33" ht="15.75" customHeight="1">
      <c r="G2297" s="36"/>
      <c r="H2297" s="36"/>
      <c r="I2297" s="36"/>
      <c r="J2297" s="39"/>
      <c r="K2297" s="39"/>
      <c r="AF2297" s="42">
        <v>5100177</v>
      </c>
      <c r="AG2297" s="42" t="s">
        <v>7638</v>
      </c>
    </row>
    <row r="2298" spans="7:33" ht="15.75" customHeight="1">
      <c r="G2298" s="36"/>
      <c r="H2298" s="36"/>
      <c r="I2298" s="36"/>
      <c r="J2298" s="39"/>
      <c r="K2298" s="39"/>
      <c r="AF2298" s="42">
        <v>5100178</v>
      </c>
      <c r="AG2298" s="42" t="s">
        <v>7638</v>
      </c>
    </row>
    <row r="2299" spans="7:33" ht="15.75" customHeight="1">
      <c r="G2299" s="36"/>
      <c r="H2299" s="36"/>
      <c r="I2299" s="36"/>
      <c r="J2299" s="39"/>
      <c r="K2299" s="39"/>
      <c r="AF2299" s="42">
        <v>5100179</v>
      </c>
      <c r="AG2299" s="42" t="s">
        <v>7638</v>
      </c>
    </row>
    <row r="2300" spans="7:33" ht="15.75" customHeight="1">
      <c r="G2300" s="36"/>
      <c r="H2300" s="36"/>
      <c r="I2300" s="36"/>
      <c r="J2300" s="39"/>
      <c r="K2300" s="39"/>
      <c r="AF2300" s="42">
        <v>5100180</v>
      </c>
      <c r="AG2300" s="42" t="s">
        <v>7638</v>
      </c>
    </row>
    <row r="2301" spans="7:33" ht="15.75" customHeight="1">
      <c r="G2301" s="36"/>
      <c r="H2301" s="36"/>
      <c r="I2301" s="36"/>
      <c r="J2301" s="39"/>
      <c r="K2301" s="39"/>
      <c r="AF2301" s="42">
        <v>5100181</v>
      </c>
      <c r="AG2301" s="42" t="s">
        <v>7638</v>
      </c>
    </row>
    <row r="2302" spans="7:33" ht="15.75" customHeight="1">
      <c r="G2302" s="36"/>
      <c r="H2302" s="36"/>
      <c r="I2302" s="36"/>
      <c r="J2302" s="39"/>
      <c r="K2302" s="39"/>
      <c r="AF2302" s="42">
        <v>5100182</v>
      </c>
      <c r="AG2302" s="42" t="s">
        <v>7638</v>
      </c>
    </row>
    <row r="2303" spans="7:33" ht="15.75" customHeight="1">
      <c r="G2303" s="36"/>
      <c r="H2303" s="36"/>
      <c r="I2303" s="36"/>
      <c r="J2303" s="39"/>
      <c r="K2303" s="39"/>
      <c r="AF2303" s="42">
        <v>5100183</v>
      </c>
      <c r="AG2303" s="42" t="s">
        <v>7638</v>
      </c>
    </row>
    <row r="2304" spans="7:33" ht="15.75" customHeight="1">
      <c r="G2304" s="36"/>
      <c r="H2304" s="36"/>
      <c r="I2304" s="36"/>
      <c r="J2304" s="39"/>
      <c r="K2304" s="39"/>
      <c r="AF2304" s="42">
        <v>5100184</v>
      </c>
      <c r="AG2304" s="42" t="s">
        <v>7638</v>
      </c>
    </row>
    <row r="2305" spans="7:33" ht="15.75" customHeight="1">
      <c r="G2305" s="36"/>
      <c r="H2305" s="36"/>
      <c r="I2305" s="36"/>
      <c r="J2305" s="39"/>
      <c r="K2305" s="39"/>
      <c r="AF2305" s="42">
        <v>5103015</v>
      </c>
      <c r="AG2305" s="42" t="s">
        <v>7638</v>
      </c>
    </row>
    <row r="2306" spans="7:33" ht="15.75" customHeight="1">
      <c r="G2306" s="36"/>
      <c r="H2306" s="36"/>
      <c r="I2306" s="36"/>
      <c r="J2306" s="39"/>
      <c r="K2306" s="39"/>
      <c r="AF2306" s="42">
        <v>5103016</v>
      </c>
      <c r="AG2306" s="42" t="s">
        <v>7638</v>
      </c>
    </row>
    <row r="2307" spans="7:33" ht="15.75" customHeight="1">
      <c r="G2307" s="36"/>
      <c r="H2307" s="36"/>
      <c r="I2307" s="36"/>
      <c r="J2307" s="39"/>
      <c r="K2307" s="39"/>
      <c r="AF2307" s="42">
        <v>5103017</v>
      </c>
      <c r="AG2307" s="42" t="s">
        <v>7638</v>
      </c>
    </row>
    <row r="2308" spans="7:33" ht="15.75" customHeight="1">
      <c r="G2308" s="36"/>
      <c r="H2308" s="36"/>
      <c r="I2308" s="36"/>
      <c r="J2308" s="39"/>
      <c r="K2308" s="39"/>
      <c r="AF2308" s="42">
        <v>5103018</v>
      </c>
      <c r="AG2308" s="42" t="s">
        <v>7638</v>
      </c>
    </row>
    <row r="2309" spans="7:33" ht="15.75" customHeight="1">
      <c r="G2309" s="36"/>
      <c r="H2309" s="36"/>
      <c r="I2309" s="36"/>
      <c r="J2309" s="39"/>
      <c r="K2309" s="39"/>
      <c r="AF2309" s="42">
        <v>5103019</v>
      </c>
      <c r="AG2309" s="42" t="s">
        <v>7638</v>
      </c>
    </row>
    <row r="2310" spans="7:33" ht="15.75" customHeight="1">
      <c r="G2310" s="36"/>
      <c r="H2310" s="36"/>
      <c r="I2310" s="36"/>
      <c r="J2310" s="39"/>
      <c r="K2310" s="39"/>
      <c r="AF2310" s="42">
        <v>5103020</v>
      </c>
      <c r="AG2310" s="42" t="s">
        <v>7638</v>
      </c>
    </row>
    <row r="2311" spans="7:33" ht="15.75" customHeight="1">
      <c r="G2311" s="36"/>
      <c r="H2311" s="36"/>
      <c r="I2311" s="36"/>
      <c r="J2311" s="39"/>
      <c r="K2311" s="39"/>
      <c r="AF2311" s="42">
        <v>5103021</v>
      </c>
      <c r="AG2311" s="42" t="s">
        <v>7638</v>
      </c>
    </row>
    <row r="2312" spans="7:33" ht="15.75" customHeight="1">
      <c r="G2312" s="36"/>
      <c r="H2312" s="36"/>
      <c r="I2312" s="36"/>
      <c r="J2312" s="39"/>
      <c r="K2312" s="39"/>
      <c r="AF2312" s="42">
        <v>5103022</v>
      </c>
      <c r="AG2312" s="42" t="s">
        <v>7638</v>
      </c>
    </row>
    <row r="2313" spans="7:33" ht="15.75" customHeight="1">
      <c r="G2313" s="36"/>
      <c r="H2313" s="36"/>
      <c r="I2313" s="36"/>
      <c r="J2313" s="39"/>
      <c r="K2313" s="39"/>
      <c r="AF2313" s="42">
        <v>5103023</v>
      </c>
      <c r="AG2313" s="42" t="s">
        <v>7638</v>
      </c>
    </row>
    <row r="2314" spans="7:33" ht="15.75" customHeight="1">
      <c r="G2314" s="36"/>
      <c r="H2314" s="36"/>
      <c r="I2314" s="36"/>
      <c r="J2314" s="39"/>
      <c r="K2314" s="39"/>
      <c r="AF2314" s="42">
        <v>5103024</v>
      </c>
      <c r="AG2314" s="42" t="s">
        <v>7638</v>
      </c>
    </row>
    <row r="2315" spans="7:33" ht="15.75" customHeight="1">
      <c r="G2315" s="36"/>
      <c r="H2315" s="36"/>
      <c r="I2315" s="36"/>
      <c r="J2315" s="39"/>
      <c r="K2315" s="39"/>
      <c r="AF2315" s="42">
        <v>5103075</v>
      </c>
      <c r="AG2315" s="42" t="s">
        <v>7638</v>
      </c>
    </row>
    <row r="2316" spans="7:33" ht="15.75" customHeight="1">
      <c r="G2316" s="36"/>
      <c r="H2316" s="36"/>
      <c r="I2316" s="36"/>
      <c r="J2316" s="39"/>
      <c r="K2316" s="39"/>
      <c r="AF2316" s="42">
        <v>5103076</v>
      </c>
      <c r="AG2316" s="42" t="s">
        <v>7638</v>
      </c>
    </row>
    <row r="2317" spans="7:33" ht="15.75" customHeight="1">
      <c r="G2317" s="36"/>
      <c r="H2317" s="36"/>
      <c r="I2317" s="36"/>
      <c r="J2317" s="39"/>
      <c r="K2317" s="39"/>
      <c r="AF2317" s="42">
        <v>5103077</v>
      </c>
      <c r="AG2317" s="42" t="s">
        <v>7638</v>
      </c>
    </row>
    <row r="2318" spans="7:33" ht="15.75" customHeight="1">
      <c r="G2318" s="36"/>
      <c r="H2318" s="36"/>
      <c r="I2318" s="36"/>
      <c r="J2318" s="39"/>
      <c r="K2318" s="39"/>
      <c r="AF2318" s="42">
        <v>5103078</v>
      </c>
      <c r="AG2318" s="42" t="s">
        <v>7638</v>
      </c>
    </row>
    <row r="2319" spans="7:33" ht="15.75" customHeight="1">
      <c r="G2319" s="36"/>
      <c r="H2319" s="36"/>
      <c r="I2319" s="36"/>
      <c r="J2319" s="39"/>
      <c r="K2319" s="39"/>
      <c r="AF2319" s="42">
        <v>5103079</v>
      </c>
      <c r="AG2319" s="42" t="s">
        <v>7638</v>
      </c>
    </row>
    <row r="2320" spans="7:33" ht="15.75" customHeight="1">
      <c r="G2320" s="36"/>
      <c r="H2320" s="36"/>
      <c r="I2320" s="36"/>
      <c r="J2320" s="39"/>
      <c r="K2320" s="39"/>
      <c r="AF2320" s="42">
        <v>5103080</v>
      </c>
      <c r="AG2320" s="42" t="s">
        <v>7638</v>
      </c>
    </row>
    <row r="2321" spans="7:33" ht="15.75" customHeight="1">
      <c r="G2321" s="36"/>
      <c r="H2321" s="36"/>
      <c r="I2321" s="36"/>
      <c r="J2321" s="39"/>
      <c r="K2321" s="39"/>
      <c r="AF2321" s="42">
        <v>5103081</v>
      </c>
      <c r="AG2321" s="42" t="s">
        <v>7638</v>
      </c>
    </row>
    <row r="2322" spans="7:33" ht="15.75" customHeight="1">
      <c r="G2322" s="36"/>
      <c r="H2322" s="36"/>
      <c r="I2322" s="36"/>
      <c r="J2322" s="39"/>
      <c r="K2322" s="39"/>
      <c r="AF2322" s="42">
        <v>5103082</v>
      </c>
      <c r="AG2322" s="42" t="s">
        <v>7638</v>
      </c>
    </row>
    <row r="2323" spans="7:33" ht="15.75" customHeight="1">
      <c r="G2323" s="36"/>
      <c r="H2323" s="36"/>
      <c r="I2323" s="36"/>
      <c r="J2323" s="39"/>
      <c r="K2323" s="39"/>
      <c r="AF2323" s="42">
        <v>5103083</v>
      </c>
      <c r="AG2323" s="42" t="s">
        <v>7638</v>
      </c>
    </row>
    <row r="2324" spans="7:33" ht="15.75" customHeight="1">
      <c r="G2324" s="36"/>
      <c r="H2324" s="36"/>
      <c r="I2324" s="36"/>
      <c r="J2324" s="39"/>
      <c r="K2324" s="39"/>
      <c r="AF2324" s="42">
        <v>5103084</v>
      </c>
      <c r="AG2324" s="42" t="s">
        <v>7638</v>
      </c>
    </row>
    <row r="2325" spans="7:33" ht="15.75" customHeight="1">
      <c r="G2325" s="36"/>
      <c r="H2325" s="36"/>
      <c r="I2325" s="36"/>
      <c r="J2325" s="39"/>
      <c r="K2325" s="39"/>
      <c r="AF2325" s="42">
        <v>5103085</v>
      </c>
      <c r="AG2325" s="42" t="s">
        <v>8330</v>
      </c>
    </row>
    <row r="2326" spans="7:33" ht="15.75" customHeight="1">
      <c r="G2326" s="36"/>
      <c r="H2326" s="36"/>
      <c r="I2326" s="36"/>
      <c r="J2326" s="39"/>
      <c r="K2326" s="39"/>
      <c r="AF2326" s="42">
        <v>5103086</v>
      </c>
      <c r="AG2326" s="42" t="s">
        <v>8330</v>
      </c>
    </row>
    <row r="2327" spans="7:33" ht="15.75" customHeight="1">
      <c r="G2327" s="36"/>
      <c r="H2327" s="36"/>
      <c r="I2327" s="36"/>
      <c r="J2327" s="39"/>
      <c r="K2327" s="39"/>
      <c r="AF2327" s="42">
        <v>5103087</v>
      </c>
      <c r="AG2327" s="42" t="s">
        <v>8330</v>
      </c>
    </row>
    <row r="2328" spans="7:33" ht="15.75" customHeight="1">
      <c r="G2328" s="36"/>
      <c r="H2328" s="36"/>
      <c r="I2328" s="36"/>
      <c r="J2328" s="39"/>
      <c r="K2328" s="39"/>
      <c r="AF2328" s="42">
        <v>5103088</v>
      </c>
      <c r="AG2328" s="42" t="s">
        <v>8330</v>
      </c>
    </row>
    <row r="2329" spans="7:33" ht="15.75" customHeight="1">
      <c r="G2329" s="36"/>
      <c r="H2329" s="36"/>
      <c r="I2329" s="36"/>
      <c r="J2329" s="39"/>
      <c r="K2329" s="39"/>
      <c r="AF2329" s="42">
        <v>5103089</v>
      </c>
      <c r="AG2329" s="42" t="s">
        <v>8330</v>
      </c>
    </row>
    <row r="2330" spans="7:33" ht="15.75" customHeight="1">
      <c r="G2330" s="36"/>
      <c r="H2330" s="36"/>
      <c r="I2330" s="36"/>
      <c r="J2330" s="39"/>
      <c r="K2330" s="39"/>
      <c r="AF2330" s="42">
        <v>5104311</v>
      </c>
      <c r="AG2330" s="42" t="s">
        <v>7638</v>
      </c>
    </row>
    <row r="2331" spans="7:33" ht="15.75" customHeight="1">
      <c r="G2331" s="36"/>
      <c r="H2331" s="36"/>
      <c r="I2331" s="36"/>
      <c r="J2331" s="39"/>
      <c r="K2331" s="39"/>
      <c r="AF2331" s="42">
        <v>5104312</v>
      </c>
      <c r="AG2331" s="42" t="s">
        <v>7638</v>
      </c>
    </row>
    <row r="2332" spans="7:33" ht="15.75" customHeight="1">
      <c r="G2332" s="36"/>
      <c r="H2332" s="36"/>
      <c r="I2332" s="36"/>
      <c r="J2332" s="39"/>
      <c r="K2332" s="39"/>
      <c r="AF2332" s="42">
        <v>5104313</v>
      </c>
      <c r="AG2332" s="42" t="s">
        <v>7638</v>
      </c>
    </row>
    <row r="2333" spans="7:33" ht="15.75" customHeight="1">
      <c r="G2333" s="36"/>
      <c r="H2333" s="36"/>
      <c r="I2333" s="36"/>
      <c r="J2333" s="39"/>
      <c r="K2333" s="39"/>
      <c r="AF2333" s="42">
        <v>5104314</v>
      </c>
      <c r="AG2333" s="42" t="s">
        <v>7638</v>
      </c>
    </row>
    <row r="2334" spans="7:33" ht="15.75" customHeight="1">
      <c r="G2334" s="36"/>
      <c r="H2334" s="36"/>
      <c r="I2334" s="36"/>
      <c r="J2334" s="39"/>
      <c r="K2334" s="39"/>
      <c r="AF2334" s="42">
        <v>5104315</v>
      </c>
      <c r="AG2334" s="42" t="s">
        <v>7638</v>
      </c>
    </row>
    <row r="2335" spans="7:33" ht="15.75" customHeight="1">
      <c r="G2335" s="36"/>
      <c r="H2335" s="36"/>
      <c r="I2335" s="36"/>
      <c r="J2335" s="39"/>
      <c r="K2335" s="39"/>
      <c r="AF2335" s="42">
        <v>5104316</v>
      </c>
      <c r="AG2335" s="42" t="s">
        <v>7638</v>
      </c>
    </row>
    <row r="2336" spans="7:33" ht="15.75" customHeight="1">
      <c r="G2336" s="36"/>
      <c r="H2336" s="36"/>
      <c r="I2336" s="36"/>
      <c r="J2336" s="39"/>
      <c r="K2336" s="39"/>
      <c r="AF2336" s="42">
        <v>5104317</v>
      </c>
      <c r="AG2336" s="42" t="s">
        <v>7638</v>
      </c>
    </row>
    <row r="2337" spans="7:33" ht="15.75" customHeight="1">
      <c r="G2337" s="36"/>
      <c r="H2337" s="36"/>
      <c r="I2337" s="36"/>
      <c r="J2337" s="39"/>
      <c r="K2337" s="39"/>
      <c r="AF2337" s="42">
        <v>5104318</v>
      </c>
      <c r="AG2337" s="42" t="s">
        <v>7638</v>
      </c>
    </row>
    <row r="2338" spans="7:33" ht="15.75" customHeight="1">
      <c r="G2338" s="36"/>
      <c r="H2338" s="36"/>
      <c r="I2338" s="36"/>
      <c r="J2338" s="39"/>
      <c r="K2338" s="39"/>
      <c r="AF2338" s="42">
        <v>5104319</v>
      </c>
      <c r="AG2338" s="42" t="s">
        <v>7638</v>
      </c>
    </row>
    <row r="2339" spans="7:33" ht="15.75" customHeight="1">
      <c r="G2339" s="36"/>
      <c r="H2339" s="36"/>
      <c r="I2339" s="36"/>
      <c r="J2339" s="39"/>
      <c r="K2339" s="39"/>
      <c r="AF2339" s="42">
        <v>5104320</v>
      </c>
      <c r="AG2339" s="42" t="s">
        <v>7638</v>
      </c>
    </row>
    <row r="2340" spans="7:33" ht="15.75" customHeight="1">
      <c r="G2340" s="36"/>
      <c r="H2340" s="36"/>
      <c r="I2340" s="36"/>
      <c r="J2340" s="39"/>
      <c r="K2340" s="39"/>
      <c r="AF2340" s="42">
        <v>5104321</v>
      </c>
      <c r="AG2340" s="42" t="s">
        <v>7638</v>
      </c>
    </row>
    <row r="2341" spans="7:33" ht="15.75" customHeight="1">
      <c r="G2341" s="36"/>
      <c r="H2341" s="36"/>
      <c r="I2341" s="36"/>
      <c r="J2341" s="39"/>
      <c r="K2341" s="39"/>
      <c r="AF2341" s="42">
        <v>5104322</v>
      </c>
      <c r="AG2341" s="42" t="s">
        <v>7638</v>
      </c>
    </row>
    <row r="2342" spans="7:33" ht="15.75" customHeight="1">
      <c r="G2342" s="36"/>
      <c r="H2342" s="36"/>
      <c r="I2342" s="36"/>
      <c r="J2342" s="39"/>
      <c r="K2342" s="39"/>
      <c r="AF2342" s="42">
        <v>5104323</v>
      </c>
      <c r="AG2342" s="42" t="s">
        <v>7638</v>
      </c>
    </row>
    <row r="2343" spans="7:33" ht="15.75" customHeight="1">
      <c r="G2343" s="36"/>
      <c r="H2343" s="36"/>
      <c r="I2343" s="36"/>
      <c r="J2343" s="39"/>
      <c r="K2343" s="39"/>
      <c r="AF2343" s="42">
        <v>5104324</v>
      </c>
      <c r="AG2343" s="42" t="s">
        <v>7638</v>
      </c>
    </row>
    <row r="2344" spans="7:33" ht="15.75" customHeight="1">
      <c r="G2344" s="36"/>
      <c r="H2344" s="36"/>
      <c r="I2344" s="36"/>
      <c r="J2344" s="39"/>
      <c r="K2344" s="39"/>
      <c r="AF2344" s="42">
        <v>5104325</v>
      </c>
      <c r="AG2344" s="42" t="s">
        <v>7638</v>
      </c>
    </row>
    <row r="2345" spans="7:33" ht="15.75" customHeight="1">
      <c r="G2345" s="36"/>
      <c r="H2345" s="36"/>
      <c r="I2345" s="36"/>
      <c r="J2345" s="39"/>
      <c r="K2345" s="39"/>
      <c r="AF2345" s="42">
        <v>5104326</v>
      </c>
      <c r="AG2345" s="42" t="s">
        <v>7638</v>
      </c>
    </row>
    <row r="2346" spans="7:33" ht="15.75" customHeight="1">
      <c r="G2346" s="36"/>
      <c r="H2346" s="36"/>
      <c r="I2346" s="36"/>
      <c r="J2346" s="39"/>
      <c r="K2346" s="39"/>
      <c r="AF2346" s="42">
        <v>5104327</v>
      </c>
      <c r="AG2346" s="42" t="s">
        <v>7638</v>
      </c>
    </row>
    <row r="2347" spans="7:33" ht="15.75" customHeight="1">
      <c r="G2347" s="36"/>
      <c r="H2347" s="36"/>
      <c r="I2347" s="36"/>
      <c r="J2347" s="39"/>
      <c r="K2347" s="39"/>
      <c r="AF2347" s="42">
        <v>5104328</v>
      </c>
      <c r="AG2347" s="42" t="s">
        <v>7638</v>
      </c>
    </row>
    <row r="2348" spans="7:33" ht="15.75" customHeight="1">
      <c r="G2348" s="36"/>
      <c r="H2348" s="36"/>
      <c r="I2348" s="36"/>
      <c r="J2348" s="39"/>
      <c r="K2348" s="39"/>
      <c r="AF2348" s="42">
        <v>5104329</v>
      </c>
      <c r="AG2348" s="42" t="s">
        <v>7638</v>
      </c>
    </row>
    <row r="2349" spans="7:33" ht="15.75" customHeight="1">
      <c r="G2349" s="36"/>
      <c r="H2349" s="36"/>
      <c r="I2349" s="36"/>
      <c r="J2349" s="39"/>
      <c r="K2349" s="39"/>
      <c r="AF2349" s="42">
        <v>5104330</v>
      </c>
      <c r="AG2349" s="42" t="s">
        <v>7638</v>
      </c>
    </row>
    <row r="2350" spans="7:33" ht="15.75" customHeight="1">
      <c r="G2350" s="36"/>
      <c r="H2350" s="36"/>
      <c r="I2350" s="36"/>
      <c r="J2350" s="39"/>
      <c r="K2350" s="39"/>
      <c r="AF2350" s="42">
        <v>5104331</v>
      </c>
      <c r="AG2350" s="42" t="s">
        <v>8330</v>
      </c>
    </row>
    <row r="2351" spans="7:33" ht="15.75" customHeight="1">
      <c r="G2351" s="36"/>
      <c r="H2351" s="36"/>
      <c r="I2351" s="36"/>
      <c r="J2351" s="39"/>
      <c r="K2351" s="39"/>
      <c r="AF2351" s="42">
        <v>5104332</v>
      </c>
      <c r="AG2351" s="42" t="s">
        <v>8330</v>
      </c>
    </row>
    <row r="2352" spans="7:33" ht="15.75" customHeight="1">
      <c r="G2352" s="36"/>
      <c r="H2352" s="36"/>
      <c r="I2352" s="36"/>
      <c r="J2352" s="39"/>
      <c r="K2352" s="39"/>
      <c r="AF2352" s="42">
        <v>5104333</v>
      </c>
      <c r="AG2352" s="42" t="s">
        <v>8330</v>
      </c>
    </row>
    <row r="2353" spans="7:33" ht="15.75" customHeight="1">
      <c r="G2353" s="36"/>
      <c r="H2353" s="36"/>
      <c r="I2353" s="36"/>
      <c r="J2353" s="39"/>
      <c r="K2353" s="39"/>
      <c r="AF2353" s="42">
        <v>5104334</v>
      </c>
      <c r="AG2353" s="42" t="s">
        <v>8330</v>
      </c>
    </row>
    <row r="2354" spans="7:33" ht="15.75" customHeight="1">
      <c r="G2354" s="36"/>
      <c r="H2354" s="36"/>
      <c r="I2354" s="36"/>
      <c r="J2354" s="39"/>
      <c r="K2354" s="39"/>
      <c r="AF2354" s="42">
        <v>5104335</v>
      </c>
      <c r="AG2354" s="42" t="s">
        <v>8330</v>
      </c>
    </row>
    <row r="2355" spans="7:33" ht="15.75" customHeight="1">
      <c r="G2355" s="36"/>
      <c r="H2355" s="36"/>
      <c r="I2355" s="36"/>
      <c r="J2355" s="39"/>
      <c r="K2355" s="39"/>
      <c r="AF2355" s="42">
        <v>5104336</v>
      </c>
      <c r="AG2355" s="42" t="s">
        <v>8330</v>
      </c>
    </row>
    <row r="2356" spans="7:33" ht="15.75" customHeight="1">
      <c r="G2356" s="36"/>
      <c r="H2356" s="36"/>
      <c r="I2356" s="36"/>
      <c r="J2356" s="39"/>
      <c r="K2356" s="39"/>
      <c r="AF2356" s="42">
        <v>5104337</v>
      </c>
      <c r="AG2356" s="42" t="s">
        <v>8330</v>
      </c>
    </row>
    <row r="2357" spans="7:33" ht="15.75" customHeight="1">
      <c r="G2357" s="36"/>
      <c r="H2357" s="36"/>
      <c r="I2357" s="36"/>
      <c r="J2357" s="39"/>
      <c r="K2357" s="39"/>
      <c r="AF2357" s="42">
        <v>5104338</v>
      </c>
      <c r="AG2357" s="42" t="s">
        <v>8330</v>
      </c>
    </row>
    <row r="2358" spans="7:33" ht="15.75" customHeight="1">
      <c r="G2358" s="36"/>
      <c r="H2358" s="36"/>
      <c r="I2358" s="36"/>
      <c r="J2358" s="39"/>
      <c r="K2358" s="39"/>
      <c r="AF2358" s="42">
        <v>5104339</v>
      </c>
      <c r="AG2358" s="42" t="s">
        <v>8330</v>
      </c>
    </row>
    <row r="2359" spans="7:33" ht="15.75" customHeight="1">
      <c r="G2359" s="36"/>
      <c r="H2359" s="36"/>
      <c r="I2359" s="36"/>
      <c r="J2359" s="39"/>
      <c r="K2359" s="39"/>
      <c r="AF2359" s="42">
        <v>5104340</v>
      </c>
      <c r="AG2359" s="42" t="s">
        <v>8330</v>
      </c>
    </row>
    <row r="2360" spans="7:33" ht="15.75" customHeight="1">
      <c r="G2360" s="36"/>
      <c r="H2360" s="36"/>
      <c r="I2360" s="36"/>
      <c r="J2360" s="39"/>
      <c r="K2360" s="39"/>
      <c r="AF2360" s="42">
        <v>5105519</v>
      </c>
      <c r="AG2360" s="42" t="s">
        <v>7638</v>
      </c>
    </row>
    <row r="2361" spans="7:33" ht="15.75" customHeight="1">
      <c r="G2361" s="36"/>
      <c r="H2361" s="36"/>
      <c r="I2361" s="36"/>
      <c r="J2361" s="39"/>
      <c r="K2361" s="39"/>
      <c r="AF2361" s="42">
        <v>5105520</v>
      </c>
      <c r="AG2361" s="42" t="s">
        <v>7638</v>
      </c>
    </row>
    <row r="2362" spans="7:33" ht="15.75" customHeight="1">
      <c r="G2362" s="36"/>
      <c r="H2362" s="36"/>
      <c r="I2362" s="36"/>
      <c r="J2362" s="39"/>
      <c r="K2362" s="39"/>
      <c r="AF2362" s="42">
        <v>5105521</v>
      </c>
      <c r="AG2362" s="42" t="s">
        <v>7638</v>
      </c>
    </row>
    <row r="2363" spans="7:33" ht="15.75" customHeight="1">
      <c r="G2363" s="36"/>
      <c r="H2363" s="36"/>
      <c r="I2363" s="36"/>
      <c r="J2363" s="39"/>
      <c r="K2363" s="39"/>
      <c r="AF2363" s="42">
        <v>5105522</v>
      </c>
      <c r="AG2363" s="42" t="s">
        <v>7638</v>
      </c>
    </row>
    <row r="2364" spans="7:33" ht="15.75" customHeight="1">
      <c r="G2364" s="36"/>
      <c r="H2364" s="36"/>
      <c r="I2364" s="36"/>
      <c r="J2364" s="39"/>
      <c r="K2364" s="39"/>
      <c r="AF2364" s="42">
        <v>5105523</v>
      </c>
      <c r="AG2364" s="42" t="s">
        <v>7638</v>
      </c>
    </row>
    <row r="2365" spans="7:33" ht="15.75" customHeight="1">
      <c r="G2365" s="36"/>
      <c r="H2365" s="36"/>
      <c r="I2365" s="36"/>
      <c r="J2365" s="39"/>
      <c r="K2365" s="39"/>
      <c r="AF2365" s="42">
        <v>5105524</v>
      </c>
      <c r="AG2365" s="42" t="s">
        <v>7638</v>
      </c>
    </row>
    <row r="2366" spans="7:33" ht="15.75" customHeight="1">
      <c r="G2366" s="36"/>
      <c r="H2366" s="36"/>
      <c r="I2366" s="36"/>
      <c r="J2366" s="39"/>
      <c r="K2366" s="39"/>
      <c r="AF2366" s="42">
        <v>5105525</v>
      </c>
      <c r="AG2366" s="42" t="s">
        <v>7638</v>
      </c>
    </row>
    <row r="2367" spans="7:33" ht="15.75" customHeight="1">
      <c r="G2367" s="36"/>
      <c r="H2367" s="36"/>
      <c r="I2367" s="36"/>
      <c r="J2367" s="39"/>
      <c r="K2367" s="39"/>
      <c r="AF2367" s="42">
        <v>5105526</v>
      </c>
      <c r="AG2367" s="42" t="s">
        <v>7638</v>
      </c>
    </row>
    <row r="2368" spans="7:33" ht="15.75" customHeight="1">
      <c r="G2368" s="36"/>
      <c r="H2368" s="36"/>
      <c r="I2368" s="36"/>
      <c r="J2368" s="39"/>
      <c r="K2368" s="39"/>
      <c r="AF2368" s="42">
        <v>5105527</v>
      </c>
      <c r="AG2368" s="42" t="s">
        <v>7638</v>
      </c>
    </row>
    <row r="2369" spans="7:33" ht="15.75" customHeight="1">
      <c r="G2369" s="36"/>
      <c r="H2369" s="36"/>
      <c r="I2369" s="36"/>
      <c r="J2369" s="39"/>
      <c r="K2369" s="39"/>
      <c r="AF2369" s="42">
        <v>5105528</v>
      </c>
      <c r="AG2369" s="42" t="s">
        <v>7638</v>
      </c>
    </row>
    <row r="2370" spans="7:33" ht="15.75" customHeight="1">
      <c r="G2370" s="36"/>
      <c r="H2370" s="36"/>
      <c r="I2370" s="36"/>
      <c r="J2370" s="39"/>
      <c r="K2370" s="39"/>
      <c r="AF2370" s="42">
        <v>5105529</v>
      </c>
      <c r="AG2370" s="42" t="s">
        <v>7638</v>
      </c>
    </row>
    <row r="2371" spans="7:33" ht="15.75" customHeight="1">
      <c r="G2371" s="36"/>
      <c r="H2371" s="36"/>
      <c r="I2371" s="36"/>
      <c r="J2371" s="39"/>
      <c r="K2371" s="39"/>
      <c r="AF2371" s="42">
        <v>5105530</v>
      </c>
      <c r="AG2371" s="42" t="s">
        <v>7638</v>
      </c>
    </row>
    <row r="2372" spans="7:33" ht="15.75" customHeight="1">
      <c r="G2372" s="36"/>
      <c r="H2372" s="36"/>
      <c r="I2372" s="36"/>
      <c r="J2372" s="39"/>
      <c r="K2372" s="39"/>
      <c r="AF2372" s="42">
        <v>5105531</v>
      </c>
      <c r="AG2372" s="42" t="s">
        <v>7638</v>
      </c>
    </row>
    <row r="2373" spans="7:33" ht="15.75" customHeight="1">
      <c r="G2373" s="36"/>
      <c r="H2373" s="36"/>
      <c r="I2373" s="36"/>
      <c r="J2373" s="39"/>
      <c r="K2373" s="39"/>
      <c r="AF2373" s="42">
        <v>5105532</v>
      </c>
      <c r="AG2373" s="42" t="s">
        <v>7638</v>
      </c>
    </row>
    <row r="2374" spans="7:33" ht="15.75" customHeight="1">
      <c r="G2374" s="36"/>
      <c r="H2374" s="36"/>
      <c r="I2374" s="36"/>
      <c r="J2374" s="39"/>
      <c r="K2374" s="39"/>
      <c r="AF2374" s="42">
        <v>5105533</v>
      </c>
      <c r="AG2374" s="42" t="s">
        <v>7638</v>
      </c>
    </row>
    <row r="2375" spans="7:33" ht="15.75" customHeight="1">
      <c r="G2375" s="36"/>
      <c r="H2375" s="36"/>
      <c r="I2375" s="36"/>
      <c r="J2375" s="39"/>
      <c r="K2375" s="39"/>
      <c r="AF2375" s="42">
        <v>5105534</v>
      </c>
      <c r="AG2375" s="42" t="s">
        <v>7638</v>
      </c>
    </row>
    <row r="2376" spans="7:33" ht="15.75" customHeight="1">
      <c r="G2376" s="36"/>
      <c r="H2376" s="36"/>
      <c r="I2376" s="36"/>
      <c r="J2376" s="39"/>
      <c r="K2376" s="39"/>
      <c r="AF2376" s="42">
        <v>5105535</v>
      </c>
      <c r="AG2376" s="42" t="s">
        <v>7638</v>
      </c>
    </row>
    <row r="2377" spans="7:33" ht="15.75" customHeight="1">
      <c r="G2377" s="36"/>
      <c r="H2377" s="36"/>
      <c r="I2377" s="36"/>
      <c r="J2377" s="39"/>
      <c r="K2377" s="39"/>
      <c r="AF2377" s="42">
        <v>5105536</v>
      </c>
      <c r="AG2377" s="42" t="s">
        <v>7638</v>
      </c>
    </row>
    <row r="2378" spans="7:33" ht="15.75" customHeight="1">
      <c r="G2378" s="36"/>
      <c r="H2378" s="36"/>
      <c r="I2378" s="36"/>
      <c r="J2378" s="39"/>
      <c r="K2378" s="39"/>
      <c r="AF2378" s="42">
        <v>5105537</v>
      </c>
      <c r="AG2378" s="42" t="s">
        <v>7638</v>
      </c>
    </row>
    <row r="2379" spans="7:33" ht="15.75" customHeight="1">
      <c r="G2379" s="36"/>
      <c r="H2379" s="36"/>
      <c r="I2379" s="36"/>
      <c r="J2379" s="39"/>
      <c r="K2379" s="39"/>
      <c r="AF2379" s="42">
        <v>5105538</v>
      </c>
      <c r="AG2379" s="42" t="s">
        <v>7638</v>
      </c>
    </row>
    <row r="2380" spans="7:33" ht="15.75" customHeight="1">
      <c r="G2380" s="36"/>
      <c r="H2380" s="36"/>
      <c r="I2380" s="36"/>
      <c r="J2380" s="39"/>
      <c r="K2380" s="39"/>
      <c r="AF2380" s="42">
        <v>5105539</v>
      </c>
      <c r="AG2380" s="42" t="s">
        <v>8330</v>
      </c>
    </row>
    <row r="2381" spans="7:33" ht="15.75" customHeight="1">
      <c r="G2381" s="36"/>
      <c r="H2381" s="36"/>
      <c r="I2381" s="36"/>
      <c r="J2381" s="39"/>
      <c r="K2381" s="39"/>
      <c r="AF2381" s="42">
        <v>5105540</v>
      </c>
      <c r="AG2381" s="42" t="s">
        <v>8330</v>
      </c>
    </row>
    <row r="2382" spans="7:33" ht="15.75" customHeight="1">
      <c r="G2382" s="36"/>
      <c r="H2382" s="36"/>
      <c r="I2382" s="36"/>
      <c r="J2382" s="39"/>
      <c r="K2382" s="39"/>
      <c r="AF2382" s="42">
        <v>5105541</v>
      </c>
      <c r="AG2382" s="42" t="s">
        <v>8330</v>
      </c>
    </row>
    <row r="2383" spans="7:33" ht="15.75" customHeight="1">
      <c r="G2383" s="36"/>
      <c r="H2383" s="36"/>
      <c r="I2383" s="36"/>
      <c r="J2383" s="39"/>
      <c r="K2383" s="39"/>
      <c r="AF2383" s="42">
        <v>5105542</v>
      </c>
      <c r="AG2383" s="42" t="s">
        <v>8330</v>
      </c>
    </row>
    <row r="2384" spans="7:33" ht="15.75" customHeight="1">
      <c r="G2384" s="36"/>
      <c r="H2384" s="36"/>
      <c r="I2384" s="36"/>
      <c r="J2384" s="39"/>
      <c r="K2384" s="39"/>
      <c r="AF2384" s="42">
        <v>5105543</v>
      </c>
      <c r="AG2384" s="42" t="s">
        <v>8330</v>
      </c>
    </row>
    <row r="2385" spans="7:33" ht="15.75" customHeight="1">
      <c r="G2385" s="36"/>
      <c r="H2385" s="36"/>
      <c r="I2385" s="36"/>
      <c r="J2385" s="39"/>
      <c r="K2385" s="39"/>
      <c r="AF2385" s="42">
        <v>5105544</v>
      </c>
      <c r="AG2385" s="42" t="s">
        <v>8330</v>
      </c>
    </row>
    <row r="2386" spans="7:33" ht="15.75" customHeight="1">
      <c r="G2386" s="36"/>
      <c r="H2386" s="36"/>
      <c r="I2386" s="36"/>
      <c r="J2386" s="39"/>
      <c r="K2386" s="39"/>
      <c r="AF2386" s="42">
        <v>5105545</v>
      </c>
      <c r="AG2386" s="42" t="s">
        <v>8330</v>
      </c>
    </row>
    <row r="2387" spans="7:33" ht="15.75" customHeight="1">
      <c r="G2387" s="36"/>
      <c r="H2387" s="36"/>
      <c r="I2387" s="36"/>
      <c r="J2387" s="39"/>
      <c r="K2387" s="39"/>
      <c r="AF2387" s="42">
        <v>5105546</v>
      </c>
      <c r="AG2387" s="42" t="s">
        <v>8330</v>
      </c>
    </row>
    <row r="2388" spans="7:33" ht="15.75" customHeight="1">
      <c r="G2388" s="36"/>
      <c r="H2388" s="36"/>
      <c r="I2388" s="36"/>
      <c r="J2388" s="39"/>
      <c r="K2388" s="39"/>
      <c r="AF2388" s="42">
        <v>5105547</v>
      </c>
      <c r="AG2388" s="42" t="s">
        <v>8330</v>
      </c>
    </row>
    <row r="2389" spans="7:33" ht="15.75" customHeight="1">
      <c r="G2389" s="36"/>
      <c r="H2389" s="36"/>
      <c r="I2389" s="36"/>
      <c r="J2389" s="39"/>
      <c r="K2389" s="39"/>
      <c r="AF2389" s="42">
        <v>5105548</v>
      </c>
      <c r="AG2389" s="42" t="s">
        <v>8330</v>
      </c>
    </row>
    <row r="2390" spans="7:33" ht="15.75" customHeight="1">
      <c r="G2390" s="36"/>
      <c r="H2390" s="36"/>
      <c r="I2390" s="36"/>
      <c r="J2390" s="39"/>
      <c r="K2390" s="39"/>
      <c r="AF2390" s="42">
        <v>5106981</v>
      </c>
      <c r="AG2390" s="42" t="s">
        <v>7638</v>
      </c>
    </row>
    <row r="2391" spans="7:33" ht="15.75" customHeight="1">
      <c r="G2391" s="36"/>
      <c r="H2391" s="36"/>
      <c r="I2391" s="36"/>
      <c r="J2391" s="39"/>
      <c r="K2391" s="39"/>
      <c r="AF2391" s="42">
        <v>5106982</v>
      </c>
      <c r="AG2391" s="42" t="s">
        <v>7638</v>
      </c>
    </row>
    <row r="2392" spans="7:33" ht="15.75" customHeight="1">
      <c r="G2392" s="36"/>
      <c r="H2392" s="36"/>
      <c r="I2392" s="36"/>
      <c r="J2392" s="39"/>
      <c r="K2392" s="39"/>
      <c r="AF2392" s="42">
        <v>5106983</v>
      </c>
      <c r="AG2392" s="42" t="s">
        <v>7638</v>
      </c>
    </row>
    <row r="2393" spans="7:33" ht="15.75" customHeight="1">
      <c r="G2393" s="36"/>
      <c r="H2393" s="36"/>
      <c r="I2393" s="36"/>
      <c r="J2393" s="39"/>
      <c r="K2393" s="39"/>
      <c r="AF2393" s="42">
        <v>5106984</v>
      </c>
      <c r="AG2393" s="42" t="s">
        <v>7638</v>
      </c>
    </row>
    <row r="2394" spans="7:33" ht="15.75" customHeight="1">
      <c r="G2394" s="36"/>
      <c r="H2394" s="36"/>
      <c r="I2394" s="36"/>
      <c r="J2394" s="39"/>
      <c r="K2394" s="39"/>
      <c r="AF2394" s="42">
        <v>5106985</v>
      </c>
      <c r="AG2394" s="42" t="s">
        <v>7638</v>
      </c>
    </row>
    <row r="2395" spans="7:33" ht="15.75" customHeight="1">
      <c r="G2395" s="36"/>
      <c r="H2395" s="36"/>
      <c r="I2395" s="36"/>
      <c r="J2395" s="39"/>
      <c r="K2395" s="39"/>
      <c r="AF2395" s="42">
        <v>5106986</v>
      </c>
      <c r="AG2395" s="42" t="s">
        <v>7638</v>
      </c>
    </row>
    <row r="2396" spans="7:33" ht="15.75" customHeight="1">
      <c r="G2396" s="36"/>
      <c r="H2396" s="36"/>
      <c r="I2396" s="36"/>
      <c r="J2396" s="39"/>
      <c r="K2396" s="39"/>
      <c r="AF2396" s="42">
        <v>5106987</v>
      </c>
      <c r="AG2396" s="42" t="s">
        <v>7638</v>
      </c>
    </row>
    <row r="2397" spans="7:33" ht="15.75" customHeight="1">
      <c r="G2397" s="36"/>
      <c r="H2397" s="36"/>
      <c r="I2397" s="36"/>
      <c r="J2397" s="39"/>
      <c r="K2397" s="39"/>
      <c r="AF2397" s="42">
        <v>5106988</v>
      </c>
      <c r="AG2397" s="42" t="s">
        <v>7638</v>
      </c>
    </row>
    <row r="2398" spans="7:33" ht="15.75" customHeight="1">
      <c r="G2398" s="36"/>
      <c r="H2398" s="36"/>
      <c r="I2398" s="36"/>
      <c r="J2398" s="39"/>
      <c r="K2398" s="39"/>
      <c r="AF2398" s="42">
        <v>5106989</v>
      </c>
      <c r="AG2398" s="42" t="s">
        <v>7638</v>
      </c>
    </row>
    <row r="2399" spans="7:33" ht="15.75" customHeight="1">
      <c r="G2399" s="36"/>
      <c r="H2399" s="36"/>
      <c r="I2399" s="36"/>
      <c r="J2399" s="39"/>
      <c r="K2399" s="39"/>
      <c r="AF2399" s="42">
        <v>5106990</v>
      </c>
      <c r="AG2399" s="42" t="s">
        <v>7638</v>
      </c>
    </row>
    <row r="2400" spans="7:33" ht="15.75" customHeight="1">
      <c r="G2400" s="36"/>
      <c r="H2400" s="36"/>
      <c r="I2400" s="36"/>
      <c r="J2400" s="39"/>
      <c r="K2400" s="39"/>
      <c r="AF2400" s="42">
        <v>5107011</v>
      </c>
      <c r="AG2400" s="42" t="s">
        <v>7638</v>
      </c>
    </row>
    <row r="2401" spans="7:33" ht="15.75" customHeight="1">
      <c r="G2401" s="36"/>
      <c r="H2401" s="36"/>
      <c r="I2401" s="36"/>
      <c r="J2401" s="39"/>
      <c r="K2401" s="39"/>
      <c r="AF2401" s="42">
        <v>5107012</v>
      </c>
      <c r="AG2401" s="42" t="s">
        <v>7638</v>
      </c>
    </row>
    <row r="2402" spans="7:33" ht="15.75" customHeight="1">
      <c r="G2402" s="36"/>
      <c r="H2402" s="36"/>
      <c r="I2402" s="36"/>
      <c r="J2402" s="39"/>
      <c r="K2402" s="39"/>
      <c r="AF2402" s="42">
        <v>5107013</v>
      </c>
      <c r="AG2402" s="42" t="s">
        <v>7638</v>
      </c>
    </row>
    <row r="2403" spans="7:33" ht="15.75" customHeight="1">
      <c r="G2403" s="36"/>
      <c r="H2403" s="36"/>
      <c r="I2403" s="36"/>
      <c r="J2403" s="39"/>
      <c r="K2403" s="39"/>
      <c r="AF2403" s="42">
        <v>5107014</v>
      </c>
      <c r="AG2403" s="42" t="s">
        <v>7638</v>
      </c>
    </row>
    <row r="2404" spans="7:33" ht="15.75" customHeight="1">
      <c r="G2404" s="36"/>
      <c r="H2404" s="36"/>
      <c r="I2404" s="36"/>
      <c r="J2404" s="39"/>
      <c r="K2404" s="39"/>
      <c r="AF2404" s="42">
        <v>5107015</v>
      </c>
      <c r="AG2404" s="42" t="s">
        <v>7638</v>
      </c>
    </row>
    <row r="2405" spans="7:33" ht="15.75" customHeight="1">
      <c r="G2405" s="36"/>
      <c r="H2405" s="36"/>
      <c r="I2405" s="36"/>
      <c r="J2405" s="39"/>
      <c r="K2405" s="39"/>
      <c r="AF2405" s="42">
        <v>11300011</v>
      </c>
      <c r="AG2405" s="42" t="s">
        <v>8290</v>
      </c>
    </row>
    <row r="2406" spans="7:33" ht="15.75" customHeight="1">
      <c r="G2406" s="36"/>
      <c r="H2406" s="36"/>
      <c r="I2406" s="36"/>
      <c r="J2406" s="39"/>
      <c r="K2406" s="39"/>
      <c r="AF2406" s="42">
        <v>11300012</v>
      </c>
      <c r="AG2406" s="42" t="s">
        <v>8290</v>
      </c>
    </row>
    <row r="2407" spans="7:33" ht="15.75" customHeight="1">
      <c r="G2407" s="36"/>
      <c r="H2407" s="36"/>
      <c r="I2407" s="36"/>
      <c r="J2407" s="39"/>
      <c r="K2407" s="39"/>
      <c r="AF2407" s="42">
        <v>11300013</v>
      </c>
      <c r="AG2407" s="42" t="s">
        <v>8290</v>
      </c>
    </row>
    <row r="2408" spans="7:33" ht="15.75" customHeight="1">
      <c r="G2408" s="36"/>
      <c r="H2408" s="36"/>
      <c r="I2408" s="36"/>
      <c r="J2408" s="39"/>
      <c r="K2408" s="39"/>
      <c r="AF2408" s="42">
        <v>11300014</v>
      </c>
      <c r="AG2408" s="42" t="s">
        <v>8290</v>
      </c>
    </row>
    <row r="2409" spans="7:33" ht="15.75" customHeight="1">
      <c r="G2409" s="36"/>
      <c r="H2409" s="36"/>
      <c r="I2409" s="36"/>
      <c r="J2409" s="39"/>
      <c r="K2409" s="39"/>
      <c r="AF2409" s="42">
        <v>11300015</v>
      </c>
      <c r="AG2409" s="42" t="s">
        <v>8290</v>
      </c>
    </row>
    <row r="2410" spans="7:33" ht="15.75" customHeight="1">
      <c r="G2410" s="36"/>
      <c r="H2410" s="36"/>
      <c r="I2410" s="36"/>
      <c r="J2410" s="39"/>
      <c r="K2410" s="39"/>
      <c r="AF2410" s="42">
        <v>11300016</v>
      </c>
      <c r="AG2410" s="42" t="s">
        <v>8290</v>
      </c>
    </row>
    <row r="2411" spans="7:33" ht="15.75" customHeight="1">
      <c r="G2411" s="36"/>
      <c r="H2411" s="36"/>
      <c r="I2411" s="36"/>
      <c r="J2411" s="39"/>
      <c r="K2411" s="39"/>
      <c r="AF2411" s="42">
        <v>11300017</v>
      </c>
      <c r="AG2411" s="42" t="s">
        <v>8290</v>
      </c>
    </row>
    <row r="2412" spans="7:33" ht="15.75" customHeight="1">
      <c r="G2412" s="36"/>
      <c r="H2412" s="36"/>
      <c r="I2412" s="36"/>
      <c r="J2412" s="39"/>
      <c r="K2412" s="39"/>
      <c r="AF2412" s="42">
        <v>11300018</v>
      </c>
      <c r="AG2412" s="42" t="s">
        <v>8290</v>
      </c>
    </row>
    <row r="2413" spans="7:33" ht="15.75" customHeight="1">
      <c r="G2413" s="36"/>
      <c r="H2413" s="36"/>
      <c r="I2413" s="36"/>
      <c r="J2413" s="39"/>
      <c r="K2413" s="39"/>
      <c r="AF2413" s="42">
        <v>11300019</v>
      </c>
      <c r="AG2413" s="42" t="s">
        <v>8290</v>
      </c>
    </row>
    <row r="2414" spans="7:33" ht="15.75" customHeight="1">
      <c r="G2414" s="36"/>
      <c r="H2414" s="36"/>
      <c r="I2414" s="36"/>
      <c r="J2414" s="39"/>
      <c r="K2414" s="39"/>
      <c r="AF2414" s="42">
        <v>11300021</v>
      </c>
      <c r="AG2414" s="42" t="s">
        <v>8290</v>
      </c>
    </row>
    <row r="2415" spans="7:33" ht="15.75" customHeight="1">
      <c r="G2415" s="36"/>
      <c r="H2415" s="36"/>
      <c r="I2415" s="36"/>
      <c r="J2415" s="39"/>
      <c r="K2415" s="39"/>
      <c r="AF2415" s="42">
        <v>11300022</v>
      </c>
      <c r="AG2415" s="42" t="s">
        <v>8290</v>
      </c>
    </row>
    <row r="2416" spans="7:33" ht="15.75" customHeight="1">
      <c r="G2416" s="36"/>
      <c r="H2416" s="36"/>
      <c r="I2416" s="36"/>
      <c r="J2416" s="39"/>
      <c r="K2416" s="39"/>
      <c r="AF2416" s="42">
        <v>11300023</v>
      </c>
      <c r="AG2416" s="42" t="s">
        <v>8290</v>
      </c>
    </row>
    <row r="2417" spans="7:33" ht="15.75" customHeight="1">
      <c r="G2417" s="36"/>
      <c r="H2417" s="36"/>
      <c r="I2417" s="36"/>
      <c r="J2417" s="39"/>
      <c r="K2417" s="39"/>
      <c r="AF2417" s="42">
        <v>11300024</v>
      </c>
      <c r="AG2417" s="42" t="s">
        <v>8290</v>
      </c>
    </row>
    <row r="2418" spans="7:33" ht="15.75" customHeight="1">
      <c r="G2418" s="36"/>
      <c r="H2418" s="36"/>
      <c r="I2418" s="36"/>
      <c r="J2418" s="39"/>
      <c r="K2418" s="39"/>
      <c r="AF2418" s="42">
        <v>11400025</v>
      </c>
      <c r="AG2418" s="42" t="s">
        <v>8290</v>
      </c>
    </row>
    <row r="2419" spans="7:33" ht="15.75" customHeight="1">
      <c r="G2419" s="36"/>
      <c r="H2419" s="36"/>
      <c r="I2419" s="36"/>
      <c r="J2419" s="39"/>
      <c r="K2419" s="39"/>
      <c r="AF2419" s="42">
        <v>11400026</v>
      </c>
      <c r="AG2419" s="42" t="s">
        <v>8290</v>
      </c>
    </row>
    <row r="2420" spans="7:33" ht="15.75" customHeight="1">
      <c r="G2420" s="36"/>
      <c r="H2420" s="36"/>
      <c r="I2420" s="36"/>
      <c r="J2420" s="39"/>
      <c r="K2420" s="39"/>
      <c r="AF2420" s="42">
        <v>11400132</v>
      </c>
      <c r="AG2420" s="42" t="s">
        <v>8290</v>
      </c>
    </row>
    <row r="2421" spans="7:33" ht="15.75" customHeight="1">
      <c r="G2421" s="36"/>
      <c r="H2421" s="36"/>
      <c r="I2421" s="36"/>
      <c r="J2421" s="39"/>
      <c r="K2421" s="39"/>
      <c r="AF2421" s="42">
        <v>11400135</v>
      </c>
      <c r="AG2421" s="42" t="s">
        <v>8290</v>
      </c>
    </row>
    <row r="2422" spans="7:33" ht="15.75" customHeight="1">
      <c r="G2422" s="36"/>
      <c r="H2422" s="36"/>
      <c r="I2422" s="36"/>
      <c r="J2422" s="39"/>
      <c r="K2422" s="39"/>
      <c r="AF2422" s="42">
        <v>11400136</v>
      </c>
      <c r="AG2422" s="42" t="s">
        <v>8290</v>
      </c>
    </row>
    <row r="2423" spans="7:33" ht="15.75" customHeight="1">
      <c r="G2423" s="36"/>
      <c r="H2423" s="36"/>
      <c r="I2423" s="36"/>
      <c r="J2423" s="39"/>
      <c r="K2423" s="39"/>
      <c r="AF2423" s="42">
        <v>11400149</v>
      </c>
      <c r="AG2423" s="42" t="s">
        <v>8290</v>
      </c>
    </row>
    <row r="2424" spans="7:33" ht="15.75" customHeight="1">
      <c r="G2424" s="36"/>
      <c r="H2424" s="36"/>
      <c r="I2424" s="36"/>
      <c r="J2424" s="39"/>
      <c r="K2424" s="39"/>
      <c r="AF2424" s="42">
        <v>11400150</v>
      </c>
      <c r="AG2424" s="42" t="s">
        <v>8290</v>
      </c>
    </row>
    <row r="2425" spans="7:33" ht="15.75" customHeight="1">
      <c r="G2425" s="36"/>
      <c r="H2425" s="36"/>
      <c r="I2425" s="36"/>
      <c r="J2425" s="39"/>
      <c r="K2425" s="39"/>
      <c r="AF2425" s="42">
        <v>11400155</v>
      </c>
      <c r="AG2425" s="42" t="s">
        <v>8290</v>
      </c>
    </row>
    <row r="2426" spans="7:33" ht="15.75" customHeight="1">
      <c r="G2426" s="36"/>
      <c r="H2426" s="36"/>
      <c r="I2426" s="36"/>
      <c r="J2426" s="39"/>
      <c r="K2426" s="39"/>
      <c r="AF2426" s="42">
        <v>11500026</v>
      </c>
      <c r="AG2426" s="42" t="s">
        <v>8290</v>
      </c>
    </row>
    <row r="2427" spans="7:33" ht="15.75" customHeight="1">
      <c r="G2427" s="36"/>
      <c r="H2427" s="36"/>
      <c r="I2427" s="36"/>
      <c r="J2427" s="39"/>
      <c r="K2427" s="39"/>
      <c r="AF2427" s="42">
        <v>11500027</v>
      </c>
      <c r="AG2427" s="42" t="s">
        <v>8290</v>
      </c>
    </row>
    <row r="2428" spans="7:33" ht="15.75" customHeight="1">
      <c r="G2428" s="36"/>
      <c r="H2428" s="36"/>
      <c r="I2428" s="36"/>
      <c r="J2428" s="39"/>
      <c r="K2428" s="39"/>
      <c r="AF2428" s="42">
        <v>12060026</v>
      </c>
      <c r="AG2428" s="42" t="s">
        <v>8291</v>
      </c>
    </row>
    <row r="2429" spans="7:33" ht="15.75" customHeight="1">
      <c r="G2429" s="36"/>
      <c r="H2429" s="36"/>
      <c r="I2429" s="36"/>
      <c r="J2429" s="39"/>
      <c r="K2429" s="39"/>
      <c r="AF2429" s="42">
        <v>21300001</v>
      </c>
      <c r="AG2429" s="42" t="s">
        <v>8290</v>
      </c>
    </row>
    <row r="2430" spans="7:33" ht="15.75" customHeight="1">
      <c r="G2430" s="36"/>
      <c r="H2430" s="36"/>
      <c r="I2430" s="36"/>
      <c r="J2430" s="39"/>
      <c r="K2430" s="39"/>
      <c r="AF2430" s="42">
        <v>21300002</v>
      </c>
      <c r="AG2430" s="42" t="s">
        <v>8290</v>
      </c>
    </row>
    <row r="2431" spans="7:33" ht="15.75" customHeight="1">
      <c r="G2431" s="36"/>
      <c r="H2431" s="36"/>
      <c r="I2431" s="36"/>
      <c r="J2431" s="39"/>
      <c r="K2431" s="39"/>
      <c r="AF2431" s="42">
        <v>21300009</v>
      </c>
      <c r="AG2431" s="42" t="s">
        <v>8290</v>
      </c>
    </row>
    <row r="2432" spans="7:33" ht="15.75" customHeight="1">
      <c r="G2432" s="36"/>
      <c r="H2432" s="36"/>
      <c r="I2432" s="36"/>
      <c r="J2432" s="39"/>
      <c r="K2432" s="39"/>
      <c r="AF2432" s="42">
        <v>21300010</v>
      </c>
      <c r="AG2432" s="42" t="s">
        <v>8290</v>
      </c>
    </row>
    <row r="2433" spans="7:33" ht="15.75" customHeight="1">
      <c r="G2433" s="36"/>
      <c r="H2433" s="36"/>
      <c r="I2433" s="36"/>
      <c r="J2433" s="39"/>
      <c r="K2433" s="39"/>
      <c r="AF2433" s="42">
        <v>21300011</v>
      </c>
      <c r="AG2433" s="42" t="s">
        <v>8290</v>
      </c>
    </row>
    <row r="2434" spans="7:33" ht="15.75" customHeight="1">
      <c r="G2434" s="36"/>
      <c r="H2434" s="36"/>
      <c r="I2434" s="36"/>
      <c r="J2434" s="39"/>
      <c r="K2434" s="39"/>
      <c r="AF2434" s="42">
        <v>21400046</v>
      </c>
      <c r="AG2434" s="42" t="s">
        <v>8290</v>
      </c>
    </row>
    <row r="2435" spans="7:33" ht="15.75" customHeight="1">
      <c r="G2435" s="36"/>
      <c r="H2435" s="36"/>
      <c r="I2435" s="36"/>
      <c r="J2435" s="39"/>
      <c r="K2435" s="39"/>
      <c r="AF2435" s="42">
        <v>21400047</v>
      </c>
      <c r="AG2435" s="42" t="s">
        <v>8290</v>
      </c>
    </row>
    <row r="2436" spans="7:33" ht="15.75" customHeight="1">
      <c r="G2436" s="36"/>
      <c r="H2436" s="36"/>
      <c r="I2436" s="36"/>
      <c r="J2436" s="39"/>
      <c r="K2436" s="39"/>
      <c r="AF2436" s="42">
        <v>21400075</v>
      </c>
      <c r="AG2436" s="42" t="s">
        <v>8290</v>
      </c>
    </row>
    <row r="2437" spans="7:33" ht="15.75" customHeight="1">
      <c r="G2437" s="36"/>
      <c r="H2437" s="36"/>
      <c r="I2437" s="36"/>
      <c r="J2437" s="39"/>
      <c r="K2437" s="39"/>
      <c r="AF2437" s="42">
        <v>21400101</v>
      </c>
      <c r="AG2437" s="42" t="s">
        <v>8290</v>
      </c>
    </row>
    <row r="2438" spans="7:33" ht="15.75" customHeight="1">
      <c r="G2438" s="36"/>
      <c r="H2438" s="36"/>
      <c r="I2438" s="36"/>
      <c r="J2438" s="39"/>
      <c r="K2438" s="39"/>
      <c r="AF2438" s="42">
        <v>21400102</v>
      </c>
      <c r="AG2438" s="42" t="s">
        <v>8290</v>
      </c>
    </row>
    <row r="2439" spans="7:33" ht="15.75" customHeight="1">
      <c r="G2439" s="36"/>
      <c r="H2439" s="36"/>
      <c r="I2439" s="36"/>
      <c r="J2439" s="39"/>
      <c r="K2439" s="39"/>
      <c r="AF2439" s="42">
        <v>21400122</v>
      </c>
      <c r="AG2439" s="42" t="s">
        <v>8290</v>
      </c>
    </row>
    <row r="2440" spans="7:33" ht="15.75" customHeight="1">
      <c r="G2440" s="36"/>
      <c r="H2440" s="36"/>
      <c r="I2440" s="36"/>
      <c r="J2440" s="39"/>
      <c r="K2440" s="39"/>
      <c r="AF2440" s="42">
        <v>31300126</v>
      </c>
      <c r="AG2440" s="42" t="s">
        <v>8290</v>
      </c>
    </row>
    <row r="2441" spans="7:33" ht="15.75" customHeight="1">
      <c r="G2441" s="36"/>
      <c r="H2441" s="36"/>
      <c r="I2441" s="36"/>
      <c r="J2441" s="39"/>
      <c r="K2441" s="39"/>
      <c r="AF2441" s="42">
        <v>31300127</v>
      </c>
      <c r="AG2441" s="42" t="s">
        <v>8290</v>
      </c>
    </row>
    <row r="2442" spans="7:33" ht="15.75" customHeight="1">
      <c r="G2442" s="36"/>
      <c r="H2442" s="36"/>
      <c r="I2442" s="36"/>
      <c r="J2442" s="39"/>
      <c r="K2442" s="39"/>
      <c r="AF2442" s="42">
        <v>31300134</v>
      </c>
      <c r="AG2442" s="42" t="s">
        <v>8290</v>
      </c>
    </row>
    <row r="2443" spans="7:33" ht="15.75" customHeight="1">
      <c r="G2443" s="36"/>
      <c r="H2443" s="36"/>
      <c r="I2443" s="36"/>
      <c r="J2443" s="39"/>
      <c r="K2443" s="39"/>
      <c r="AF2443" s="42">
        <v>31300135</v>
      </c>
      <c r="AG2443" s="42" t="s">
        <v>8290</v>
      </c>
    </row>
    <row r="2444" spans="7:33" ht="15.75" customHeight="1">
      <c r="G2444" s="36"/>
      <c r="H2444" s="36"/>
      <c r="I2444" s="36"/>
      <c r="J2444" s="39"/>
      <c r="K2444" s="39"/>
      <c r="AF2444" s="42">
        <v>31300138</v>
      </c>
      <c r="AG2444" s="42" t="s">
        <v>8290</v>
      </c>
    </row>
    <row r="2445" spans="7:33" ht="15.75" customHeight="1">
      <c r="G2445" s="36"/>
      <c r="H2445" s="36"/>
      <c r="I2445" s="36"/>
      <c r="J2445" s="39"/>
      <c r="K2445" s="39"/>
      <c r="AF2445" s="42">
        <v>31300139</v>
      </c>
      <c r="AG2445" s="42" t="s">
        <v>8290</v>
      </c>
    </row>
    <row r="2446" spans="7:33" ht="15.75" customHeight="1">
      <c r="G2446" s="36"/>
      <c r="H2446" s="36"/>
      <c r="I2446" s="36"/>
      <c r="J2446" s="39"/>
      <c r="K2446" s="39"/>
      <c r="AF2446" s="42">
        <v>41500031</v>
      </c>
      <c r="AG2446" s="42" t="s">
        <v>8290</v>
      </c>
    </row>
    <row r="2447" spans="7:33" ht="15.75" customHeight="1">
      <c r="G2447" s="36"/>
      <c r="H2447" s="36"/>
      <c r="I2447" s="36"/>
      <c r="J2447" s="39"/>
      <c r="K2447" s="39"/>
      <c r="AF2447" s="42">
        <v>41500039</v>
      </c>
      <c r="AG2447" s="42" t="s">
        <v>8290</v>
      </c>
    </row>
    <row r="2448" spans="7:33" ht="15.75" customHeight="1">
      <c r="G2448" s="36"/>
      <c r="H2448" s="36"/>
      <c r="I2448" s="36"/>
      <c r="J2448" s="39"/>
      <c r="K2448" s="39"/>
      <c r="AF2448" s="42">
        <v>41500040</v>
      </c>
      <c r="AG2448" s="42" t="s">
        <v>8290</v>
      </c>
    </row>
    <row r="2449" spans="7:33" ht="15.75" customHeight="1">
      <c r="G2449" s="36"/>
      <c r="H2449" s="36"/>
      <c r="I2449" s="36"/>
      <c r="J2449" s="39"/>
      <c r="K2449" s="39"/>
      <c r="AF2449" s="42">
        <v>51300099</v>
      </c>
      <c r="AG2449" s="42" t="s">
        <v>8290</v>
      </c>
    </row>
    <row r="2450" spans="7:33" ht="15.75" customHeight="1">
      <c r="G2450" s="36"/>
      <c r="H2450" s="36"/>
      <c r="I2450" s="36"/>
      <c r="J2450" s="39"/>
      <c r="K2450" s="39"/>
      <c r="AF2450" s="42">
        <v>51300100</v>
      </c>
      <c r="AG2450" s="42" t="s">
        <v>8290</v>
      </c>
    </row>
    <row r="2451" spans="7:33" ht="15.75" customHeight="1">
      <c r="G2451" s="36"/>
      <c r="H2451" s="36"/>
      <c r="I2451" s="36"/>
      <c r="J2451" s="39"/>
      <c r="K2451" s="39"/>
      <c r="AF2451" s="42">
        <v>51300101</v>
      </c>
      <c r="AG2451" s="42" t="s">
        <v>8290</v>
      </c>
    </row>
    <row r="2452" spans="7:33" ht="15.75" customHeight="1">
      <c r="G2452" s="36"/>
      <c r="H2452" s="36"/>
      <c r="I2452" s="36"/>
      <c r="J2452" s="39"/>
      <c r="K2452" s="39"/>
      <c r="AF2452" s="42">
        <v>51300102</v>
      </c>
      <c r="AG2452" s="42" t="s">
        <v>8290</v>
      </c>
    </row>
    <row r="2453" spans="7:33" ht="15.75" customHeight="1">
      <c r="G2453" s="36"/>
      <c r="H2453" s="36"/>
      <c r="I2453" s="36"/>
      <c r="J2453" s="39"/>
      <c r="K2453" s="39"/>
      <c r="AF2453" s="42">
        <v>51300103</v>
      </c>
      <c r="AG2453" s="42" t="s">
        <v>8290</v>
      </c>
    </row>
    <row r="2454" spans="7:33" ht="15.75" customHeight="1">
      <c r="G2454" s="36"/>
      <c r="H2454" s="36"/>
      <c r="I2454" s="36"/>
      <c r="J2454" s="39"/>
      <c r="K2454" s="39"/>
      <c r="AF2454" s="42">
        <v>51300104</v>
      </c>
      <c r="AG2454" s="42" t="s">
        <v>8290</v>
      </c>
    </row>
    <row r="2455" spans="7:33" ht="15.75" customHeight="1">
      <c r="G2455" s="36"/>
      <c r="H2455" s="36"/>
      <c r="I2455" s="36"/>
      <c r="J2455" s="39"/>
      <c r="K2455" s="39"/>
      <c r="AF2455" s="42">
        <v>51500011</v>
      </c>
      <c r="AG2455" s="42" t="s">
        <v>8290</v>
      </c>
    </row>
    <row r="2456" spans="7:33" ht="15.75" customHeight="1">
      <c r="G2456" s="36"/>
      <c r="H2456" s="36"/>
      <c r="I2456" s="36"/>
      <c r="J2456" s="39"/>
      <c r="K2456" s="39"/>
      <c r="AF2456" s="42">
        <v>51500012</v>
      </c>
      <c r="AG2456" s="42" t="s">
        <v>8290</v>
      </c>
    </row>
    <row r="2457" spans="7:33" ht="15.75" customHeight="1">
      <c r="G2457" s="36"/>
      <c r="H2457" s="36"/>
      <c r="I2457" s="36"/>
      <c r="J2457" s="39"/>
      <c r="K2457" s="39"/>
      <c r="AF2457" s="42">
        <v>51500013</v>
      </c>
      <c r="AG2457" s="42" t="s">
        <v>8290</v>
      </c>
    </row>
    <row r="2458" spans="7:33" ht="15.75" customHeight="1">
      <c r="G2458" s="36"/>
      <c r="H2458" s="36"/>
      <c r="I2458" s="36"/>
      <c r="J2458" s="39"/>
      <c r="K2458" s="39"/>
      <c r="AF2458" s="42">
        <v>51600031</v>
      </c>
      <c r="AG2458" s="42" t="s">
        <v>8290</v>
      </c>
    </row>
    <row r="2459" spans="7:33" ht="15.75" customHeight="1">
      <c r="G2459" s="36"/>
      <c r="H2459" s="36"/>
      <c r="I2459" s="36"/>
      <c r="J2459" s="39"/>
      <c r="K2459" s="39"/>
      <c r="AF2459" s="42">
        <v>51600032</v>
      </c>
      <c r="AG2459" s="42" t="s">
        <v>8290</v>
      </c>
    </row>
    <row r="2460" spans="7:33" ht="15.75" customHeight="1">
      <c r="G2460" s="36"/>
      <c r="H2460" s="36"/>
      <c r="I2460" s="36"/>
      <c r="J2460" s="39"/>
      <c r="K2460" s="39"/>
      <c r="AF2460" s="42">
        <v>51600033</v>
      </c>
      <c r="AG2460" s="42" t="s">
        <v>8290</v>
      </c>
    </row>
    <row r="2461" spans="7:33" ht="15.75" customHeight="1">
      <c r="G2461" s="36"/>
      <c r="H2461" s="36"/>
      <c r="I2461" s="36"/>
      <c r="J2461" s="39"/>
      <c r="K2461" s="39"/>
      <c r="AF2461" s="42">
        <v>61500005</v>
      </c>
      <c r="AG2461" s="42" t="s">
        <v>8290</v>
      </c>
    </row>
    <row r="2462" spans="7:33" ht="15.75" customHeight="1">
      <c r="G2462" s="36"/>
      <c r="H2462" s="36"/>
      <c r="I2462" s="36"/>
      <c r="J2462" s="39"/>
      <c r="K2462" s="39"/>
      <c r="AF2462" s="42">
        <v>61500006</v>
      </c>
      <c r="AG2462" s="42" t="s">
        <v>8290</v>
      </c>
    </row>
    <row r="2463" spans="7:33" ht="15.75" customHeight="1">
      <c r="G2463" s="36"/>
      <c r="H2463" s="36"/>
      <c r="I2463" s="36"/>
      <c r="J2463" s="39"/>
      <c r="K2463" s="39"/>
      <c r="AF2463" s="42">
        <v>61500007</v>
      </c>
      <c r="AG2463" s="42" t="s">
        <v>8290</v>
      </c>
    </row>
    <row r="2464" spans="7:33" ht="15.75" customHeight="1">
      <c r="G2464" s="36"/>
      <c r="H2464" s="36"/>
      <c r="I2464" s="36"/>
      <c r="J2464" s="39"/>
      <c r="K2464" s="39"/>
      <c r="AF2464" s="42">
        <v>61500008</v>
      </c>
      <c r="AG2464" s="42" t="s">
        <v>8290</v>
      </c>
    </row>
    <row r="2465" spans="7:33" ht="15.75" customHeight="1">
      <c r="G2465" s="36"/>
      <c r="H2465" s="36"/>
      <c r="I2465" s="36"/>
      <c r="J2465" s="39"/>
      <c r="K2465" s="39"/>
      <c r="AF2465" s="42">
        <v>61500009</v>
      </c>
      <c r="AG2465" s="42" t="s">
        <v>8290</v>
      </c>
    </row>
    <row r="2466" spans="7:33" ht="15.75" customHeight="1">
      <c r="G2466" s="36"/>
      <c r="H2466" s="36"/>
      <c r="I2466" s="36"/>
      <c r="J2466" s="39"/>
      <c r="K2466" s="39"/>
      <c r="AF2466" s="42">
        <v>61500010</v>
      </c>
      <c r="AG2466" s="42" t="s">
        <v>8290</v>
      </c>
    </row>
    <row r="2467" spans="7:33" ht="15.75" customHeight="1">
      <c r="G2467" s="36"/>
      <c r="H2467" s="36"/>
      <c r="I2467" s="36"/>
      <c r="J2467" s="39"/>
      <c r="K2467" s="39"/>
      <c r="AF2467" s="42">
        <v>61500011</v>
      </c>
      <c r="AG2467" s="42" t="s">
        <v>8290</v>
      </c>
    </row>
    <row r="2468" spans="7:33" ht="15.75" customHeight="1">
      <c r="G2468" s="36"/>
      <c r="H2468" s="36"/>
      <c r="I2468" s="36"/>
      <c r="J2468" s="39"/>
      <c r="K2468" s="39"/>
      <c r="AF2468" s="42">
        <v>61500012</v>
      </c>
      <c r="AG2468" s="42" t="s">
        <v>8290</v>
      </c>
    </row>
    <row r="2469" spans="7:33" ht="15.75" customHeight="1">
      <c r="G2469" s="36"/>
      <c r="H2469" s="36"/>
      <c r="I2469" s="36"/>
      <c r="J2469" s="39"/>
      <c r="K2469" s="39"/>
      <c r="AF2469" s="42">
        <v>61500013</v>
      </c>
      <c r="AG2469" s="42" t="s">
        <v>8290</v>
      </c>
    </row>
    <row r="2470" spans="7:33" ht="15.75" customHeight="1">
      <c r="G2470" s="36"/>
      <c r="H2470" s="36"/>
      <c r="I2470" s="36"/>
      <c r="J2470" s="39"/>
      <c r="K2470" s="39"/>
      <c r="AF2470" s="42">
        <v>71300024</v>
      </c>
      <c r="AG2470" s="42" t="s">
        <v>8290</v>
      </c>
    </row>
    <row r="2471" spans="7:33" ht="15.75" customHeight="1">
      <c r="G2471" s="36"/>
      <c r="H2471" s="36"/>
      <c r="I2471" s="36"/>
      <c r="J2471" s="39"/>
      <c r="K2471" s="39"/>
      <c r="AF2471" s="42">
        <v>71300057</v>
      </c>
      <c r="AG2471" s="42" t="s">
        <v>8290</v>
      </c>
    </row>
    <row r="2472" spans="7:33" ht="15.75" customHeight="1">
      <c r="G2472" s="36"/>
      <c r="H2472" s="36"/>
      <c r="I2472" s="36"/>
      <c r="J2472" s="39"/>
      <c r="K2472" s="39"/>
      <c r="AF2472" s="42">
        <v>71300058</v>
      </c>
      <c r="AG2472" s="42" t="s">
        <v>8290</v>
      </c>
    </row>
    <row r="2473" spans="7:33" ht="15.75" customHeight="1">
      <c r="G2473" s="36"/>
      <c r="H2473" s="36"/>
      <c r="I2473" s="36"/>
      <c r="J2473" s="39"/>
      <c r="K2473" s="39"/>
      <c r="AF2473" s="42">
        <v>71300085</v>
      </c>
      <c r="AG2473" s="42" t="s">
        <v>8290</v>
      </c>
    </row>
    <row r="2474" spans="7:33" ht="15.75" customHeight="1">
      <c r="G2474" s="36"/>
      <c r="H2474" s="36"/>
      <c r="I2474" s="36"/>
      <c r="J2474" s="39"/>
      <c r="K2474" s="39"/>
      <c r="AF2474" s="42">
        <v>71300090</v>
      </c>
      <c r="AG2474" s="42" t="s">
        <v>8290</v>
      </c>
    </row>
    <row r="2475" spans="7:33" ht="15.75" customHeight="1">
      <c r="G2475" s="36"/>
      <c r="H2475" s="36"/>
      <c r="I2475" s="36"/>
      <c r="J2475" s="39"/>
      <c r="K2475" s="39"/>
      <c r="AF2475" s="42">
        <v>71300091</v>
      </c>
      <c r="AG2475" s="42" t="s">
        <v>8290</v>
      </c>
    </row>
    <row r="2476" spans="7:33" ht="15.75" customHeight="1">
      <c r="G2476" s="36"/>
      <c r="H2476" s="36"/>
      <c r="I2476" s="36"/>
      <c r="J2476" s="39"/>
      <c r="K2476" s="39"/>
      <c r="AF2476" s="42">
        <v>81300043</v>
      </c>
      <c r="AG2476" s="42" t="s">
        <v>8290</v>
      </c>
    </row>
    <row r="2477" spans="7:33" ht="15.75" customHeight="1">
      <c r="G2477" s="36"/>
      <c r="H2477" s="36"/>
      <c r="I2477" s="36"/>
      <c r="J2477" s="39"/>
      <c r="K2477" s="39"/>
      <c r="AF2477" s="42">
        <v>81300099</v>
      </c>
      <c r="AG2477" s="42" t="s">
        <v>8290</v>
      </c>
    </row>
    <row r="2478" spans="7:33" ht="15.75" customHeight="1">
      <c r="G2478" s="36"/>
      <c r="H2478" s="36"/>
      <c r="I2478" s="36"/>
      <c r="J2478" s="39"/>
      <c r="K2478" s="39"/>
      <c r="AF2478" s="42">
        <v>81400044</v>
      </c>
      <c r="AG2478" s="42" t="s">
        <v>8290</v>
      </c>
    </row>
    <row r="2479" spans="7:33" ht="15.75" customHeight="1">
      <c r="G2479" s="36"/>
      <c r="H2479" s="36"/>
      <c r="I2479" s="36"/>
      <c r="J2479" s="39"/>
      <c r="K2479" s="39"/>
      <c r="AF2479" s="42">
        <v>81400045</v>
      </c>
      <c r="AG2479" s="42" t="s">
        <v>8290</v>
      </c>
    </row>
    <row r="2480" spans="7:33" ht="15.75" customHeight="1">
      <c r="G2480" s="36"/>
      <c r="H2480" s="36"/>
      <c r="I2480" s="36"/>
      <c r="J2480" s="39"/>
      <c r="K2480" s="39"/>
      <c r="AF2480" s="42">
        <v>81500040</v>
      </c>
      <c r="AG2480" s="42" t="s">
        <v>8290</v>
      </c>
    </row>
    <row r="2481" spans="7:33" ht="15.75" customHeight="1">
      <c r="G2481" s="36"/>
      <c r="H2481" s="36"/>
      <c r="I2481" s="36"/>
      <c r="J2481" s="39"/>
      <c r="K2481" s="39"/>
      <c r="AF2481" s="42">
        <v>91200005</v>
      </c>
      <c r="AG2481" s="42" t="s">
        <v>8290</v>
      </c>
    </row>
    <row r="2482" spans="7:33" ht="15.75" customHeight="1">
      <c r="G2482" s="36"/>
      <c r="H2482" s="36"/>
      <c r="I2482" s="36"/>
      <c r="J2482" s="39"/>
      <c r="K2482" s="39"/>
      <c r="AF2482" s="42">
        <v>91300090</v>
      </c>
      <c r="AG2482" s="42" t="s">
        <v>8290</v>
      </c>
    </row>
    <row r="2483" spans="7:33" ht="15.75" customHeight="1">
      <c r="G2483" s="36"/>
      <c r="H2483" s="36"/>
      <c r="I2483" s="36"/>
      <c r="J2483" s="39"/>
      <c r="K2483" s="39"/>
      <c r="AF2483" s="42">
        <v>91300091</v>
      </c>
      <c r="AG2483" s="42" t="s">
        <v>8290</v>
      </c>
    </row>
    <row r="2484" spans="7:33" ht="15.75" customHeight="1">
      <c r="G2484" s="36"/>
      <c r="H2484" s="36"/>
      <c r="I2484" s="36"/>
      <c r="J2484" s="39"/>
      <c r="K2484" s="39"/>
      <c r="AF2484" s="42">
        <v>91300092</v>
      </c>
      <c r="AG2484" s="42" t="s">
        <v>8290</v>
      </c>
    </row>
    <row r="2485" spans="7:33" ht="15.75" customHeight="1">
      <c r="G2485" s="36"/>
      <c r="H2485" s="36"/>
      <c r="I2485" s="36"/>
      <c r="J2485" s="39"/>
      <c r="K2485" s="39"/>
      <c r="AF2485" s="42">
        <v>91300093</v>
      </c>
      <c r="AG2485" s="42" t="s">
        <v>8290</v>
      </c>
    </row>
    <row r="2486" spans="7:33" ht="15.75" customHeight="1">
      <c r="G2486" s="36"/>
      <c r="H2486" s="36"/>
      <c r="I2486" s="36"/>
      <c r="J2486" s="39"/>
      <c r="K2486" s="39"/>
      <c r="AF2486" s="42">
        <v>91300094</v>
      </c>
      <c r="AG2486" s="42" t="s">
        <v>8290</v>
      </c>
    </row>
    <row r="2487" spans="7:33" ht="15.75" customHeight="1">
      <c r="G2487" s="36"/>
      <c r="H2487" s="36"/>
      <c r="I2487" s="36"/>
      <c r="J2487" s="39"/>
      <c r="K2487" s="39"/>
      <c r="AF2487" s="42">
        <v>91400041</v>
      </c>
      <c r="AG2487" s="42" t="s">
        <v>8290</v>
      </c>
    </row>
    <row r="2488" spans="7:33" ht="15.75" customHeight="1">
      <c r="G2488" s="36"/>
      <c r="H2488" s="36"/>
      <c r="I2488" s="36"/>
      <c r="J2488" s="39"/>
      <c r="K2488" s="39"/>
      <c r="AF2488" s="42">
        <v>91400042</v>
      </c>
      <c r="AG2488" s="42" t="s">
        <v>8290</v>
      </c>
    </row>
    <row r="2489" spans="7:33" ht="15.75" customHeight="1">
      <c r="G2489" s="36"/>
      <c r="H2489" s="36"/>
      <c r="I2489" s="36"/>
      <c r="J2489" s="39"/>
      <c r="K2489" s="39"/>
      <c r="AF2489" s="42">
        <v>91400043</v>
      </c>
      <c r="AG2489" s="42" t="s">
        <v>8290</v>
      </c>
    </row>
    <row r="2490" spans="7:33" ht="15.75" customHeight="1">
      <c r="G2490" s="36"/>
      <c r="H2490" s="36"/>
      <c r="I2490" s="36"/>
      <c r="J2490" s="39"/>
      <c r="K2490" s="39"/>
      <c r="AF2490" s="42">
        <v>101200032</v>
      </c>
      <c r="AG2490" s="42" t="s">
        <v>8290</v>
      </c>
    </row>
    <row r="2491" spans="7:33" ht="15.75" customHeight="1">
      <c r="G2491" s="36"/>
      <c r="H2491" s="36"/>
      <c r="I2491" s="36"/>
      <c r="J2491" s="39"/>
      <c r="K2491" s="39"/>
      <c r="AF2491" s="42">
        <v>101200033</v>
      </c>
      <c r="AG2491" s="42" t="s">
        <v>8290</v>
      </c>
    </row>
    <row r="2492" spans="7:33" ht="15.75" customHeight="1">
      <c r="G2492" s="36"/>
      <c r="H2492" s="36"/>
      <c r="I2492" s="36"/>
      <c r="J2492" s="39"/>
      <c r="K2492" s="39"/>
      <c r="AF2492" s="42">
        <v>101200035</v>
      </c>
      <c r="AG2492" s="42" t="s">
        <v>8290</v>
      </c>
    </row>
    <row r="2493" spans="7:33" ht="15.75" customHeight="1">
      <c r="G2493" s="36"/>
      <c r="H2493" s="36"/>
      <c r="I2493" s="36"/>
      <c r="J2493" s="39"/>
      <c r="K2493" s="39"/>
      <c r="AF2493" s="42">
        <v>101200036</v>
      </c>
      <c r="AG2493" s="42" t="s">
        <v>8290</v>
      </c>
    </row>
    <row r="2494" spans="7:33" ht="15.75" customHeight="1">
      <c r="G2494" s="36"/>
      <c r="H2494" s="36"/>
      <c r="I2494" s="36"/>
      <c r="J2494" s="39"/>
      <c r="K2494" s="39"/>
      <c r="AF2494" s="42">
        <v>101200041</v>
      </c>
      <c r="AG2494" s="42" t="s">
        <v>8290</v>
      </c>
    </row>
    <row r="2495" spans="7:33" ht="15.75" customHeight="1">
      <c r="G2495" s="36"/>
      <c r="H2495" s="36"/>
      <c r="I2495" s="36"/>
      <c r="J2495" s="39"/>
      <c r="K2495" s="39"/>
      <c r="AF2495" s="42">
        <v>101200042</v>
      </c>
      <c r="AG2495" s="42" t="s">
        <v>8290</v>
      </c>
    </row>
    <row r="2496" spans="7:33" ht="15.75" customHeight="1">
      <c r="G2496" s="36"/>
      <c r="H2496" s="36"/>
      <c r="I2496" s="36"/>
      <c r="J2496" s="39"/>
      <c r="K2496" s="39"/>
      <c r="AF2496" s="42">
        <v>101200071</v>
      </c>
      <c r="AG2496" s="42" t="s">
        <v>8290</v>
      </c>
    </row>
    <row r="2497" spans="7:33" ht="15.75" customHeight="1">
      <c r="G2497" s="36"/>
      <c r="H2497" s="36"/>
      <c r="I2497" s="36"/>
      <c r="J2497" s="39"/>
      <c r="K2497" s="39"/>
      <c r="AF2497" s="42">
        <v>101200072</v>
      </c>
      <c r="AG2497" s="42" t="s">
        <v>8290</v>
      </c>
    </row>
    <row r="2498" spans="7:33" ht="15.75" customHeight="1">
      <c r="G2498" s="36"/>
      <c r="H2498" s="36"/>
      <c r="I2498" s="36"/>
      <c r="J2498" s="39"/>
      <c r="K2498" s="39"/>
      <c r="AF2498" s="42">
        <v>101200073</v>
      </c>
      <c r="AG2498" s="42" t="s">
        <v>8290</v>
      </c>
    </row>
    <row r="2499" spans="7:33" ht="15.75" customHeight="1">
      <c r="G2499" s="36"/>
      <c r="H2499" s="36"/>
      <c r="I2499" s="36"/>
      <c r="J2499" s="39"/>
      <c r="K2499" s="39"/>
      <c r="AF2499" s="42">
        <v>101200074</v>
      </c>
      <c r="AG2499" s="42" t="s">
        <v>8290</v>
      </c>
    </row>
    <row r="2500" spans="7:33" ht="15.75" customHeight="1">
      <c r="G2500" s="36"/>
      <c r="H2500" s="36"/>
      <c r="I2500" s="36"/>
      <c r="J2500" s="39"/>
      <c r="K2500" s="39"/>
      <c r="AF2500" s="42">
        <v>101200086</v>
      </c>
      <c r="AG2500" s="42" t="s">
        <v>8290</v>
      </c>
    </row>
    <row r="2501" spans="7:33" ht="15.75" customHeight="1">
      <c r="G2501" s="36"/>
      <c r="H2501" s="36"/>
      <c r="I2501" s="36"/>
      <c r="J2501" s="39"/>
      <c r="K2501" s="39"/>
      <c r="AF2501" s="42">
        <v>101200092</v>
      </c>
      <c r="AG2501" s="42" t="s">
        <v>8290</v>
      </c>
    </row>
    <row r="2502" spans="7:33" ht="15.75" customHeight="1">
      <c r="G2502" s="36"/>
      <c r="H2502" s="36"/>
      <c r="I2502" s="36"/>
      <c r="J2502" s="39"/>
      <c r="K2502" s="39"/>
      <c r="AF2502" s="42">
        <v>101200093</v>
      </c>
      <c r="AG2502" s="42" t="s">
        <v>8290</v>
      </c>
    </row>
    <row r="2503" spans="7:33" ht="15.75" customHeight="1">
      <c r="G2503" s="36"/>
      <c r="H2503" s="36"/>
      <c r="I2503" s="36"/>
      <c r="J2503" s="39"/>
      <c r="K2503" s="39"/>
      <c r="AF2503" s="42">
        <v>101200099</v>
      </c>
      <c r="AG2503" s="42" t="s">
        <v>8290</v>
      </c>
    </row>
    <row r="2504" spans="7:33" ht="15.75" customHeight="1">
      <c r="G2504" s="36"/>
      <c r="H2504" s="36"/>
      <c r="I2504" s="36"/>
      <c r="J2504" s="39"/>
      <c r="K2504" s="39"/>
      <c r="AF2504" s="42">
        <v>101200100</v>
      </c>
      <c r="AG2504" s="42" t="s">
        <v>8290</v>
      </c>
    </row>
    <row r="2505" spans="7:33" ht="15.75" customHeight="1">
      <c r="G2505" s="36"/>
      <c r="H2505" s="36"/>
      <c r="I2505" s="36"/>
      <c r="J2505" s="39"/>
      <c r="K2505" s="39"/>
      <c r="AF2505" s="42">
        <v>101200105</v>
      </c>
      <c r="AG2505" s="42" t="s">
        <v>8290</v>
      </c>
    </row>
    <row r="2506" spans="7:33" ht="15.75" customHeight="1">
      <c r="G2506" s="36"/>
      <c r="H2506" s="36"/>
      <c r="I2506" s="36"/>
      <c r="J2506" s="39"/>
      <c r="K2506" s="39"/>
      <c r="AF2506" s="42">
        <v>101200106</v>
      </c>
      <c r="AG2506" s="42" t="s">
        <v>8290</v>
      </c>
    </row>
    <row r="2507" spans="7:33" ht="15.75" customHeight="1">
      <c r="G2507" s="36"/>
      <c r="H2507" s="36"/>
      <c r="I2507" s="36"/>
      <c r="J2507" s="39"/>
      <c r="K2507" s="39"/>
      <c r="AF2507" s="42">
        <v>101200107</v>
      </c>
      <c r="AG2507" s="42" t="s">
        <v>8290</v>
      </c>
    </row>
    <row r="2508" spans="7:33" ht="15.75" customHeight="1">
      <c r="G2508" s="36"/>
      <c r="H2508" s="36"/>
      <c r="I2508" s="36"/>
      <c r="J2508" s="39"/>
      <c r="K2508" s="39"/>
      <c r="AF2508" s="42">
        <v>101200108</v>
      </c>
      <c r="AG2508" s="42" t="s">
        <v>8290</v>
      </c>
    </row>
    <row r="2509" spans="7:33" ht="15.75" customHeight="1">
      <c r="G2509" s="36"/>
      <c r="H2509" s="36"/>
      <c r="I2509" s="36"/>
      <c r="J2509" s="39"/>
      <c r="K2509" s="39"/>
      <c r="AF2509" s="42">
        <v>101200109</v>
      </c>
      <c r="AG2509" s="42" t="s">
        <v>8290</v>
      </c>
    </row>
    <row r="2510" spans="7:33" ht="15.75" customHeight="1">
      <c r="G2510" s="36"/>
      <c r="H2510" s="36"/>
      <c r="I2510" s="36"/>
      <c r="J2510" s="39"/>
      <c r="K2510" s="39"/>
      <c r="AF2510" s="42">
        <v>101200110</v>
      </c>
      <c r="AG2510" s="42" t="s">
        <v>8290</v>
      </c>
    </row>
    <row r="2511" spans="7:33" ht="15.75" customHeight="1">
      <c r="G2511" s="36"/>
      <c r="H2511" s="36"/>
      <c r="I2511" s="36"/>
      <c r="J2511" s="39"/>
      <c r="K2511" s="39"/>
      <c r="AF2511" s="42">
        <v>101300016</v>
      </c>
      <c r="AG2511" s="42" t="s">
        <v>8290</v>
      </c>
    </row>
    <row r="2512" spans="7:33" ht="15.75" customHeight="1">
      <c r="G2512" s="36"/>
      <c r="H2512" s="36"/>
      <c r="I2512" s="36"/>
      <c r="J2512" s="39"/>
      <c r="K2512" s="39"/>
      <c r="AF2512" s="42">
        <v>101300017</v>
      </c>
      <c r="AG2512" s="42" t="s">
        <v>8290</v>
      </c>
    </row>
    <row r="2513" spans="7:33" ht="15.75" customHeight="1">
      <c r="G2513" s="36"/>
      <c r="H2513" s="36"/>
      <c r="I2513" s="36"/>
      <c r="J2513" s="39"/>
      <c r="K2513" s="39"/>
      <c r="AF2513" s="42">
        <v>101300060</v>
      </c>
      <c r="AG2513" s="42" t="s">
        <v>8290</v>
      </c>
    </row>
    <row r="2514" spans="7:33" ht="15.75" customHeight="1">
      <c r="G2514" s="36"/>
      <c r="H2514" s="36"/>
      <c r="I2514" s="36"/>
      <c r="J2514" s="39"/>
      <c r="K2514" s="39"/>
      <c r="AF2514" s="42">
        <v>101300061</v>
      </c>
      <c r="AG2514" s="42" t="s">
        <v>8290</v>
      </c>
    </row>
    <row r="2515" spans="7:33" ht="15.75" customHeight="1">
      <c r="G2515" s="36"/>
      <c r="H2515" s="36"/>
      <c r="I2515" s="36"/>
      <c r="J2515" s="39"/>
      <c r="K2515" s="39"/>
      <c r="AF2515" s="42">
        <v>101300062</v>
      </c>
      <c r="AG2515" s="42" t="s">
        <v>8290</v>
      </c>
    </row>
    <row r="2516" spans="7:33" ht="15.75" customHeight="1">
      <c r="G2516" s="36"/>
      <c r="H2516" s="36"/>
      <c r="I2516" s="36"/>
      <c r="J2516" s="39"/>
      <c r="K2516" s="39"/>
      <c r="AF2516" s="42">
        <v>101300063</v>
      </c>
      <c r="AG2516" s="42" t="s">
        <v>8290</v>
      </c>
    </row>
    <row r="2517" spans="7:33" ht="15.75" customHeight="1">
      <c r="G2517" s="36"/>
      <c r="H2517" s="36"/>
      <c r="I2517" s="36"/>
      <c r="J2517" s="39"/>
      <c r="K2517" s="39"/>
      <c r="AF2517" s="42">
        <v>101300064</v>
      </c>
      <c r="AG2517" s="42" t="s">
        <v>8290</v>
      </c>
    </row>
    <row r="2518" spans="7:33" ht="15.75" customHeight="1">
      <c r="G2518" s="36"/>
      <c r="H2518" s="36"/>
      <c r="I2518" s="36"/>
      <c r="J2518" s="39"/>
      <c r="K2518" s="39"/>
      <c r="AF2518" s="42">
        <v>101300086</v>
      </c>
      <c r="AG2518" s="42" t="s">
        <v>8290</v>
      </c>
    </row>
    <row r="2519" spans="7:33" ht="15.75" customHeight="1">
      <c r="G2519" s="36"/>
      <c r="H2519" s="36"/>
      <c r="I2519" s="36"/>
      <c r="J2519" s="39"/>
      <c r="K2519" s="39"/>
      <c r="AF2519" s="42">
        <v>101300087</v>
      </c>
      <c r="AG2519" s="42" t="s">
        <v>8290</v>
      </c>
    </row>
    <row r="2520" spans="7:33" ht="15.75" customHeight="1">
      <c r="G2520" s="36"/>
      <c r="H2520" s="36"/>
      <c r="I2520" s="36"/>
      <c r="J2520" s="39"/>
      <c r="K2520" s="39"/>
      <c r="AF2520" s="42">
        <v>101300088</v>
      </c>
      <c r="AG2520" s="42" t="s">
        <v>8290</v>
      </c>
    </row>
    <row r="2521" spans="7:33" ht="15.75" customHeight="1">
      <c r="G2521" s="36"/>
      <c r="H2521" s="36"/>
      <c r="I2521" s="36"/>
      <c r="J2521" s="39"/>
      <c r="K2521" s="39"/>
      <c r="AF2521" s="42">
        <v>101300089</v>
      </c>
      <c r="AG2521" s="42" t="s">
        <v>8290</v>
      </c>
    </row>
    <row r="2522" spans="7:33" ht="15.75" customHeight="1">
      <c r="G2522" s="36"/>
      <c r="H2522" s="36"/>
      <c r="I2522" s="36"/>
      <c r="J2522" s="39"/>
      <c r="K2522" s="39"/>
      <c r="AF2522" s="42">
        <v>101300090</v>
      </c>
      <c r="AG2522" s="42" t="s">
        <v>8290</v>
      </c>
    </row>
    <row r="2523" spans="7:33" ht="15.75" customHeight="1">
      <c r="G2523" s="36"/>
      <c r="H2523" s="36"/>
      <c r="I2523" s="36"/>
      <c r="J2523" s="39"/>
      <c r="K2523" s="39"/>
      <c r="AF2523" s="42">
        <v>101300091</v>
      </c>
      <c r="AG2523" s="42" t="s">
        <v>8290</v>
      </c>
    </row>
    <row r="2524" spans="7:33" ht="15.75" customHeight="1">
      <c r="G2524" s="36"/>
      <c r="H2524" s="36"/>
      <c r="I2524" s="36"/>
      <c r="J2524" s="39"/>
      <c r="K2524" s="39"/>
      <c r="AF2524" s="42">
        <v>111200001</v>
      </c>
      <c r="AG2524" s="42" t="s">
        <v>8290</v>
      </c>
    </row>
    <row r="2525" spans="7:33" ht="15.75" customHeight="1">
      <c r="G2525" s="36"/>
      <c r="H2525" s="36"/>
      <c r="I2525" s="36"/>
      <c r="J2525" s="39"/>
      <c r="K2525" s="39"/>
      <c r="AF2525" s="42">
        <v>111200002</v>
      </c>
      <c r="AG2525" s="42" t="s">
        <v>8290</v>
      </c>
    </row>
    <row r="2526" spans="7:33" ht="15.75" customHeight="1">
      <c r="G2526" s="36"/>
      <c r="H2526" s="36"/>
      <c r="I2526" s="36"/>
      <c r="J2526" s="39"/>
      <c r="K2526" s="39"/>
      <c r="AF2526" s="42">
        <v>111200003</v>
      </c>
      <c r="AG2526" s="42" t="s">
        <v>8290</v>
      </c>
    </row>
    <row r="2527" spans="7:33" ht="15.75" customHeight="1">
      <c r="G2527" s="36"/>
      <c r="H2527" s="36"/>
      <c r="I2527" s="36"/>
      <c r="J2527" s="39"/>
      <c r="K2527" s="39"/>
      <c r="AF2527" s="42">
        <v>111200004</v>
      </c>
      <c r="AG2527" s="42" t="s">
        <v>8290</v>
      </c>
    </row>
    <row r="2528" spans="7:33" ht="15.75" customHeight="1">
      <c r="G2528" s="36"/>
      <c r="H2528" s="36"/>
      <c r="I2528" s="36"/>
      <c r="J2528" s="39"/>
      <c r="K2528" s="39"/>
      <c r="AF2528" s="42">
        <v>111200058</v>
      </c>
      <c r="AG2528" s="42" t="s">
        <v>8290</v>
      </c>
    </row>
    <row r="2529" spans="7:33" ht="15.75" customHeight="1">
      <c r="G2529" s="36"/>
      <c r="H2529" s="36"/>
      <c r="I2529" s="36"/>
      <c r="J2529" s="39"/>
      <c r="K2529" s="39"/>
      <c r="AF2529" s="42">
        <v>111200059</v>
      </c>
      <c r="AG2529" s="42" t="s">
        <v>8290</v>
      </c>
    </row>
    <row r="2530" spans="7:33" ht="15.75" customHeight="1">
      <c r="G2530" s="36"/>
      <c r="H2530" s="36"/>
      <c r="I2530" s="36"/>
      <c r="J2530" s="39"/>
      <c r="K2530" s="39"/>
      <c r="AF2530" s="42">
        <v>111200060</v>
      </c>
      <c r="AG2530" s="42" t="s">
        <v>8290</v>
      </c>
    </row>
    <row r="2531" spans="7:33" ht="15.75" customHeight="1">
      <c r="G2531" s="36"/>
      <c r="H2531" s="36"/>
      <c r="I2531" s="36"/>
      <c r="J2531" s="39"/>
      <c r="K2531" s="39"/>
      <c r="AF2531" s="42">
        <v>111200061</v>
      </c>
      <c r="AG2531" s="42" t="s">
        <v>8290</v>
      </c>
    </row>
    <row r="2532" spans="7:33" ht="15.75" customHeight="1">
      <c r="G2532" s="36"/>
      <c r="H2532" s="36"/>
      <c r="I2532" s="36"/>
      <c r="J2532" s="39"/>
      <c r="K2532" s="39"/>
      <c r="AF2532" s="42">
        <v>111200062</v>
      </c>
      <c r="AG2532" s="42" t="s">
        <v>8290</v>
      </c>
    </row>
    <row r="2533" spans="7:33" ht="15.75" customHeight="1">
      <c r="G2533" s="36"/>
      <c r="H2533" s="36"/>
      <c r="I2533" s="36"/>
      <c r="J2533" s="39"/>
      <c r="K2533" s="39"/>
      <c r="AF2533" s="42">
        <v>111300133</v>
      </c>
      <c r="AG2533" s="42" t="s">
        <v>8290</v>
      </c>
    </row>
    <row r="2534" spans="7:33" ht="15.75" customHeight="1">
      <c r="G2534" s="36"/>
      <c r="H2534" s="36"/>
      <c r="I2534" s="36"/>
      <c r="J2534" s="39"/>
      <c r="K2534" s="39"/>
      <c r="AF2534" s="42">
        <v>111300134</v>
      </c>
      <c r="AG2534" s="42" t="s">
        <v>8290</v>
      </c>
    </row>
    <row r="2535" spans="7:33" ht="15.75" customHeight="1">
      <c r="G2535" s="36"/>
      <c r="H2535" s="36"/>
      <c r="I2535" s="36"/>
      <c r="J2535" s="39"/>
      <c r="K2535" s="39"/>
      <c r="AF2535" s="42">
        <v>111300135</v>
      </c>
      <c r="AG2535" s="42" t="s">
        <v>8290</v>
      </c>
    </row>
    <row r="2536" spans="7:33" ht="15.75" customHeight="1">
      <c r="G2536" s="36"/>
      <c r="H2536" s="36"/>
      <c r="I2536" s="36"/>
      <c r="J2536" s="39"/>
      <c r="K2536" s="39"/>
      <c r="AF2536" s="42">
        <v>111300136</v>
      </c>
      <c r="AG2536" s="42" t="s">
        <v>8290</v>
      </c>
    </row>
    <row r="2537" spans="7:33" ht="15.75" customHeight="1">
      <c r="G2537" s="36"/>
      <c r="H2537" s="36"/>
      <c r="I2537" s="36"/>
      <c r="J2537" s="39"/>
      <c r="K2537" s="39"/>
      <c r="AF2537" s="42">
        <v>111300137</v>
      </c>
      <c r="AG2537" s="42" t="s">
        <v>8290</v>
      </c>
    </row>
    <row r="2538" spans="7:33" ht="15.75" customHeight="1">
      <c r="G2538" s="36"/>
      <c r="H2538" s="36"/>
      <c r="I2538" s="36"/>
      <c r="J2538" s="39"/>
      <c r="K2538" s="39"/>
      <c r="AF2538" s="42">
        <v>111400002</v>
      </c>
      <c r="AG2538" s="42" t="s">
        <v>8290</v>
      </c>
    </row>
    <row r="2539" spans="7:33" ht="15.75" customHeight="1">
      <c r="G2539" s="36"/>
      <c r="H2539" s="36"/>
      <c r="I2539" s="36"/>
      <c r="J2539" s="39"/>
      <c r="K2539" s="39"/>
      <c r="AF2539" s="42">
        <v>111400003</v>
      </c>
      <c r="AG2539" s="42" t="s">
        <v>8290</v>
      </c>
    </row>
    <row r="2540" spans="7:33" ht="15.75" customHeight="1">
      <c r="G2540" s="36"/>
      <c r="H2540" s="36"/>
      <c r="I2540" s="36"/>
      <c r="J2540" s="39"/>
      <c r="K2540" s="39"/>
      <c r="AF2540" s="42">
        <v>111400004</v>
      </c>
      <c r="AG2540" s="42" t="s">
        <v>8290</v>
      </c>
    </row>
    <row r="2541" spans="7:33" ht="15.75" customHeight="1">
      <c r="G2541" s="36"/>
      <c r="H2541" s="36"/>
      <c r="I2541" s="36"/>
      <c r="J2541" s="39"/>
      <c r="K2541" s="39"/>
      <c r="AF2541" s="42">
        <v>111400005</v>
      </c>
      <c r="AG2541" s="42" t="s">
        <v>8290</v>
      </c>
    </row>
    <row r="2542" spans="7:33" ht="15.75" customHeight="1">
      <c r="G2542" s="36"/>
      <c r="H2542" s="36"/>
      <c r="I2542" s="36"/>
      <c r="J2542" s="39"/>
      <c r="K2542" s="39"/>
      <c r="AF2542" s="42">
        <v>111400006</v>
      </c>
      <c r="AG2542" s="42" t="s">
        <v>8290</v>
      </c>
    </row>
    <row r="2543" spans="7:33" ht="15.75" customHeight="1">
      <c r="G2543" s="36"/>
      <c r="H2543" s="36"/>
      <c r="I2543" s="36"/>
      <c r="J2543" s="39"/>
      <c r="K2543" s="39"/>
      <c r="AF2543" s="42">
        <v>111400011</v>
      </c>
      <c r="AG2543" s="42" t="s">
        <v>8290</v>
      </c>
    </row>
    <row r="2544" spans="7:33" ht="15.75" customHeight="1">
      <c r="G2544" s="36"/>
      <c r="H2544" s="36"/>
      <c r="I2544" s="36"/>
      <c r="J2544" s="39"/>
      <c r="K2544" s="39"/>
      <c r="AF2544" s="42">
        <v>121200062</v>
      </c>
      <c r="AG2544" s="42" t="s">
        <v>8290</v>
      </c>
    </row>
    <row r="2545" spans="7:33" ht="15.75" customHeight="1">
      <c r="G2545" s="36"/>
      <c r="H2545" s="36"/>
      <c r="I2545" s="36"/>
      <c r="J2545" s="39"/>
      <c r="K2545" s="39"/>
      <c r="AF2545" s="42">
        <v>121200063</v>
      </c>
      <c r="AG2545" s="42" t="s">
        <v>8290</v>
      </c>
    </row>
    <row r="2546" spans="7:33" ht="15.75" customHeight="1">
      <c r="G2546" s="36"/>
      <c r="H2546" s="36"/>
      <c r="I2546" s="36"/>
      <c r="J2546" s="39"/>
      <c r="K2546" s="39"/>
      <c r="AF2546" s="42">
        <v>121200064</v>
      </c>
      <c r="AG2546" s="42" t="s">
        <v>8290</v>
      </c>
    </row>
    <row r="2547" spans="7:33" ht="15.75" customHeight="1">
      <c r="G2547" s="36"/>
      <c r="H2547" s="36"/>
      <c r="I2547" s="36"/>
      <c r="J2547" s="39"/>
      <c r="K2547" s="39"/>
      <c r="AF2547" s="42">
        <v>121200065</v>
      </c>
      <c r="AG2547" s="42" t="s">
        <v>8290</v>
      </c>
    </row>
    <row r="2548" spans="7:33" ht="15.75" customHeight="1">
      <c r="G2548" s="36"/>
      <c r="H2548" s="36"/>
      <c r="I2548" s="36"/>
      <c r="J2548" s="39"/>
      <c r="K2548" s="39"/>
      <c r="AF2548" s="42">
        <v>121300117</v>
      </c>
      <c r="AG2548" s="42" t="s">
        <v>8290</v>
      </c>
    </row>
    <row r="2549" spans="7:33" ht="15.75" customHeight="1">
      <c r="G2549" s="36"/>
      <c r="H2549" s="36"/>
      <c r="I2549" s="36"/>
      <c r="J2549" s="39"/>
      <c r="K2549" s="39"/>
      <c r="AF2549" s="42">
        <v>121300118</v>
      </c>
      <c r="AG2549" s="42" t="s">
        <v>8290</v>
      </c>
    </row>
    <row r="2550" spans="7:33" ht="15.75" customHeight="1">
      <c r="G2550" s="36"/>
      <c r="H2550" s="36"/>
      <c r="I2550" s="36"/>
      <c r="J2550" s="39"/>
      <c r="K2550" s="39"/>
      <c r="AF2550" s="42">
        <v>121300119</v>
      </c>
      <c r="AG2550" s="42" t="s">
        <v>8290</v>
      </c>
    </row>
    <row r="2551" spans="7:33" ht="15.75" customHeight="1">
      <c r="G2551" s="36"/>
      <c r="H2551" s="36"/>
      <c r="I2551" s="36"/>
      <c r="J2551" s="39"/>
      <c r="K2551" s="39"/>
      <c r="AF2551" s="42">
        <v>121300120</v>
      </c>
      <c r="AG2551" s="42" t="s">
        <v>8290</v>
      </c>
    </row>
    <row r="2552" spans="7:33" ht="15.75" customHeight="1">
      <c r="G2552" s="36"/>
      <c r="H2552" s="36"/>
      <c r="I2552" s="36"/>
      <c r="J2552" s="39"/>
      <c r="K2552" s="39"/>
      <c r="AF2552" s="42">
        <v>121300148</v>
      </c>
      <c r="AG2552" s="42" t="s">
        <v>8290</v>
      </c>
    </row>
    <row r="2553" spans="7:33" ht="15.75" customHeight="1">
      <c r="G2553" s="36"/>
      <c r="H2553" s="36"/>
      <c r="I2553" s="36"/>
      <c r="J2553" s="39"/>
      <c r="K2553" s="39"/>
      <c r="AF2553" s="42">
        <v>121300181</v>
      </c>
      <c r="AG2553" s="42" t="s">
        <v>8290</v>
      </c>
    </row>
    <row r="2554" spans="7:33" ht="15.75" customHeight="1">
      <c r="G2554" s="36"/>
      <c r="H2554" s="36"/>
      <c r="I2554" s="36"/>
      <c r="J2554" s="39"/>
      <c r="K2554" s="39"/>
      <c r="AF2554" s="42">
        <v>121300182</v>
      </c>
      <c r="AG2554" s="42" t="s">
        <v>8290</v>
      </c>
    </row>
    <row r="2555" spans="7:33" ht="15.75" customHeight="1">
      <c r="G2555" s="36"/>
      <c r="H2555" s="36"/>
      <c r="I2555" s="36"/>
      <c r="J2555" s="39"/>
      <c r="K2555" s="39"/>
      <c r="AF2555" s="42">
        <v>121300183</v>
      </c>
      <c r="AG2555" s="42" t="s">
        <v>8290</v>
      </c>
    </row>
    <row r="2556" spans="7:33" ht="15.75" customHeight="1">
      <c r="G2556" s="36"/>
      <c r="H2556" s="36"/>
      <c r="I2556" s="36"/>
      <c r="J2556" s="39"/>
      <c r="K2556" s="39"/>
      <c r="AF2556" s="42">
        <v>121300184</v>
      </c>
      <c r="AG2556" s="42" t="s">
        <v>8290</v>
      </c>
    </row>
    <row r="2557" spans="7:33" ht="15.75" customHeight="1">
      <c r="G2557" s="36"/>
      <c r="H2557" s="36"/>
      <c r="I2557" s="36"/>
      <c r="J2557" s="39"/>
      <c r="K2557" s="39"/>
      <c r="AF2557" s="42">
        <v>3300001209</v>
      </c>
      <c r="AG2557" s="42" t="s">
        <v>6529</v>
      </c>
    </row>
    <row r="2558" spans="7:33" ht="15.75" customHeight="1">
      <c r="G2558" s="36"/>
      <c r="H2558" s="36"/>
      <c r="I2558" s="36"/>
      <c r="J2558" s="39"/>
      <c r="K2558" s="39"/>
      <c r="AF2558" s="42">
        <v>3300001210</v>
      </c>
      <c r="AG2558" s="42" t="s">
        <v>6529</v>
      </c>
    </row>
    <row r="2559" spans="7:33" ht="15.75" customHeight="1">
      <c r="G2559" s="36"/>
      <c r="H2559" s="36"/>
      <c r="I2559" s="36"/>
      <c r="J2559" s="39"/>
      <c r="K2559" s="39"/>
      <c r="AF2559" s="42">
        <v>3300001211</v>
      </c>
      <c r="AG2559" s="42" t="s">
        <v>6529</v>
      </c>
    </row>
    <row r="2560" spans="7:33" ht="15.75" customHeight="1">
      <c r="G2560" s="36"/>
      <c r="H2560" s="36"/>
      <c r="I2560" s="36"/>
      <c r="J2560" s="39"/>
      <c r="K2560" s="39"/>
      <c r="AF2560" s="42">
        <v>3300001212</v>
      </c>
      <c r="AG2560" s="42" t="s">
        <v>6529</v>
      </c>
    </row>
    <row r="2561" spans="7:33" ht="15.75" customHeight="1">
      <c r="G2561" s="36"/>
      <c r="H2561" s="36"/>
      <c r="I2561" s="36"/>
      <c r="J2561" s="39"/>
      <c r="K2561" s="39"/>
      <c r="AF2561" s="42">
        <v>3300001213</v>
      </c>
      <c r="AG2561" s="42" t="s">
        <v>6529</v>
      </c>
    </row>
    <row r="2562" spans="7:33" ht="15.75" customHeight="1">
      <c r="G2562" s="36"/>
      <c r="H2562" s="36"/>
      <c r="I2562" s="36"/>
      <c r="J2562" s="39"/>
      <c r="K2562" s="39"/>
      <c r="AF2562" s="42">
        <v>3300001214</v>
      </c>
      <c r="AG2562" s="42" t="s">
        <v>6529</v>
      </c>
    </row>
    <row r="2563" spans="7:33" ht="15.75" customHeight="1">
      <c r="G2563" s="36"/>
      <c r="H2563" s="36"/>
      <c r="I2563" s="36"/>
      <c r="J2563" s="39"/>
      <c r="K2563" s="39"/>
      <c r="AF2563" s="42">
        <v>3300001215</v>
      </c>
      <c r="AG2563" s="42" t="s">
        <v>6529</v>
      </c>
    </row>
    <row r="2564" spans="7:33" ht="15.75" customHeight="1">
      <c r="G2564" s="36"/>
      <c r="H2564" s="36"/>
      <c r="I2564" s="36"/>
      <c r="J2564" s="39"/>
      <c r="K2564" s="39"/>
      <c r="AF2564" s="42">
        <v>3300001216</v>
      </c>
      <c r="AG2564" s="42" t="s">
        <v>6529</v>
      </c>
    </row>
    <row r="2565" spans="7:33" ht="15.75" customHeight="1">
      <c r="G2565" s="36"/>
      <c r="H2565" s="36"/>
      <c r="I2565" s="36"/>
      <c r="J2565" s="39"/>
      <c r="K2565" s="39"/>
      <c r="AF2565" s="42">
        <v>3300001217</v>
      </c>
      <c r="AG2565" s="42" t="s">
        <v>6529</v>
      </c>
    </row>
    <row r="2566" spans="7:33" ht="15.75" customHeight="1">
      <c r="G2566" s="36"/>
      <c r="H2566" s="36"/>
      <c r="I2566" s="36"/>
      <c r="J2566" s="39"/>
      <c r="K2566" s="39"/>
      <c r="AF2566" s="42">
        <v>3300001218</v>
      </c>
      <c r="AG2566" s="42" t="s">
        <v>6529</v>
      </c>
    </row>
    <row r="2567" spans="7:33" ht="15.75" customHeight="1">
      <c r="G2567" s="36"/>
      <c r="H2567" s="36"/>
      <c r="I2567" s="36"/>
      <c r="J2567" s="39"/>
      <c r="K2567" s="39"/>
      <c r="AF2567" s="42">
        <v>3300001219</v>
      </c>
      <c r="AG2567" s="42" t="s">
        <v>6529</v>
      </c>
    </row>
    <row r="2568" spans="7:33" ht="15.75" customHeight="1">
      <c r="G2568" s="36"/>
      <c r="H2568" s="36"/>
      <c r="I2568" s="36"/>
      <c r="J2568" s="39"/>
      <c r="K2568" s="39"/>
      <c r="AF2568" s="42">
        <v>3300001220</v>
      </c>
      <c r="AG2568" s="42" t="s">
        <v>6529</v>
      </c>
    </row>
    <row r="2569" spans="7:33" ht="15.75" customHeight="1">
      <c r="G2569" s="36"/>
      <c r="H2569" s="36"/>
      <c r="I2569" s="36"/>
      <c r="J2569" s="39"/>
      <c r="K2569" s="39"/>
      <c r="AF2569" s="42">
        <v>3300001221</v>
      </c>
      <c r="AG2569" s="42" t="s">
        <v>6529</v>
      </c>
    </row>
    <row r="2570" spans="7:33" ht="15.75" customHeight="1">
      <c r="G2570" s="36"/>
      <c r="H2570" s="36"/>
      <c r="I2570" s="36"/>
      <c r="J2570" s="39"/>
      <c r="K2570" s="39"/>
      <c r="AF2570" s="42">
        <v>3300001222</v>
      </c>
      <c r="AG2570" s="42" t="s">
        <v>6529</v>
      </c>
    </row>
    <row r="2571" spans="7:33" ht="15.75" customHeight="1">
      <c r="G2571" s="36"/>
      <c r="H2571" s="36"/>
      <c r="I2571" s="36"/>
      <c r="J2571" s="39"/>
      <c r="K2571" s="39"/>
      <c r="AF2571" s="42">
        <v>3300001223</v>
      </c>
      <c r="AG2571" s="42" t="s">
        <v>6529</v>
      </c>
    </row>
    <row r="2572" spans="7:33" ht="15.75" customHeight="1">
      <c r="G2572" s="36"/>
      <c r="H2572" s="36"/>
      <c r="I2572" s="36"/>
      <c r="J2572" s="39"/>
      <c r="K2572" s="39"/>
      <c r="AF2572" s="42">
        <v>3300001224</v>
      </c>
      <c r="AG2572" s="42" t="s">
        <v>6529</v>
      </c>
    </row>
    <row r="2573" spans="7:33" ht="15.75" customHeight="1">
      <c r="G2573" s="36"/>
      <c r="H2573" s="36"/>
      <c r="I2573" s="36"/>
      <c r="J2573" s="39"/>
      <c r="K2573" s="39"/>
      <c r="AF2573" s="42">
        <v>3300001225</v>
      </c>
      <c r="AG2573" s="42" t="s">
        <v>6529</v>
      </c>
    </row>
    <row r="2574" spans="7:33" ht="15.75" customHeight="1">
      <c r="G2574" s="36"/>
      <c r="H2574" s="36"/>
      <c r="I2574" s="36"/>
      <c r="J2574" s="39"/>
      <c r="K2574" s="39"/>
      <c r="AF2574" s="42">
        <v>3300001226</v>
      </c>
      <c r="AG2574" s="42" t="s">
        <v>6529</v>
      </c>
    </row>
    <row r="2575" spans="7:33" ht="15.75" customHeight="1">
      <c r="G2575" s="36"/>
      <c r="H2575" s="36"/>
      <c r="I2575" s="36"/>
      <c r="J2575" s="39"/>
      <c r="K2575" s="39"/>
      <c r="AF2575" s="42">
        <v>3300001227</v>
      </c>
      <c r="AG2575" s="42" t="s">
        <v>6529</v>
      </c>
    </row>
    <row r="2576" spans="7:33" ht="15.75" customHeight="1">
      <c r="G2576" s="36"/>
      <c r="H2576" s="36"/>
      <c r="I2576" s="36"/>
      <c r="J2576" s="39"/>
      <c r="K2576" s="39"/>
      <c r="AF2576" s="42">
        <v>3300001228</v>
      </c>
      <c r="AG2576" s="42" t="s">
        <v>6529</v>
      </c>
    </row>
    <row r="2577" spans="7:33" ht="15.75" customHeight="1">
      <c r="G2577" s="36"/>
      <c r="H2577" s="36"/>
      <c r="I2577" s="36"/>
      <c r="J2577" s="39"/>
      <c r="K2577" s="39"/>
      <c r="AF2577" s="42">
        <v>3300001229</v>
      </c>
      <c r="AG2577" s="42" t="s">
        <v>6529</v>
      </c>
    </row>
    <row r="2578" spans="7:33" ht="15.75" customHeight="1">
      <c r="G2578" s="36"/>
      <c r="H2578" s="36"/>
      <c r="I2578" s="36"/>
      <c r="J2578" s="39"/>
      <c r="K2578" s="39"/>
      <c r="AF2578" s="42">
        <v>3300001230</v>
      </c>
      <c r="AG2578" s="42" t="s">
        <v>6529</v>
      </c>
    </row>
    <row r="2579" spans="7:33" ht="15.75" customHeight="1">
      <c r="G2579" s="36"/>
      <c r="H2579" s="36"/>
      <c r="I2579" s="36"/>
      <c r="J2579" s="39"/>
      <c r="K2579" s="39"/>
      <c r="AF2579" s="42">
        <v>3300001231</v>
      </c>
      <c r="AG2579" s="42" t="s">
        <v>6529</v>
      </c>
    </row>
    <row r="2580" spans="7:33" ht="15.75" customHeight="1">
      <c r="G2580" s="36"/>
      <c r="H2580" s="36"/>
      <c r="I2580" s="36"/>
      <c r="J2580" s="39"/>
      <c r="K2580" s="39"/>
      <c r="AF2580" s="42">
        <v>3300001232</v>
      </c>
      <c r="AG2580" s="42" t="s">
        <v>6529</v>
      </c>
    </row>
    <row r="2581" spans="7:33" ht="15.75" customHeight="1">
      <c r="G2581" s="36"/>
      <c r="H2581" s="36"/>
      <c r="I2581" s="36"/>
      <c r="J2581" s="39"/>
      <c r="K2581" s="39"/>
      <c r="AF2581" s="42">
        <v>3300001233</v>
      </c>
      <c r="AG2581" s="42" t="s">
        <v>6529</v>
      </c>
    </row>
    <row r="2582" spans="7:33" ht="15.75" customHeight="1">
      <c r="G2582" s="36"/>
      <c r="H2582" s="36"/>
      <c r="I2582" s="36"/>
      <c r="J2582" s="39"/>
      <c r="K2582" s="39"/>
      <c r="AF2582" s="42">
        <v>3300001234</v>
      </c>
      <c r="AG2582" s="42" t="s">
        <v>6529</v>
      </c>
    </row>
    <row r="2583" spans="7:33" ht="15.75" customHeight="1">
      <c r="G2583" s="36"/>
      <c r="H2583" s="36"/>
      <c r="I2583" s="36"/>
      <c r="J2583" s="39"/>
      <c r="K2583" s="39"/>
      <c r="AF2583" s="42">
        <v>3300001235</v>
      </c>
      <c r="AG2583" s="42" t="s">
        <v>6529</v>
      </c>
    </row>
    <row r="2584" spans="7:33" ht="15.75" customHeight="1">
      <c r="G2584" s="36"/>
      <c r="H2584" s="36"/>
      <c r="I2584" s="36"/>
      <c r="J2584" s="39"/>
      <c r="K2584" s="39"/>
      <c r="AF2584" s="42">
        <v>3300001236</v>
      </c>
      <c r="AG2584" s="42" t="s">
        <v>6529</v>
      </c>
    </row>
    <row r="2585" spans="7:33" ht="15.75" customHeight="1">
      <c r="G2585" s="36"/>
      <c r="H2585" s="36"/>
      <c r="I2585" s="36"/>
      <c r="J2585" s="39"/>
      <c r="K2585" s="39"/>
      <c r="AF2585" s="42">
        <v>3300001237</v>
      </c>
      <c r="AG2585" s="42" t="s">
        <v>6529</v>
      </c>
    </row>
    <row r="2586" spans="7:33" ht="15.75" customHeight="1">
      <c r="G2586" s="36"/>
      <c r="H2586" s="36"/>
      <c r="I2586" s="36"/>
      <c r="J2586" s="39"/>
      <c r="K2586" s="39"/>
      <c r="AF2586" s="42">
        <v>3300001238</v>
      </c>
      <c r="AG2586" s="42" t="s">
        <v>6529</v>
      </c>
    </row>
    <row r="2587" spans="7:33" ht="15.75" customHeight="1">
      <c r="G2587" s="36"/>
      <c r="H2587" s="36"/>
      <c r="I2587" s="36"/>
      <c r="J2587" s="39"/>
      <c r="K2587" s="39"/>
      <c r="AF2587" s="42">
        <v>3300001239</v>
      </c>
      <c r="AG2587" s="42" t="s">
        <v>6529</v>
      </c>
    </row>
    <row r="2588" spans="7:33" ht="15.75" customHeight="1">
      <c r="G2588" s="36"/>
      <c r="H2588" s="36"/>
      <c r="I2588" s="36"/>
      <c r="J2588" s="39"/>
      <c r="K2588" s="39"/>
      <c r="AF2588" s="42">
        <v>3300001240</v>
      </c>
      <c r="AG2588" s="42" t="s">
        <v>6529</v>
      </c>
    </row>
    <row r="2589" spans="7:33" ht="15.75" customHeight="1">
      <c r="G2589" s="36"/>
      <c r="H2589" s="36"/>
      <c r="I2589" s="36"/>
      <c r="J2589" s="39"/>
      <c r="K2589" s="39"/>
      <c r="AF2589" s="42">
        <v>3300001241</v>
      </c>
      <c r="AG2589" s="42" t="s">
        <v>6529</v>
      </c>
    </row>
    <row r="2590" spans="7:33" ht="15.75" customHeight="1">
      <c r="G2590" s="36"/>
      <c r="H2590" s="36"/>
      <c r="I2590" s="36"/>
      <c r="J2590" s="39"/>
      <c r="K2590" s="39"/>
      <c r="AF2590" s="42">
        <v>3300001242</v>
      </c>
      <c r="AG2590" s="42" t="s">
        <v>6529</v>
      </c>
    </row>
    <row r="2591" spans="7:33" ht="15.75" customHeight="1">
      <c r="G2591" s="36"/>
      <c r="H2591" s="36"/>
      <c r="I2591" s="36"/>
      <c r="J2591" s="39"/>
      <c r="K2591" s="39"/>
      <c r="AF2591" s="42">
        <v>3300001243</v>
      </c>
      <c r="AG2591" s="42" t="s">
        <v>6529</v>
      </c>
    </row>
    <row r="2592" spans="7:33" ht="15.75" customHeight="1">
      <c r="G2592" s="36"/>
      <c r="H2592" s="36"/>
      <c r="I2592" s="36"/>
      <c r="J2592" s="39"/>
      <c r="K2592" s="39"/>
      <c r="AF2592" s="42">
        <v>3300001244</v>
      </c>
      <c r="AG2592" s="42" t="s">
        <v>6529</v>
      </c>
    </row>
    <row r="2593" spans="7:33" ht="15.75" customHeight="1">
      <c r="G2593" s="36"/>
      <c r="H2593" s="36"/>
      <c r="I2593" s="36"/>
      <c r="J2593" s="39"/>
      <c r="K2593" s="39"/>
      <c r="AF2593" s="42">
        <v>3300001245</v>
      </c>
      <c r="AG2593" s="42" t="s">
        <v>6529</v>
      </c>
    </row>
    <row r="2594" spans="7:33" ht="15.75" customHeight="1">
      <c r="G2594" s="36"/>
      <c r="H2594" s="36"/>
      <c r="I2594" s="36"/>
      <c r="J2594" s="39"/>
      <c r="K2594" s="39"/>
      <c r="AF2594" s="42">
        <v>3300001246</v>
      </c>
      <c r="AG2594" s="42" t="s">
        <v>6529</v>
      </c>
    </row>
    <row r="2595" spans="7:33" ht="15.75" customHeight="1">
      <c r="G2595" s="36"/>
      <c r="H2595" s="36"/>
      <c r="I2595" s="36"/>
      <c r="J2595" s="39"/>
      <c r="K2595" s="39"/>
      <c r="AF2595" s="42">
        <v>3300001247</v>
      </c>
      <c r="AG2595" s="42" t="s">
        <v>6529</v>
      </c>
    </row>
    <row r="2596" spans="7:33" ht="15.75" customHeight="1">
      <c r="G2596" s="36"/>
      <c r="H2596" s="36"/>
      <c r="I2596" s="36"/>
      <c r="J2596" s="39"/>
      <c r="K2596" s="39"/>
      <c r="AF2596" s="42">
        <v>3300001248</v>
      </c>
      <c r="AG2596" s="42" t="s">
        <v>6529</v>
      </c>
    </row>
    <row r="2597" spans="7:33" ht="15.75" customHeight="1">
      <c r="G2597" s="36"/>
      <c r="H2597" s="36"/>
      <c r="I2597" s="36"/>
      <c r="J2597" s="39"/>
      <c r="K2597" s="39"/>
      <c r="AF2597" s="42">
        <v>3300001249</v>
      </c>
      <c r="AG2597" s="42" t="s">
        <v>6529</v>
      </c>
    </row>
    <row r="2598" spans="7:33" ht="15.75" customHeight="1">
      <c r="G2598" s="36"/>
      <c r="H2598" s="36"/>
      <c r="I2598" s="36"/>
      <c r="J2598" s="39"/>
      <c r="K2598" s="39"/>
      <c r="AF2598" s="42">
        <v>3300001250</v>
      </c>
      <c r="AG2598" s="42" t="s">
        <v>6529</v>
      </c>
    </row>
    <row r="2599" spans="7:33" ht="15.75" customHeight="1">
      <c r="G2599" s="36"/>
      <c r="H2599" s="36"/>
      <c r="I2599" s="36"/>
      <c r="J2599" s="39"/>
      <c r="K2599" s="39"/>
      <c r="AF2599" s="42">
        <v>3300001251</v>
      </c>
      <c r="AG2599" s="42" t="s">
        <v>6529</v>
      </c>
    </row>
    <row r="2600" spans="7:33" ht="15.75" customHeight="1">
      <c r="G2600" s="36"/>
      <c r="H2600" s="36"/>
      <c r="I2600" s="36"/>
      <c r="J2600" s="39"/>
      <c r="K2600" s="39"/>
      <c r="AF2600" s="42">
        <v>3300001252</v>
      </c>
      <c r="AG2600" s="42" t="s">
        <v>6529</v>
      </c>
    </row>
    <row r="2601" spans="7:33" ht="15.75" customHeight="1">
      <c r="G2601" s="36"/>
      <c r="H2601" s="36"/>
      <c r="I2601" s="36"/>
      <c r="J2601" s="39"/>
      <c r="K2601" s="39"/>
      <c r="AF2601" s="42">
        <v>3300001253</v>
      </c>
      <c r="AG2601" s="42" t="s">
        <v>6529</v>
      </c>
    </row>
    <row r="2602" spans="7:33" ht="15.75" customHeight="1">
      <c r="G2602" s="36"/>
      <c r="H2602" s="36"/>
      <c r="I2602" s="36"/>
      <c r="J2602" s="39"/>
      <c r="K2602" s="39"/>
      <c r="AF2602" s="42">
        <v>3300001254</v>
      </c>
      <c r="AG2602" s="42" t="s">
        <v>6529</v>
      </c>
    </row>
    <row r="2603" spans="7:33" ht="15.75" customHeight="1">
      <c r="G2603" s="36"/>
      <c r="H2603" s="36"/>
      <c r="I2603" s="36"/>
      <c r="J2603" s="39"/>
      <c r="K2603" s="39"/>
      <c r="AF2603" s="42">
        <v>3300001255</v>
      </c>
      <c r="AG2603" s="42" t="s">
        <v>6529</v>
      </c>
    </row>
    <row r="2604" spans="7:33" ht="15.75" customHeight="1">
      <c r="G2604" s="36"/>
      <c r="H2604" s="36"/>
      <c r="I2604" s="36"/>
      <c r="J2604" s="39"/>
      <c r="K2604" s="39"/>
      <c r="AF2604" s="42">
        <v>3300001256</v>
      </c>
      <c r="AG2604" s="42" t="s">
        <v>6529</v>
      </c>
    </row>
    <row r="2605" spans="7:33" ht="15.75" customHeight="1">
      <c r="G2605" s="36"/>
      <c r="H2605" s="36"/>
      <c r="I2605" s="36"/>
      <c r="J2605" s="39"/>
      <c r="K2605" s="39"/>
      <c r="AF2605" s="42">
        <v>3300001258</v>
      </c>
      <c r="AG2605" s="42" t="s">
        <v>6529</v>
      </c>
    </row>
    <row r="2606" spans="7:33" ht="15.75" customHeight="1">
      <c r="G2606" s="36"/>
      <c r="H2606" s="36"/>
      <c r="I2606" s="36"/>
      <c r="J2606" s="39"/>
      <c r="K2606" s="39"/>
      <c r="AF2606" s="42">
        <v>3300001259</v>
      </c>
      <c r="AG2606" s="42" t="s">
        <v>6529</v>
      </c>
    </row>
    <row r="2607" spans="7:33" ht="15.75" customHeight="1">
      <c r="G2607" s="36"/>
      <c r="H2607" s="36"/>
      <c r="I2607" s="36"/>
      <c r="J2607" s="39"/>
      <c r="K2607" s="39"/>
      <c r="AF2607" s="42">
        <v>3300001260</v>
      </c>
      <c r="AG2607" s="42" t="s">
        <v>6529</v>
      </c>
    </row>
    <row r="2608" spans="7:33" ht="15.75" customHeight="1">
      <c r="G2608" s="36"/>
      <c r="H2608" s="36"/>
      <c r="I2608" s="36"/>
      <c r="J2608" s="39"/>
      <c r="K2608" s="39"/>
      <c r="AF2608" s="42">
        <v>3300001261</v>
      </c>
      <c r="AG2608" s="42" t="s">
        <v>6529</v>
      </c>
    </row>
    <row r="2609" spans="7:33" ht="15.75" customHeight="1">
      <c r="G2609" s="36"/>
      <c r="H2609" s="36"/>
      <c r="I2609" s="36"/>
      <c r="J2609" s="39"/>
      <c r="K2609" s="39"/>
      <c r="AF2609" s="42">
        <v>3300001262</v>
      </c>
      <c r="AG2609" s="42" t="s">
        <v>6529</v>
      </c>
    </row>
    <row r="2610" spans="7:33" ht="15.75" customHeight="1">
      <c r="G2610" s="36"/>
      <c r="H2610" s="36"/>
      <c r="I2610" s="36"/>
      <c r="J2610" s="39"/>
      <c r="K2610" s="39"/>
      <c r="AF2610" s="42">
        <v>3300001263</v>
      </c>
      <c r="AG2610" s="42" t="s">
        <v>6529</v>
      </c>
    </row>
    <row r="2611" spans="7:33" ht="15.75" customHeight="1">
      <c r="G2611" s="36"/>
      <c r="H2611" s="36"/>
      <c r="I2611" s="36"/>
      <c r="J2611" s="39"/>
      <c r="K2611" s="39"/>
      <c r="AF2611" s="42">
        <v>3300001264</v>
      </c>
      <c r="AG2611" s="42" t="s">
        <v>6529</v>
      </c>
    </row>
    <row r="2612" spans="7:33" ht="15.75" customHeight="1">
      <c r="G2612" s="36"/>
      <c r="H2612" s="36"/>
      <c r="I2612" s="36"/>
      <c r="J2612" s="39"/>
      <c r="K2612" s="39"/>
      <c r="AF2612" s="42">
        <v>3300001265</v>
      </c>
      <c r="AG2612" s="42" t="s">
        <v>6529</v>
      </c>
    </row>
    <row r="2613" spans="7:33" ht="15.75" customHeight="1">
      <c r="G2613" s="36"/>
      <c r="H2613" s="36"/>
      <c r="I2613" s="36"/>
      <c r="J2613" s="39"/>
      <c r="K2613" s="39"/>
      <c r="AF2613" s="42">
        <v>3300001266</v>
      </c>
      <c r="AG2613" s="42" t="s">
        <v>6529</v>
      </c>
    </row>
    <row r="2614" spans="7:33" ht="15.75" customHeight="1">
      <c r="G2614" s="36"/>
      <c r="H2614" s="36"/>
      <c r="I2614" s="36"/>
      <c r="J2614" s="39"/>
      <c r="K2614" s="39"/>
      <c r="AF2614" s="42">
        <v>3300001267</v>
      </c>
      <c r="AG2614" s="42" t="s">
        <v>6529</v>
      </c>
    </row>
    <row r="2615" spans="7:33" ht="15.75" customHeight="1">
      <c r="G2615" s="36"/>
      <c r="H2615" s="36"/>
      <c r="I2615" s="36"/>
      <c r="J2615" s="39"/>
      <c r="K2615" s="39"/>
      <c r="AF2615" s="42">
        <v>3300001268</v>
      </c>
      <c r="AG2615" s="42" t="s">
        <v>6529</v>
      </c>
    </row>
    <row r="2616" spans="7:33" ht="15.75" customHeight="1">
      <c r="G2616" s="36"/>
      <c r="H2616" s="36"/>
      <c r="I2616" s="36"/>
      <c r="J2616" s="39"/>
      <c r="K2616" s="39"/>
      <c r="AF2616" s="42">
        <v>3300001277</v>
      </c>
      <c r="AG2616" s="42" t="s">
        <v>6529</v>
      </c>
    </row>
    <row r="2617" spans="7:33" ht="15.75" customHeight="1">
      <c r="G2617" s="36"/>
      <c r="H2617" s="36"/>
      <c r="I2617" s="36"/>
      <c r="J2617" s="39"/>
      <c r="K2617" s="39"/>
      <c r="AF2617" s="42">
        <v>3300001280</v>
      </c>
      <c r="AG2617" s="42" t="s">
        <v>6529</v>
      </c>
    </row>
    <row r="2618" spans="7:33" ht="15.75" customHeight="1">
      <c r="G2618" s="36"/>
      <c r="H2618" s="36"/>
      <c r="I2618" s="36"/>
      <c r="J2618" s="39"/>
      <c r="K2618" s="39"/>
      <c r="AF2618" s="42">
        <v>3300001286</v>
      </c>
      <c r="AG2618" s="42" t="s">
        <v>6529</v>
      </c>
    </row>
    <row r="2619" spans="7:33" ht="15.75" customHeight="1">
      <c r="G2619" s="36"/>
      <c r="H2619" s="36"/>
      <c r="I2619" s="36"/>
      <c r="J2619" s="39"/>
      <c r="K2619" s="39"/>
      <c r="AF2619" s="42">
        <v>3300001292</v>
      </c>
      <c r="AG2619" s="42" t="s">
        <v>6529</v>
      </c>
    </row>
    <row r="2620" spans="7:33" ht="15.75" customHeight="1">
      <c r="G2620" s="36"/>
      <c r="H2620" s="36"/>
      <c r="I2620" s="36"/>
      <c r="J2620" s="39"/>
      <c r="K2620" s="39"/>
      <c r="AF2620" s="42">
        <v>3300001295</v>
      </c>
      <c r="AG2620" s="42" t="s">
        <v>6529</v>
      </c>
    </row>
    <row r="2621" spans="7:33" ht="15.75" customHeight="1">
      <c r="G2621" s="36"/>
      <c r="H2621" s="36"/>
      <c r="I2621" s="36"/>
      <c r="J2621" s="39"/>
      <c r="K2621" s="39"/>
      <c r="AF2621" s="42">
        <v>3300001296</v>
      </c>
      <c r="AG2621" s="42" t="s">
        <v>6529</v>
      </c>
    </row>
    <row r="2622" spans="7:33" ht="15.75" customHeight="1">
      <c r="G2622" s="36"/>
      <c r="H2622" s="36"/>
      <c r="I2622" s="36"/>
      <c r="J2622" s="39"/>
      <c r="K2622" s="39"/>
      <c r="AF2622" s="42">
        <v>3300001411</v>
      </c>
      <c r="AG2622" s="42" t="s">
        <v>6529</v>
      </c>
    </row>
    <row r="2623" spans="7:33" ht="15.75" customHeight="1">
      <c r="G2623" s="36"/>
      <c r="H2623" s="36"/>
      <c r="I2623" s="36"/>
      <c r="J2623" s="39"/>
      <c r="K2623" s="39"/>
      <c r="AF2623" s="42">
        <v>3300001422</v>
      </c>
      <c r="AG2623" s="42" t="s">
        <v>6529</v>
      </c>
    </row>
    <row r="2624" spans="7:33" ht="15.75" customHeight="1">
      <c r="G2624" s="36"/>
      <c r="H2624" s="36"/>
      <c r="I2624" s="36"/>
      <c r="J2624" s="39"/>
      <c r="K2624" s="39"/>
      <c r="AF2624" s="42">
        <v>3300001425</v>
      </c>
      <c r="AG2624" s="42" t="s">
        <v>6529</v>
      </c>
    </row>
    <row r="2625" spans="7:33" ht="15.75" customHeight="1">
      <c r="G2625" s="36"/>
      <c r="H2625" s="36"/>
      <c r="I2625" s="36"/>
      <c r="J2625" s="39"/>
      <c r="K2625" s="39"/>
      <c r="AF2625" s="42">
        <v>3300001429</v>
      </c>
      <c r="AG2625" s="42" t="s">
        <v>6529</v>
      </c>
    </row>
    <row r="2626" spans="7:33" ht="15.75" customHeight="1">
      <c r="G2626" s="36"/>
      <c r="H2626" s="36"/>
      <c r="I2626" s="36"/>
      <c r="J2626" s="39"/>
      <c r="K2626" s="39"/>
      <c r="AF2626" s="42">
        <v>3300001433</v>
      </c>
      <c r="AG2626" s="42" t="s">
        <v>6529</v>
      </c>
    </row>
    <row r="2627" spans="7:33" ht="15.75" customHeight="1">
      <c r="G2627" s="36"/>
      <c r="H2627" s="36"/>
      <c r="I2627" s="36"/>
      <c r="J2627" s="39"/>
      <c r="K2627" s="39"/>
      <c r="AF2627" s="42">
        <v>3300001582</v>
      </c>
      <c r="AG2627" s="42" t="s">
        <v>6529</v>
      </c>
    </row>
    <row r="2628" spans="7:33" ht="15.75" customHeight="1">
      <c r="G2628" s="36"/>
      <c r="H2628" s="36"/>
      <c r="I2628" s="36"/>
      <c r="J2628" s="39"/>
      <c r="K2628" s="39"/>
      <c r="AF2628" s="42">
        <v>3300001583</v>
      </c>
      <c r="AG2628" s="42" t="s">
        <v>6529</v>
      </c>
    </row>
    <row r="2629" spans="7:33" ht="15.75" customHeight="1">
      <c r="G2629" s="36"/>
      <c r="H2629" s="36"/>
      <c r="I2629" s="36"/>
      <c r="J2629" s="39"/>
      <c r="K2629" s="39"/>
      <c r="AF2629" s="42">
        <v>3300001585</v>
      </c>
      <c r="AG2629" s="42" t="s">
        <v>6529</v>
      </c>
    </row>
    <row r="2630" spans="7:33" ht="15.75" customHeight="1">
      <c r="G2630" s="36"/>
      <c r="H2630" s="36"/>
      <c r="I2630" s="36"/>
      <c r="J2630" s="39"/>
      <c r="K2630" s="39"/>
      <c r="AF2630" s="42">
        <v>3300001590</v>
      </c>
      <c r="AG2630" s="42" t="s">
        <v>6529</v>
      </c>
    </row>
    <row r="2631" spans="7:33" ht="15.75" customHeight="1">
      <c r="G2631" s="36"/>
      <c r="H2631" s="36"/>
      <c r="I2631" s="36"/>
      <c r="J2631" s="39"/>
      <c r="K2631" s="39"/>
      <c r="AF2631" s="42">
        <v>3300001637</v>
      </c>
      <c r="AG2631" s="42" t="s">
        <v>6529</v>
      </c>
    </row>
    <row r="2632" spans="7:33" ht="15.75" customHeight="1">
      <c r="G2632" s="36"/>
      <c r="H2632" s="36"/>
      <c r="I2632" s="36"/>
      <c r="J2632" s="39"/>
      <c r="K2632" s="39"/>
      <c r="AF2632" s="42">
        <v>3300001638</v>
      </c>
      <c r="AG2632" s="42" t="s">
        <v>6529</v>
      </c>
    </row>
    <row r="2633" spans="7:33" ht="15.75" customHeight="1">
      <c r="G2633" s="36"/>
      <c r="H2633" s="36"/>
      <c r="I2633" s="36"/>
      <c r="J2633" s="39"/>
      <c r="K2633" s="39"/>
      <c r="AF2633" s="42">
        <v>3300001639</v>
      </c>
      <c r="AG2633" s="42" t="s">
        <v>6529</v>
      </c>
    </row>
    <row r="2634" spans="7:33" ht="15.75" customHeight="1">
      <c r="G2634" s="36"/>
      <c r="H2634" s="36"/>
      <c r="I2634" s="36"/>
      <c r="J2634" s="39"/>
      <c r="K2634" s="39"/>
      <c r="AF2634" s="42">
        <v>3300001640</v>
      </c>
      <c r="AG2634" s="42" t="s">
        <v>6529</v>
      </c>
    </row>
    <row r="2635" spans="7:33" ht="15.75" customHeight="1">
      <c r="G2635" s="36"/>
      <c r="H2635" s="36"/>
      <c r="I2635" s="36"/>
      <c r="J2635" s="39"/>
      <c r="K2635" s="39"/>
      <c r="AF2635" s="42">
        <v>3300001641</v>
      </c>
      <c r="AG2635" s="42" t="s">
        <v>6529</v>
      </c>
    </row>
    <row r="2636" spans="7:33" ht="15.75" customHeight="1">
      <c r="G2636" s="36"/>
      <c r="H2636" s="36"/>
      <c r="I2636" s="36"/>
      <c r="J2636" s="39"/>
      <c r="K2636" s="39"/>
      <c r="AF2636" s="42">
        <v>3300001642</v>
      </c>
      <c r="AG2636" s="42" t="s">
        <v>6529</v>
      </c>
    </row>
    <row r="2637" spans="7:33" ht="15.75" customHeight="1">
      <c r="G2637" s="36"/>
      <c r="H2637" s="36"/>
      <c r="I2637" s="36"/>
      <c r="J2637" s="39"/>
      <c r="K2637" s="39"/>
      <c r="AF2637" s="42">
        <v>3300001643</v>
      </c>
      <c r="AG2637" s="42" t="s">
        <v>6529</v>
      </c>
    </row>
    <row r="2638" spans="7:33" ht="15.75" customHeight="1">
      <c r="G2638" s="36"/>
      <c r="H2638" s="36"/>
      <c r="I2638" s="36"/>
      <c r="J2638" s="39"/>
      <c r="K2638" s="39"/>
      <c r="AF2638" s="42">
        <v>3300001644</v>
      </c>
      <c r="AG2638" s="42" t="s">
        <v>6529</v>
      </c>
    </row>
    <row r="2639" spans="7:33" ht="15.75" customHeight="1">
      <c r="G2639" s="36"/>
      <c r="H2639" s="36"/>
      <c r="I2639" s="36"/>
      <c r="J2639" s="39"/>
      <c r="K2639" s="39"/>
      <c r="AF2639" s="42">
        <v>3300001645</v>
      </c>
      <c r="AG2639" s="42" t="s">
        <v>6529</v>
      </c>
    </row>
    <row r="2640" spans="7:33" ht="15.75" customHeight="1">
      <c r="G2640" s="36"/>
      <c r="H2640" s="36"/>
      <c r="I2640" s="36"/>
      <c r="J2640" s="39"/>
      <c r="K2640" s="39"/>
      <c r="AF2640" s="42">
        <v>3300001646</v>
      </c>
      <c r="AG2640" s="42" t="s">
        <v>6529</v>
      </c>
    </row>
    <row r="2641" spans="7:33" ht="15.75" customHeight="1">
      <c r="G2641" s="36"/>
      <c r="H2641" s="36"/>
      <c r="I2641" s="36"/>
      <c r="J2641" s="39"/>
      <c r="K2641" s="39"/>
      <c r="AF2641" s="42">
        <v>3300001662</v>
      </c>
      <c r="AG2641" s="42" t="s">
        <v>6529</v>
      </c>
    </row>
    <row r="2642" spans="7:33" ht="15.75" customHeight="1">
      <c r="G2642" s="36"/>
      <c r="H2642" s="36"/>
      <c r="I2642" s="36"/>
      <c r="J2642" s="39"/>
      <c r="K2642" s="39"/>
      <c r="AF2642" s="42">
        <v>3300001663</v>
      </c>
      <c r="AG2642" s="42" t="s">
        <v>6529</v>
      </c>
    </row>
    <row r="2643" spans="7:33" ht="15.75" customHeight="1">
      <c r="G2643" s="36"/>
      <c r="H2643" s="36"/>
      <c r="I2643" s="36"/>
      <c r="J2643" s="39"/>
      <c r="K2643" s="39"/>
      <c r="AF2643" s="42">
        <v>3300001664</v>
      </c>
      <c r="AG2643" s="42" t="s">
        <v>6529</v>
      </c>
    </row>
    <row r="2644" spans="7:33" ht="15.75" customHeight="1">
      <c r="G2644" s="36"/>
      <c r="H2644" s="36"/>
      <c r="I2644" s="36"/>
      <c r="J2644" s="39"/>
      <c r="K2644" s="39"/>
      <c r="AF2644" s="42">
        <v>3300001665</v>
      </c>
      <c r="AG2644" s="42" t="s">
        <v>6529</v>
      </c>
    </row>
    <row r="2645" spans="7:33" ht="15.75" customHeight="1">
      <c r="G2645" s="36"/>
      <c r="H2645" s="36"/>
      <c r="I2645" s="36"/>
      <c r="J2645" s="39"/>
      <c r="K2645" s="39"/>
      <c r="AF2645" s="42">
        <v>3300001666</v>
      </c>
      <c r="AG2645" s="42" t="s">
        <v>6529</v>
      </c>
    </row>
    <row r="2646" spans="7:33" ht="15.75" customHeight="1">
      <c r="G2646" s="36"/>
      <c r="H2646" s="36"/>
      <c r="I2646" s="36"/>
      <c r="J2646" s="39"/>
      <c r="K2646" s="39"/>
      <c r="AF2646" s="42">
        <v>3300001667</v>
      </c>
      <c r="AG2646" s="42" t="s">
        <v>6529</v>
      </c>
    </row>
    <row r="2647" spans="7:33" ht="15.75" customHeight="1">
      <c r="G2647" s="36"/>
      <c r="H2647" s="36"/>
      <c r="I2647" s="36"/>
      <c r="J2647" s="39"/>
      <c r="K2647" s="39"/>
      <c r="AF2647" s="42">
        <v>3300001668</v>
      </c>
      <c r="AG2647" s="42" t="s">
        <v>6529</v>
      </c>
    </row>
    <row r="2648" spans="7:33" ht="15.75" customHeight="1">
      <c r="G2648" s="36"/>
      <c r="H2648" s="36"/>
      <c r="I2648" s="36"/>
      <c r="J2648" s="39"/>
      <c r="K2648" s="39"/>
      <c r="AF2648" s="42">
        <v>3300001669</v>
      </c>
      <c r="AG2648" s="42" t="s">
        <v>6529</v>
      </c>
    </row>
    <row r="2649" spans="7:33" ht="15.75" customHeight="1">
      <c r="G2649" s="36"/>
      <c r="H2649" s="36"/>
      <c r="I2649" s="36"/>
      <c r="J2649" s="39"/>
      <c r="K2649" s="39"/>
      <c r="AF2649" s="42">
        <v>3300001670</v>
      </c>
      <c r="AG2649" s="42" t="s">
        <v>6529</v>
      </c>
    </row>
    <row r="2650" spans="7:33" ht="15.75" customHeight="1">
      <c r="G2650" s="36"/>
      <c r="H2650" s="36"/>
      <c r="I2650" s="36"/>
      <c r="J2650" s="39"/>
      <c r="K2650" s="39"/>
      <c r="AF2650" s="42">
        <v>3300001671</v>
      </c>
      <c r="AG2650" s="42" t="s">
        <v>6529</v>
      </c>
    </row>
    <row r="2651" spans="7:33" ht="15.75" customHeight="1">
      <c r="G2651" s="36"/>
      <c r="H2651" s="36"/>
      <c r="I2651" s="36"/>
      <c r="J2651" s="39"/>
      <c r="K2651" s="39"/>
      <c r="AF2651" s="42">
        <v>3300001672</v>
      </c>
      <c r="AG2651" s="42" t="s">
        <v>6529</v>
      </c>
    </row>
    <row r="2652" spans="7:33" ht="15.75" customHeight="1">
      <c r="G2652" s="36"/>
      <c r="H2652" s="36"/>
      <c r="I2652" s="36"/>
      <c r="J2652" s="39"/>
      <c r="K2652" s="39"/>
      <c r="AF2652" s="42">
        <v>3300001673</v>
      </c>
      <c r="AG2652" s="42" t="s">
        <v>6529</v>
      </c>
    </row>
    <row r="2653" spans="7:33" ht="15.75" customHeight="1">
      <c r="G2653" s="36"/>
      <c r="H2653" s="36"/>
      <c r="I2653" s="36"/>
      <c r="J2653" s="39"/>
      <c r="K2653" s="39"/>
      <c r="AF2653" s="42">
        <v>3300001674</v>
      </c>
      <c r="AG2653" s="42" t="s">
        <v>6529</v>
      </c>
    </row>
    <row r="2654" spans="7:33" ht="15.75" customHeight="1">
      <c r="G2654" s="36"/>
      <c r="H2654" s="36"/>
      <c r="I2654" s="36"/>
      <c r="J2654" s="39"/>
      <c r="K2654" s="39"/>
      <c r="AF2654" s="42">
        <v>3300001676</v>
      </c>
      <c r="AG2654" s="42" t="s">
        <v>6529</v>
      </c>
    </row>
    <row r="2655" spans="7:33" ht="15.75" customHeight="1">
      <c r="G2655" s="36"/>
      <c r="H2655" s="36"/>
      <c r="I2655" s="36"/>
      <c r="J2655" s="39"/>
      <c r="K2655" s="39"/>
      <c r="AF2655" s="42">
        <v>3300001677</v>
      </c>
      <c r="AG2655" s="42" t="s">
        <v>6529</v>
      </c>
    </row>
    <row r="2656" spans="7:33" ht="15.75" customHeight="1">
      <c r="G2656" s="36"/>
      <c r="H2656" s="36"/>
      <c r="I2656" s="36"/>
      <c r="J2656" s="39"/>
      <c r="K2656" s="39"/>
      <c r="AF2656" s="42">
        <v>3300001678</v>
      </c>
      <c r="AG2656" s="42" t="s">
        <v>6529</v>
      </c>
    </row>
    <row r="2657" spans="7:33" ht="15.75" customHeight="1">
      <c r="G2657" s="36"/>
      <c r="H2657" s="36"/>
      <c r="I2657" s="36"/>
      <c r="J2657" s="39"/>
      <c r="K2657" s="39"/>
      <c r="AF2657" s="42">
        <v>3300001679</v>
      </c>
      <c r="AG2657" s="42" t="s">
        <v>6529</v>
      </c>
    </row>
    <row r="2658" spans="7:33" ht="15.75" customHeight="1">
      <c r="G2658" s="36"/>
      <c r="H2658" s="36"/>
      <c r="I2658" s="36"/>
      <c r="J2658" s="39"/>
      <c r="K2658" s="39"/>
      <c r="AF2658" s="42">
        <v>3300001680</v>
      </c>
      <c r="AG2658" s="42" t="s">
        <v>6529</v>
      </c>
    </row>
    <row r="2659" spans="7:33" ht="15.75" customHeight="1">
      <c r="G2659" s="36"/>
      <c r="H2659" s="36"/>
      <c r="I2659" s="36"/>
      <c r="J2659" s="39"/>
      <c r="K2659" s="39"/>
      <c r="AF2659" s="42">
        <v>3300001681</v>
      </c>
      <c r="AG2659" s="42" t="s">
        <v>6529</v>
      </c>
    </row>
    <row r="2660" spans="7:33" ht="15.75" customHeight="1">
      <c r="G2660" s="36"/>
      <c r="H2660" s="36"/>
      <c r="I2660" s="36"/>
      <c r="J2660" s="39"/>
      <c r="K2660" s="39"/>
      <c r="AF2660" s="42">
        <v>3300001682</v>
      </c>
      <c r="AG2660" s="42" t="s">
        <v>6529</v>
      </c>
    </row>
    <row r="2661" spans="7:33" ht="15.75" customHeight="1">
      <c r="G2661" s="36"/>
      <c r="H2661" s="36"/>
      <c r="I2661" s="36"/>
      <c r="J2661" s="39"/>
      <c r="K2661" s="39"/>
      <c r="AF2661" s="42">
        <v>3300001683</v>
      </c>
      <c r="AG2661" s="42" t="s">
        <v>6529</v>
      </c>
    </row>
    <row r="2662" spans="7:33" ht="15.75" customHeight="1">
      <c r="G2662" s="36"/>
      <c r="H2662" s="36"/>
      <c r="I2662" s="36"/>
      <c r="J2662" s="39"/>
      <c r="K2662" s="39"/>
      <c r="AF2662" s="42">
        <v>3300001684</v>
      </c>
      <c r="AG2662" s="42" t="s">
        <v>6529</v>
      </c>
    </row>
    <row r="2663" spans="7:33" ht="15.75" customHeight="1">
      <c r="G2663" s="36"/>
      <c r="H2663" s="36"/>
      <c r="I2663" s="36"/>
      <c r="J2663" s="39"/>
      <c r="K2663" s="39"/>
      <c r="AF2663" s="42">
        <v>3300001685</v>
      </c>
      <c r="AG2663" s="42" t="s">
        <v>6529</v>
      </c>
    </row>
    <row r="2664" spans="7:33" ht="15.75" customHeight="1">
      <c r="G2664" s="36"/>
      <c r="H2664" s="36"/>
      <c r="I2664" s="36"/>
      <c r="J2664" s="39"/>
      <c r="K2664" s="39"/>
      <c r="AF2664" s="42">
        <v>3300001686</v>
      </c>
      <c r="AG2664" s="42" t="s">
        <v>6529</v>
      </c>
    </row>
    <row r="2665" spans="7:33" ht="15.75" customHeight="1">
      <c r="G2665" s="36"/>
      <c r="H2665" s="36"/>
      <c r="I2665" s="36"/>
      <c r="J2665" s="39"/>
      <c r="K2665" s="39"/>
      <c r="AF2665" s="42">
        <v>3300001687</v>
      </c>
      <c r="AG2665" s="42" t="s">
        <v>6529</v>
      </c>
    </row>
    <row r="2666" spans="7:33" ht="15.75" customHeight="1">
      <c r="G2666" s="36"/>
      <c r="H2666" s="36"/>
      <c r="I2666" s="36"/>
      <c r="J2666" s="39"/>
      <c r="K2666" s="39"/>
      <c r="AF2666" s="42">
        <v>3300001688</v>
      </c>
      <c r="AG2666" s="42" t="s">
        <v>6529</v>
      </c>
    </row>
    <row r="2667" spans="7:33" ht="15.75" customHeight="1">
      <c r="G2667" s="36"/>
      <c r="H2667" s="36"/>
      <c r="I2667" s="36"/>
      <c r="J2667" s="39"/>
      <c r="K2667" s="39"/>
      <c r="AF2667" s="42">
        <v>3300001689</v>
      </c>
      <c r="AG2667" s="42" t="s">
        <v>6529</v>
      </c>
    </row>
    <row r="2668" spans="7:33" ht="15.75" customHeight="1">
      <c r="G2668" s="36"/>
      <c r="H2668" s="36"/>
      <c r="I2668" s="36"/>
      <c r="J2668" s="39"/>
      <c r="K2668" s="39"/>
      <c r="AF2668" s="42">
        <v>3300001690</v>
      </c>
      <c r="AG2668" s="42" t="s">
        <v>6529</v>
      </c>
    </row>
    <row r="2669" spans="7:33" ht="15.75" customHeight="1">
      <c r="G2669" s="36"/>
      <c r="H2669" s="36"/>
      <c r="I2669" s="36"/>
      <c r="J2669" s="39"/>
      <c r="K2669" s="39"/>
      <c r="AF2669" s="42">
        <v>3300001691</v>
      </c>
      <c r="AG2669" s="42" t="s">
        <v>6529</v>
      </c>
    </row>
    <row r="2670" spans="7:33" ht="15.75" customHeight="1">
      <c r="G2670" s="36"/>
      <c r="H2670" s="36"/>
      <c r="I2670" s="36"/>
      <c r="J2670" s="39"/>
      <c r="K2670" s="39"/>
      <c r="AF2670" s="42">
        <v>3300001692</v>
      </c>
      <c r="AG2670" s="42" t="s">
        <v>6529</v>
      </c>
    </row>
    <row r="2671" spans="7:33" ht="15.75" customHeight="1">
      <c r="G2671" s="36"/>
      <c r="H2671" s="36"/>
      <c r="I2671" s="36"/>
      <c r="J2671" s="39"/>
      <c r="K2671" s="39"/>
      <c r="AF2671" s="42">
        <v>3300001693</v>
      </c>
      <c r="AG2671" s="42" t="s">
        <v>6529</v>
      </c>
    </row>
    <row r="2672" spans="7:33" ht="15.75" customHeight="1">
      <c r="G2672" s="36"/>
      <c r="H2672" s="36"/>
      <c r="I2672" s="36"/>
      <c r="J2672" s="39"/>
      <c r="K2672" s="39"/>
      <c r="AF2672" s="42">
        <v>3300001694</v>
      </c>
      <c r="AG2672" s="42" t="s">
        <v>6529</v>
      </c>
    </row>
    <row r="2673" spans="7:33" ht="15.75" customHeight="1">
      <c r="G2673" s="36"/>
      <c r="H2673" s="36"/>
      <c r="I2673" s="36"/>
      <c r="J2673" s="39"/>
      <c r="K2673" s="39"/>
      <c r="AF2673" s="42">
        <v>3300001695</v>
      </c>
      <c r="AG2673" s="42" t="s">
        <v>6529</v>
      </c>
    </row>
    <row r="2674" spans="7:33" ht="15.75" customHeight="1">
      <c r="G2674" s="36"/>
      <c r="H2674" s="36"/>
      <c r="I2674" s="36"/>
      <c r="J2674" s="39"/>
      <c r="K2674" s="39"/>
      <c r="AF2674" s="42">
        <v>3300001696</v>
      </c>
      <c r="AG2674" s="42" t="s">
        <v>6529</v>
      </c>
    </row>
    <row r="2675" spans="7:33" ht="15.75" customHeight="1">
      <c r="G2675" s="36"/>
      <c r="H2675" s="36"/>
      <c r="I2675" s="36"/>
      <c r="J2675" s="39"/>
      <c r="K2675" s="39"/>
      <c r="AF2675" s="42">
        <v>3300001697</v>
      </c>
      <c r="AG2675" s="42" t="s">
        <v>6529</v>
      </c>
    </row>
    <row r="2676" spans="7:33" ht="15.75" customHeight="1">
      <c r="G2676" s="36"/>
      <c r="H2676" s="36"/>
      <c r="I2676" s="36"/>
      <c r="J2676" s="39"/>
      <c r="K2676" s="39"/>
      <c r="AF2676" s="42">
        <v>3300001698</v>
      </c>
      <c r="AG2676" s="42" t="s">
        <v>6529</v>
      </c>
    </row>
    <row r="2677" spans="7:33" ht="15.75" customHeight="1">
      <c r="G2677" s="36"/>
      <c r="H2677" s="36"/>
      <c r="I2677" s="36"/>
      <c r="J2677" s="39"/>
      <c r="K2677" s="39"/>
      <c r="AF2677" s="42">
        <v>3300001699</v>
      </c>
      <c r="AG2677" s="42" t="s">
        <v>6529</v>
      </c>
    </row>
    <row r="2678" spans="7:33" ht="15.75" customHeight="1">
      <c r="G2678" s="36"/>
      <c r="H2678" s="36"/>
      <c r="I2678" s="36"/>
      <c r="J2678" s="39"/>
      <c r="K2678" s="39"/>
      <c r="AF2678" s="42">
        <v>3300001700</v>
      </c>
      <c r="AG2678" s="42" t="s">
        <v>6529</v>
      </c>
    </row>
    <row r="2679" spans="7:33" ht="15.75" customHeight="1">
      <c r="G2679" s="36"/>
      <c r="H2679" s="36"/>
      <c r="I2679" s="36"/>
      <c r="J2679" s="39"/>
      <c r="K2679" s="39"/>
      <c r="AF2679" s="42">
        <v>3300001701</v>
      </c>
      <c r="AG2679" s="42" t="s">
        <v>6529</v>
      </c>
    </row>
    <row r="2680" spans="7:33" ht="15.75" customHeight="1">
      <c r="G2680" s="36"/>
      <c r="H2680" s="36"/>
      <c r="I2680" s="36"/>
      <c r="J2680" s="39"/>
      <c r="K2680" s="39"/>
      <c r="AF2680" s="42">
        <v>3300001702</v>
      </c>
      <c r="AG2680" s="42" t="s">
        <v>6529</v>
      </c>
    </row>
    <row r="2681" spans="7:33" ht="15.75" customHeight="1">
      <c r="G2681" s="36"/>
      <c r="H2681" s="36"/>
      <c r="I2681" s="36"/>
      <c r="J2681" s="39"/>
      <c r="K2681" s="39"/>
      <c r="AF2681" s="42">
        <v>3300001703</v>
      </c>
      <c r="AG2681" s="42" t="s">
        <v>6529</v>
      </c>
    </row>
    <row r="2682" spans="7:33" ht="15.75" customHeight="1">
      <c r="G2682" s="36"/>
      <c r="H2682" s="36"/>
      <c r="I2682" s="36"/>
      <c r="J2682" s="39"/>
      <c r="K2682" s="39"/>
      <c r="AF2682" s="42">
        <v>3300001704</v>
      </c>
      <c r="AG2682" s="42" t="s">
        <v>6529</v>
      </c>
    </row>
    <row r="2683" spans="7:33" ht="15.75" customHeight="1">
      <c r="G2683" s="36"/>
      <c r="H2683" s="36"/>
      <c r="I2683" s="36"/>
      <c r="J2683" s="39"/>
      <c r="K2683" s="39"/>
      <c r="AF2683" s="42">
        <v>3300001705</v>
      </c>
      <c r="AG2683" s="42" t="s">
        <v>6529</v>
      </c>
    </row>
    <row r="2684" spans="7:33" ht="15.75" customHeight="1">
      <c r="G2684" s="36"/>
      <c r="H2684" s="36"/>
      <c r="I2684" s="36"/>
      <c r="J2684" s="39"/>
      <c r="K2684" s="39"/>
      <c r="AF2684" s="42">
        <v>3300001706</v>
      </c>
      <c r="AG2684" s="42" t="s">
        <v>6529</v>
      </c>
    </row>
    <row r="2685" spans="7:33" ht="15.75" customHeight="1">
      <c r="G2685" s="36"/>
      <c r="H2685" s="36"/>
      <c r="I2685" s="36"/>
      <c r="J2685" s="39"/>
      <c r="K2685" s="39"/>
      <c r="AF2685" s="42">
        <v>3300001707</v>
      </c>
      <c r="AG2685" s="42" t="s">
        <v>6529</v>
      </c>
    </row>
    <row r="2686" spans="7:33" ht="15.75" customHeight="1">
      <c r="G2686" s="36"/>
      <c r="H2686" s="36"/>
      <c r="I2686" s="36"/>
      <c r="J2686" s="39"/>
      <c r="K2686" s="39"/>
      <c r="AF2686" s="42">
        <v>3300001708</v>
      </c>
      <c r="AG2686" s="42" t="s">
        <v>6529</v>
      </c>
    </row>
    <row r="2687" spans="7:33" ht="15.75" customHeight="1">
      <c r="G2687" s="36"/>
      <c r="H2687" s="36"/>
      <c r="I2687" s="36"/>
      <c r="J2687" s="39"/>
      <c r="K2687" s="39"/>
      <c r="AF2687" s="42">
        <v>3300001709</v>
      </c>
      <c r="AG2687" s="42" t="s">
        <v>6529</v>
      </c>
    </row>
    <row r="2688" spans="7:33" ht="15.75" customHeight="1">
      <c r="G2688" s="36"/>
      <c r="H2688" s="36"/>
      <c r="I2688" s="36"/>
      <c r="J2688" s="39"/>
      <c r="K2688" s="39"/>
      <c r="AF2688" s="42">
        <v>3300001710</v>
      </c>
      <c r="AG2688" s="42" t="s">
        <v>6529</v>
      </c>
    </row>
    <row r="2689" spans="7:33" ht="15.75" customHeight="1">
      <c r="G2689" s="36"/>
      <c r="H2689" s="36"/>
      <c r="I2689" s="36"/>
      <c r="J2689" s="39"/>
      <c r="K2689" s="39"/>
      <c r="AF2689" s="42">
        <v>3300001711</v>
      </c>
      <c r="AG2689" s="42" t="s">
        <v>6529</v>
      </c>
    </row>
    <row r="2690" spans="7:33" ht="15.75" customHeight="1">
      <c r="G2690" s="36"/>
      <c r="H2690" s="36"/>
      <c r="I2690" s="36"/>
      <c r="J2690" s="39"/>
      <c r="K2690" s="39"/>
      <c r="AF2690" s="42">
        <v>3300002193</v>
      </c>
      <c r="AG2690" s="42" t="s">
        <v>6529</v>
      </c>
    </row>
    <row r="2691" spans="7:33" ht="15.75" customHeight="1">
      <c r="G2691" s="36"/>
      <c r="H2691" s="36"/>
      <c r="I2691" s="36"/>
      <c r="J2691" s="39"/>
      <c r="K2691" s="39"/>
      <c r="AF2691" s="42">
        <v>3300002194</v>
      </c>
      <c r="AG2691" s="42" t="s">
        <v>6529</v>
      </c>
    </row>
    <row r="2692" spans="7:33" ht="15.75" customHeight="1">
      <c r="G2692" s="36"/>
      <c r="H2692" s="36"/>
      <c r="I2692" s="36"/>
      <c r="J2692" s="39"/>
      <c r="K2692" s="39"/>
      <c r="AF2692" s="42">
        <v>3300002195</v>
      </c>
      <c r="AG2692" s="42" t="s">
        <v>6529</v>
      </c>
    </row>
    <row r="2693" spans="7:33" ht="15.75" customHeight="1">
      <c r="G2693" s="36"/>
      <c r="H2693" s="36"/>
      <c r="I2693" s="36"/>
      <c r="J2693" s="39"/>
      <c r="K2693" s="39"/>
      <c r="AF2693" s="42">
        <v>3300002196</v>
      </c>
      <c r="AG2693" s="42" t="s">
        <v>6529</v>
      </c>
    </row>
    <row r="2694" spans="7:33" ht="15.75" customHeight="1">
      <c r="G2694" s="36"/>
      <c r="H2694" s="36"/>
      <c r="I2694" s="36"/>
      <c r="J2694" s="39"/>
      <c r="K2694" s="39"/>
      <c r="AF2694" s="42">
        <v>3300002197</v>
      </c>
      <c r="AG2694" s="42" t="s">
        <v>6529</v>
      </c>
    </row>
    <row r="2695" spans="7:33" ht="15.75" customHeight="1">
      <c r="G2695" s="36"/>
      <c r="H2695" s="36"/>
      <c r="I2695" s="36"/>
      <c r="J2695" s="39"/>
      <c r="K2695" s="39"/>
      <c r="AF2695" s="42">
        <v>3300002198</v>
      </c>
      <c r="AG2695" s="42" t="s">
        <v>6529</v>
      </c>
    </row>
    <row r="2696" spans="7:33" ht="15.75" customHeight="1">
      <c r="G2696" s="36"/>
      <c r="H2696" s="36"/>
      <c r="I2696" s="36"/>
      <c r="J2696" s="39"/>
      <c r="K2696" s="39"/>
      <c r="AF2696" s="42">
        <v>3300002199</v>
      </c>
      <c r="AG2696" s="42" t="s">
        <v>6529</v>
      </c>
    </row>
    <row r="2697" spans="7:33" ht="15.75" customHeight="1">
      <c r="G2697" s="36"/>
      <c r="H2697" s="36"/>
      <c r="I2697" s="36"/>
      <c r="J2697" s="39"/>
      <c r="K2697" s="39"/>
      <c r="AF2697" s="42">
        <v>3300002200</v>
      </c>
      <c r="AG2697" s="42" t="s">
        <v>6529</v>
      </c>
    </row>
    <row r="2698" spans="7:33" ht="15.75" customHeight="1">
      <c r="G2698" s="36"/>
      <c r="H2698" s="36"/>
      <c r="I2698" s="36"/>
      <c r="J2698" s="39"/>
      <c r="K2698" s="39"/>
      <c r="AF2698" s="42">
        <v>3300002201</v>
      </c>
      <c r="AG2698" s="42" t="s">
        <v>6529</v>
      </c>
    </row>
    <row r="2699" spans="7:33" ht="15.75" customHeight="1">
      <c r="G2699" s="36"/>
      <c r="H2699" s="36"/>
      <c r="I2699" s="36"/>
      <c r="J2699" s="39"/>
      <c r="K2699" s="39"/>
      <c r="AF2699" s="42">
        <v>3300002202</v>
      </c>
      <c r="AG2699" s="42" t="s">
        <v>6529</v>
      </c>
    </row>
    <row r="2700" spans="7:33" ht="15.75" customHeight="1">
      <c r="G2700" s="36"/>
      <c r="H2700" s="36"/>
      <c r="I2700" s="36"/>
      <c r="J2700" s="39"/>
      <c r="K2700" s="39"/>
      <c r="AF2700" s="42">
        <v>3300002203</v>
      </c>
      <c r="AG2700" s="42" t="s">
        <v>6529</v>
      </c>
    </row>
    <row r="2701" spans="7:33" ht="15.75" customHeight="1">
      <c r="G2701" s="36"/>
      <c r="H2701" s="36"/>
      <c r="I2701" s="36"/>
      <c r="J2701" s="39"/>
      <c r="K2701" s="39"/>
      <c r="AF2701" s="42">
        <v>3300002204</v>
      </c>
      <c r="AG2701" s="42" t="s">
        <v>6529</v>
      </c>
    </row>
    <row r="2702" spans="7:33" ht="15.75" customHeight="1">
      <c r="G2702" s="36"/>
      <c r="H2702" s="36"/>
      <c r="I2702" s="36"/>
      <c r="J2702" s="39"/>
      <c r="K2702" s="39"/>
      <c r="AF2702" s="42">
        <v>3300002206</v>
      </c>
      <c r="AG2702" s="42" t="s">
        <v>6529</v>
      </c>
    </row>
    <row r="2703" spans="7:33" ht="15.75" customHeight="1">
      <c r="G2703" s="36"/>
      <c r="H2703" s="36"/>
      <c r="I2703" s="36"/>
      <c r="J2703" s="39"/>
      <c r="K2703" s="39"/>
      <c r="AF2703" s="42">
        <v>3300002207</v>
      </c>
      <c r="AG2703" s="42" t="s">
        <v>6529</v>
      </c>
    </row>
    <row r="2704" spans="7:33" ht="15.75" customHeight="1">
      <c r="G2704" s="36"/>
      <c r="H2704" s="36"/>
      <c r="I2704" s="36"/>
      <c r="J2704" s="39"/>
      <c r="K2704" s="39"/>
      <c r="AF2704" s="42">
        <v>3300002805</v>
      </c>
      <c r="AG2704" s="42" t="s">
        <v>6529</v>
      </c>
    </row>
    <row r="2705" spans="7:33" ht="15.75" customHeight="1">
      <c r="G2705" s="36"/>
      <c r="H2705" s="36"/>
      <c r="I2705" s="36"/>
      <c r="J2705" s="39"/>
      <c r="K2705" s="39"/>
      <c r="AF2705" s="42">
        <v>3300002806</v>
      </c>
      <c r="AG2705" s="42" t="s">
        <v>6529</v>
      </c>
    </row>
    <row r="2706" spans="7:33" ht="15.75" customHeight="1">
      <c r="G2706" s="36"/>
      <c r="H2706" s="36"/>
      <c r="I2706" s="36"/>
      <c r="J2706" s="39"/>
      <c r="K2706" s="39"/>
      <c r="AF2706" s="42">
        <v>3300002807</v>
      </c>
      <c r="AG2706" s="42" t="s">
        <v>6529</v>
      </c>
    </row>
    <row r="2707" spans="7:33" ht="15.75" customHeight="1">
      <c r="G2707" s="36"/>
      <c r="H2707" s="36"/>
      <c r="I2707" s="36"/>
      <c r="J2707" s="39"/>
      <c r="K2707" s="39"/>
      <c r="AF2707" s="42">
        <v>3300002808</v>
      </c>
      <c r="AG2707" s="42" t="s">
        <v>6529</v>
      </c>
    </row>
    <row r="2708" spans="7:33" ht="15.75" customHeight="1">
      <c r="G2708" s="36"/>
      <c r="H2708" s="36"/>
      <c r="I2708" s="36"/>
      <c r="J2708" s="39"/>
      <c r="K2708" s="39"/>
      <c r="AF2708" s="42">
        <v>3300002809</v>
      </c>
      <c r="AG2708" s="42" t="s">
        <v>6529</v>
      </c>
    </row>
    <row r="2709" spans="7:33" ht="15.75" customHeight="1">
      <c r="G2709" s="36"/>
      <c r="H2709" s="36"/>
      <c r="I2709" s="36"/>
      <c r="J2709" s="39"/>
      <c r="K2709" s="39"/>
      <c r="AF2709" s="42">
        <v>3300002810</v>
      </c>
      <c r="AG2709" s="42" t="s">
        <v>6529</v>
      </c>
    </row>
    <row r="2710" spans="7:33" ht="15.75" customHeight="1">
      <c r="G2710" s="36"/>
      <c r="H2710" s="36"/>
      <c r="I2710" s="36"/>
      <c r="J2710" s="39"/>
      <c r="K2710" s="39"/>
      <c r="AF2710" s="42">
        <v>3300002811</v>
      </c>
      <c r="AG2710" s="42" t="s">
        <v>6529</v>
      </c>
    </row>
    <row r="2711" spans="7:33" ht="15.75" customHeight="1">
      <c r="G2711" s="36"/>
      <c r="H2711" s="36"/>
      <c r="I2711" s="36"/>
      <c r="J2711" s="39"/>
      <c r="K2711" s="39"/>
      <c r="AF2711" s="42">
        <v>3300002812</v>
      </c>
      <c r="AG2711" s="42" t="s">
        <v>6529</v>
      </c>
    </row>
    <row r="2712" spans="7:33" ht="15.75" customHeight="1">
      <c r="G2712" s="36"/>
      <c r="H2712" s="36"/>
      <c r="I2712" s="36"/>
      <c r="J2712" s="39"/>
      <c r="K2712" s="39"/>
      <c r="AF2712" s="42">
        <v>3300002813</v>
      </c>
      <c r="AG2712" s="42" t="s">
        <v>6529</v>
      </c>
    </row>
    <row r="2713" spans="7:33" ht="15.75" customHeight="1">
      <c r="G2713" s="36"/>
      <c r="H2713" s="36"/>
      <c r="I2713" s="36"/>
      <c r="J2713" s="39"/>
      <c r="K2713" s="39"/>
      <c r="AF2713" s="42">
        <v>3300002814</v>
      </c>
      <c r="AG2713" s="42" t="s">
        <v>6529</v>
      </c>
    </row>
    <row r="2714" spans="7:33" ht="15.75" customHeight="1">
      <c r="G2714" s="36"/>
      <c r="H2714" s="36"/>
      <c r="I2714" s="36"/>
      <c r="J2714" s="39"/>
      <c r="K2714" s="39"/>
      <c r="AF2714" s="42">
        <v>3300002815</v>
      </c>
      <c r="AG2714" s="42" t="s">
        <v>6529</v>
      </c>
    </row>
    <row r="2715" spans="7:33" ht="15.75" customHeight="1">
      <c r="G2715" s="36"/>
      <c r="H2715" s="36"/>
      <c r="I2715" s="36"/>
      <c r="J2715" s="39"/>
      <c r="K2715" s="39"/>
      <c r="AF2715" s="42">
        <v>3300002816</v>
      </c>
      <c r="AG2715" s="42" t="s">
        <v>6529</v>
      </c>
    </row>
    <row r="2716" spans="7:33" ht="15.75" customHeight="1">
      <c r="G2716" s="36"/>
      <c r="H2716" s="36"/>
      <c r="I2716" s="36"/>
      <c r="J2716" s="39"/>
      <c r="K2716" s="39"/>
      <c r="AF2716" s="42">
        <v>3300002817</v>
      </c>
      <c r="AG2716" s="42" t="s">
        <v>6529</v>
      </c>
    </row>
    <row r="2717" spans="7:33" ht="15.75" customHeight="1">
      <c r="G2717" s="36"/>
      <c r="H2717" s="36"/>
      <c r="I2717" s="36"/>
      <c r="J2717" s="39"/>
      <c r="K2717" s="39"/>
      <c r="AF2717" s="42">
        <v>3300002818</v>
      </c>
      <c r="AG2717" s="42" t="s">
        <v>6529</v>
      </c>
    </row>
    <row r="2718" spans="7:33" ht="15.75" customHeight="1">
      <c r="G2718" s="36"/>
      <c r="H2718" s="36"/>
      <c r="I2718" s="36"/>
      <c r="J2718" s="39"/>
      <c r="K2718" s="39"/>
      <c r="AF2718" s="42">
        <v>3300002819</v>
      </c>
      <c r="AG2718" s="42" t="s">
        <v>6529</v>
      </c>
    </row>
    <row r="2719" spans="7:33" ht="15.75" customHeight="1">
      <c r="G2719" s="36"/>
      <c r="H2719" s="36"/>
      <c r="I2719" s="36"/>
      <c r="J2719" s="39"/>
      <c r="K2719" s="39"/>
      <c r="AF2719" s="42">
        <v>3300002820</v>
      </c>
      <c r="AG2719" s="42" t="s">
        <v>6529</v>
      </c>
    </row>
    <row r="2720" spans="7:33" ht="15.75" customHeight="1">
      <c r="G2720" s="36"/>
      <c r="H2720" s="36"/>
      <c r="I2720" s="36"/>
      <c r="J2720" s="39"/>
      <c r="K2720" s="39"/>
      <c r="AF2720" s="42">
        <v>3300002821</v>
      </c>
      <c r="AG2720" s="42" t="s">
        <v>6529</v>
      </c>
    </row>
    <row r="2721" spans="7:33" ht="15.75" customHeight="1">
      <c r="G2721" s="36"/>
      <c r="H2721" s="36"/>
      <c r="I2721" s="36"/>
      <c r="J2721" s="39"/>
      <c r="K2721" s="39"/>
      <c r="AF2721" s="42">
        <v>3300002822</v>
      </c>
      <c r="AG2721" s="42" t="s">
        <v>6529</v>
      </c>
    </row>
    <row r="2722" spans="7:33" ht="15.75" customHeight="1">
      <c r="G2722" s="36"/>
      <c r="H2722" s="36"/>
      <c r="I2722" s="36"/>
      <c r="J2722" s="39"/>
      <c r="K2722" s="39"/>
      <c r="AF2722" s="42">
        <v>3300002823</v>
      </c>
      <c r="AG2722" s="42" t="s">
        <v>6529</v>
      </c>
    </row>
    <row r="2723" spans="7:33" ht="15.75" customHeight="1">
      <c r="G2723" s="36"/>
      <c r="H2723" s="36"/>
      <c r="I2723" s="36"/>
      <c r="J2723" s="39"/>
      <c r="K2723" s="39"/>
      <c r="AF2723" s="42">
        <v>3300002824</v>
      </c>
      <c r="AG2723" s="42" t="s">
        <v>6529</v>
      </c>
    </row>
    <row r="2724" spans="7:33" ht="15.75" customHeight="1">
      <c r="G2724" s="36"/>
      <c r="H2724" s="36"/>
      <c r="I2724" s="36"/>
      <c r="J2724" s="39"/>
      <c r="K2724" s="39"/>
      <c r="AF2724" s="42">
        <v>3300002825</v>
      </c>
      <c r="AG2724" s="42" t="s">
        <v>6529</v>
      </c>
    </row>
    <row r="2725" spans="7:33" ht="15.75" customHeight="1">
      <c r="G2725" s="36"/>
      <c r="H2725" s="36"/>
      <c r="I2725" s="36"/>
      <c r="J2725" s="39"/>
      <c r="K2725" s="39"/>
      <c r="AF2725" s="42">
        <v>3300002826</v>
      </c>
      <c r="AG2725" s="42" t="s">
        <v>6529</v>
      </c>
    </row>
    <row r="2726" spans="7:33" ht="15.75" customHeight="1">
      <c r="G2726" s="36"/>
      <c r="H2726" s="36"/>
      <c r="I2726" s="36"/>
      <c r="J2726" s="39"/>
      <c r="K2726" s="39"/>
      <c r="AF2726" s="42">
        <v>3300002827</v>
      </c>
      <c r="AG2726" s="42" t="s">
        <v>6529</v>
      </c>
    </row>
    <row r="2727" spans="7:33" ht="15.75" customHeight="1">
      <c r="G2727" s="36"/>
      <c r="H2727" s="36"/>
      <c r="I2727" s="36"/>
      <c r="J2727" s="39"/>
      <c r="K2727" s="39"/>
      <c r="AF2727" s="42">
        <v>3300002828</v>
      </c>
      <c r="AG2727" s="42" t="s">
        <v>6529</v>
      </c>
    </row>
    <row r="2728" spans="7:33" ht="15.75" customHeight="1">
      <c r="G2728" s="36"/>
      <c r="H2728" s="36"/>
      <c r="I2728" s="36"/>
      <c r="J2728" s="39"/>
      <c r="K2728" s="39"/>
      <c r="AF2728" s="42">
        <v>3300002829</v>
      </c>
      <c r="AG2728" s="42" t="s">
        <v>6529</v>
      </c>
    </row>
    <row r="2729" spans="7:33" ht="15.75" customHeight="1">
      <c r="G2729" s="36"/>
      <c r="H2729" s="36"/>
      <c r="I2729" s="36"/>
      <c r="J2729" s="39"/>
      <c r="K2729" s="39"/>
      <c r="AF2729" s="42">
        <v>3300002830</v>
      </c>
      <c r="AG2729" s="42" t="s">
        <v>6529</v>
      </c>
    </row>
    <row r="2730" spans="7:33" ht="15.75" customHeight="1">
      <c r="G2730" s="36"/>
      <c r="H2730" s="36"/>
      <c r="I2730" s="36"/>
      <c r="J2730" s="39"/>
      <c r="K2730" s="39"/>
      <c r="AF2730" s="42">
        <v>3300002831</v>
      </c>
      <c r="AG2730" s="42" t="s">
        <v>6529</v>
      </c>
    </row>
    <row r="2731" spans="7:33" ht="15.75" customHeight="1">
      <c r="G2731" s="36"/>
      <c r="H2731" s="36"/>
      <c r="I2731" s="36"/>
      <c r="J2731" s="39"/>
      <c r="K2731" s="39"/>
      <c r="AF2731" s="42">
        <v>3300002832</v>
      </c>
      <c r="AG2731" s="42" t="s">
        <v>6529</v>
      </c>
    </row>
    <row r="2732" spans="7:33" ht="15.75" customHeight="1">
      <c r="G2732" s="36"/>
      <c r="H2732" s="36"/>
      <c r="I2732" s="36"/>
      <c r="J2732" s="39"/>
      <c r="K2732" s="39"/>
      <c r="AF2732" s="42">
        <v>3300002833</v>
      </c>
      <c r="AG2732" s="42" t="s">
        <v>6529</v>
      </c>
    </row>
    <row r="2733" spans="7:33" ht="15.75" customHeight="1">
      <c r="G2733" s="36"/>
      <c r="H2733" s="36"/>
      <c r="I2733" s="36"/>
      <c r="J2733" s="39"/>
      <c r="K2733" s="39"/>
      <c r="AF2733" s="42">
        <v>3300002834</v>
      </c>
      <c r="AG2733" s="42" t="s">
        <v>6529</v>
      </c>
    </row>
    <row r="2734" spans="7:33" ht="15.75" customHeight="1">
      <c r="G2734" s="36"/>
      <c r="H2734" s="36"/>
      <c r="I2734" s="36"/>
      <c r="J2734" s="39"/>
      <c r="K2734" s="39"/>
      <c r="AF2734" s="42">
        <v>3300002875</v>
      </c>
      <c r="AG2734" s="42" t="s">
        <v>6529</v>
      </c>
    </row>
    <row r="2735" spans="7:33" ht="15.75" customHeight="1">
      <c r="G2735" s="36"/>
      <c r="H2735" s="36"/>
      <c r="I2735" s="36"/>
      <c r="J2735" s="39"/>
      <c r="K2735" s="39"/>
      <c r="AF2735" s="42">
        <v>3300002876</v>
      </c>
      <c r="AG2735" s="42" t="s">
        <v>6529</v>
      </c>
    </row>
    <row r="2736" spans="7:33" ht="15.75" customHeight="1">
      <c r="G2736" s="36"/>
      <c r="H2736" s="36"/>
      <c r="I2736" s="36"/>
      <c r="J2736" s="39"/>
      <c r="K2736" s="39"/>
      <c r="AF2736" s="42">
        <v>3300002877</v>
      </c>
      <c r="AG2736" s="42" t="s">
        <v>6529</v>
      </c>
    </row>
    <row r="2737" spans="7:33" ht="15.75" customHeight="1">
      <c r="G2737" s="36"/>
      <c r="H2737" s="36"/>
      <c r="I2737" s="36"/>
      <c r="J2737" s="39"/>
      <c r="K2737" s="39"/>
      <c r="AF2737" s="42">
        <v>3300002895</v>
      </c>
      <c r="AG2737" s="42" t="s">
        <v>6529</v>
      </c>
    </row>
    <row r="2738" spans="7:33" ht="15.75" customHeight="1">
      <c r="G2738" s="36"/>
      <c r="H2738" s="36"/>
      <c r="I2738" s="36"/>
      <c r="J2738" s="39"/>
      <c r="K2738" s="39"/>
      <c r="AF2738" s="42">
        <v>3300002896</v>
      </c>
      <c r="AG2738" s="42" t="s">
        <v>6529</v>
      </c>
    </row>
    <row r="2739" spans="7:33" ht="15.75" customHeight="1">
      <c r="G2739" s="36"/>
      <c r="H2739" s="36"/>
      <c r="I2739" s="36"/>
      <c r="J2739" s="39"/>
      <c r="K2739" s="39"/>
      <c r="AF2739" s="42">
        <v>3300002897</v>
      </c>
      <c r="AG2739" s="42" t="s">
        <v>6529</v>
      </c>
    </row>
    <row r="2740" spans="7:33" ht="15.75" customHeight="1">
      <c r="G2740" s="36"/>
      <c r="H2740" s="36"/>
      <c r="I2740" s="36"/>
      <c r="J2740" s="39"/>
      <c r="K2740" s="39"/>
      <c r="AF2740" s="42">
        <v>3300002898</v>
      </c>
      <c r="AG2740" s="42" t="s">
        <v>6529</v>
      </c>
    </row>
    <row r="2741" spans="7:33" ht="15.75" customHeight="1">
      <c r="G2741" s="36"/>
      <c r="H2741" s="36"/>
      <c r="I2741" s="36"/>
      <c r="J2741" s="39"/>
      <c r="K2741" s="39"/>
      <c r="AF2741" s="42">
        <v>3300002899</v>
      </c>
      <c r="AG2741" s="42" t="s">
        <v>6529</v>
      </c>
    </row>
    <row r="2742" spans="7:33" ht="15.75" customHeight="1">
      <c r="G2742" s="36"/>
      <c r="H2742" s="36"/>
      <c r="I2742" s="36"/>
      <c r="J2742" s="39"/>
      <c r="K2742" s="39"/>
      <c r="AF2742" s="42">
        <v>3300002900</v>
      </c>
      <c r="AG2742" s="42" t="s">
        <v>6529</v>
      </c>
    </row>
    <row r="2743" spans="7:33" ht="15.75" customHeight="1">
      <c r="G2743" s="36"/>
      <c r="H2743" s="36"/>
      <c r="I2743" s="36"/>
      <c r="J2743" s="39"/>
      <c r="K2743" s="39"/>
      <c r="AF2743" s="42">
        <v>3300002901</v>
      </c>
      <c r="AG2743" s="42" t="s">
        <v>6529</v>
      </c>
    </row>
    <row r="2744" spans="7:33" ht="15.75" customHeight="1">
      <c r="G2744" s="36"/>
      <c r="H2744" s="36"/>
      <c r="I2744" s="36"/>
      <c r="J2744" s="39"/>
      <c r="K2744" s="39"/>
      <c r="AF2744" s="42">
        <v>3300002902</v>
      </c>
      <c r="AG2744" s="42" t="s">
        <v>6529</v>
      </c>
    </row>
    <row r="2745" spans="7:33" ht="15.75" customHeight="1">
      <c r="G2745" s="36"/>
      <c r="H2745" s="36"/>
      <c r="I2745" s="36"/>
      <c r="J2745" s="39"/>
      <c r="K2745" s="39"/>
      <c r="AF2745" s="42">
        <v>3300002903</v>
      </c>
      <c r="AG2745" s="42" t="s">
        <v>6529</v>
      </c>
    </row>
    <row r="2746" spans="7:33" ht="15.75" customHeight="1">
      <c r="G2746" s="36"/>
      <c r="H2746" s="36"/>
      <c r="I2746" s="36"/>
      <c r="J2746" s="39"/>
      <c r="K2746" s="39"/>
      <c r="AF2746" s="42">
        <v>3300002904</v>
      </c>
      <c r="AG2746" s="42" t="s">
        <v>6529</v>
      </c>
    </row>
    <row r="2747" spans="7:33" ht="15.75" customHeight="1">
      <c r="G2747" s="36"/>
      <c r="H2747" s="36"/>
      <c r="I2747" s="36"/>
      <c r="J2747" s="39"/>
      <c r="K2747" s="39"/>
      <c r="AF2747" s="42">
        <v>3300002913</v>
      </c>
      <c r="AG2747" s="42" t="s">
        <v>6529</v>
      </c>
    </row>
    <row r="2748" spans="7:33" ht="15.75" customHeight="1">
      <c r="G2748" s="36"/>
      <c r="H2748" s="36"/>
      <c r="I2748" s="36"/>
      <c r="J2748" s="39"/>
      <c r="K2748" s="39"/>
      <c r="AF2748" s="42">
        <v>3300002915</v>
      </c>
      <c r="AG2748" s="42" t="s">
        <v>6529</v>
      </c>
    </row>
    <row r="2749" spans="7:33" ht="15.75" customHeight="1">
      <c r="G2749" s="36"/>
      <c r="H2749" s="36"/>
      <c r="I2749" s="36"/>
      <c r="J2749" s="39"/>
      <c r="K2749" s="39"/>
      <c r="AF2749" s="42">
        <v>3300002916</v>
      </c>
      <c r="AG2749" s="42" t="s">
        <v>6529</v>
      </c>
    </row>
    <row r="2750" spans="7:33" ht="15.75" customHeight="1">
      <c r="G2750" s="36"/>
      <c r="H2750" s="36"/>
      <c r="I2750" s="36"/>
      <c r="J2750" s="39"/>
      <c r="K2750" s="39"/>
      <c r="AF2750" s="42">
        <v>3300002918</v>
      </c>
      <c r="AG2750" s="42" t="s">
        <v>6529</v>
      </c>
    </row>
    <row r="2751" spans="7:33" ht="15.75" customHeight="1">
      <c r="G2751" s="36"/>
      <c r="H2751" s="36"/>
      <c r="I2751" s="36"/>
      <c r="J2751" s="39"/>
      <c r="K2751" s="39"/>
      <c r="AF2751" s="42">
        <v>3300002919</v>
      </c>
      <c r="AG2751" s="42" t="s">
        <v>6529</v>
      </c>
    </row>
    <row r="2752" spans="7:33" ht="15.75" customHeight="1">
      <c r="G2752" s="36"/>
      <c r="H2752" s="36"/>
      <c r="I2752" s="36"/>
      <c r="J2752" s="39"/>
      <c r="K2752" s="39"/>
      <c r="AF2752" s="42">
        <v>3300002920</v>
      </c>
      <c r="AG2752" s="42" t="s">
        <v>6529</v>
      </c>
    </row>
    <row r="2753" spans="7:33" ht="15.75" customHeight="1">
      <c r="G2753" s="36"/>
      <c r="H2753" s="36"/>
      <c r="I2753" s="36"/>
      <c r="J2753" s="39"/>
      <c r="K2753" s="39"/>
      <c r="AF2753" s="42">
        <v>3300002921</v>
      </c>
      <c r="AG2753" s="42" t="s">
        <v>6529</v>
      </c>
    </row>
    <row r="2754" spans="7:33" ht="15.75" customHeight="1">
      <c r="G2754" s="36"/>
      <c r="H2754" s="36"/>
      <c r="I2754" s="36"/>
      <c r="J2754" s="39"/>
      <c r="K2754" s="39"/>
      <c r="AF2754" s="42">
        <v>3300002922</v>
      </c>
      <c r="AG2754" s="42" t="s">
        <v>6529</v>
      </c>
    </row>
    <row r="2755" spans="7:33" ht="15.75" customHeight="1">
      <c r="G2755" s="36"/>
      <c r="H2755" s="36"/>
      <c r="I2755" s="36"/>
      <c r="J2755" s="39"/>
      <c r="K2755" s="39"/>
      <c r="AF2755" s="42">
        <v>3300002923</v>
      </c>
      <c r="AG2755" s="42" t="s">
        <v>6529</v>
      </c>
    </row>
    <row r="2756" spans="7:33" ht="15.75" customHeight="1">
      <c r="G2756" s="36"/>
      <c r="H2756" s="36"/>
      <c r="I2756" s="36"/>
      <c r="J2756" s="39"/>
      <c r="K2756" s="39"/>
      <c r="AF2756" s="42">
        <v>3300002924</v>
      </c>
      <c r="AG2756" s="42" t="s">
        <v>6529</v>
      </c>
    </row>
    <row r="2757" spans="7:33" ht="15.75" customHeight="1">
      <c r="G2757" s="36"/>
      <c r="H2757" s="36"/>
      <c r="I2757" s="36"/>
      <c r="J2757" s="39"/>
      <c r="K2757" s="39"/>
      <c r="AF2757" s="42">
        <v>3300002925</v>
      </c>
      <c r="AG2757" s="42" t="s">
        <v>6529</v>
      </c>
    </row>
    <row r="2758" spans="7:33" ht="15.75" customHeight="1">
      <c r="G2758" s="36"/>
      <c r="H2758" s="36"/>
      <c r="I2758" s="36"/>
      <c r="J2758" s="39"/>
      <c r="K2758" s="39"/>
      <c r="AF2758" s="42">
        <v>3300002926</v>
      </c>
      <c r="AG2758" s="42" t="s">
        <v>6529</v>
      </c>
    </row>
    <row r="2759" spans="7:33" ht="15.75" customHeight="1">
      <c r="G2759" s="36"/>
      <c r="H2759" s="36"/>
      <c r="I2759" s="36"/>
      <c r="J2759" s="39"/>
      <c r="K2759" s="39"/>
      <c r="AF2759" s="42">
        <v>3300002927</v>
      </c>
      <c r="AG2759" s="42" t="s">
        <v>6529</v>
      </c>
    </row>
    <row r="2760" spans="7:33" ht="15.75" customHeight="1">
      <c r="G2760" s="36"/>
      <c r="H2760" s="36"/>
      <c r="I2760" s="36"/>
      <c r="J2760" s="39"/>
      <c r="K2760" s="39"/>
      <c r="AF2760" s="42">
        <v>3300002928</v>
      </c>
      <c r="AG2760" s="42" t="s">
        <v>6529</v>
      </c>
    </row>
    <row r="2761" spans="7:33" ht="15.75" customHeight="1">
      <c r="G2761" s="36"/>
      <c r="H2761" s="36"/>
      <c r="I2761" s="36"/>
      <c r="J2761" s="39"/>
      <c r="K2761" s="39"/>
      <c r="AF2761" s="42">
        <v>3300002929</v>
      </c>
      <c r="AG2761" s="42" t="s">
        <v>6529</v>
      </c>
    </row>
    <row r="2762" spans="7:33" ht="15.75" customHeight="1">
      <c r="G2762" s="36"/>
      <c r="H2762" s="36"/>
      <c r="I2762" s="36"/>
      <c r="J2762" s="39"/>
      <c r="K2762" s="39"/>
      <c r="AF2762" s="42">
        <v>3300002930</v>
      </c>
      <c r="AG2762" s="42" t="s">
        <v>6529</v>
      </c>
    </row>
    <row r="2763" spans="7:33" ht="15.75" customHeight="1">
      <c r="G2763" s="36"/>
      <c r="H2763" s="36"/>
      <c r="I2763" s="36"/>
      <c r="J2763" s="39"/>
      <c r="K2763" s="39"/>
      <c r="AF2763" s="42">
        <v>3300002931</v>
      </c>
      <c r="AG2763" s="42" t="s">
        <v>6529</v>
      </c>
    </row>
    <row r="2764" spans="7:33" ht="15.75" customHeight="1">
      <c r="G2764" s="36"/>
      <c r="H2764" s="36"/>
      <c r="I2764" s="36"/>
      <c r="J2764" s="39"/>
      <c r="K2764" s="39"/>
      <c r="AF2764" s="42">
        <v>3300002932</v>
      </c>
      <c r="AG2764" s="42" t="s">
        <v>6529</v>
      </c>
    </row>
    <row r="2765" spans="7:33" ht="15.75" customHeight="1">
      <c r="G2765" s="36"/>
      <c r="H2765" s="36"/>
      <c r="I2765" s="36"/>
      <c r="J2765" s="39"/>
      <c r="K2765" s="39"/>
      <c r="AF2765" s="42">
        <v>3300002933</v>
      </c>
      <c r="AG2765" s="42" t="s">
        <v>6529</v>
      </c>
    </row>
    <row r="2766" spans="7:33" ht="15.75" customHeight="1">
      <c r="G2766" s="36"/>
      <c r="H2766" s="36"/>
      <c r="I2766" s="36"/>
      <c r="J2766" s="39"/>
      <c r="K2766" s="39"/>
      <c r="AF2766" s="42">
        <v>3300002934</v>
      </c>
      <c r="AG2766" s="42" t="s">
        <v>6529</v>
      </c>
    </row>
    <row r="2767" spans="7:33" ht="15.75" customHeight="1">
      <c r="G2767" s="36"/>
      <c r="H2767" s="36"/>
      <c r="I2767" s="36"/>
      <c r="J2767" s="39"/>
      <c r="K2767" s="39"/>
      <c r="AF2767" s="42">
        <v>3300002935</v>
      </c>
      <c r="AG2767" s="42" t="s">
        <v>6529</v>
      </c>
    </row>
    <row r="2768" spans="7:33" ht="15.75" customHeight="1">
      <c r="G2768" s="36"/>
      <c r="H2768" s="36"/>
      <c r="I2768" s="36"/>
      <c r="J2768" s="39"/>
      <c r="K2768" s="39"/>
      <c r="AF2768" s="42">
        <v>3300002936</v>
      </c>
      <c r="AG2768" s="42" t="s">
        <v>6529</v>
      </c>
    </row>
    <row r="2769" spans="7:33" ht="15.75" customHeight="1">
      <c r="G2769" s="36"/>
      <c r="H2769" s="36"/>
      <c r="I2769" s="36"/>
      <c r="J2769" s="39"/>
      <c r="K2769" s="39"/>
      <c r="AF2769" s="42">
        <v>3300002937</v>
      </c>
      <c r="AG2769" s="42" t="s">
        <v>6529</v>
      </c>
    </row>
    <row r="2770" spans="7:33" ht="15.75" customHeight="1">
      <c r="G2770" s="36"/>
      <c r="H2770" s="36"/>
      <c r="I2770" s="36"/>
      <c r="J2770" s="39"/>
      <c r="K2770" s="39"/>
      <c r="AF2770" s="42">
        <v>3300002938</v>
      </c>
      <c r="AG2770" s="42" t="s">
        <v>6529</v>
      </c>
    </row>
    <row r="2771" spans="7:33" ht="15.75" customHeight="1">
      <c r="G2771" s="36"/>
      <c r="H2771" s="36"/>
      <c r="I2771" s="36"/>
      <c r="J2771" s="39"/>
      <c r="K2771" s="39"/>
      <c r="AF2771" s="42">
        <v>3300002939</v>
      </c>
      <c r="AG2771" s="42" t="s">
        <v>6529</v>
      </c>
    </row>
    <row r="2772" spans="7:33" ht="15.75" customHeight="1">
      <c r="G2772" s="36"/>
      <c r="H2772" s="36"/>
      <c r="I2772" s="36"/>
      <c r="J2772" s="39"/>
      <c r="K2772" s="39"/>
      <c r="AF2772" s="42">
        <v>3300002940</v>
      </c>
      <c r="AG2772" s="42" t="s">
        <v>6529</v>
      </c>
    </row>
    <row r="2773" spans="7:33" ht="15.75" customHeight="1">
      <c r="G2773" s="36"/>
      <c r="H2773" s="36"/>
      <c r="I2773" s="36"/>
      <c r="J2773" s="39"/>
      <c r="K2773" s="39"/>
      <c r="AF2773" s="42">
        <v>3300002941</v>
      </c>
      <c r="AG2773" s="42" t="s">
        <v>6529</v>
      </c>
    </row>
    <row r="2774" spans="7:33" ht="15.75" customHeight="1">
      <c r="G2774" s="36"/>
      <c r="H2774" s="36"/>
      <c r="I2774" s="36"/>
      <c r="J2774" s="39"/>
      <c r="K2774" s="39"/>
      <c r="AF2774" s="42">
        <v>3300002942</v>
      </c>
      <c r="AG2774" s="42" t="s">
        <v>6529</v>
      </c>
    </row>
    <row r="2775" spans="7:33" ht="15.75" customHeight="1">
      <c r="G2775" s="36"/>
      <c r="H2775" s="36"/>
      <c r="I2775" s="36"/>
      <c r="J2775" s="39"/>
      <c r="K2775" s="39"/>
      <c r="AF2775" s="42">
        <v>3300002943</v>
      </c>
      <c r="AG2775" s="42" t="s">
        <v>6529</v>
      </c>
    </row>
    <row r="2776" spans="7:33" ht="15.75" customHeight="1">
      <c r="G2776" s="36"/>
      <c r="H2776" s="36"/>
      <c r="I2776" s="36"/>
      <c r="J2776" s="39"/>
      <c r="K2776" s="39"/>
      <c r="AF2776" s="42">
        <v>3300002944</v>
      </c>
      <c r="AG2776" s="42" t="s">
        <v>6529</v>
      </c>
    </row>
    <row r="2777" spans="7:33" ht="15.75" customHeight="1">
      <c r="G2777" s="36"/>
      <c r="H2777" s="36"/>
      <c r="I2777" s="36"/>
      <c r="J2777" s="39"/>
      <c r="K2777" s="39"/>
      <c r="AF2777" s="42">
        <v>3300002945</v>
      </c>
      <c r="AG2777" s="42" t="s">
        <v>6529</v>
      </c>
    </row>
    <row r="2778" spans="7:33" ht="15.75" customHeight="1">
      <c r="G2778" s="36"/>
      <c r="H2778" s="36"/>
      <c r="I2778" s="36"/>
      <c r="J2778" s="39"/>
      <c r="K2778" s="39"/>
      <c r="AF2778" s="42">
        <v>3300002946</v>
      </c>
      <c r="AG2778" s="42" t="s">
        <v>6529</v>
      </c>
    </row>
    <row r="2779" spans="7:33" ht="15.75" customHeight="1">
      <c r="G2779" s="36"/>
      <c r="H2779" s="36"/>
      <c r="I2779" s="36"/>
      <c r="J2779" s="39"/>
      <c r="K2779" s="39"/>
      <c r="AF2779" s="42">
        <v>3300002947</v>
      </c>
      <c r="AG2779" s="42" t="s">
        <v>6529</v>
      </c>
    </row>
    <row r="2780" spans="7:33" ht="15.75" customHeight="1">
      <c r="G2780" s="36"/>
      <c r="H2780" s="36"/>
      <c r="I2780" s="36"/>
      <c r="J2780" s="39"/>
      <c r="K2780" s="39"/>
      <c r="AF2780" s="42">
        <v>3300002948</v>
      </c>
      <c r="AG2780" s="42" t="s">
        <v>6529</v>
      </c>
    </row>
    <row r="2781" spans="7:33" ht="15.75" customHeight="1">
      <c r="G2781" s="36"/>
      <c r="H2781" s="36"/>
      <c r="I2781" s="36"/>
      <c r="J2781" s="39"/>
      <c r="K2781" s="39"/>
      <c r="AF2781" s="42">
        <v>3300002949</v>
      </c>
      <c r="AG2781" s="42" t="s">
        <v>6529</v>
      </c>
    </row>
    <row r="2782" spans="7:33" ht="15.75" customHeight="1">
      <c r="G2782" s="36"/>
      <c r="H2782" s="36"/>
      <c r="I2782" s="36"/>
      <c r="J2782" s="39"/>
      <c r="K2782" s="39"/>
      <c r="AF2782" s="42">
        <v>3300002950</v>
      </c>
      <c r="AG2782" s="42" t="s">
        <v>6529</v>
      </c>
    </row>
    <row r="2783" spans="7:33" ht="15.75" customHeight="1">
      <c r="G2783" s="36"/>
      <c r="H2783" s="36"/>
      <c r="I2783" s="36"/>
      <c r="J2783" s="39"/>
      <c r="K2783" s="39"/>
      <c r="AF2783" s="42">
        <v>3300002951</v>
      </c>
      <c r="AG2783" s="42" t="s">
        <v>6529</v>
      </c>
    </row>
    <row r="2784" spans="7:33" ht="15.75" customHeight="1">
      <c r="G2784" s="36"/>
      <c r="H2784" s="36"/>
      <c r="I2784" s="36"/>
      <c r="J2784" s="39"/>
      <c r="K2784" s="39"/>
      <c r="AF2784" s="42">
        <v>3300002952</v>
      </c>
      <c r="AG2784" s="42" t="s">
        <v>6529</v>
      </c>
    </row>
    <row r="2785" spans="7:33" ht="15.75" customHeight="1">
      <c r="G2785" s="36"/>
      <c r="H2785" s="36"/>
      <c r="I2785" s="36"/>
      <c r="J2785" s="39"/>
      <c r="K2785" s="39"/>
      <c r="AF2785" s="42">
        <v>3300002953</v>
      </c>
      <c r="AG2785" s="42" t="s">
        <v>6529</v>
      </c>
    </row>
    <row r="2786" spans="7:33" ht="15.75" customHeight="1">
      <c r="G2786" s="36"/>
      <c r="H2786" s="36"/>
      <c r="I2786" s="36"/>
      <c r="J2786" s="39"/>
      <c r="K2786" s="39"/>
      <c r="AF2786" s="42">
        <v>3300002954</v>
      </c>
      <c r="AG2786" s="42" t="s">
        <v>6529</v>
      </c>
    </row>
    <row r="2787" spans="7:33" ht="15.75" customHeight="1">
      <c r="G2787" s="36"/>
      <c r="H2787" s="36"/>
      <c r="I2787" s="36"/>
      <c r="J2787" s="39"/>
      <c r="K2787" s="39"/>
      <c r="AF2787" s="42">
        <v>3300002955</v>
      </c>
      <c r="AG2787" s="42" t="s">
        <v>6529</v>
      </c>
    </row>
    <row r="2788" spans="7:33" ht="15.75" customHeight="1">
      <c r="G2788" s="36"/>
      <c r="H2788" s="36"/>
      <c r="I2788" s="36"/>
      <c r="J2788" s="39"/>
      <c r="K2788" s="39"/>
      <c r="AF2788" s="42">
        <v>3300002956</v>
      </c>
      <c r="AG2788" s="42" t="s">
        <v>6529</v>
      </c>
    </row>
    <row r="2789" spans="7:33" ht="15.75" customHeight="1">
      <c r="G2789" s="36"/>
      <c r="H2789" s="36"/>
      <c r="I2789" s="36"/>
      <c r="J2789" s="39"/>
      <c r="K2789" s="39"/>
      <c r="AF2789" s="42">
        <v>3300002957</v>
      </c>
      <c r="AG2789" s="42" t="s">
        <v>6529</v>
      </c>
    </row>
    <row r="2790" spans="7:33" ht="15.75" customHeight="1">
      <c r="G2790" s="36"/>
      <c r="H2790" s="36"/>
      <c r="I2790" s="36"/>
      <c r="J2790" s="39"/>
      <c r="K2790" s="39"/>
      <c r="AF2790" s="42">
        <v>3300002958</v>
      </c>
      <c r="AG2790" s="42" t="s">
        <v>6529</v>
      </c>
    </row>
    <row r="2791" spans="7:33" ht="15.75" customHeight="1">
      <c r="G2791" s="36"/>
      <c r="H2791" s="36"/>
      <c r="I2791" s="36"/>
      <c r="J2791" s="39"/>
      <c r="K2791" s="39"/>
      <c r="AF2791" s="42">
        <v>3300002959</v>
      </c>
      <c r="AG2791" s="42" t="s">
        <v>6529</v>
      </c>
    </row>
    <row r="2792" spans="7:33" ht="15.75" customHeight="1">
      <c r="G2792" s="36"/>
      <c r="H2792" s="36"/>
      <c r="I2792" s="36"/>
      <c r="J2792" s="39"/>
      <c r="K2792" s="39"/>
      <c r="AF2792" s="42">
        <v>3300002960</v>
      </c>
      <c r="AG2792" s="42" t="s">
        <v>6529</v>
      </c>
    </row>
    <row r="2793" spans="7:33" ht="15.75" customHeight="1">
      <c r="G2793" s="36"/>
      <c r="H2793" s="36"/>
      <c r="I2793" s="36"/>
      <c r="J2793" s="39"/>
      <c r="K2793" s="39"/>
      <c r="AF2793" s="42">
        <v>3300002961</v>
      </c>
      <c r="AG2793" s="42" t="s">
        <v>6529</v>
      </c>
    </row>
    <row r="2794" spans="7:33" ht="15.75" customHeight="1">
      <c r="G2794" s="36"/>
      <c r="H2794" s="36"/>
      <c r="I2794" s="36"/>
      <c r="J2794" s="39"/>
      <c r="K2794" s="39"/>
      <c r="AF2794" s="42">
        <v>3300002962</v>
      </c>
      <c r="AG2794" s="42" t="s">
        <v>6529</v>
      </c>
    </row>
    <row r="2795" spans="7:33" ht="15.75" customHeight="1">
      <c r="G2795" s="36"/>
      <c r="H2795" s="36"/>
      <c r="I2795" s="36"/>
      <c r="J2795" s="39"/>
      <c r="K2795" s="39"/>
      <c r="AF2795" s="42">
        <v>3300002963</v>
      </c>
      <c r="AG2795" s="42" t="s">
        <v>6529</v>
      </c>
    </row>
    <row r="2796" spans="7:33" ht="15.75" customHeight="1">
      <c r="G2796" s="36"/>
      <c r="H2796" s="36"/>
      <c r="I2796" s="36"/>
      <c r="J2796" s="39"/>
      <c r="K2796" s="39"/>
      <c r="AF2796" s="42">
        <v>3300002964</v>
      </c>
      <c r="AG2796" s="42" t="s">
        <v>6529</v>
      </c>
    </row>
    <row r="2797" spans="7:33" ht="15.75" customHeight="1">
      <c r="G2797" s="36"/>
      <c r="H2797" s="36"/>
      <c r="I2797" s="36"/>
      <c r="J2797" s="39"/>
      <c r="K2797" s="39"/>
      <c r="AF2797" s="42">
        <v>3300002965</v>
      </c>
      <c r="AG2797" s="42" t="s">
        <v>6529</v>
      </c>
    </row>
    <row r="2798" spans="7:33" ht="15.75" customHeight="1">
      <c r="G2798" s="36"/>
      <c r="H2798" s="36"/>
      <c r="I2798" s="36"/>
      <c r="J2798" s="39"/>
      <c r="K2798" s="39"/>
      <c r="AF2798" s="42">
        <v>3300002966</v>
      </c>
      <c r="AG2798" s="42" t="s">
        <v>6529</v>
      </c>
    </row>
    <row r="2799" spans="7:33" ht="15.75" customHeight="1">
      <c r="G2799" s="36"/>
      <c r="H2799" s="36"/>
      <c r="I2799" s="36"/>
      <c r="J2799" s="39"/>
      <c r="K2799" s="39"/>
      <c r="AF2799" s="42">
        <v>3300002967</v>
      </c>
      <c r="AG2799" s="42" t="s">
        <v>6529</v>
      </c>
    </row>
    <row r="2800" spans="7:33" ht="15.75" customHeight="1">
      <c r="G2800" s="36"/>
      <c r="H2800" s="36"/>
      <c r="I2800" s="36"/>
      <c r="J2800" s="39"/>
      <c r="K2800" s="39"/>
      <c r="AF2800" s="42">
        <v>3300002968</v>
      </c>
      <c r="AG2800" s="42" t="s">
        <v>6529</v>
      </c>
    </row>
    <row r="2801" spans="7:33" ht="15.75" customHeight="1">
      <c r="G2801" s="36"/>
      <c r="H2801" s="36"/>
      <c r="I2801" s="36"/>
      <c r="J2801" s="39"/>
      <c r="K2801" s="39"/>
      <c r="AF2801" s="42">
        <v>3300002969</v>
      </c>
      <c r="AG2801" s="42" t="s">
        <v>6529</v>
      </c>
    </row>
    <row r="2802" spans="7:33" ht="15.75" customHeight="1">
      <c r="G2802" s="36"/>
      <c r="H2802" s="36"/>
      <c r="I2802" s="36"/>
      <c r="J2802" s="39"/>
      <c r="K2802" s="39"/>
      <c r="AF2802" s="42">
        <v>3300002970</v>
      </c>
      <c r="AG2802" s="42" t="s">
        <v>6529</v>
      </c>
    </row>
    <row r="2803" spans="7:33" ht="15.75" customHeight="1">
      <c r="G2803" s="36"/>
      <c r="H2803" s="36"/>
      <c r="I2803" s="36"/>
      <c r="J2803" s="39"/>
      <c r="K2803" s="39"/>
      <c r="AF2803" s="42">
        <v>3300002971</v>
      </c>
      <c r="AG2803" s="42" t="s">
        <v>6529</v>
      </c>
    </row>
    <row r="2804" spans="7:33" ht="15.75" customHeight="1">
      <c r="G2804" s="36"/>
      <c r="H2804" s="36"/>
      <c r="I2804" s="36"/>
      <c r="J2804" s="39"/>
      <c r="K2804" s="39"/>
      <c r="AF2804" s="42">
        <v>3300002972</v>
      </c>
      <c r="AG2804" s="42" t="s">
        <v>6529</v>
      </c>
    </row>
    <row r="2805" spans="7:33" ht="15.75" customHeight="1">
      <c r="G2805" s="36"/>
      <c r="H2805" s="36"/>
      <c r="I2805" s="36"/>
      <c r="J2805" s="39"/>
      <c r="K2805" s="39"/>
      <c r="AF2805" s="42">
        <v>3300002973</v>
      </c>
      <c r="AG2805" s="42" t="s">
        <v>6529</v>
      </c>
    </row>
    <row r="2806" spans="7:33" ht="15.75" customHeight="1">
      <c r="G2806" s="36"/>
      <c r="H2806" s="36"/>
      <c r="I2806" s="36"/>
      <c r="J2806" s="39"/>
      <c r="K2806" s="39"/>
      <c r="AF2806" s="42">
        <v>3300002974</v>
      </c>
      <c r="AG2806" s="42" t="s">
        <v>6529</v>
      </c>
    </row>
    <row r="2807" spans="7:33" ht="15.75" customHeight="1">
      <c r="G2807" s="36"/>
      <c r="H2807" s="36"/>
      <c r="I2807" s="36"/>
      <c r="J2807" s="39"/>
      <c r="K2807" s="39"/>
      <c r="AF2807" s="42">
        <v>3300002975</v>
      </c>
      <c r="AG2807" s="42" t="s">
        <v>6529</v>
      </c>
    </row>
    <row r="2808" spans="7:33" ht="15.75" customHeight="1">
      <c r="G2808" s="36"/>
      <c r="H2808" s="36"/>
      <c r="I2808" s="36"/>
      <c r="J2808" s="39"/>
      <c r="K2808" s="39"/>
      <c r="AF2808" s="42">
        <v>3300002976</v>
      </c>
      <c r="AG2808" s="42" t="s">
        <v>6529</v>
      </c>
    </row>
    <row r="2809" spans="7:33" ht="15.75" customHeight="1">
      <c r="G2809" s="36"/>
      <c r="H2809" s="36"/>
      <c r="I2809" s="36"/>
      <c r="J2809" s="39"/>
      <c r="K2809" s="39"/>
      <c r="AF2809" s="42">
        <v>3300002977</v>
      </c>
      <c r="AG2809" s="42" t="s">
        <v>6529</v>
      </c>
    </row>
    <row r="2810" spans="7:33" ht="15.75" customHeight="1">
      <c r="G2810" s="36"/>
      <c r="H2810" s="36"/>
      <c r="I2810" s="36"/>
      <c r="J2810" s="39"/>
      <c r="K2810" s="39"/>
      <c r="AF2810" s="42">
        <v>3300002978</v>
      </c>
      <c r="AG2810" s="42" t="s">
        <v>6529</v>
      </c>
    </row>
    <row r="2811" spans="7:33" ht="15.75" customHeight="1">
      <c r="G2811" s="36"/>
      <c r="H2811" s="36"/>
      <c r="I2811" s="36"/>
      <c r="J2811" s="39"/>
      <c r="K2811" s="39"/>
      <c r="AF2811" s="42">
        <v>3300002979</v>
      </c>
      <c r="AG2811" s="42" t="s">
        <v>6529</v>
      </c>
    </row>
    <row r="2812" spans="7:33" ht="15.75" customHeight="1">
      <c r="G2812" s="36"/>
      <c r="H2812" s="36"/>
      <c r="I2812" s="36"/>
      <c r="J2812" s="39"/>
      <c r="K2812" s="39"/>
      <c r="AF2812" s="42">
        <v>3300002980</v>
      </c>
      <c r="AG2812" s="42" t="s">
        <v>6529</v>
      </c>
    </row>
    <row r="2813" spans="7:33" ht="15.75" customHeight="1">
      <c r="G2813" s="36"/>
      <c r="H2813" s="36"/>
      <c r="I2813" s="36"/>
      <c r="J2813" s="39"/>
      <c r="K2813" s="39"/>
      <c r="AF2813" s="42">
        <v>3300002981</v>
      </c>
      <c r="AG2813" s="42" t="s">
        <v>6529</v>
      </c>
    </row>
    <row r="2814" spans="7:33" ht="15.75" customHeight="1">
      <c r="G2814" s="36"/>
      <c r="H2814" s="36"/>
      <c r="I2814" s="36"/>
      <c r="J2814" s="39"/>
      <c r="K2814" s="39"/>
      <c r="AF2814" s="42">
        <v>3300002982</v>
      </c>
      <c r="AG2814" s="42" t="s">
        <v>6529</v>
      </c>
    </row>
    <row r="2815" spans="7:33" ht="15.75" customHeight="1">
      <c r="G2815" s="36"/>
      <c r="H2815" s="36"/>
      <c r="I2815" s="36"/>
      <c r="J2815" s="39"/>
      <c r="K2815" s="39"/>
      <c r="AF2815" s="42">
        <v>3300002983</v>
      </c>
      <c r="AG2815" s="42" t="s">
        <v>6529</v>
      </c>
    </row>
    <row r="2816" spans="7:33" ht="15.75" customHeight="1">
      <c r="G2816" s="36"/>
      <c r="H2816" s="36"/>
      <c r="I2816" s="36"/>
      <c r="J2816" s="39"/>
      <c r="K2816" s="39"/>
      <c r="AF2816" s="42">
        <v>3300002984</v>
      </c>
      <c r="AG2816" s="42" t="s">
        <v>6529</v>
      </c>
    </row>
    <row r="2817" spans="7:33" ht="15.75" customHeight="1">
      <c r="G2817" s="36"/>
      <c r="H2817" s="36"/>
      <c r="I2817" s="36"/>
      <c r="J2817" s="39"/>
      <c r="K2817" s="39"/>
      <c r="AF2817" s="42">
        <v>3300002985</v>
      </c>
      <c r="AG2817" s="42" t="s">
        <v>6529</v>
      </c>
    </row>
    <row r="2818" spans="7:33" ht="15.75" customHeight="1">
      <c r="G2818" s="36"/>
      <c r="H2818" s="36"/>
      <c r="I2818" s="36"/>
      <c r="J2818" s="39"/>
      <c r="K2818" s="39"/>
      <c r="AF2818" s="42">
        <v>3300002986</v>
      </c>
      <c r="AG2818" s="42" t="s">
        <v>6529</v>
      </c>
    </row>
    <row r="2819" spans="7:33" ht="15.75" customHeight="1">
      <c r="G2819" s="36"/>
      <c r="H2819" s="36"/>
      <c r="I2819" s="36"/>
      <c r="J2819" s="39"/>
      <c r="K2819" s="39"/>
      <c r="AF2819" s="42">
        <v>3300002987</v>
      </c>
      <c r="AG2819" s="42" t="s">
        <v>6529</v>
      </c>
    </row>
    <row r="2820" spans="7:33" ht="15.75" customHeight="1">
      <c r="G2820" s="36"/>
      <c r="H2820" s="36"/>
      <c r="I2820" s="36"/>
      <c r="J2820" s="39"/>
      <c r="K2820" s="39"/>
      <c r="AF2820" s="42">
        <v>3300002988</v>
      </c>
      <c r="AG2820" s="42" t="s">
        <v>6529</v>
      </c>
    </row>
    <row r="2821" spans="7:33" ht="15.75" customHeight="1">
      <c r="G2821" s="36"/>
      <c r="H2821" s="36"/>
      <c r="I2821" s="36"/>
      <c r="J2821" s="39"/>
      <c r="K2821" s="39"/>
      <c r="AF2821" s="42">
        <v>3300002989</v>
      </c>
      <c r="AG2821" s="42" t="s">
        <v>6529</v>
      </c>
    </row>
    <row r="2822" spans="7:33" ht="15.75" customHeight="1">
      <c r="G2822" s="36"/>
      <c r="H2822" s="36"/>
      <c r="I2822" s="36"/>
      <c r="J2822" s="39"/>
      <c r="K2822" s="39"/>
      <c r="AF2822" s="42">
        <v>3300002990</v>
      </c>
      <c r="AG2822" s="42" t="s">
        <v>6529</v>
      </c>
    </row>
    <row r="2823" spans="7:33" ht="15.75" customHeight="1">
      <c r="G2823" s="36"/>
      <c r="H2823" s="36"/>
      <c r="I2823" s="36"/>
      <c r="J2823" s="39"/>
      <c r="K2823" s="39"/>
      <c r="AF2823" s="42">
        <v>3300002991</v>
      </c>
      <c r="AG2823" s="42" t="s">
        <v>6529</v>
      </c>
    </row>
    <row r="2824" spans="7:33" ht="15.75" customHeight="1">
      <c r="G2824" s="36"/>
      <c r="H2824" s="36"/>
      <c r="I2824" s="36"/>
      <c r="J2824" s="39"/>
      <c r="K2824" s="39"/>
      <c r="AF2824" s="42">
        <v>3300002992</v>
      </c>
      <c r="AG2824" s="42" t="s">
        <v>6529</v>
      </c>
    </row>
    <row r="2825" spans="7:33" ht="15.75" customHeight="1">
      <c r="G2825" s="36"/>
      <c r="H2825" s="36"/>
      <c r="I2825" s="36"/>
      <c r="J2825" s="39"/>
      <c r="K2825" s="39"/>
      <c r="AF2825" s="42">
        <v>3300002993</v>
      </c>
      <c r="AG2825" s="42" t="s">
        <v>6529</v>
      </c>
    </row>
    <row r="2826" spans="7:33" ht="15.75" customHeight="1">
      <c r="G2826" s="36"/>
      <c r="H2826" s="36"/>
      <c r="I2826" s="36"/>
      <c r="J2826" s="39"/>
      <c r="K2826" s="39"/>
      <c r="AF2826" s="42">
        <v>3300002994</v>
      </c>
      <c r="AG2826" s="42" t="s">
        <v>6529</v>
      </c>
    </row>
    <row r="2827" spans="7:33" ht="15.75" customHeight="1">
      <c r="G2827" s="36"/>
      <c r="H2827" s="36"/>
      <c r="I2827" s="36"/>
      <c r="J2827" s="39"/>
      <c r="K2827" s="39"/>
      <c r="AF2827" s="42">
        <v>3300002995</v>
      </c>
      <c r="AG2827" s="42" t="s">
        <v>6529</v>
      </c>
    </row>
    <row r="2828" spans="7:33" ht="15.75" customHeight="1">
      <c r="G2828" s="36"/>
      <c r="H2828" s="36"/>
      <c r="I2828" s="36"/>
      <c r="J2828" s="39"/>
      <c r="K2828" s="39"/>
      <c r="AF2828" s="42">
        <v>3300002996</v>
      </c>
      <c r="AG2828" s="42" t="s">
        <v>6529</v>
      </c>
    </row>
    <row r="2829" spans="7:33" ht="15.75" customHeight="1">
      <c r="G2829" s="36"/>
      <c r="H2829" s="36"/>
      <c r="I2829" s="36"/>
      <c r="J2829" s="39"/>
      <c r="K2829" s="39"/>
      <c r="AF2829" s="42">
        <v>3300002997</v>
      </c>
      <c r="AG2829" s="42" t="s">
        <v>6529</v>
      </c>
    </row>
    <row r="2830" spans="7:33" ht="15.75" customHeight="1">
      <c r="G2830" s="36"/>
      <c r="H2830" s="36"/>
      <c r="I2830" s="36"/>
      <c r="J2830" s="39"/>
      <c r="K2830" s="39"/>
      <c r="AF2830" s="42">
        <v>3300002998</v>
      </c>
      <c r="AG2830" s="42" t="s">
        <v>6529</v>
      </c>
    </row>
    <row r="2831" spans="7:33" ht="15.75" customHeight="1">
      <c r="G2831" s="36"/>
      <c r="H2831" s="36"/>
      <c r="I2831" s="36"/>
      <c r="J2831" s="39"/>
      <c r="K2831" s="39"/>
      <c r="AF2831" s="42">
        <v>3300002999</v>
      </c>
      <c r="AG2831" s="42" t="s">
        <v>6529</v>
      </c>
    </row>
    <row r="2832" spans="7:33" ht="15.75" customHeight="1">
      <c r="G2832" s="36"/>
      <c r="H2832" s="36"/>
      <c r="I2832" s="36"/>
      <c r="J2832" s="39"/>
      <c r="K2832" s="39"/>
      <c r="AF2832" s="42">
        <v>3300003000</v>
      </c>
      <c r="AG2832" s="42" t="s">
        <v>6529</v>
      </c>
    </row>
    <row r="2833" spans="7:33" ht="15.75" customHeight="1">
      <c r="G2833" s="36"/>
      <c r="H2833" s="36"/>
      <c r="I2833" s="36"/>
      <c r="J2833" s="39"/>
      <c r="K2833" s="39"/>
      <c r="AF2833" s="42">
        <v>3300003001</v>
      </c>
      <c r="AG2833" s="42" t="s">
        <v>6529</v>
      </c>
    </row>
    <row r="2834" spans="7:33" ht="15.75" customHeight="1">
      <c r="G2834" s="36"/>
      <c r="H2834" s="36"/>
      <c r="I2834" s="36"/>
      <c r="J2834" s="39"/>
      <c r="K2834" s="39"/>
      <c r="AF2834" s="42">
        <v>3300003002</v>
      </c>
      <c r="AG2834" s="42" t="s">
        <v>6529</v>
      </c>
    </row>
    <row r="2835" spans="7:33" ht="15.75" customHeight="1">
      <c r="G2835" s="36"/>
      <c r="H2835" s="36"/>
      <c r="I2835" s="36"/>
      <c r="J2835" s="39"/>
      <c r="K2835" s="39"/>
      <c r="AF2835" s="42">
        <v>3300003003</v>
      </c>
      <c r="AG2835" s="42" t="s">
        <v>6529</v>
      </c>
    </row>
    <row r="2836" spans="7:33" ht="15.75" customHeight="1">
      <c r="G2836" s="36"/>
      <c r="H2836" s="36"/>
      <c r="I2836" s="36"/>
      <c r="J2836" s="39"/>
      <c r="K2836" s="39"/>
      <c r="AF2836" s="42">
        <v>3300003004</v>
      </c>
      <c r="AG2836" s="42" t="s">
        <v>6529</v>
      </c>
    </row>
    <row r="2837" spans="7:33" ht="15.75" customHeight="1">
      <c r="G2837" s="36"/>
      <c r="H2837" s="36"/>
      <c r="I2837" s="36"/>
      <c r="J2837" s="39"/>
      <c r="K2837" s="39"/>
      <c r="AF2837" s="42">
        <v>3300003005</v>
      </c>
      <c r="AG2837" s="42" t="s">
        <v>6529</v>
      </c>
    </row>
    <row r="2838" spans="7:33" ht="15.75" customHeight="1">
      <c r="G2838" s="36"/>
      <c r="H2838" s="36"/>
      <c r="I2838" s="36"/>
      <c r="J2838" s="39"/>
      <c r="K2838" s="39"/>
      <c r="AF2838" s="42">
        <v>3300003006</v>
      </c>
      <c r="AG2838" s="42" t="s">
        <v>6529</v>
      </c>
    </row>
    <row r="2839" spans="7:33" ht="15.75" customHeight="1">
      <c r="G2839" s="36"/>
      <c r="H2839" s="36"/>
      <c r="I2839" s="36"/>
      <c r="J2839" s="39"/>
      <c r="K2839" s="39"/>
      <c r="AF2839" s="42">
        <v>3300003007</v>
      </c>
      <c r="AG2839" s="42" t="s">
        <v>6529</v>
      </c>
    </row>
    <row r="2840" spans="7:33" ht="15.75" customHeight="1">
      <c r="G2840" s="36"/>
      <c r="H2840" s="36"/>
      <c r="I2840" s="36"/>
      <c r="J2840" s="39"/>
      <c r="K2840" s="39"/>
      <c r="AF2840" s="42">
        <v>3300003008</v>
      </c>
      <c r="AG2840" s="42" t="s">
        <v>6529</v>
      </c>
    </row>
    <row r="2841" spans="7:33" ht="15.75" customHeight="1">
      <c r="G2841" s="36"/>
      <c r="H2841" s="36"/>
      <c r="I2841" s="36"/>
      <c r="J2841" s="39"/>
      <c r="K2841" s="39"/>
      <c r="AF2841" s="42">
        <v>3300003009</v>
      </c>
      <c r="AG2841" s="42" t="s">
        <v>6529</v>
      </c>
    </row>
    <row r="2842" spans="7:33" ht="15.75" customHeight="1">
      <c r="G2842" s="36"/>
      <c r="H2842" s="36"/>
      <c r="I2842" s="36"/>
      <c r="J2842" s="39"/>
      <c r="K2842" s="39"/>
      <c r="AF2842" s="42">
        <v>3300003010</v>
      </c>
      <c r="AG2842" s="42" t="s">
        <v>6529</v>
      </c>
    </row>
    <row r="2843" spans="7:33" ht="15.75" customHeight="1">
      <c r="G2843" s="36"/>
      <c r="H2843" s="36"/>
      <c r="I2843" s="36"/>
      <c r="J2843" s="39"/>
      <c r="K2843" s="39"/>
      <c r="AF2843" s="42">
        <v>3300003011</v>
      </c>
      <c r="AG2843" s="42" t="s">
        <v>6529</v>
      </c>
    </row>
    <row r="2844" spans="7:33" ht="15.75" customHeight="1">
      <c r="G2844" s="36"/>
      <c r="H2844" s="36"/>
      <c r="I2844" s="36"/>
      <c r="J2844" s="39"/>
      <c r="K2844" s="39"/>
      <c r="AF2844" s="42">
        <v>3300003012</v>
      </c>
      <c r="AG2844" s="42" t="s">
        <v>6529</v>
      </c>
    </row>
    <row r="2845" spans="7:33" ht="15.75" customHeight="1">
      <c r="G2845" s="36"/>
      <c r="H2845" s="36"/>
      <c r="I2845" s="36"/>
      <c r="J2845" s="39"/>
      <c r="K2845" s="39"/>
      <c r="AF2845" s="42">
        <v>3300003013</v>
      </c>
      <c r="AG2845" s="42" t="s">
        <v>6529</v>
      </c>
    </row>
    <row r="2846" spans="7:33" ht="15.75" customHeight="1">
      <c r="G2846" s="36"/>
      <c r="H2846" s="36"/>
      <c r="I2846" s="36"/>
      <c r="J2846" s="39"/>
      <c r="K2846" s="39"/>
      <c r="AF2846" s="42">
        <v>3300003014</v>
      </c>
      <c r="AG2846" s="42" t="s">
        <v>6529</v>
      </c>
    </row>
    <row r="2847" spans="7:33" ht="15.75" customHeight="1">
      <c r="G2847" s="36"/>
      <c r="H2847" s="36"/>
      <c r="I2847" s="36"/>
      <c r="J2847" s="39"/>
      <c r="K2847" s="39"/>
      <c r="AF2847" s="42">
        <v>3300003015</v>
      </c>
      <c r="AG2847" s="42" t="s">
        <v>6529</v>
      </c>
    </row>
    <row r="2848" spans="7:33" ht="15.75" customHeight="1">
      <c r="G2848" s="36"/>
      <c r="H2848" s="36"/>
      <c r="I2848" s="36"/>
      <c r="J2848" s="39"/>
      <c r="K2848" s="39"/>
      <c r="AF2848" s="42">
        <v>3300003016</v>
      </c>
      <c r="AG2848" s="42" t="s">
        <v>6529</v>
      </c>
    </row>
    <row r="2849" spans="7:33" ht="15.75" customHeight="1">
      <c r="G2849" s="36"/>
      <c r="H2849" s="36"/>
      <c r="I2849" s="36"/>
      <c r="J2849" s="39"/>
      <c r="K2849" s="39"/>
      <c r="AF2849" s="42">
        <v>3300003017</v>
      </c>
      <c r="AG2849" s="42" t="s">
        <v>6529</v>
      </c>
    </row>
    <row r="2850" spans="7:33" ht="15.75" customHeight="1">
      <c r="G2850" s="36"/>
      <c r="H2850" s="36"/>
      <c r="I2850" s="36"/>
      <c r="J2850" s="39"/>
      <c r="K2850" s="39"/>
      <c r="AF2850" s="42">
        <v>3300003018</v>
      </c>
      <c r="AG2850" s="42" t="s">
        <v>6529</v>
      </c>
    </row>
    <row r="2851" spans="7:33" ht="15.75" customHeight="1">
      <c r="G2851" s="36"/>
      <c r="H2851" s="36"/>
      <c r="I2851" s="36"/>
      <c r="J2851" s="39"/>
      <c r="K2851" s="39"/>
      <c r="AF2851" s="42">
        <v>3300003019</v>
      </c>
      <c r="AG2851" s="42" t="s">
        <v>6529</v>
      </c>
    </row>
    <row r="2852" spans="7:33" ht="15.75" customHeight="1">
      <c r="G2852" s="36"/>
      <c r="H2852" s="36"/>
      <c r="I2852" s="36"/>
      <c r="J2852" s="39"/>
      <c r="K2852" s="39"/>
      <c r="AF2852" s="42">
        <v>3300003149</v>
      </c>
      <c r="AG2852" s="42" t="s">
        <v>6529</v>
      </c>
    </row>
    <row r="2853" spans="7:33" ht="15.75" customHeight="1">
      <c r="G2853" s="36"/>
      <c r="H2853" s="36"/>
      <c r="I2853" s="36"/>
      <c r="J2853" s="39"/>
      <c r="K2853" s="39"/>
      <c r="AF2853" s="42">
        <v>3300003153</v>
      </c>
      <c r="AG2853" s="42" t="s">
        <v>6529</v>
      </c>
    </row>
    <row r="2854" spans="7:33" ht="15.75" customHeight="1">
      <c r="G2854" s="36"/>
      <c r="H2854" s="36"/>
      <c r="I2854" s="36"/>
      <c r="J2854" s="39"/>
      <c r="K2854" s="39"/>
      <c r="AF2854" s="42">
        <v>3300003606</v>
      </c>
      <c r="AG2854" s="42" t="s">
        <v>6529</v>
      </c>
    </row>
    <row r="2855" spans="7:33" ht="15.75" customHeight="1">
      <c r="G2855" s="36"/>
      <c r="H2855" s="36"/>
      <c r="I2855" s="36"/>
      <c r="J2855" s="39"/>
      <c r="K2855" s="39"/>
      <c r="AF2855" s="42">
        <v>3300003607</v>
      </c>
      <c r="AG2855" s="42" t="s">
        <v>6529</v>
      </c>
    </row>
    <row r="2856" spans="7:33" ht="15.75" customHeight="1">
      <c r="G2856" s="36"/>
      <c r="H2856" s="36"/>
      <c r="I2856" s="36"/>
      <c r="J2856" s="39"/>
      <c r="K2856" s="39"/>
      <c r="AF2856" s="42">
        <v>3300003608</v>
      </c>
      <c r="AG2856" s="42" t="s">
        <v>6529</v>
      </c>
    </row>
    <row r="2857" spans="7:33" ht="15.75" customHeight="1">
      <c r="G2857" s="36"/>
      <c r="H2857" s="36"/>
      <c r="I2857" s="36"/>
      <c r="J2857" s="39"/>
      <c r="K2857" s="39"/>
      <c r="AF2857" s="42">
        <v>3300003609</v>
      </c>
      <c r="AG2857" s="42" t="s">
        <v>6529</v>
      </c>
    </row>
    <row r="2858" spans="7:33" ht="15.75" customHeight="1">
      <c r="G2858" s="36"/>
      <c r="H2858" s="36"/>
      <c r="I2858" s="36"/>
      <c r="J2858" s="39"/>
      <c r="K2858" s="39"/>
      <c r="AF2858" s="42">
        <v>3300003610</v>
      </c>
      <c r="AG2858" s="42" t="s">
        <v>6529</v>
      </c>
    </row>
    <row r="2859" spans="7:33" ht="15.75" customHeight="1">
      <c r="G2859" s="36"/>
      <c r="H2859" s="36"/>
      <c r="I2859" s="36"/>
      <c r="J2859" s="39"/>
      <c r="K2859" s="39"/>
      <c r="AF2859" s="42">
        <v>3300003611</v>
      </c>
      <c r="AG2859" s="42" t="s">
        <v>6529</v>
      </c>
    </row>
    <row r="2860" spans="7:33" ht="15.75" customHeight="1">
      <c r="G2860" s="36"/>
      <c r="H2860" s="36"/>
      <c r="I2860" s="36"/>
      <c r="J2860" s="39"/>
      <c r="K2860" s="39"/>
      <c r="AF2860" s="42">
        <v>3300003612</v>
      </c>
      <c r="AG2860" s="42" t="s">
        <v>6529</v>
      </c>
    </row>
    <row r="2861" spans="7:33" ht="15.75" customHeight="1">
      <c r="G2861" s="36"/>
      <c r="H2861" s="36"/>
      <c r="I2861" s="36"/>
      <c r="J2861" s="39"/>
      <c r="K2861" s="39"/>
      <c r="AF2861" s="42">
        <v>3300003613</v>
      </c>
      <c r="AG2861" s="42" t="s">
        <v>6529</v>
      </c>
    </row>
    <row r="2862" spans="7:33" ht="15.75" customHeight="1">
      <c r="G2862" s="36"/>
      <c r="H2862" s="36"/>
      <c r="I2862" s="36"/>
      <c r="J2862" s="39"/>
      <c r="K2862" s="39"/>
      <c r="AF2862" s="42">
        <v>3300003614</v>
      </c>
      <c r="AG2862" s="42" t="s">
        <v>6529</v>
      </c>
    </row>
    <row r="2863" spans="7:33" ht="15.75" customHeight="1">
      <c r="G2863" s="36"/>
      <c r="H2863" s="36"/>
      <c r="I2863" s="36"/>
      <c r="J2863" s="39"/>
      <c r="K2863" s="39"/>
      <c r="AF2863" s="42">
        <v>3300003615</v>
      </c>
      <c r="AG2863" s="42" t="s">
        <v>6529</v>
      </c>
    </row>
    <row r="2864" spans="7:33" ht="15.75" customHeight="1">
      <c r="G2864" s="36"/>
      <c r="H2864" s="36"/>
      <c r="I2864" s="36"/>
      <c r="J2864" s="39"/>
      <c r="K2864" s="39"/>
      <c r="AF2864" s="42">
        <v>3300003616</v>
      </c>
      <c r="AG2864" s="42" t="s">
        <v>6529</v>
      </c>
    </row>
    <row r="2865" spans="7:33" ht="15.75" customHeight="1">
      <c r="G2865" s="36"/>
      <c r="H2865" s="36"/>
      <c r="I2865" s="36"/>
      <c r="J2865" s="39"/>
      <c r="K2865" s="39"/>
      <c r="AF2865" s="42">
        <v>3300003617</v>
      </c>
      <c r="AG2865" s="42" t="s">
        <v>6529</v>
      </c>
    </row>
    <row r="2866" spans="7:33" ht="15.75" customHeight="1">
      <c r="G2866" s="36"/>
      <c r="H2866" s="36"/>
      <c r="I2866" s="36"/>
      <c r="J2866" s="39"/>
      <c r="K2866" s="39"/>
      <c r="AF2866" s="42">
        <v>3300003618</v>
      </c>
      <c r="AG2866" s="42" t="s">
        <v>6529</v>
      </c>
    </row>
    <row r="2867" spans="7:33" ht="15.75" customHeight="1">
      <c r="G2867" s="36"/>
      <c r="H2867" s="36"/>
      <c r="I2867" s="36"/>
      <c r="J2867" s="39"/>
      <c r="K2867" s="39"/>
      <c r="AF2867" s="42">
        <v>3300003619</v>
      </c>
      <c r="AG2867" s="42" t="s">
        <v>6529</v>
      </c>
    </row>
    <row r="2868" spans="7:33" ht="15.75" customHeight="1">
      <c r="G2868" s="36"/>
      <c r="H2868" s="36"/>
      <c r="I2868" s="36"/>
      <c r="J2868" s="39"/>
      <c r="K2868" s="39"/>
      <c r="AF2868" s="42">
        <v>3300003620</v>
      </c>
      <c r="AG2868" s="42" t="s">
        <v>6529</v>
      </c>
    </row>
    <row r="2869" spans="7:33" ht="15.75" customHeight="1">
      <c r="G2869" s="36"/>
      <c r="H2869" s="36"/>
      <c r="I2869" s="36"/>
      <c r="J2869" s="39"/>
      <c r="K2869" s="39"/>
      <c r="AF2869" s="42">
        <v>3300003621</v>
      </c>
      <c r="AG2869" s="42" t="s">
        <v>6529</v>
      </c>
    </row>
    <row r="2870" spans="7:33" ht="15.75" customHeight="1">
      <c r="G2870" s="36"/>
      <c r="H2870" s="36"/>
      <c r="I2870" s="36"/>
      <c r="J2870" s="39"/>
      <c r="K2870" s="39"/>
      <c r="AF2870" s="42">
        <v>3300003622</v>
      </c>
      <c r="AG2870" s="42" t="s">
        <v>6529</v>
      </c>
    </row>
    <row r="2871" spans="7:33" ht="15.75" customHeight="1">
      <c r="G2871" s="36"/>
      <c r="H2871" s="36"/>
      <c r="I2871" s="36"/>
      <c r="J2871" s="39"/>
      <c r="K2871" s="39"/>
      <c r="AF2871" s="42">
        <v>3300003623</v>
      </c>
      <c r="AG2871" s="42" t="s">
        <v>6529</v>
      </c>
    </row>
    <row r="2872" spans="7:33" ht="15.75" customHeight="1">
      <c r="G2872" s="36"/>
      <c r="H2872" s="36"/>
      <c r="I2872" s="36"/>
      <c r="J2872" s="39"/>
      <c r="K2872" s="39"/>
      <c r="AF2872" s="42">
        <v>3300003624</v>
      </c>
      <c r="AG2872" s="42" t="s">
        <v>6529</v>
      </c>
    </row>
    <row r="2873" spans="7:33" ht="15.75" customHeight="1">
      <c r="G2873" s="36"/>
      <c r="H2873" s="36"/>
      <c r="I2873" s="36"/>
      <c r="J2873" s="39"/>
      <c r="K2873" s="39"/>
      <c r="AF2873" s="42">
        <v>3300003625</v>
      </c>
      <c r="AG2873" s="42" t="s">
        <v>6529</v>
      </c>
    </row>
    <row r="2874" spans="7:33" ht="15.75" customHeight="1">
      <c r="G2874" s="36"/>
      <c r="H2874" s="36"/>
      <c r="I2874" s="36"/>
      <c r="J2874" s="39"/>
      <c r="K2874" s="39"/>
      <c r="AF2874" s="42">
        <v>3300003626</v>
      </c>
      <c r="AG2874" s="42" t="s">
        <v>6529</v>
      </c>
    </row>
    <row r="2875" spans="7:33" ht="15.75" customHeight="1">
      <c r="G2875" s="36"/>
      <c r="H2875" s="36"/>
      <c r="I2875" s="36"/>
      <c r="J2875" s="39"/>
      <c r="K2875" s="39"/>
      <c r="AF2875" s="42">
        <v>3300003627</v>
      </c>
      <c r="AG2875" s="42" t="s">
        <v>6529</v>
      </c>
    </row>
    <row r="2876" spans="7:33" ht="15.75" customHeight="1">
      <c r="G2876" s="36"/>
      <c r="H2876" s="36"/>
      <c r="I2876" s="36"/>
      <c r="J2876" s="39"/>
      <c r="K2876" s="39"/>
      <c r="AF2876" s="42">
        <v>3300003628</v>
      </c>
      <c r="AG2876" s="42" t="s">
        <v>6529</v>
      </c>
    </row>
    <row r="2877" spans="7:33" ht="15.75" customHeight="1">
      <c r="G2877" s="36"/>
      <c r="H2877" s="36"/>
      <c r="I2877" s="36"/>
      <c r="J2877" s="39"/>
      <c r="K2877" s="39"/>
      <c r="AF2877" s="42">
        <v>3300003629</v>
      </c>
      <c r="AG2877" s="42" t="s">
        <v>6529</v>
      </c>
    </row>
    <row r="2878" spans="7:33" ht="15.75" customHeight="1">
      <c r="G2878" s="36"/>
      <c r="H2878" s="36"/>
      <c r="I2878" s="36"/>
      <c r="J2878" s="39"/>
      <c r="K2878" s="39"/>
      <c r="AF2878" s="42">
        <v>3300003630</v>
      </c>
      <c r="AG2878" s="42" t="s">
        <v>6529</v>
      </c>
    </row>
    <row r="2879" spans="7:33" ht="15.75" customHeight="1">
      <c r="G2879" s="36"/>
      <c r="H2879" s="36"/>
      <c r="I2879" s="36"/>
      <c r="J2879" s="39"/>
      <c r="K2879" s="39"/>
      <c r="AF2879" s="42">
        <v>3300003631</v>
      </c>
      <c r="AG2879" s="42" t="s">
        <v>6529</v>
      </c>
    </row>
    <row r="2880" spans="7:33" ht="15.75" customHeight="1">
      <c r="G2880" s="36"/>
      <c r="H2880" s="36"/>
      <c r="I2880" s="36"/>
      <c r="J2880" s="39"/>
      <c r="K2880" s="39"/>
      <c r="AF2880" s="42">
        <v>3300003632</v>
      </c>
      <c r="AG2880" s="42" t="s">
        <v>6529</v>
      </c>
    </row>
    <row r="2881" spans="7:33" ht="15.75" customHeight="1">
      <c r="G2881" s="36"/>
      <c r="H2881" s="36"/>
      <c r="I2881" s="36"/>
      <c r="J2881" s="39"/>
      <c r="K2881" s="39"/>
      <c r="AF2881" s="42">
        <v>3300003633</v>
      </c>
      <c r="AG2881" s="42" t="s">
        <v>6529</v>
      </c>
    </row>
    <row r="2882" spans="7:33" ht="15.75" customHeight="1">
      <c r="G2882" s="36"/>
      <c r="H2882" s="36"/>
      <c r="I2882" s="36"/>
      <c r="J2882" s="39"/>
      <c r="K2882" s="39"/>
      <c r="AF2882" s="42">
        <v>3300003634</v>
      </c>
      <c r="AG2882" s="42" t="s">
        <v>6529</v>
      </c>
    </row>
    <row r="2883" spans="7:33" ht="15.75" customHeight="1">
      <c r="G2883" s="36"/>
      <c r="H2883" s="36"/>
      <c r="I2883" s="36"/>
      <c r="J2883" s="39"/>
      <c r="K2883" s="39"/>
      <c r="AF2883" s="42">
        <v>3300003635</v>
      </c>
      <c r="AG2883" s="42" t="s">
        <v>6529</v>
      </c>
    </row>
    <row r="2884" spans="7:33" ht="15.75" customHeight="1">
      <c r="G2884" s="36"/>
      <c r="H2884" s="36"/>
      <c r="I2884" s="36"/>
      <c r="J2884" s="39"/>
      <c r="K2884" s="39"/>
      <c r="AF2884" s="42">
        <v>3300004114</v>
      </c>
      <c r="AG2884" s="42" t="s">
        <v>6529</v>
      </c>
    </row>
    <row r="2885" spans="7:33" ht="15.75" customHeight="1">
      <c r="G2885" s="36"/>
      <c r="H2885" s="36"/>
      <c r="I2885" s="36"/>
      <c r="J2885" s="39"/>
      <c r="K2885" s="39"/>
      <c r="AF2885" s="42">
        <v>3300004115</v>
      </c>
      <c r="AG2885" s="42" t="s">
        <v>6529</v>
      </c>
    </row>
    <row r="2886" spans="7:33" ht="15.75" customHeight="1">
      <c r="G2886" s="36"/>
      <c r="H2886" s="36"/>
      <c r="I2886" s="36"/>
      <c r="J2886" s="39"/>
      <c r="K2886" s="39"/>
      <c r="AF2886" s="42">
        <v>3300004116</v>
      </c>
      <c r="AG2886" s="42" t="s">
        <v>6529</v>
      </c>
    </row>
    <row r="2887" spans="7:33" ht="15.75" customHeight="1">
      <c r="G2887" s="36"/>
      <c r="H2887" s="36"/>
      <c r="I2887" s="36"/>
      <c r="J2887" s="39"/>
      <c r="K2887" s="39"/>
      <c r="AF2887" s="42">
        <v>3300004117</v>
      </c>
      <c r="AG2887" s="42" t="s">
        <v>6529</v>
      </c>
    </row>
    <row r="2888" spans="7:33" ht="15.75" customHeight="1">
      <c r="G2888" s="36"/>
      <c r="H2888" s="36"/>
      <c r="I2888" s="36"/>
      <c r="J2888" s="39"/>
      <c r="K2888" s="39"/>
      <c r="AF2888" s="42">
        <v>3300004118</v>
      </c>
      <c r="AG2888" s="42" t="s">
        <v>6529</v>
      </c>
    </row>
    <row r="2889" spans="7:33" ht="15.75" customHeight="1">
      <c r="G2889" s="36"/>
      <c r="H2889" s="36"/>
      <c r="I2889" s="36"/>
      <c r="J2889" s="39"/>
      <c r="K2889" s="39"/>
      <c r="AF2889" s="42">
        <v>3300004119</v>
      </c>
      <c r="AG2889" s="42" t="s">
        <v>6529</v>
      </c>
    </row>
    <row r="2890" spans="7:33" ht="15.75" customHeight="1">
      <c r="G2890" s="36"/>
      <c r="H2890" s="36"/>
      <c r="I2890" s="36"/>
      <c r="J2890" s="39"/>
      <c r="K2890" s="39"/>
      <c r="AF2890" s="42">
        <v>3300004120</v>
      </c>
      <c r="AG2890" s="42" t="s">
        <v>6529</v>
      </c>
    </row>
    <row r="2891" spans="7:33" ht="15.75" customHeight="1">
      <c r="G2891" s="36"/>
      <c r="H2891" s="36"/>
      <c r="I2891" s="36"/>
      <c r="J2891" s="39"/>
      <c r="K2891" s="39"/>
      <c r="AF2891" s="42">
        <v>3300004121</v>
      </c>
      <c r="AG2891" s="42" t="s">
        <v>6529</v>
      </c>
    </row>
    <row r="2892" spans="7:33" ht="15.75" customHeight="1">
      <c r="G2892" s="36"/>
      <c r="H2892" s="36"/>
      <c r="I2892" s="36"/>
      <c r="J2892" s="39"/>
      <c r="K2892" s="39"/>
      <c r="AF2892" s="42">
        <v>3300004122</v>
      </c>
      <c r="AG2892" s="42" t="s">
        <v>6529</v>
      </c>
    </row>
    <row r="2893" spans="7:33" ht="15.75" customHeight="1">
      <c r="G2893" s="36"/>
      <c r="H2893" s="36"/>
      <c r="I2893" s="36"/>
      <c r="J2893" s="39"/>
      <c r="K2893" s="39"/>
      <c r="AF2893" s="42">
        <v>3300004123</v>
      </c>
      <c r="AG2893" s="42" t="s">
        <v>6529</v>
      </c>
    </row>
    <row r="2894" spans="7:33" ht="15.75" customHeight="1">
      <c r="G2894" s="36"/>
      <c r="H2894" s="36"/>
      <c r="I2894" s="36"/>
      <c r="J2894" s="39"/>
      <c r="K2894" s="39"/>
      <c r="AF2894" s="42">
        <v>3300004124</v>
      </c>
      <c r="AG2894" s="42" t="s">
        <v>6529</v>
      </c>
    </row>
    <row r="2895" spans="7:33" ht="15.75" customHeight="1">
      <c r="G2895" s="36"/>
      <c r="H2895" s="36"/>
      <c r="I2895" s="36"/>
      <c r="J2895" s="39"/>
      <c r="K2895" s="39"/>
      <c r="AF2895" s="42">
        <v>3300004125</v>
      </c>
      <c r="AG2895" s="42" t="s">
        <v>6529</v>
      </c>
    </row>
    <row r="2896" spans="7:33" ht="15.75" customHeight="1">
      <c r="G2896" s="36"/>
      <c r="H2896" s="36"/>
      <c r="I2896" s="36"/>
      <c r="J2896" s="39"/>
      <c r="K2896" s="39"/>
      <c r="AF2896" s="42">
        <v>3300004126</v>
      </c>
      <c r="AG2896" s="42" t="s">
        <v>6529</v>
      </c>
    </row>
    <row r="2897" spans="7:33" ht="15.75" customHeight="1">
      <c r="G2897" s="36"/>
      <c r="H2897" s="36"/>
      <c r="I2897" s="36"/>
      <c r="J2897" s="39"/>
      <c r="K2897" s="39"/>
      <c r="AF2897" s="42">
        <v>3300004127</v>
      </c>
      <c r="AG2897" s="42" t="s">
        <v>6529</v>
      </c>
    </row>
    <row r="2898" spans="7:33" ht="15.75" customHeight="1">
      <c r="G2898" s="36"/>
      <c r="H2898" s="36"/>
      <c r="I2898" s="36"/>
      <c r="J2898" s="39"/>
      <c r="K2898" s="39"/>
      <c r="AF2898" s="42">
        <v>3300004128</v>
      </c>
      <c r="AG2898" s="42" t="s">
        <v>6529</v>
      </c>
    </row>
    <row r="2899" spans="7:33" ht="15.75" customHeight="1">
      <c r="G2899" s="36"/>
      <c r="H2899" s="36"/>
      <c r="I2899" s="36"/>
      <c r="J2899" s="39"/>
      <c r="K2899" s="39"/>
      <c r="AF2899" s="42">
        <v>3300004129</v>
      </c>
      <c r="AG2899" s="42" t="s">
        <v>6529</v>
      </c>
    </row>
    <row r="2900" spans="7:33" ht="15.75" customHeight="1">
      <c r="G2900" s="36"/>
      <c r="H2900" s="36"/>
      <c r="I2900" s="36"/>
      <c r="J2900" s="39"/>
      <c r="K2900" s="39"/>
      <c r="AF2900" s="42">
        <v>3300004130</v>
      </c>
      <c r="AG2900" s="42" t="s">
        <v>6529</v>
      </c>
    </row>
    <row r="2901" spans="7:33" ht="15.75" customHeight="1">
      <c r="G2901" s="36"/>
      <c r="H2901" s="36"/>
      <c r="I2901" s="36"/>
      <c r="J2901" s="39"/>
      <c r="K2901" s="39"/>
      <c r="AF2901" s="42">
        <v>3300004131</v>
      </c>
      <c r="AG2901" s="42" t="s">
        <v>6529</v>
      </c>
    </row>
    <row r="2902" spans="7:33" ht="15.75" customHeight="1">
      <c r="G2902" s="36"/>
      <c r="H2902" s="36"/>
      <c r="I2902" s="36"/>
      <c r="J2902" s="39"/>
      <c r="K2902" s="39"/>
      <c r="AF2902" s="42">
        <v>3300004132</v>
      </c>
      <c r="AG2902" s="42" t="s">
        <v>6529</v>
      </c>
    </row>
    <row r="2903" spans="7:33" ht="15.75" customHeight="1">
      <c r="G2903" s="36"/>
      <c r="H2903" s="36"/>
      <c r="I2903" s="36"/>
      <c r="J2903" s="39"/>
      <c r="K2903" s="39"/>
      <c r="AF2903" s="42">
        <v>3300004133</v>
      </c>
      <c r="AG2903" s="42" t="s">
        <v>6529</v>
      </c>
    </row>
    <row r="2904" spans="7:33" ht="15.75" customHeight="1">
      <c r="G2904" s="36"/>
      <c r="H2904" s="36"/>
      <c r="I2904" s="36"/>
      <c r="J2904" s="39"/>
      <c r="K2904" s="39"/>
      <c r="AF2904" s="42">
        <v>3300004134</v>
      </c>
      <c r="AG2904" s="42" t="s">
        <v>6529</v>
      </c>
    </row>
    <row r="2905" spans="7:33" ht="15.75" customHeight="1">
      <c r="G2905" s="36"/>
      <c r="H2905" s="36"/>
      <c r="I2905" s="36"/>
      <c r="J2905" s="39"/>
      <c r="K2905" s="39"/>
      <c r="AF2905" s="42">
        <v>3300004135</v>
      </c>
      <c r="AG2905" s="42" t="s">
        <v>6529</v>
      </c>
    </row>
    <row r="2906" spans="7:33" ht="15.75" customHeight="1">
      <c r="G2906" s="36"/>
      <c r="H2906" s="36"/>
      <c r="I2906" s="36"/>
      <c r="J2906" s="39"/>
      <c r="K2906" s="39"/>
      <c r="AF2906" s="42">
        <v>3300004136</v>
      </c>
      <c r="AG2906" s="42" t="s">
        <v>6529</v>
      </c>
    </row>
    <row r="2907" spans="7:33" ht="15.75" customHeight="1">
      <c r="G2907" s="36"/>
      <c r="H2907" s="36"/>
      <c r="I2907" s="36"/>
      <c r="J2907" s="39"/>
      <c r="K2907" s="39"/>
      <c r="AF2907" s="42">
        <v>3300004137</v>
      </c>
      <c r="AG2907" s="42" t="s">
        <v>6529</v>
      </c>
    </row>
    <row r="2908" spans="7:33" ht="15.75" customHeight="1">
      <c r="G2908" s="36"/>
      <c r="H2908" s="36"/>
      <c r="I2908" s="36"/>
      <c r="J2908" s="39"/>
      <c r="K2908" s="39"/>
      <c r="AF2908" s="42">
        <v>3300004138</v>
      </c>
      <c r="AG2908" s="42" t="s">
        <v>6529</v>
      </c>
    </row>
    <row r="2909" spans="7:33" ht="15.75" customHeight="1">
      <c r="G2909" s="36"/>
      <c r="H2909" s="36"/>
      <c r="I2909" s="36"/>
      <c r="J2909" s="39"/>
      <c r="K2909" s="39"/>
      <c r="AF2909" s="42">
        <v>3300004139</v>
      </c>
      <c r="AG2909" s="42" t="s">
        <v>6529</v>
      </c>
    </row>
    <row r="2910" spans="7:33" ht="15.75" customHeight="1">
      <c r="G2910" s="36"/>
      <c r="H2910" s="36"/>
      <c r="I2910" s="36"/>
      <c r="J2910" s="39"/>
      <c r="K2910" s="39"/>
      <c r="AF2910" s="42">
        <v>3300004140</v>
      </c>
      <c r="AG2910" s="42" t="s">
        <v>6529</v>
      </c>
    </row>
    <row r="2911" spans="7:33" ht="15.75" customHeight="1">
      <c r="G2911" s="36"/>
      <c r="H2911" s="36"/>
      <c r="I2911" s="36"/>
      <c r="J2911" s="39"/>
      <c r="K2911" s="39"/>
      <c r="AF2911" s="42">
        <v>3300004141</v>
      </c>
      <c r="AG2911" s="42" t="s">
        <v>6529</v>
      </c>
    </row>
    <row r="2912" spans="7:33" ht="15.75" customHeight="1">
      <c r="G2912" s="36"/>
      <c r="H2912" s="36"/>
      <c r="I2912" s="36"/>
      <c r="J2912" s="39"/>
      <c r="K2912" s="39"/>
      <c r="AF2912" s="42">
        <v>3300004142</v>
      </c>
      <c r="AG2912" s="42" t="s">
        <v>6529</v>
      </c>
    </row>
    <row r="2913" spans="7:33" ht="15.75" customHeight="1">
      <c r="G2913" s="36"/>
      <c r="H2913" s="36"/>
      <c r="I2913" s="36"/>
      <c r="J2913" s="39"/>
      <c r="K2913" s="39"/>
      <c r="AF2913" s="42">
        <v>3300004143</v>
      </c>
      <c r="AG2913" s="42" t="s">
        <v>6529</v>
      </c>
    </row>
    <row r="2914" spans="7:33" ht="15.75" customHeight="1">
      <c r="G2914" s="36"/>
      <c r="H2914" s="36"/>
      <c r="I2914" s="36"/>
      <c r="J2914" s="39"/>
      <c r="K2914" s="39"/>
      <c r="AF2914" s="42">
        <v>3300004144</v>
      </c>
      <c r="AG2914" s="42" t="s">
        <v>6529</v>
      </c>
    </row>
    <row r="2915" spans="7:33" ht="15.75" customHeight="1">
      <c r="G2915" s="36"/>
      <c r="H2915" s="36"/>
      <c r="I2915" s="36"/>
      <c r="J2915" s="39"/>
      <c r="K2915" s="39"/>
      <c r="AF2915" s="42">
        <v>3300004145</v>
      </c>
      <c r="AG2915" s="42" t="s">
        <v>6529</v>
      </c>
    </row>
    <row r="2916" spans="7:33" ht="15.75" customHeight="1">
      <c r="G2916" s="36"/>
      <c r="H2916" s="36"/>
      <c r="I2916" s="36"/>
      <c r="J2916" s="39"/>
      <c r="K2916" s="39"/>
      <c r="AF2916" s="42">
        <v>3300004146</v>
      </c>
      <c r="AG2916" s="42" t="s">
        <v>6529</v>
      </c>
    </row>
    <row r="2917" spans="7:33" ht="15.75" customHeight="1">
      <c r="G2917" s="36"/>
      <c r="H2917" s="36"/>
      <c r="I2917" s="36"/>
      <c r="J2917" s="39"/>
      <c r="K2917" s="39"/>
      <c r="AF2917" s="42">
        <v>3300004147</v>
      </c>
      <c r="AG2917" s="42" t="s">
        <v>6529</v>
      </c>
    </row>
    <row r="2918" spans="7:33" ht="15.75" customHeight="1">
      <c r="G2918" s="36"/>
      <c r="H2918" s="36"/>
      <c r="I2918" s="36"/>
      <c r="J2918" s="39"/>
      <c r="K2918" s="39"/>
      <c r="AF2918" s="42">
        <v>3300004148</v>
      </c>
      <c r="AG2918" s="42" t="s">
        <v>6529</v>
      </c>
    </row>
    <row r="2919" spans="7:33" ht="15.75" customHeight="1">
      <c r="G2919" s="36"/>
      <c r="H2919" s="36"/>
      <c r="I2919" s="36"/>
      <c r="J2919" s="39"/>
      <c r="K2919" s="39"/>
      <c r="AF2919" s="42">
        <v>3300004149</v>
      </c>
      <c r="AG2919" s="42" t="s">
        <v>6529</v>
      </c>
    </row>
    <row r="2920" spans="7:33" ht="15.75" customHeight="1">
      <c r="G2920" s="36"/>
      <c r="H2920" s="36"/>
      <c r="I2920" s="36"/>
      <c r="J2920" s="39"/>
      <c r="K2920" s="39"/>
      <c r="AF2920" s="42">
        <v>3300004150</v>
      </c>
      <c r="AG2920" s="42" t="s">
        <v>6529</v>
      </c>
    </row>
    <row r="2921" spans="7:33" ht="15.75" customHeight="1">
      <c r="G2921" s="36"/>
      <c r="H2921" s="36"/>
      <c r="I2921" s="36"/>
      <c r="J2921" s="39"/>
      <c r="K2921" s="39"/>
      <c r="AF2921" s="42">
        <v>3300004151</v>
      </c>
      <c r="AG2921" s="42" t="s">
        <v>6529</v>
      </c>
    </row>
    <row r="2922" spans="7:33" ht="15.75" customHeight="1">
      <c r="G2922" s="36"/>
      <c r="H2922" s="36"/>
      <c r="I2922" s="36"/>
      <c r="J2922" s="39"/>
      <c r="K2922" s="39"/>
      <c r="AF2922" s="42">
        <v>3300004152</v>
      </c>
      <c r="AG2922" s="42" t="s">
        <v>6529</v>
      </c>
    </row>
    <row r="2923" spans="7:33" ht="15.75" customHeight="1">
      <c r="G2923" s="36"/>
      <c r="H2923" s="36"/>
      <c r="I2923" s="36"/>
      <c r="J2923" s="39"/>
      <c r="K2923" s="39"/>
      <c r="AF2923" s="42">
        <v>3300004153</v>
      </c>
      <c r="AG2923" s="42" t="s">
        <v>6529</v>
      </c>
    </row>
    <row r="2924" spans="7:33" ht="15.75" customHeight="1">
      <c r="G2924" s="36"/>
      <c r="H2924" s="36"/>
      <c r="I2924" s="36"/>
      <c r="J2924" s="39"/>
      <c r="K2924" s="39"/>
      <c r="AF2924" s="42">
        <v>3300004154</v>
      </c>
      <c r="AG2924" s="42" t="s">
        <v>6529</v>
      </c>
    </row>
    <row r="2925" spans="7:33" ht="15.75" customHeight="1">
      <c r="G2925" s="36"/>
      <c r="H2925" s="36"/>
      <c r="I2925" s="36"/>
      <c r="J2925" s="39"/>
      <c r="K2925" s="39"/>
      <c r="AF2925" s="42">
        <v>3300004155</v>
      </c>
      <c r="AG2925" s="42" t="s">
        <v>6529</v>
      </c>
    </row>
    <row r="2926" spans="7:33" ht="15.75" customHeight="1">
      <c r="G2926" s="36"/>
      <c r="H2926" s="36"/>
      <c r="I2926" s="36"/>
      <c r="J2926" s="39"/>
      <c r="K2926" s="39"/>
      <c r="AF2926" s="42">
        <v>3300004156</v>
      </c>
      <c r="AG2926" s="42" t="s">
        <v>6529</v>
      </c>
    </row>
    <row r="2927" spans="7:33" ht="15.75" customHeight="1">
      <c r="G2927" s="36"/>
      <c r="H2927" s="36"/>
      <c r="I2927" s="36"/>
      <c r="J2927" s="39"/>
      <c r="K2927" s="39"/>
      <c r="AF2927" s="42">
        <v>3300004157</v>
      </c>
      <c r="AG2927" s="42" t="s">
        <v>6529</v>
      </c>
    </row>
    <row r="2928" spans="7:33" ht="15.75" customHeight="1">
      <c r="G2928" s="36"/>
      <c r="H2928" s="36"/>
      <c r="I2928" s="36"/>
      <c r="J2928" s="39"/>
      <c r="K2928" s="39"/>
      <c r="AF2928" s="42">
        <v>3300004158</v>
      </c>
      <c r="AG2928" s="42" t="s">
        <v>6529</v>
      </c>
    </row>
    <row r="2929" spans="7:33" ht="15.75" customHeight="1">
      <c r="G2929" s="36"/>
      <c r="H2929" s="36"/>
      <c r="I2929" s="36"/>
      <c r="J2929" s="39"/>
      <c r="K2929" s="39"/>
      <c r="AF2929" s="42">
        <v>3300004159</v>
      </c>
      <c r="AG2929" s="42" t="s">
        <v>6529</v>
      </c>
    </row>
    <row r="2930" spans="7:33" ht="15.75" customHeight="1">
      <c r="G2930" s="36"/>
      <c r="H2930" s="36"/>
      <c r="I2930" s="36"/>
      <c r="J2930" s="39"/>
      <c r="K2930" s="39"/>
      <c r="AF2930" s="42">
        <v>3300004160</v>
      </c>
      <c r="AG2930" s="42" t="s">
        <v>6529</v>
      </c>
    </row>
    <row r="2931" spans="7:33" ht="15.75" customHeight="1">
      <c r="G2931" s="36"/>
      <c r="H2931" s="36"/>
      <c r="I2931" s="36"/>
      <c r="J2931" s="39"/>
      <c r="K2931" s="39"/>
      <c r="AF2931" s="42">
        <v>3300004161</v>
      </c>
      <c r="AG2931" s="42" t="s">
        <v>6529</v>
      </c>
    </row>
    <row r="2932" spans="7:33" ht="15.75" customHeight="1">
      <c r="G2932" s="36"/>
      <c r="H2932" s="36"/>
      <c r="I2932" s="36"/>
      <c r="J2932" s="39"/>
      <c r="K2932" s="39"/>
      <c r="AF2932" s="42">
        <v>3300004162</v>
      </c>
      <c r="AG2932" s="42" t="s">
        <v>6529</v>
      </c>
    </row>
    <row r="2933" spans="7:33" ht="15.75" customHeight="1">
      <c r="G2933" s="36"/>
      <c r="H2933" s="36"/>
      <c r="I2933" s="36"/>
      <c r="J2933" s="39"/>
      <c r="K2933" s="39"/>
      <c r="AF2933" s="42">
        <v>3300004163</v>
      </c>
      <c r="AG2933" s="42" t="s">
        <v>6529</v>
      </c>
    </row>
    <row r="2934" spans="7:33" ht="15.75" customHeight="1">
      <c r="G2934" s="36"/>
      <c r="H2934" s="36"/>
      <c r="I2934" s="36"/>
      <c r="J2934" s="39"/>
      <c r="K2934" s="39"/>
      <c r="AF2934" s="42">
        <v>3300005135</v>
      </c>
      <c r="AG2934" s="42" t="s">
        <v>6529</v>
      </c>
    </row>
    <row r="2935" spans="7:33" ht="15.75" customHeight="1">
      <c r="G2935" s="36"/>
      <c r="H2935" s="36"/>
      <c r="I2935" s="36"/>
      <c r="J2935" s="39"/>
      <c r="K2935" s="39"/>
      <c r="AF2935" s="42">
        <v>3300005136</v>
      </c>
      <c r="AG2935" s="42" t="s">
        <v>6529</v>
      </c>
    </row>
    <row r="2936" spans="7:33" ht="15.75" customHeight="1">
      <c r="G2936" s="36"/>
      <c r="H2936" s="36"/>
      <c r="I2936" s="36"/>
      <c r="J2936" s="39"/>
      <c r="K2936" s="39"/>
      <c r="AF2936" s="42">
        <v>3300005137</v>
      </c>
      <c r="AG2936" s="42" t="s">
        <v>6529</v>
      </c>
    </row>
    <row r="2937" spans="7:33" ht="15.75" customHeight="1">
      <c r="G2937" s="36"/>
      <c r="H2937" s="36"/>
      <c r="I2937" s="36"/>
      <c r="J2937" s="39"/>
      <c r="K2937" s="39"/>
      <c r="AF2937" s="42">
        <v>3300005138</v>
      </c>
      <c r="AG2937" s="42" t="s">
        <v>6529</v>
      </c>
    </row>
    <row r="2938" spans="7:33" ht="15.75" customHeight="1">
      <c r="G2938" s="36"/>
      <c r="H2938" s="36"/>
      <c r="I2938" s="36"/>
      <c r="J2938" s="39"/>
      <c r="K2938" s="39"/>
      <c r="AF2938" s="42">
        <v>3300005139</v>
      </c>
      <c r="AG2938" s="42" t="s">
        <v>6529</v>
      </c>
    </row>
    <row r="2939" spans="7:33" ht="15.75" customHeight="1">
      <c r="G2939" s="36"/>
      <c r="H2939" s="36"/>
      <c r="I2939" s="36"/>
      <c r="J2939" s="39"/>
      <c r="K2939" s="39"/>
      <c r="AF2939" s="42">
        <v>3300005140</v>
      </c>
      <c r="AG2939" s="42" t="s">
        <v>6529</v>
      </c>
    </row>
    <row r="2940" spans="7:33" ht="15.75" customHeight="1">
      <c r="G2940" s="36"/>
      <c r="H2940" s="36"/>
      <c r="I2940" s="36"/>
      <c r="J2940" s="39"/>
      <c r="K2940" s="39"/>
      <c r="AF2940" s="42">
        <v>3300005141</v>
      </c>
      <c r="AG2940" s="42" t="s">
        <v>6529</v>
      </c>
    </row>
    <row r="2941" spans="7:33" ht="15.75" customHeight="1">
      <c r="G2941" s="36"/>
      <c r="H2941" s="36"/>
      <c r="I2941" s="36"/>
      <c r="J2941" s="39"/>
      <c r="K2941" s="39"/>
      <c r="AF2941" s="42">
        <v>3300005142</v>
      </c>
      <c r="AG2941" s="42" t="s">
        <v>6529</v>
      </c>
    </row>
    <row r="2942" spans="7:33" ht="15.75" customHeight="1">
      <c r="G2942" s="36"/>
      <c r="H2942" s="36"/>
      <c r="I2942" s="36"/>
      <c r="J2942" s="39"/>
      <c r="K2942" s="39"/>
      <c r="AF2942" s="42">
        <v>3300005143</v>
      </c>
      <c r="AG2942" s="42" t="s">
        <v>6529</v>
      </c>
    </row>
    <row r="2943" spans="7:33" ht="15.75" customHeight="1">
      <c r="G2943" s="36"/>
      <c r="H2943" s="36"/>
      <c r="I2943" s="36"/>
      <c r="J2943" s="39"/>
      <c r="K2943" s="39"/>
      <c r="AF2943" s="42">
        <v>3300005144</v>
      </c>
      <c r="AG2943" s="42" t="s">
        <v>6529</v>
      </c>
    </row>
    <row r="2944" spans="7:33" ht="15.75" customHeight="1">
      <c r="G2944" s="36"/>
      <c r="H2944" s="36"/>
      <c r="I2944" s="36"/>
      <c r="J2944" s="39"/>
      <c r="K2944" s="39"/>
      <c r="AF2944" s="42">
        <v>3300005145</v>
      </c>
      <c r="AG2944" s="42" t="s">
        <v>6529</v>
      </c>
    </row>
    <row r="2945" spans="7:33" ht="15.75" customHeight="1">
      <c r="G2945" s="36"/>
      <c r="H2945" s="36"/>
      <c r="I2945" s="36"/>
      <c r="J2945" s="39"/>
      <c r="K2945" s="39"/>
      <c r="AF2945" s="42">
        <v>3300005146</v>
      </c>
      <c r="AG2945" s="42" t="s">
        <v>6529</v>
      </c>
    </row>
    <row r="2946" spans="7:33" ht="15.75" customHeight="1">
      <c r="G2946" s="36"/>
      <c r="H2946" s="36"/>
      <c r="I2946" s="36"/>
      <c r="J2946" s="39"/>
      <c r="K2946" s="39"/>
      <c r="AF2946" s="42">
        <v>3300005147</v>
      </c>
      <c r="AG2946" s="42" t="s">
        <v>6529</v>
      </c>
    </row>
    <row r="2947" spans="7:33" ht="15.75" customHeight="1">
      <c r="G2947" s="36"/>
      <c r="H2947" s="36"/>
      <c r="I2947" s="36"/>
      <c r="J2947" s="39"/>
      <c r="K2947" s="39"/>
      <c r="AF2947" s="42">
        <v>3300005148</v>
      </c>
      <c r="AG2947" s="42" t="s">
        <v>6529</v>
      </c>
    </row>
    <row r="2948" spans="7:33" ht="15.75" customHeight="1">
      <c r="G2948" s="36"/>
      <c r="H2948" s="36"/>
      <c r="I2948" s="36"/>
      <c r="J2948" s="39"/>
      <c r="K2948" s="39"/>
      <c r="AF2948" s="42">
        <v>3300005149</v>
      </c>
      <c r="AG2948" s="42" t="s">
        <v>6529</v>
      </c>
    </row>
    <row r="2949" spans="7:33" ht="15.75" customHeight="1">
      <c r="G2949" s="36"/>
      <c r="H2949" s="36"/>
      <c r="I2949" s="36"/>
      <c r="J2949" s="39"/>
      <c r="K2949" s="39"/>
      <c r="AF2949" s="42">
        <v>3300005150</v>
      </c>
      <c r="AG2949" s="42" t="s">
        <v>6529</v>
      </c>
    </row>
    <row r="2950" spans="7:33" ht="15.75" customHeight="1">
      <c r="G2950" s="36"/>
      <c r="H2950" s="36"/>
      <c r="I2950" s="36"/>
      <c r="J2950" s="39"/>
      <c r="K2950" s="39"/>
      <c r="AF2950" s="42">
        <v>3300005151</v>
      </c>
      <c r="AG2950" s="42" t="s">
        <v>6529</v>
      </c>
    </row>
    <row r="2951" spans="7:33" ht="15.75" customHeight="1">
      <c r="G2951" s="36"/>
      <c r="H2951" s="36"/>
      <c r="I2951" s="36"/>
      <c r="J2951" s="39"/>
      <c r="K2951" s="39"/>
      <c r="AF2951" s="42">
        <v>3300005152</v>
      </c>
      <c r="AG2951" s="42" t="s">
        <v>6529</v>
      </c>
    </row>
    <row r="2952" spans="7:33" ht="15.75" customHeight="1">
      <c r="G2952" s="36"/>
      <c r="H2952" s="36"/>
      <c r="I2952" s="36"/>
      <c r="J2952" s="39"/>
      <c r="K2952" s="39"/>
      <c r="AF2952" s="42">
        <v>3300005153</v>
      </c>
      <c r="AG2952" s="42" t="s">
        <v>6529</v>
      </c>
    </row>
    <row r="2953" spans="7:33" ht="15.75" customHeight="1">
      <c r="G2953" s="36"/>
      <c r="H2953" s="36"/>
      <c r="I2953" s="36"/>
      <c r="J2953" s="39"/>
      <c r="K2953" s="39"/>
      <c r="AF2953" s="42">
        <v>3300005154</v>
      </c>
      <c r="AG2953" s="42" t="s">
        <v>6529</v>
      </c>
    </row>
    <row r="2954" spans="7:33" ht="15.75" customHeight="1">
      <c r="G2954" s="36"/>
      <c r="H2954" s="36"/>
      <c r="I2954" s="36"/>
      <c r="J2954" s="39"/>
      <c r="K2954" s="39"/>
      <c r="AF2954" s="42">
        <v>3300005155</v>
      </c>
      <c r="AG2954" s="42" t="s">
        <v>6529</v>
      </c>
    </row>
    <row r="2955" spans="7:33" ht="15.75" customHeight="1">
      <c r="G2955" s="36"/>
      <c r="H2955" s="36"/>
      <c r="I2955" s="36"/>
      <c r="J2955" s="39"/>
      <c r="K2955" s="39"/>
      <c r="AF2955" s="42">
        <v>3300005156</v>
      </c>
      <c r="AG2955" s="42" t="s">
        <v>6529</v>
      </c>
    </row>
    <row r="2956" spans="7:33" ht="15.75" customHeight="1">
      <c r="G2956" s="36"/>
      <c r="H2956" s="36"/>
      <c r="I2956" s="36"/>
      <c r="J2956" s="39"/>
      <c r="K2956" s="39"/>
      <c r="AF2956" s="42">
        <v>3300005157</v>
      </c>
      <c r="AG2956" s="42" t="s">
        <v>6529</v>
      </c>
    </row>
    <row r="2957" spans="7:33" ht="15.75" customHeight="1">
      <c r="G2957" s="36"/>
      <c r="H2957" s="36"/>
      <c r="I2957" s="36"/>
      <c r="J2957" s="39"/>
      <c r="K2957" s="39"/>
      <c r="AF2957" s="42">
        <v>3300005158</v>
      </c>
      <c r="AG2957" s="42" t="s">
        <v>6529</v>
      </c>
    </row>
    <row r="2958" spans="7:33" ht="15.75" customHeight="1">
      <c r="G2958" s="36"/>
      <c r="H2958" s="36"/>
      <c r="I2958" s="36"/>
      <c r="J2958" s="39"/>
      <c r="K2958" s="39"/>
      <c r="AF2958" s="42">
        <v>3300005159</v>
      </c>
      <c r="AG2958" s="42" t="s">
        <v>6529</v>
      </c>
    </row>
    <row r="2959" spans="7:33" ht="15.75" customHeight="1">
      <c r="G2959" s="36"/>
      <c r="H2959" s="36"/>
      <c r="I2959" s="36"/>
      <c r="J2959" s="39"/>
      <c r="K2959" s="39"/>
      <c r="AF2959" s="42">
        <v>3300005160</v>
      </c>
      <c r="AG2959" s="42" t="s">
        <v>6529</v>
      </c>
    </row>
    <row r="2960" spans="7:33" ht="15.75" customHeight="1">
      <c r="G2960" s="36"/>
      <c r="H2960" s="36"/>
      <c r="I2960" s="36"/>
      <c r="J2960" s="39"/>
      <c r="K2960" s="39"/>
      <c r="AF2960" s="42">
        <v>3300005161</v>
      </c>
      <c r="AG2960" s="42" t="s">
        <v>6529</v>
      </c>
    </row>
    <row r="2961" spans="7:33" ht="15.75" customHeight="1">
      <c r="G2961" s="36"/>
      <c r="H2961" s="36"/>
      <c r="I2961" s="36"/>
      <c r="J2961" s="39"/>
      <c r="K2961" s="39"/>
      <c r="AF2961" s="42">
        <v>3300005162</v>
      </c>
      <c r="AG2961" s="42" t="s">
        <v>6529</v>
      </c>
    </row>
    <row r="2962" spans="7:33" ht="15.75" customHeight="1">
      <c r="G2962" s="36"/>
      <c r="H2962" s="36"/>
      <c r="I2962" s="36"/>
      <c r="J2962" s="39"/>
      <c r="K2962" s="39"/>
      <c r="AF2962" s="42">
        <v>3300005163</v>
      </c>
      <c r="AG2962" s="42" t="s">
        <v>6529</v>
      </c>
    </row>
    <row r="2963" spans="7:33" ht="15.75" customHeight="1">
      <c r="G2963" s="36"/>
      <c r="H2963" s="36"/>
      <c r="I2963" s="36"/>
      <c r="J2963" s="39"/>
      <c r="K2963" s="39"/>
      <c r="AF2963" s="42">
        <v>3300005164</v>
      </c>
      <c r="AG2963" s="42" t="s">
        <v>6529</v>
      </c>
    </row>
    <row r="2964" spans="7:33" ht="15.75" customHeight="1">
      <c r="G2964" s="36"/>
      <c r="H2964" s="36"/>
      <c r="I2964" s="36"/>
      <c r="J2964" s="39"/>
      <c r="K2964" s="39"/>
      <c r="AF2964" s="42">
        <v>3300005165</v>
      </c>
      <c r="AG2964" s="42" t="s">
        <v>6529</v>
      </c>
    </row>
    <row r="2965" spans="7:33" ht="15.75" customHeight="1">
      <c r="G2965" s="36"/>
      <c r="H2965" s="36"/>
      <c r="I2965" s="36"/>
      <c r="J2965" s="39"/>
      <c r="K2965" s="39"/>
      <c r="AF2965" s="42">
        <v>3300005166</v>
      </c>
      <c r="AG2965" s="42" t="s">
        <v>6529</v>
      </c>
    </row>
    <row r="2966" spans="7:33" ht="15.75" customHeight="1">
      <c r="G2966" s="36"/>
      <c r="H2966" s="36"/>
      <c r="I2966" s="36"/>
      <c r="J2966" s="39"/>
      <c r="K2966" s="39"/>
      <c r="AF2966" s="42">
        <v>3300005167</v>
      </c>
      <c r="AG2966" s="42" t="s">
        <v>6529</v>
      </c>
    </row>
    <row r="2967" spans="7:33" ht="15.75" customHeight="1">
      <c r="G2967" s="36"/>
      <c r="H2967" s="36"/>
      <c r="I2967" s="36"/>
      <c r="J2967" s="39"/>
      <c r="K2967" s="39"/>
      <c r="AF2967" s="42">
        <v>3300005168</v>
      </c>
      <c r="AG2967" s="42" t="s">
        <v>6529</v>
      </c>
    </row>
    <row r="2968" spans="7:33" ht="15.75" customHeight="1">
      <c r="G2968" s="36"/>
      <c r="H2968" s="36"/>
      <c r="I2968" s="36"/>
      <c r="J2968" s="39"/>
      <c r="K2968" s="39"/>
      <c r="AF2968" s="42">
        <v>3300005169</v>
      </c>
      <c r="AG2968" s="42" t="s">
        <v>6529</v>
      </c>
    </row>
    <row r="2969" spans="7:33" ht="15.75" customHeight="1">
      <c r="G2969" s="36"/>
      <c r="H2969" s="36"/>
      <c r="I2969" s="36"/>
      <c r="J2969" s="39"/>
      <c r="K2969" s="39"/>
      <c r="AF2969" s="42">
        <v>3300005170</v>
      </c>
      <c r="AG2969" s="42" t="s">
        <v>6529</v>
      </c>
    </row>
    <row r="2970" spans="7:33" ht="15.75" customHeight="1">
      <c r="G2970" s="36"/>
      <c r="H2970" s="36"/>
      <c r="I2970" s="36"/>
      <c r="J2970" s="39"/>
      <c r="K2970" s="39"/>
      <c r="AF2970" s="42">
        <v>3300005171</v>
      </c>
      <c r="AG2970" s="42" t="s">
        <v>6529</v>
      </c>
    </row>
    <row r="2971" spans="7:33" ht="15.75" customHeight="1">
      <c r="G2971" s="36"/>
      <c r="H2971" s="36"/>
      <c r="I2971" s="36"/>
      <c r="J2971" s="39"/>
      <c r="K2971" s="39"/>
      <c r="AF2971" s="42">
        <v>3300005172</v>
      </c>
      <c r="AG2971" s="42" t="s">
        <v>6529</v>
      </c>
    </row>
    <row r="2972" spans="7:33" ht="15.75" customHeight="1">
      <c r="G2972" s="36"/>
      <c r="H2972" s="36"/>
      <c r="I2972" s="36"/>
      <c r="J2972" s="39"/>
      <c r="K2972" s="39"/>
      <c r="AF2972" s="42">
        <v>3300005173</v>
      </c>
      <c r="AG2972" s="42" t="s">
        <v>6529</v>
      </c>
    </row>
    <row r="2973" spans="7:33" ht="15.75" customHeight="1">
      <c r="G2973" s="36"/>
      <c r="H2973" s="36"/>
      <c r="I2973" s="36"/>
      <c r="J2973" s="39"/>
      <c r="K2973" s="39"/>
      <c r="AF2973" s="42">
        <v>3300005174</v>
      </c>
      <c r="AG2973" s="42" t="s">
        <v>6529</v>
      </c>
    </row>
    <row r="2974" spans="7:33" ht="15.75" customHeight="1">
      <c r="G2974" s="36"/>
      <c r="H2974" s="36"/>
      <c r="I2974" s="36"/>
      <c r="J2974" s="39"/>
      <c r="K2974" s="39"/>
      <c r="AF2974" s="42">
        <v>3300005175</v>
      </c>
      <c r="AG2974" s="42" t="s">
        <v>6529</v>
      </c>
    </row>
    <row r="2975" spans="7:33" ht="15.75" customHeight="1">
      <c r="G2975" s="36"/>
      <c r="H2975" s="36"/>
      <c r="I2975" s="36"/>
      <c r="J2975" s="39"/>
      <c r="K2975" s="39"/>
      <c r="AF2975" s="42">
        <v>3300005176</v>
      </c>
      <c r="AG2975" s="42" t="s">
        <v>6529</v>
      </c>
    </row>
    <row r="2976" spans="7:33" ht="15.75" customHeight="1">
      <c r="G2976" s="36"/>
      <c r="H2976" s="36"/>
      <c r="I2976" s="36"/>
      <c r="J2976" s="39"/>
      <c r="K2976" s="39"/>
      <c r="AF2976" s="42">
        <v>3300005177</v>
      </c>
      <c r="AG2976" s="42" t="s">
        <v>6529</v>
      </c>
    </row>
    <row r="2977" spans="7:33" ht="15.75" customHeight="1">
      <c r="G2977" s="36"/>
      <c r="H2977" s="36"/>
      <c r="I2977" s="36"/>
      <c r="J2977" s="39"/>
      <c r="K2977" s="39"/>
      <c r="AF2977" s="42">
        <v>3300005178</v>
      </c>
      <c r="AG2977" s="42" t="s">
        <v>6529</v>
      </c>
    </row>
    <row r="2978" spans="7:33" ht="15.75" customHeight="1">
      <c r="G2978" s="36"/>
      <c r="H2978" s="36"/>
      <c r="I2978" s="36"/>
      <c r="J2978" s="39"/>
      <c r="K2978" s="39"/>
      <c r="AF2978" s="42">
        <v>3300005179</v>
      </c>
      <c r="AG2978" s="42" t="s">
        <v>6529</v>
      </c>
    </row>
    <row r="2979" spans="7:33" ht="15.75" customHeight="1">
      <c r="G2979" s="36"/>
      <c r="H2979" s="36"/>
      <c r="I2979" s="36"/>
      <c r="J2979" s="39"/>
      <c r="K2979" s="39"/>
      <c r="AF2979" s="42">
        <v>3300005180</v>
      </c>
      <c r="AG2979" s="42" t="s">
        <v>6529</v>
      </c>
    </row>
    <row r="2980" spans="7:33" ht="15.75" customHeight="1">
      <c r="G2980" s="36"/>
      <c r="H2980" s="36"/>
      <c r="I2980" s="36"/>
      <c r="J2980" s="39"/>
      <c r="K2980" s="39"/>
      <c r="AF2980" s="42">
        <v>3300005181</v>
      </c>
      <c r="AG2980" s="42" t="s">
        <v>6529</v>
      </c>
    </row>
    <row r="2981" spans="7:33" ht="15.75" customHeight="1">
      <c r="G2981" s="36"/>
      <c r="H2981" s="36"/>
      <c r="I2981" s="36"/>
      <c r="J2981" s="39"/>
      <c r="K2981" s="39"/>
      <c r="AF2981" s="42">
        <v>3300005182</v>
      </c>
      <c r="AG2981" s="42" t="s">
        <v>6529</v>
      </c>
    </row>
    <row r="2982" spans="7:33" ht="15.75" customHeight="1">
      <c r="G2982" s="36"/>
      <c r="H2982" s="36"/>
      <c r="I2982" s="36"/>
      <c r="J2982" s="39"/>
      <c r="K2982" s="39"/>
      <c r="AF2982" s="42">
        <v>3300005183</v>
      </c>
      <c r="AG2982" s="42" t="s">
        <v>6529</v>
      </c>
    </row>
    <row r="2983" spans="7:33" ht="15.75" customHeight="1">
      <c r="G2983" s="36"/>
      <c r="H2983" s="36"/>
      <c r="I2983" s="36"/>
      <c r="J2983" s="39"/>
      <c r="K2983" s="39"/>
      <c r="AF2983" s="42">
        <v>3300005184</v>
      </c>
      <c r="AG2983" s="42" t="s">
        <v>6529</v>
      </c>
    </row>
    <row r="2984" spans="7:33" ht="15.75" customHeight="1">
      <c r="G2984" s="36"/>
      <c r="H2984" s="36"/>
      <c r="I2984" s="36"/>
      <c r="J2984" s="39"/>
      <c r="K2984" s="39"/>
      <c r="AF2984" s="42">
        <v>3300005726</v>
      </c>
      <c r="AG2984" s="42" t="s">
        <v>6529</v>
      </c>
    </row>
    <row r="2985" spans="7:33" ht="15.75" customHeight="1">
      <c r="G2985" s="36"/>
      <c r="H2985" s="36"/>
      <c r="I2985" s="36"/>
      <c r="J2985" s="39"/>
      <c r="K2985" s="39"/>
      <c r="AF2985" s="42">
        <v>3300005727</v>
      </c>
      <c r="AG2985" s="42" t="s">
        <v>6529</v>
      </c>
    </row>
    <row r="2986" spans="7:33" ht="15.75" customHeight="1">
      <c r="G2986" s="36"/>
      <c r="H2986" s="36"/>
      <c r="I2986" s="36"/>
      <c r="J2986" s="39"/>
      <c r="K2986" s="39"/>
      <c r="AF2986" s="42">
        <v>3300005728</v>
      </c>
      <c r="AG2986" s="42" t="s">
        <v>6529</v>
      </c>
    </row>
    <row r="2987" spans="7:33" ht="15.75" customHeight="1">
      <c r="G2987" s="36"/>
      <c r="H2987" s="36"/>
      <c r="I2987" s="36"/>
      <c r="J2987" s="39"/>
      <c r="K2987" s="39"/>
      <c r="AF2987" s="42">
        <v>3300005729</v>
      </c>
      <c r="AG2987" s="42" t="s">
        <v>6529</v>
      </c>
    </row>
    <row r="2988" spans="7:33" ht="15.75" customHeight="1">
      <c r="G2988" s="36"/>
      <c r="H2988" s="36"/>
      <c r="I2988" s="36"/>
      <c r="J2988" s="39"/>
      <c r="K2988" s="39"/>
      <c r="AF2988" s="42">
        <v>3300005730</v>
      </c>
      <c r="AG2988" s="42" t="s">
        <v>6529</v>
      </c>
    </row>
    <row r="2989" spans="7:33" ht="15.75" customHeight="1">
      <c r="G2989" s="36"/>
      <c r="H2989" s="36"/>
      <c r="I2989" s="36"/>
      <c r="J2989" s="39"/>
      <c r="K2989" s="39"/>
      <c r="AF2989" s="42">
        <v>3300005754</v>
      </c>
      <c r="AG2989" s="42" t="s">
        <v>6529</v>
      </c>
    </row>
    <row r="2990" spans="7:33" ht="15.75" customHeight="1">
      <c r="G2990" s="36"/>
      <c r="H2990" s="36"/>
      <c r="I2990" s="36"/>
      <c r="J2990" s="39"/>
      <c r="K2990" s="39"/>
      <c r="AF2990" s="42">
        <v>3300005760</v>
      </c>
      <c r="AG2990" s="42" t="s">
        <v>6529</v>
      </c>
    </row>
    <row r="2991" spans="7:33" ht="15.75" customHeight="1">
      <c r="G2991" s="36"/>
      <c r="H2991" s="36"/>
      <c r="I2991" s="36"/>
      <c r="J2991" s="39"/>
      <c r="K2991" s="39"/>
      <c r="AF2991" s="42">
        <v>3300005762</v>
      </c>
      <c r="AG2991" s="42" t="s">
        <v>6529</v>
      </c>
    </row>
    <row r="2992" spans="7:33" ht="15.75" customHeight="1">
      <c r="G2992" s="36"/>
      <c r="H2992" s="36"/>
      <c r="I2992" s="36"/>
      <c r="J2992" s="39"/>
      <c r="K2992" s="39"/>
      <c r="AF2992" s="42">
        <v>3300005767</v>
      </c>
      <c r="AG2992" s="42" t="s">
        <v>6529</v>
      </c>
    </row>
    <row r="2993" spans="7:33" ht="15.75" customHeight="1">
      <c r="G2993" s="36"/>
      <c r="H2993" s="36"/>
      <c r="I2993" s="36"/>
      <c r="J2993" s="39"/>
      <c r="K2993" s="39"/>
      <c r="AF2993" s="42">
        <v>3300005769</v>
      </c>
      <c r="AG2993" s="42" t="s">
        <v>6529</v>
      </c>
    </row>
    <row r="2994" spans="7:33" ht="15.75" customHeight="1">
      <c r="G2994" s="36"/>
      <c r="H2994" s="36"/>
      <c r="I2994" s="36"/>
      <c r="J2994" s="39"/>
      <c r="K2994" s="39"/>
      <c r="AF2994" s="42">
        <v>3300005770</v>
      </c>
      <c r="AG2994" s="42" t="s">
        <v>6529</v>
      </c>
    </row>
    <row r="2995" spans="7:33" ht="15.75" customHeight="1">
      <c r="G2995" s="36"/>
      <c r="H2995" s="36"/>
      <c r="I2995" s="36"/>
      <c r="J2995" s="39"/>
      <c r="K2995" s="39"/>
      <c r="AF2995" s="42">
        <v>3300005978</v>
      </c>
      <c r="AG2995" s="42" t="s">
        <v>6529</v>
      </c>
    </row>
    <row r="2996" spans="7:33" ht="15.75" customHeight="1">
      <c r="G2996" s="36"/>
      <c r="H2996" s="36"/>
      <c r="I2996" s="36"/>
      <c r="J2996" s="39"/>
      <c r="K2996" s="39"/>
      <c r="AF2996" s="42">
        <v>3300005979</v>
      </c>
      <c r="AG2996" s="42" t="s">
        <v>6529</v>
      </c>
    </row>
    <row r="2997" spans="7:33" ht="15.75" customHeight="1">
      <c r="G2997" s="36"/>
      <c r="H2997" s="36"/>
      <c r="I2997" s="36"/>
      <c r="J2997" s="39"/>
      <c r="K2997" s="39"/>
      <c r="AF2997" s="42">
        <v>3300005982</v>
      </c>
      <c r="AG2997" s="42" t="s">
        <v>6529</v>
      </c>
    </row>
    <row r="2998" spans="7:33" ht="15.75" customHeight="1">
      <c r="G2998" s="36"/>
      <c r="H2998" s="36"/>
      <c r="I2998" s="36"/>
      <c r="J2998" s="39"/>
      <c r="K2998" s="39"/>
      <c r="AF2998" s="42">
        <v>3300005987</v>
      </c>
      <c r="AG2998" s="42" t="s">
        <v>6529</v>
      </c>
    </row>
    <row r="2999" spans="7:33" ht="15.75" customHeight="1">
      <c r="G2999" s="36"/>
      <c r="H2999" s="36"/>
      <c r="I2999" s="36"/>
      <c r="J2999" s="39"/>
      <c r="K2999" s="39"/>
      <c r="AF2999" s="42">
        <v>3300006167</v>
      </c>
      <c r="AG2999" s="42" t="s">
        <v>6529</v>
      </c>
    </row>
    <row r="3000" spans="7:33" ht="15.75" customHeight="1">
      <c r="G3000" s="36"/>
      <c r="H3000" s="36"/>
      <c r="I3000" s="36"/>
      <c r="J3000" s="39"/>
      <c r="K3000" s="39"/>
      <c r="AF3000" s="42">
        <v>3300006517</v>
      </c>
      <c r="AG3000" s="42" t="s">
        <v>6529</v>
      </c>
    </row>
    <row r="3001" spans="7:33" ht="15.75" customHeight="1">
      <c r="G3001" s="36"/>
      <c r="H3001" s="36"/>
      <c r="I3001" s="36"/>
      <c r="J3001" s="39"/>
      <c r="K3001" s="39"/>
      <c r="AF3001" s="42">
        <v>3300006522</v>
      </c>
      <c r="AG3001" s="42" t="s">
        <v>6529</v>
      </c>
    </row>
    <row r="3002" spans="7:33" ht="15.75" customHeight="1">
      <c r="G3002" s="36"/>
      <c r="H3002" s="36"/>
      <c r="I3002" s="36"/>
      <c r="J3002" s="39"/>
      <c r="K3002" s="39"/>
      <c r="AF3002" s="42">
        <v>3300006525</v>
      </c>
      <c r="AG3002" s="42" t="s">
        <v>6529</v>
      </c>
    </row>
    <row r="3003" spans="7:33" ht="15.75" customHeight="1">
      <c r="G3003" s="36"/>
      <c r="H3003" s="36"/>
      <c r="I3003" s="36"/>
      <c r="J3003" s="39"/>
      <c r="K3003" s="39"/>
      <c r="AF3003" s="42">
        <v>3300006554</v>
      </c>
      <c r="AG3003" s="42" t="s">
        <v>6529</v>
      </c>
    </row>
    <row r="3004" spans="7:33" ht="15.75" customHeight="1">
      <c r="G3004" s="36"/>
      <c r="H3004" s="36"/>
      <c r="I3004" s="36"/>
      <c r="J3004" s="39"/>
      <c r="K3004" s="39"/>
      <c r="AF3004" s="42">
        <v>3300006557</v>
      </c>
      <c r="AG3004" s="42" t="s">
        <v>6529</v>
      </c>
    </row>
    <row r="3005" spans="7:33" ht="15.75" customHeight="1">
      <c r="G3005" s="36"/>
      <c r="H3005" s="36"/>
      <c r="I3005" s="36"/>
      <c r="J3005" s="39"/>
      <c r="K3005" s="39"/>
      <c r="AF3005" s="42">
        <v>3300006566</v>
      </c>
      <c r="AG3005" s="42" t="s">
        <v>6529</v>
      </c>
    </row>
    <row r="3006" spans="7:33" ht="15.75" customHeight="1">
      <c r="G3006" s="36"/>
      <c r="H3006" s="36"/>
      <c r="I3006" s="36"/>
      <c r="J3006" s="39"/>
      <c r="K3006" s="39"/>
      <c r="AF3006" s="42">
        <v>3300006713</v>
      </c>
      <c r="AG3006" s="42" t="s">
        <v>6529</v>
      </c>
    </row>
    <row r="3007" spans="7:33" ht="15.75" customHeight="1">
      <c r="G3007" s="36"/>
      <c r="H3007" s="36"/>
      <c r="I3007" s="36"/>
      <c r="J3007" s="39"/>
      <c r="K3007" s="39"/>
      <c r="AF3007" s="42">
        <v>3300006725</v>
      </c>
      <c r="AG3007" s="42" t="s">
        <v>6529</v>
      </c>
    </row>
    <row r="3008" spans="7:33" ht="15.75" customHeight="1">
      <c r="G3008" s="36"/>
      <c r="H3008" s="36"/>
      <c r="I3008" s="36"/>
      <c r="J3008" s="39"/>
      <c r="K3008" s="39"/>
      <c r="AF3008" s="42">
        <v>3300006791</v>
      </c>
      <c r="AG3008" s="42" t="s">
        <v>6529</v>
      </c>
    </row>
    <row r="3009" spans="7:33" ht="15.75" customHeight="1">
      <c r="G3009" s="36"/>
      <c r="H3009" s="36"/>
      <c r="I3009" s="36"/>
      <c r="J3009" s="39"/>
      <c r="K3009" s="39"/>
      <c r="AF3009" s="42">
        <v>3300006792</v>
      </c>
      <c r="AG3009" s="42" t="s">
        <v>6529</v>
      </c>
    </row>
    <row r="3010" spans="7:33" ht="15.75" customHeight="1">
      <c r="G3010" s="36"/>
      <c r="H3010" s="36"/>
      <c r="I3010" s="36"/>
      <c r="J3010" s="39"/>
      <c r="K3010" s="39"/>
      <c r="AF3010" s="42">
        <v>3300006793</v>
      </c>
      <c r="AG3010" s="42" t="s">
        <v>6529</v>
      </c>
    </row>
    <row r="3011" spans="7:33" ht="15.75" customHeight="1">
      <c r="G3011" s="36"/>
      <c r="H3011" s="36"/>
      <c r="I3011" s="36"/>
      <c r="J3011" s="39"/>
      <c r="K3011" s="39"/>
      <c r="AF3011" s="42">
        <v>3300006794</v>
      </c>
      <c r="AG3011" s="42" t="s">
        <v>6529</v>
      </c>
    </row>
    <row r="3012" spans="7:33" ht="15.75" customHeight="1">
      <c r="G3012" s="36"/>
      <c r="H3012" s="36"/>
      <c r="I3012" s="36"/>
      <c r="J3012" s="39"/>
      <c r="K3012" s="39"/>
      <c r="AF3012" s="42">
        <v>3300006795</v>
      </c>
      <c r="AG3012" s="42" t="s">
        <v>6529</v>
      </c>
    </row>
    <row r="3013" spans="7:33" ht="15.75" customHeight="1">
      <c r="G3013" s="36"/>
      <c r="H3013" s="36"/>
      <c r="I3013" s="36"/>
      <c r="J3013" s="39"/>
      <c r="K3013" s="39"/>
      <c r="AF3013" s="42">
        <v>3300006796</v>
      </c>
      <c r="AG3013" s="42" t="s">
        <v>6529</v>
      </c>
    </row>
    <row r="3014" spans="7:33" ht="15.75" customHeight="1">
      <c r="G3014" s="36"/>
      <c r="H3014" s="36"/>
      <c r="I3014" s="36"/>
      <c r="J3014" s="39"/>
      <c r="K3014" s="39"/>
      <c r="AF3014" s="42">
        <v>3300006797</v>
      </c>
      <c r="AG3014" s="42" t="s">
        <v>6529</v>
      </c>
    </row>
    <row r="3015" spans="7:33" ht="15.75" customHeight="1">
      <c r="G3015" s="36"/>
      <c r="H3015" s="36"/>
      <c r="I3015" s="36"/>
      <c r="J3015" s="39"/>
      <c r="K3015" s="39"/>
      <c r="AF3015" s="42">
        <v>3300006798</v>
      </c>
      <c r="AG3015" s="42" t="s">
        <v>6529</v>
      </c>
    </row>
    <row r="3016" spans="7:33" ht="15.75" customHeight="1">
      <c r="G3016" s="36"/>
      <c r="H3016" s="36"/>
      <c r="I3016" s="36"/>
      <c r="J3016" s="39"/>
      <c r="K3016" s="39"/>
      <c r="AF3016" s="42">
        <v>3300006799</v>
      </c>
      <c r="AG3016" s="42" t="s">
        <v>6529</v>
      </c>
    </row>
    <row r="3017" spans="7:33" ht="15.75" customHeight="1">
      <c r="G3017" s="36"/>
      <c r="H3017" s="36"/>
      <c r="I3017" s="36"/>
      <c r="J3017" s="39"/>
      <c r="K3017" s="39"/>
      <c r="AF3017" s="42">
        <v>3300006800</v>
      </c>
      <c r="AG3017" s="42" t="s">
        <v>6529</v>
      </c>
    </row>
    <row r="3018" spans="7:33" ht="15.75" customHeight="1">
      <c r="G3018" s="36"/>
      <c r="H3018" s="36"/>
      <c r="I3018" s="36"/>
      <c r="J3018" s="39"/>
      <c r="K3018" s="39"/>
      <c r="AF3018" s="42">
        <v>3300006801</v>
      </c>
      <c r="AG3018" s="42" t="s">
        <v>6529</v>
      </c>
    </row>
    <row r="3019" spans="7:33" ht="15.75" customHeight="1">
      <c r="G3019" s="36"/>
      <c r="H3019" s="36"/>
      <c r="I3019" s="36"/>
      <c r="J3019" s="39"/>
      <c r="K3019" s="39"/>
      <c r="AF3019" s="42">
        <v>3300006802</v>
      </c>
      <c r="AG3019" s="42" t="s">
        <v>6529</v>
      </c>
    </row>
    <row r="3020" spans="7:33" ht="15.75" customHeight="1">
      <c r="G3020" s="36"/>
      <c r="H3020" s="36"/>
      <c r="I3020" s="36"/>
      <c r="J3020" s="39"/>
      <c r="K3020" s="39"/>
      <c r="AF3020" s="42">
        <v>3300006803</v>
      </c>
      <c r="AG3020" s="42" t="s">
        <v>6529</v>
      </c>
    </row>
    <row r="3021" spans="7:33" ht="15.75" customHeight="1">
      <c r="G3021" s="36"/>
      <c r="H3021" s="36"/>
      <c r="I3021" s="36"/>
      <c r="J3021" s="39"/>
      <c r="K3021" s="39"/>
      <c r="AF3021" s="42">
        <v>3300006804</v>
      </c>
      <c r="AG3021" s="42" t="s">
        <v>6529</v>
      </c>
    </row>
    <row r="3022" spans="7:33" ht="15.75" customHeight="1">
      <c r="G3022" s="36"/>
      <c r="H3022" s="36"/>
      <c r="I3022" s="36"/>
      <c r="J3022" s="39"/>
      <c r="K3022" s="39"/>
      <c r="AF3022" s="42">
        <v>3300006805</v>
      </c>
      <c r="AG3022" s="42" t="s">
        <v>6529</v>
      </c>
    </row>
    <row r="3023" spans="7:33" ht="15.75" customHeight="1">
      <c r="G3023" s="36"/>
      <c r="H3023" s="36"/>
      <c r="I3023" s="36"/>
      <c r="J3023" s="39"/>
      <c r="K3023" s="39"/>
      <c r="AF3023" s="42">
        <v>3300006806</v>
      </c>
      <c r="AG3023" s="42" t="s">
        <v>6529</v>
      </c>
    </row>
    <row r="3024" spans="7:33" ht="15.75" customHeight="1">
      <c r="G3024" s="36"/>
      <c r="H3024" s="36"/>
      <c r="I3024" s="36"/>
      <c r="J3024" s="39"/>
      <c r="K3024" s="39"/>
      <c r="AF3024" s="42">
        <v>3300006807</v>
      </c>
      <c r="AG3024" s="42" t="s">
        <v>6529</v>
      </c>
    </row>
    <row r="3025" spans="7:33" ht="15.75" customHeight="1">
      <c r="G3025" s="36"/>
      <c r="H3025" s="36"/>
      <c r="I3025" s="36"/>
      <c r="J3025" s="39"/>
      <c r="K3025" s="39"/>
      <c r="AF3025" s="42">
        <v>3300006808</v>
      </c>
      <c r="AG3025" s="42" t="s">
        <v>6529</v>
      </c>
    </row>
    <row r="3026" spans="7:33" ht="15.75" customHeight="1">
      <c r="G3026" s="36"/>
      <c r="H3026" s="36"/>
      <c r="I3026" s="36"/>
      <c r="J3026" s="39"/>
      <c r="K3026" s="39"/>
      <c r="AF3026" s="42">
        <v>3300006809</v>
      </c>
      <c r="AG3026" s="42" t="s">
        <v>6529</v>
      </c>
    </row>
    <row r="3027" spans="7:33" ht="15.75" customHeight="1">
      <c r="G3027" s="36"/>
      <c r="H3027" s="36"/>
      <c r="I3027" s="36"/>
      <c r="J3027" s="39"/>
      <c r="K3027" s="39"/>
      <c r="AF3027" s="42">
        <v>3300006810</v>
      </c>
      <c r="AG3027" s="42" t="s">
        <v>6529</v>
      </c>
    </row>
    <row r="3028" spans="7:33" ht="15.75" customHeight="1">
      <c r="G3028" s="36"/>
      <c r="H3028" s="36"/>
      <c r="I3028" s="36"/>
      <c r="J3028" s="39"/>
      <c r="K3028" s="39"/>
      <c r="AF3028" s="42">
        <v>3300006811</v>
      </c>
      <c r="AG3028" s="42" t="s">
        <v>6529</v>
      </c>
    </row>
    <row r="3029" spans="7:33" ht="15.75" customHeight="1">
      <c r="G3029" s="36"/>
      <c r="H3029" s="36"/>
      <c r="I3029" s="36"/>
      <c r="J3029" s="39"/>
      <c r="K3029" s="39"/>
      <c r="AF3029" s="42">
        <v>3300006812</v>
      </c>
      <c r="AG3029" s="42" t="s">
        <v>6529</v>
      </c>
    </row>
    <row r="3030" spans="7:33" ht="15.75" customHeight="1">
      <c r="G3030" s="36"/>
      <c r="H3030" s="36"/>
      <c r="I3030" s="36"/>
      <c r="J3030" s="39"/>
      <c r="K3030" s="39"/>
      <c r="AF3030" s="42">
        <v>3300006813</v>
      </c>
      <c r="AG3030" s="42" t="s">
        <v>6529</v>
      </c>
    </row>
    <row r="3031" spans="7:33" ht="15.75" customHeight="1">
      <c r="G3031" s="36"/>
      <c r="H3031" s="36"/>
      <c r="I3031" s="36"/>
      <c r="J3031" s="39"/>
      <c r="K3031" s="39"/>
      <c r="AF3031" s="42">
        <v>3300006814</v>
      </c>
      <c r="AG3031" s="42" t="s">
        <v>6529</v>
      </c>
    </row>
    <row r="3032" spans="7:33" ht="15.75" customHeight="1">
      <c r="G3032" s="36"/>
      <c r="H3032" s="36"/>
      <c r="I3032" s="36"/>
      <c r="J3032" s="39"/>
      <c r="K3032" s="39"/>
      <c r="AF3032" s="42">
        <v>3300006815</v>
      </c>
      <c r="AG3032" s="42" t="s">
        <v>6529</v>
      </c>
    </row>
    <row r="3033" spans="7:33" ht="15.75" customHeight="1">
      <c r="G3033" s="36"/>
      <c r="H3033" s="36"/>
      <c r="I3033" s="36"/>
      <c r="J3033" s="39"/>
      <c r="K3033" s="39"/>
      <c r="AF3033" s="42">
        <v>3300006816</v>
      </c>
      <c r="AG3033" s="42" t="s">
        <v>6529</v>
      </c>
    </row>
    <row r="3034" spans="7:33" ht="15.75" customHeight="1">
      <c r="G3034" s="36"/>
      <c r="H3034" s="36"/>
      <c r="I3034" s="36"/>
      <c r="J3034" s="39"/>
      <c r="K3034" s="39"/>
      <c r="AF3034" s="42">
        <v>3300006831</v>
      </c>
      <c r="AG3034" s="42" t="s">
        <v>6529</v>
      </c>
    </row>
    <row r="3035" spans="7:33" ht="15.75" customHeight="1">
      <c r="G3035" s="36"/>
      <c r="H3035" s="36"/>
      <c r="I3035" s="36"/>
      <c r="J3035" s="39"/>
      <c r="K3035" s="39"/>
      <c r="AF3035" s="42">
        <v>3300006832</v>
      </c>
      <c r="AG3035" s="42" t="s">
        <v>6529</v>
      </c>
    </row>
    <row r="3036" spans="7:33" ht="15.75" customHeight="1">
      <c r="G3036" s="36"/>
      <c r="H3036" s="36"/>
      <c r="I3036" s="36"/>
      <c r="J3036" s="39"/>
      <c r="K3036" s="39"/>
      <c r="AF3036" s="42">
        <v>3300006833</v>
      </c>
      <c r="AG3036" s="42" t="s">
        <v>6529</v>
      </c>
    </row>
    <row r="3037" spans="7:33" ht="15.75" customHeight="1">
      <c r="G3037" s="36"/>
      <c r="H3037" s="36"/>
      <c r="I3037" s="36"/>
      <c r="J3037" s="39"/>
      <c r="K3037" s="39"/>
      <c r="AF3037" s="42">
        <v>3300006834</v>
      </c>
      <c r="AG3037" s="42" t="s">
        <v>6529</v>
      </c>
    </row>
    <row r="3038" spans="7:33" ht="15.75" customHeight="1">
      <c r="G3038" s="36"/>
      <c r="H3038" s="36"/>
      <c r="I3038" s="36"/>
      <c r="J3038" s="39"/>
      <c r="K3038" s="39"/>
      <c r="AF3038" s="42">
        <v>3300006835</v>
      </c>
      <c r="AG3038" s="42" t="s">
        <v>6529</v>
      </c>
    </row>
    <row r="3039" spans="7:33" ht="15.75" customHeight="1">
      <c r="G3039" s="36"/>
      <c r="H3039" s="36"/>
      <c r="I3039" s="36"/>
      <c r="J3039" s="39"/>
      <c r="K3039" s="39"/>
      <c r="AF3039" s="42">
        <v>3300006836</v>
      </c>
      <c r="AG3039" s="42" t="s">
        <v>6529</v>
      </c>
    </row>
    <row r="3040" spans="7:33" ht="15.75" customHeight="1">
      <c r="G3040" s="36"/>
      <c r="H3040" s="36"/>
      <c r="I3040" s="36"/>
      <c r="J3040" s="39"/>
      <c r="K3040" s="39"/>
      <c r="AF3040" s="42">
        <v>3300006837</v>
      </c>
      <c r="AG3040" s="42" t="s">
        <v>6529</v>
      </c>
    </row>
    <row r="3041" spans="7:33" ht="15.75" customHeight="1">
      <c r="G3041" s="36"/>
      <c r="H3041" s="36"/>
      <c r="I3041" s="36"/>
      <c r="J3041" s="39"/>
      <c r="K3041" s="39"/>
      <c r="AF3041" s="42">
        <v>3300006838</v>
      </c>
      <c r="AG3041" s="42" t="s">
        <v>6529</v>
      </c>
    </row>
    <row r="3042" spans="7:33" ht="15.75" customHeight="1">
      <c r="G3042" s="36"/>
      <c r="H3042" s="36"/>
      <c r="I3042" s="36"/>
      <c r="J3042" s="39"/>
      <c r="K3042" s="39"/>
      <c r="AF3042" s="42">
        <v>3300006839</v>
      </c>
      <c r="AG3042" s="42" t="s">
        <v>6529</v>
      </c>
    </row>
    <row r="3043" spans="7:33" ht="15.75" customHeight="1">
      <c r="G3043" s="36"/>
      <c r="H3043" s="36"/>
      <c r="I3043" s="36"/>
      <c r="J3043" s="39"/>
      <c r="K3043" s="39"/>
      <c r="AF3043" s="42">
        <v>3300006840</v>
      </c>
      <c r="AG3043" s="42" t="s">
        <v>6529</v>
      </c>
    </row>
    <row r="3044" spans="7:33" ht="15.75" customHeight="1">
      <c r="G3044" s="36"/>
      <c r="H3044" s="36"/>
      <c r="I3044" s="36"/>
      <c r="J3044" s="39"/>
      <c r="K3044" s="39"/>
      <c r="AF3044" s="42">
        <v>3300008118</v>
      </c>
      <c r="AG3044" s="42" t="s">
        <v>6529</v>
      </c>
    </row>
    <row r="3045" spans="7:33" ht="15.75" customHeight="1">
      <c r="G3045" s="36"/>
      <c r="H3045" s="36"/>
      <c r="I3045" s="36"/>
      <c r="J3045" s="39"/>
      <c r="K3045" s="39"/>
      <c r="AF3045" s="42">
        <v>3300008119</v>
      </c>
      <c r="AG3045" s="42" t="s">
        <v>6529</v>
      </c>
    </row>
    <row r="3046" spans="7:33" ht="15.75" customHeight="1">
      <c r="G3046" s="36"/>
      <c r="H3046" s="36"/>
      <c r="I3046" s="36"/>
      <c r="J3046" s="39"/>
      <c r="K3046" s="39"/>
      <c r="AF3046" s="42">
        <v>3300008120</v>
      </c>
      <c r="AG3046" s="42" t="s">
        <v>6529</v>
      </c>
    </row>
    <row r="3047" spans="7:33" ht="15.75" customHeight="1">
      <c r="G3047" s="36"/>
      <c r="H3047" s="36"/>
      <c r="I3047" s="36"/>
      <c r="J3047" s="39"/>
      <c r="K3047" s="39"/>
      <c r="AF3047" s="42">
        <v>3300008121</v>
      </c>
      <c r="AG3047" s="42" t="s">
        <v>6529</v>
      </c>
    </row>
    <row r="3048" spans="7:33" ht="15.75" customHeight="1">
      <c r="G3048" s="36"/>
      <c r="H3048" s="36"/>
      <c r="I3048" s="36"/>
      <c r="J3048" s="39"/>
      <c r="K3048" s="39"/>
      <c r="AF3048" s="42">
        <v>3300008122</v>
      </c>
      <c r="AG3048" s="42" t="s">
        <v>6529</v>
      </c>
    </row>
    <row r="3049" spans="7:33" ht="15.75" customHeight="1">
      <c r="G3049" s="36"/>
      <c r="H3049" s="36"/>
      <c r="I3049" s="36"/>
      <c r="J3049" s="39"/>
      <c r="K3049" s="39"/>
      <c r="AF3049" s="42">
        <v>3300008123</v>
      </c>
      <c r="AG3049" s="42" t="s">
        <v>6529</v>
      </c>
    </row>
    <row r="3050" spans="7:33" ht="15.75" customHeight="1">
      <c r="G3050" s="36"/>
      <c r="H3050" s="36"/>
      <c r="I3050" s="36"/>
      <c r="J3050" s="39"/>
      <c r="K3050" s="39"/>
      <c r="AF3050" s="42">
        <v>3300008124</v>
      </c>
      <c r="AG3050" s="42" t="s">
        <v>6529</v>
      </c>
    </row>
    <row r="3051" spans="7:33" ht="15.75" customHeight="1">
      <c r="G3051" s="36"/>
      <c r="H3051" s="36"/>
      <c r="I3051" s="36"/>
      <c r="J3051" s="39"/>
      <c r="K3051" s="39"/>
      <c r="AF3051" s="42">
        <v>3300008125</v>
      </c>
      <c r="AG3051" s="42" t="s">
        <v>6529</v>
      </c>
    </row>
    <row r="3052" spans="7:33" ht="15.75" customHeight="1">
      <c r="G3052" s="36"/>
      <c r="H3052" s="36"/>
      <c r="I3052" s="36"/>
      <c r="J3052" s="39"/>
      <c r="K3052" s="39"/>
      <c r="AF3052" s="42">
        <v>3300008126</v>
      </c>
      <c r="AG3052" s="42" t="s">
        <v>6529</v>
      </c>
    </row>
    <row r="3053" spans="7:33" ht="15.75" customHeight="1">
      <c r="G3053" s="36"/>
      <c r="H3053" s="36"/>
      <c r="I3053" s="36"/>
      <c r="J3053" s="39"/>
      <c r="K3053" s="39"/>
      <c r="AF3053" s="42">
        <v>3300008127</v>
      </c>
      <c r="AG3053" s="42" t="s">
        <v>6529</v>
      </c>
    </row>
    <row r="3054" spans="7:33" ht="15.75" customHeight="1">
      <c r="G3054" s="36"/>
      <c r="H3054" s="36"/>
      <c r="I3054" s="36"/>
      <c r="J3054" s="39"/>
      <c r="K3054" s="39"/>
      <c r="AF3054" s="42">
        <v>3300008128</v>
      </c>
      <c r="AG3054" s="42" t="s">
        <v>6529</v>
      </c>
    </row>
    <row r="3055" spans="7:33" ht="15.75" customHeight="1">
      <c r="G3055" s="36"/>
      <c r="H3055" s="36"/>
      <c r="I3055" s="36"/>
      <c r="J3055" s="39"/>
      <c r="K3055" s="39"/>
      <c r="AF3055" s="42">
        <v>3300008129</v>
      </c>
      <c r="AG3055" s="42" t="s">
        <v>6529</v>
      </c>
    </row>
    <row r="3056" spans="7:33" ht="15.75" customHeight="1">
      <c r="G3056" s="36"/>
      <c r="H3056" s="36"/>
      <c r="I3056" s="36"/>
      <c r="J3056" s="39"/>
      <c r="K3056" s="39"/>
      <c r="AF3056" s="42">
        <v>3300008130</v>
      </c>
      <c r="AG3056" s="42" t="s">
        <v>6529</v>
      </c>
    </row>
    <row r="3057" spans="7:33" ht="15.75" customHeight="1">
      <c r="G3057" s="36"/>
      <c r="H3057" s="36"/>
      <c r="I3057" s="36"/>
      <c r="J3057" s="39"/>
      <c r="K3057" s="39"/>
      <c r="AF3057" s="42">
        <v>3300008131</v>
      </c>
      <c r="AG3057" s="42" t="s">
        <v>6529</v>
      </c>
    </row>
    <row r="3058" spans="7:33" ht="15.75" customHeight="1">
      <c r="G3058" s="36"/>
      <c r="H3058" s="36"/>
      <c r="I3058" s="36"/>
      <c r="J3058" s="39"/>
      <c r="K3058" s="39"/>
      <c r="AF3058" s="42">
        <v>3300008132</v>
      </c>
      <c r="AG3058" s="42" t="s">
        <v>6529</v>
      </c>
    </row>
    <row r="3059" spans="7:33" ht="15.75" customHeight="1">
      <c r="G3059" s="36"/>
      <c r="H3059" s="36"/>
      <c r="I3059" s="36"/>
      <c r="J3059" s="39"/>
      <c r="K3059" s="39"/>
      <c r="AF3059" s="42">
        <v>3300008134</v>
      </c>
      <c r="AG3059" s="42" t="s">
        <v>6529</v>
      </c>
    </row>
    <row r="3060" spans="7:33" ht="15.75" customHeight="1">
      <c r="G3060" s="36"/>
      <c r="H3060" s="36"/>
      <c r="I3060" s="36"/>
      <c r="J3060" s="39"/>
      <c r="K3060" s="39"/>
      <c r="AF3060" s="42">
        <v>3300008135</v>
      </c>
      <c r="AG3060" s="42" t="s">
        <v>6529</v>
      </c>
    </row>
    <row r="3061" spans="7:33" ht="15.75" customHeight="1">
      <c r="G3061" s="36"/>
      <c r="H3061" s="36"/>
      <c r="I3061" s="36"/>
      <c r="J3061" s="39"/>
      <c r="K3061" s="39"/>
      <c r="AF3061" s="42">
        <v>3300008136</v>
      </c>
      <c r="AG3061" s="42" t="s">
        <v>6529</v>
      </c>
    </row>
    <row r="3062" spans="7:33" ht="15.75" customHeight="1">
      <c r="G3062" s="36"/>
      <c r="H3062" s="36"/>
      <c r="I3062" s="36"/>
      <c r="J3062" s="39"/>
      <c r="K3062" s="39"/>
      <c r="AF3062" s="42">
        <v>3300008137</v>
      </c>
      <c r="AG3062" s="42" t="s">
        <v>6529</v>
      </c>
    </row>
    <row r="3063" spans="7:33" ht="15.75" customHeight="1">
      <c r="G3063" s="36"/>
      <c r="H3063" s="36"/>
      <c r="I3063" s="36"/>
      <c r="J3063" s="39"/>
      <c r="K3063" s="39"/>
      <c r="AF3063" s="42">
        <v>3300008138</v>
      </c>
      <c r="AG3063" s="42" t="s">
        <v>6529</v>
      </c>
    </row>
    <row r="3064" spans="7:33" ht="15.75" customHeight="1">
      <c r="G3064" s="36"/>
      <c r="H3064" s="36"/>
      <c r="I3064" s="36"/>
      <c r="J3064" s="39"/>
      <c r="K3064" s="39"/>
      <c r="AF3064" s="42">
        <v>3300008139</v>
      </c>
      <c r="AG3064" s="42" t="s">
        <v>6529</v>
      </c>
    </row>
    <row r="3065" spans="7:33" ht="15.75" customHeight="1">
      <c r="G3065" s="36"/>
      <c r="H3065" s="36"/>
      <c r="I3065" s="36"/>
      <c r="J3065" s="39"/>
      <c r="K3065" s="39"/>
      <c r="AF3065" s="42">
        <v>3300008140</v>
      </c>
      <c r="AG3065" s="42" t="s">
        <v>6529</v>
      </c>
    </row>
    <row r="3066" spans="7:33" ht="15.75" customHeight="1">
      <c r="G3066" s="36"/>
      <c r="H3066" s="36"/>
      <c r="I3066" s="36"/>
      <c r="J3066" s="39"/>
      <c r="K3066" s="39"/>
      <c r="AF3066" s="42">
        <v>3300008141</v>
      </c>
      <c r="AG3066" s="42" t="s">
        <v>6529</v>
      </c>
    </row>
    <row r="3067" spans="7:33" ht="15.75" customHeight="1">
      <c r="G3067" s="36"/>
      <c r="H3067" s="36"/>
      <c r="I3067" s="36"/>
      <c r="J3067" s="39"/>
      <c r="K3067" s="39"/>
      <c r="AF3067" s="42">
        <v>3300008142</v>
      </c>
      <c r="AG3067" s="42" t="s">
        <v>6529</v>
      </c>
    </row>
    <row r="3068" spans="7:33" ht="15.75" customHeight="1">
      <c r="G3068" s="36"/>
      <c r="H3068" s="36"/>
      <c r="I3068" s="36"/>
      <c r="J3068" s="39"/>
      <c r="K3068" s="39"/>
      <c r="AF3068" s="42">
        <v>3300008143</v>
      </c>
      <c r="AG3068" s="42" t="s">
        <v>6529</v>
      </c>
    </row>
    <row r="3069" spans="7:33" ht="15.75" customHeight="1">
      <c r="G3069" s="36"/>
      <c r="H3069" s="36"/>
      <c r="I3069" s="36"/>
      <c r="J3069" s="39"/>
      <c r="K3069" s="39"/>
      <c r="AF3069" s="42">
        <v>3300008144</v>
      </c>
      <c r="AG3069" s="42" t="s">
        <v>6529</v>
      </c>
    </row>
    <row r="3070" spans="7:33" ht="15.75" customHeight="1">
      <c r="G3070" s="36"/>
      <c r="H3070" s="36"/>
      <c r="I3070" s="36"/>
      <c r="J3070" s="39"/>
      <c r="K3070" s="39"/>
      <c r="AF3070" s="42">
        <v>3300008145</v>
      </c>
      <c r="AG3070" s="42" t="s">
        <v>6529</v>
      </c>
    </row>
    <row r="3071" spans="7:33" ht="15.75" customHeight="1">
      <c r="G3071" s="36"/>
      <c r="H3071" s="36"/>
      <c r="I3071" s="36"/>
      <c r="J3071" s="39"/>
      <c r="K3071" s="39"/>
      <c r="AF3071" s="42">
        <v>3300008146</v>
      </c>
      <c r="AG3071" s="42" t="s">
        <v>6529</v>
      </c>
    </row>
    <row r="3072" spans="7:33" ht="15.75" customHeight="1">
      <c r="G3072" s="36"/>
      <c r="H3072" s="36"/>
      <c r="I3072" s="36"/>
      <c r="J3072" s="39"/>
      <c r="K3072" s="39"/>
      <c r="AF3072" s="42">
        <v>3300008147</v>
      </c>
      <c r="AG3072" s="42" t="s">
        <v>6529</v>
      </c>
    </row>
    <row r="3073" spans="7:33" ht="15.75" customHeight="1">
      <c r="G3073" s="36"/>
      <c r="H3073" s="36"/>
      <c r="I3073" s="36"/>
      <c r="J3073" s="39"/>
      <c r="K3073" s="39"/>
      <c r="AF3073" s="42">
        <v>3300008148</v>
      </c>
      <c r="AG3073" s="42" t="s">
        <v>6529</v>
      </c>
    </row>
    <row r="3074" spans="7:33" ht="15.75" customHeight="1">
      <c r="G3074" s="36"/>
      <c r="H3074" s="36"/>
      <c r="I3074" s="36"/>
      <c r="J3074" s="39"/>
      <c r="K3074" s="39"/>
      <c r="AF3074" s="42">
        <v>3300008149</v>
      </c>
      <c r="AG3074" s="42" t="s">
        <v>6529</v>
      </c>
    </row>
    <row r="3075" spans="7:33" ht="15.75" customHeight="1">
      <c r="G3075" s="36"/>
      <c r="H3075" s="36"/>
      <c r="I3075" s="36"/>
      <c r="J3075" s="39"/>
      <c r="K3075" s="39"/>
      <c r="AF3075" s="42">
        <v>3300008150</v>
      </c>
      <c r="AG3075" s="42" t="s">
        <v>6529</v>
      </c>
    </row>
    <row r="3076" spans="7:33" ht="15.75" customHeight="1">
      <c r="G3076" s="36"/>
      <c r="H3076" s="36"/>
      <c r="I3076" s="36"/>
      <c r="J3076" s="39"/>
      <c r="K3076" s="39"/>
      <c r="AF3076" s="42">
        <v>3300008151</v>
      </c>
      <c r="AG3076" s="42" t="s">
        <v>6529</v>
      </c>
    </row>
    <row r="3077" spans="7:33" ht="15.75" customHeight="1">
      <c r="G3077" s="36"/>
      <c r="H3077" s="36"/>
      <c r="I3077" s="36"/>
      <c r="J3077" s="39"/>
      <c r="K3077" s="39"/>
      <c r="AF3077" s="42">
        <v>3300008152</v>
      </c>
      <c r="AG3077" s="42" t="s">
        <v>6529</v>
      </c>
    </row>
    <row r="3078" spans="7:33" ht="15.75" customHeight="1">
      <c r="G3078" s="36"/>
      <c r="H3078" s="36"/>
      <c r="I3078" s="36"/>
      <c r="J3078" s="39"/>
      <c r="K3078" s="39"/>
      <c r="AF3078" s="42">
        <v>3300008153</v>
      </c>
      <c r="AG3078" s="42" t="s">
        <v>6529</v>
      </c>
    </row>
    <row r="3079" spans="7:33" ht="15.75" customHeight="1">
      <c r="G3079" s="36"/>
      <c r="H3079" s="36"/>
      <c r="I3079" s="36"/>
      <c r="J3079" s="39"/>
      <c r="K3079" s="39"/>
      <c r="AF3079" s="42">
        <v>3300008154</v>
      </c>
      <c r="AG3079" s="42" t="s">
        <v>6529</v>
      </c>
    </row>
    <row r="3080" spans="7:33" ht="15.75" customHeight="1">
      <c r="G3080" s="36"/>
      <c r="H3080" s="36"/>
      <c r="I3080" s="36"/>
      <c r="J3080" s="39"/>
      <c r="K3080" s="39"/>
      <c r="AF3080" s="42">
        <v>3300008155</v>
      </c>
      <c r="AG3080" s="42" t="s">
        <v>6529</v>
      </c>
    </row>
    <row r="3081" spans="7:33" ht="15.75" customHeight="1">
      <c r="G3081" s="36"/>
      <c r="H3081" s="36"/>
      <c r="I3081" s="36"/>
      <c r="J3081" s="39"/>
      <c r="K3081" s="39"/>
      <c r="AF3081" s="42">
        <v>3300008156</v>
      </c>
      <c r="AG3081" s="42" t="s">
        <v>6529</v>
      </c>
    </row>
    <row r="3082" spans="7:33" ht="15.75" customHeight="1">
      <c r="G3082" s="36"/>
      <c r="H3082" s="36"/>
      <c r="I3082" s="36"/>
      <c r="J3082" s="39"/>
      <c r="K3082" s="39"/>
      <c r="AF3082" s="42">
        <v>3300008157</v>
      </c>
      <c r="AG3082" s="42" t="s">
        <v>6529</v>
      </c>
    </row>
    <row r="3083" spans="7:33" ht="15.75" customHeight="1">
      <c r="G3083" s="36"/>
      <c r="H3083" s="36"/>
      <c r="I3083" s="36"/>
      <c r="J3083" s="39"/>
      <c r="K3083" s="39"/>
      <c r="AF3083" s="42">
        <v>3300008158</v>
      </c>
      <c r="AG3083" s="42" t="s">
        <v>6529</v>
      </c>
    </row>
    <row r="3084" spans="7:33" ht="15.75" customHeight="1">
      <c r="G3084" s="36"/>
      <c r="H3084" s="36"/>
      <c r="I3084" s="36"/>
      <c r="J3084" s="39"/>
      <c r="K3084" s="39"/>
      <c r="AF3084" s="42">
        <v>3300008159</v>
      </c>
      <c r="AG3084" s="42" t="s">
        <v>6529</v>
      </c>
    </row>
    <row r="3085" spans="7:33" ht="15.75" customHeight="1">
      <c r="G3085" s="36"/>
      <c r="H3085" s="36"/>
      <c r="I3085" s="36"/>
      <c r="J3085" s="39"/>
      <c r="K3085" s="39"/>
      <c r="AF3085" s="42">
        <v>3300008160</v>
      </c>
      <c r="AG3085" s="42" t="s">
        <v>6529</v>
      </c>
    </row>
    <row r="3086" spans="7:33" ht="15.75" customHeight="1">
      <c r="G3086" s="36"/>
      <c r="H3086" s="36"/>
      <c r="I3086" s="36"/>
      <c r="J3086" s="39"/>
      <c r="K3086" s="39"/>
      <c r="AF3086" s="42">
        <v>3300008161</v>
      </c>
      <c r="AG3086" s="42" t="s">
        <v>6529</v>
      </c>
    </row>
    <row r="3087" spans="7:33" ht="15.75" customHeight="1">
      <c r="G3087" s="36"/>
      <c r="H3087" s="36"/>
      <c r="I3087" s="36"/>
      <c r="J3087" s="39"/>
      <c r="K3087" s="39"/>
      <c r="AF3087" s="42">
        <v>3300008162</v>
      </c>
      <c r="AG3087" s="42" t="s">
        <v>6529</v>
      </c>
    </row>
    <row r="3088" spans="7:33" ht="15.75" customHeight="1">
      <c r="G3088" s="36"/>
      <c r="H3088" s="36"/>
      <c r="I3088" s="36"/>
      <c r="J3088" s="39"/>
      <c r="K3088" s="39"/>
      <c r="AF3088" s="42">
        <v>3300008163</v>
      </c>
      <c r="AG3088" s="42" t="s">
        <v>6529</v>
      </c>
    </row>
    <row r="3089" spans="7:33" ht="15.75" customHeight="1">
      <c r="G3089" s="36"/>
      <c r="H3089" s="36"/>
      <c r="I3089" s="36"/>
      <c r="J3089" s="39"/>
      <c r="K3089" s="39"/>
      <c r="AF3089" s="42">
        <v>3300008164</v>
      </c>
      <c r="AG3089" s="42" t="s">
        <v>6529</v>
      </c>
    </row>
    <row r="3090" spans="7:33" ht="15.75" customHeight="1">
      <c r="G3090" s="36"/>
      <c r="H3090" s="36"/>
      <c r="I3090" s="36"/>
      <c r="J3090" s="39"/>
      <c r="K3090" s="39"/>
      <c r="AF3090" s="42">
        <v>3300008165</v>
      </c>
      <c r="AG3090" s="42" t="s">
        <v>6529</v>
      </c>
    </row>
    <row r="3091" spans="7:33" ht="15.75" customHeight="1">
      <c r="G3091" s="36"/>
      <c r="H3091" s="36"/>
      <c r="I3091" s="36"/>
      <c r="J3091" s="39"/>
      <c r="K3091" s="39"/>
      <c r="AF3091" s="42">
        <v>3300008892</v>
      </c>
      <c r="AG3091" s="42" t="s">
        <v>6529</v>
      </c>
    </row>
    <row r="3092" spans="7:33" ht="15.75" customHeight="1">
      <c r="G3092" s="36"/>
      <c r="H3092" s="36"/>
      <c r="I3092" s="36"/>
      <c r="J3092" s="39"/>
      <c r="K3092" s="39"/>
      <c r="AF3092" s="42">
        <v>3300008893</v>
      </c>
      <c r="AG3092" s="42" t="s">
        <v>6529</v>
      </c>
    </row>
    <row r="3093" spans="7:33" ht="15.75" customHeight="1">
      <c r="G3093" s="36"/>
      <c r="H3093" s="36"/>
      <c r="I3093" s="36"/>
      <c r="J3093" s="39"/>
      <c r="K3093" s="39"/>
      <c r="AF3093" s="42">
        <v>3300009155</v>
      </c>
      <c r="AG3093" s="42" t="s">
        <v>6529</v>
      </c>
    </row>
    <row r="3094" spans="7:33" ht="15.75" customHeight="1">
      <c r="G3094" s="36"/>
      <c r="H3094" s="36"/>
      <c r="I3094" s="36"/>
      <c r="J3094" s="39"/>
      <c r="K3094" s="39"/>
      <c r="AF3094" s="42">
        <v>3300009157</v>
      </c>
      <c r="AG3094" s="42" t="s">
        <v>6529</v>
      </c>
    </row>
    <row r="3095" spans="7:33" ht="15.75" customHeight="1">
      <c r="G3095" s="36"/>
      <c r="H3095" s="36"/>
      <c r="I3095" s="36"/>
      <c r="J3095" s="39"/>
      <c r="K3095" s="39"/>
      <c r="AF3095" s="42">
        <v>3300009163</v>
      </c>
      <c r="AG3095" s="42" t="s">
        <v>6529</v>
      </c>
    </row>
    <row r="3096" spans="7:33" ht="15.75" customHeight="1">
      <c r="G3096" s="36"/>
      <c r="H3096" s="36"/>
      <c r="I3096" s="36"/>
      <c r="J3096" s="39"/>
      <c r="K3096" s="39"/>
      <c r="AF3096" s="42">
        <v>3300009469</v>
      </c>
      <c r="AG3096" s="42" t="s">
        <v>6529</v>
      </c>
    </row>
    <row r="3097" spans="7:33" ht="15.75" customHeight="1">
      <c r="G3097" s="36"/>
      <c r="H3097" s="36"/>
      <c r="I3097" s="36"/>
      <c r="J3097" s="39"/>
      <c r="K3097" s="39"/>
      <c r="AF3097" s="42">
        <v>3300009470</v>
      </c>
      <c r="AG3097" s="42" t="s">
        <v>6529</v>
      </c>
    </row>
    <row r="3098" spans="7:33" ht="15.75" customHeight="1">
      <c r="G3098" s="36"/>
      <c r="H3098" s="36"/>
      <c r="I3098" s="36"/>
      <c r="J3098" s="39"/>
      <c r="K3098" s="39"/>
      <c r="AF3098" s="42">
        <v>3300009471</v>
      </c>
      <c r="AG3098" s="42" t="s">
        <v>6529</v>
      </c>
    </row>
    <row r="3099" spans="7:33" ht="15.75" customHeight="1">
      <c r="G3099" s="36"/>
      <c r="H3099" s="36"/>
      <c r="I3099" s="36"/>
      <c r="J3099" s="39"/>
      <c r="K3099" s="39"/>
      <c r="AF3099" s="42">
        <v>3300009476</v>
      </c>
      <c r="AG3099" s="42" t="s">
        <v>6529</v>
      </c>
    </row>
    <row r="3100" spans="7:33" ht="15.75" customHeight="1">
      <c r="G3100" s="36"/>
      <c r="H3100" s="36"/>
      <c r="I3100" s="36"/>
      <c r="J3100" s="39"/>
      <c r="K3100" s="39"/>
      <c r="AF3100" s="42">
        <v>3300009494</v>
      </c>
      <c r="AG3100" s="42" t="s">
        <v>6529</v>
      </c>
    </row>
    <row r="3101" spans="7:33" ht="15.75" customHeight="1">
      <c r="G3101" s="36"/>
      <c r="H3101" s="36"/>
      <c r="I3101" s="36"/>
      <c r="J3101" s="39"/>
      <c r="K3101" s="39"/>
      <c r="AF3101" s="42">
        <v>3300009498</v>
      </c>
      <c r="AG3101" s="42" t="s">
        <v>6529</v>
      </c>
    </row>
    <row r="3102" spans="7:33" ht="15.75" customHeight="1">
      <c r="G3102" s="36"/>
      <c r="H3102" s="36"/>
      <c r="I3102" s="36"/>
      <c r="J3102" s="39"/>
      <c r="K3102" s="39"/>
      <c r="AF3102" s="42">
        <v>3300009510</v>
      </c>
      <c r="AG3102" s="42" t="s">
        <v>6529</v>
      </c>
    </row>
    <row r="3103" spans="7:33" ht="15.75" customHeight="1">
      <c r="G3103" s="36"/>
      <c r="H3103" s="36"/>
      <c r="I3103" s="36"/>
      <c r="J3103" s="39"/>
      <c r="K3103" s="39"/>
      <c r="AF3103" s="42">
        <v>3300009512</v>
      </c>
      <c r="AG3103" s="42" t="s">
        <v>6529</v>
      </c>
    </row>
    <row r="3104" spans="7:33" ht="15.75" customHeight="1">
      <c r="G3104" s="36"/>
      <c r="H3104" s="36"/>
      <c r="I3104" s="36"/>
      <c r="J3104" s="39"/>
      <c r="K3104" s="39"/>
      <c r="AF3104" s="42">
        <v>3300009517</v>
      </c>
      <c r="AG3104" s="42" t="s">
        <v>6529</v>
      </c>
    </row>
    <row r="3105" spans="7:33" ht="15.75" customHeight="1">
      <c r="G3105" s="36"/>
      <c r="H3105" s="36"/>
      <c r="I3105" s="36"/>
      <c r="J3105" s="39"/>
      <c r="K3105" s="39"/>
      <c r="AF3105" s="42">
        <v>3300009518</v>
      </c>
      <c r="AG3105" s="42" t="s">
        <v>6529</v>
      </c>
    </row>
    <row r="3106" spans="7:33" ht="15.75" customHeight="1">
      <c r="G3106" s="36"/>
      <c r="H3106" s="36"/>
      <c r="I3106" s="36"/>
      <c r="J3106" s="39"/>
      <c r="K3106" s="39"/>
      <c r="AF3106" s="42">
        <v>3300009519</v>
      </c>
      <c r="AG3106" s="42" t="s">
        <v>6529</v>
      </c>
    </row>
    <row r="3107" spans="7:33" ht="15.75" customHeight="1">
      <c r="G3107" s="36"/>
      <c r="H3107" s="36"/>
      <c r="I3107" s="36"/>
      <c r="J3107" s="39"/>
      <c r="K3107" s="39"/>
      <c r="AF3107" s="42">
        <v>3300009520</v>
      </c>
      <c r="AG3107" s="42" t="s">
        <v>6529</v>
      </c>
    </row>
    <row r="3108" spans="7:33" ht="15.75" customHeight="1">
      <c r="G3108" s="36"/>
      <c r="H3108" s="36"/>
      <c r="I3108" s="36"/>
      <c r="J3108" s="39"/>
      <c r="K3108" s="39"/>
      <c r="AF3108" s="42">
        <v>3300009521</v>
      </c>
      <c r="AG3108" s="42" t="s">
        <v>6529</v>
      </c>
    </row>
    <row r="3109" spans="7:33" ht="15.75" customHeight="1">
      <c r="G3109" s="36"/>
      <c r="H3109" s="36"/>
      <c r="I3109" s="36"/>
      <c r="J3109" s="39"/>
      <c r="K3109" s="39"/>
      <c r="AF3109" s="42">
        <v>3300009522</v>
      </c>
      <c r="AG3109" s="42" t="s">
        <v>6529</v>
      </c>
    </row>
    <row r="3110" spans="7:33" ht="15.75" customHeight="1">
      <c r="G3110" s="36"/>
      <c r="H3110" s="36"/>
      <c r="I3110" s="36"/>
      <c r="J3110" s="39"/>
      <c r="K3110" s="39"/>
      <c r="AF3110" s="42">
        <v>3300009523</v>
      </c>
      <c r="AG3110" s="42" t="s">
        <v>6529</v>
      </c>
    </row>
    <row r="3111" spans="7:33" ht="15.75" customHeight="1">
      <c r="G3111" s="36"/>
      <c r="H3111" s="36"/>
      <c r="I3111" s="36"/>
      <c r="J3111" s="39"/>
      <c r="K3111" s="39"/>
      <c r="AF3111" s="42">
        <v>3300009524</v>
      </c>
      <c r="AG3111" s="42" t="s">
        <v>6529</v>
      </c>
    </row>
    <row r="3112" spans="7:33" ht="15.75" customHeight="1">
      <c r="G3112" s="36"/>
      <c r="H3112" s="36"/>
      <c r="I3112" s="36"/>
      <c r="J3112" s="39"/>
      <c r="K3112" s="39"/>
      <c r="AF3112" s="42">
        <v>3300009525</v>
      </c>
      <c r="AG3112" s="42" t="s">
        <v>6529</v>
      </c>
    </row>
    <row r="3113" spans="7:33" ht="15.75" customHeight="1">
      <c r="G3113" s="36"/>
      <c r="H3113" s="36"/>
      <c r="I3113" s="36"/>
      <c r="J3113" s="39"/>
      <c r="K3113" s="39"/>
      <c r="AF3113" s="42">
        <v>3300009526</v>
      </c>
      <c r="AG3113" s="42" t="s">
        <v>6529</v>
      </c>
    </row>
    <row r="3114" spans="7:33" ht="15.75" customHeight="1">
      <c r="G3114" s="36"/>
      <c r="H3114" s="36"/>
      <c r="I3114" s="36"/>
      <c r="J3114" s="39"/>
      <c r="K3114" s="39"/>
      <c r="AF3114" s="42">
        <v>3300009527</v>
      </c>
      <c r="AG3114" s="42" t="s">
        <v>6529</v>
      </c>
    </row>
    <row r="3115" spans="7:33" ht="15.75" customHeight="1">
      <c r="G3115" s="36"/>
      <c r="H3115" s="36"/>
      <c r="I3115" s="36"/>
      <c r="J3115" s="39"/>
      <c r="K3115" s="39"/>
      <c r="AF3115" s="42">
        <v>3300009528</v>
      </c>
      <c r="AG3115" s="42" t="s">
        <v>6529</v>
      </c>
    </row>
    <row r="3116" spans="7:33" ht="15.75" customHeight="1">
      <c r="G3116" s="36"/>
      <c r="H3116" s="36"/>
      <c r="I3116" s="36"/>
      <c r="J3116" s="39"/>
      <c r="K3116" s="39"/>
      <c r="AF3116" s="42">
        <v>3300009529</v>
      </c>
      <c r="AG3116" s="42" t="s">
        <v>6529</v>
      </c>
    </row>
    <row r="3117" spans="7:33" ht="15.75" customHeight="1">
      <c r="G3117" s="36"/>
      <c r="H3117" s="36"/>
      <c r="I3117" s="36"/>
      <c r="J3117" s="39"/>
      <c r="K3117" s="39"/>
      <c r="AF3117" s="42">
        <v>3300009530</v>
      </c>
      <c r="AG3117" s="42" t="s">
        <v>6529</v>
      </c>
    </row>
    <row r="3118" spans="7:33" ht="15.75" customHeight="1">
      <c r="G3118" s="36"/>
      <c r="H3118" s="36"/>
      <c r="I3118" s="36"/>
      <c r="J3118" s="39"/>
      <c r="K3118" s="39"/>
      <c r="AF3118" s="42">
        <v>3300009531</v>
      </c>
      <c r="AG3118" s="42" t="s">
        <v>6529</v>
      </c>
    </row>
    <row r="3119" spans="7:33" ht="15.75" customHeight="1">
      <c r="G3119" s="36"/>
      <c r="H3119" s="36"/>
      <c r="I3119" s="36"/>
      <c r="J3119" s="39"/>
      <c r="K3119" s="39"/>
      <c r="AF3119" s="42">
        <v>3300009532</v>
      </c>
      <c r="AG3119" s="42" t="s">
        <v>6529</v>
      </c>
    </row>
    <row r="3120" spans="7:33" ht="15.75" customHeight="1">
      <c r="G3120" s="36"/>
      <c r="H3120" s="36"/>
      <c r="I3120" s="36"/>
      <c r="J3120" s="39"/>
      <c r="K3120" s="39"/>
      <c r="AF3120" s="42">
        <v>3300009533</v>
      </c>
      <c r="AG3120" s="42" t="s">
        <v>6529</v>
      </c>
    </row>
    <row r="3121" spans="7:33" ht="15.75" customHeight="1">
      <c r="G3121" s="36"/>
      <c r="H3121" s="36"/>
      <c r="I3121" s="36"/>
      <c r="J3121" s="39"/>
      <c r="K3121" s="39"/>
      <c r="AF3121" s="42">
        <v>3300009534</v>
      </c>
      <c r="AG3121" s="42" t="s">
        <v>6529</v>
      </c>
    </row>
    <row r="3122" spans="7:33" ht="15.75" customHeight="1">
      <c r="G3122" s="36"/>
      <c r="H3122" s="36"/>
      <c r="I3122" s="36"/>
      <c r="J3122" s="39"/>
      <c r="K3122" s="39"/>
      <c r="AF3122" s="42">
        <v>3300009535</v>
      </c>
      <c r="AG3122" s="42" t="s">
        <v>6529</v>
      </c>
    </row>
    <row r="3123" spans="7:33" ht="15.75" customHeight="1">
      <c r="G3123" s="36"/>
      <c r="H3123" s="36"/>
      <c r="I3123" s="36"/>
      <c r="J3123" s="39"/>
      <c r="K3123" s="39"/>
      <c r="AF3123" s="42">
        <v>3300009536</v>
      </c>
      <c r="AG3123" s="42" t="s">
        <v>6529</v>
      </c>
    </row>
    <row r="3124" spans="7:33" ht="15.75" customHeight="1">
      <c r="G3124" s="36"/>
      <c r="H3124" s="36"/>
      <c r="I3124" s="36"/>
      <c r="J3124" s="39"/>
      <c r="K3124" s="39"/>
      <c r="AF3124" s="42">
        <v>3300009537</v>
      </c>
      <c r="AG3124" s="42" t="s">
        <v>6529</v>
      </c>
    </row>
    <row r="3125" spans="7:33" ht="15.75" customHeight="1">
      <c r="G3125" s="36"/>
      <c r="H3125" s="36"/>
      <c r="I3125" s="36"/>
      <c r="J3125" s="39"/>
      <c r="K3125" s="39"/>
      <c r="AF3125" s="42">
        <v>3300009538</v>
      </c>
      <c r="AG3125" s="42" t="s">
        <v>6529</v>
      </c>
    </row>
    <row r="3126" spans="7:33" ht="15.75" customHeight="1">
      <c r="G3126" s="36"/>
      <c r="H3126" s="36"/>
      <c r="I3126" s="36"/>
      <c r="J3126" s="39"/>
      <c r="K3126" s="39"/>
      <c r="AF3126" s="42">
        <v>3300009539</v>
      </c>
      <c r="AG3126" s="42" t="s">
        <v>6529</v>
      </c>
    </row>
    <row r="3127" spans="7:33" ht="15.75" customHeight="1">
      <c r="G3127" s="36"/>
      <c r="H3127" s="36"/>
      <c r="I3127" s="36"/>
      <c r="J3127" s="39"/>
      <c r="K3127" s="39"/>
      <c r="AF3127" s="42">
        <v>3300009540</v>
      </c>
      <c r="AG3127" s="42" t="s">
        <v>6529</v>
      </c>
    </row>
    <row r="3128" spans="7:33" ht="15.75" customHeight="1">
      <c r="G3128" s="36"/>
      <c r="H3128" s="36"/>
      <c r="I3128" s="36"/>
      <c r="J3128" s="39"/>
      <c r="K3128" s="39"/>
      <c r="AF3128" s="42">
        <v>3300009541</v>
      </c>
      <c r="AG3128" s="42" t="s">
        <v>6529</v>
      </c>
    </row>
    <row r="3129" spans="7:33" ht="15.75" customHeight="1">
      <c r="G3129" s="36"/>
      <c r="H3129" s="36"/>
      <c r="I3129" s="36"/>
      <c r="J3129" s="39"/>
      <c r="K3129" s="39"/>
      <c r="AF3129" s="42">
        <v>3300009542</v>
      </c>
      <c r="AG3129" s="42" t="s">
        <v>6529</v>
      </c>
    </row>
    <row r="3130" spans="7:33" ht="15.75" customHeight="1">
      <c r="G3130" s="36"/>
      <c r="H3130" s="36"/>
      <c r="I3130" s="36"/>
      <c r="J3130" s="39"/>
      <c r="K3130" s="39"/>
      <c r="AF3130" s="42">
        <v>3300009543</v>
      </c>
      <c r="AG3130" s="42" t="s">
        <v>6529</v>
      </c>
    </row>
    <row r="3131" spans="7:33" ht="15.75" customHeight="1">
      <c r="G3131" s="36"/>
      <c r="H3131" s="36"/>
      <c r="I3131" s="36"/>
      <c r="J3131" s="39"/>
      <c r="K3131" s="39"/>
      <c r="AF3131" s="42">
        <v>3300009544</v>
      </c>
      <c r="AG3131" s="42" t="s">
        <v>6529</v>
      </c>
    </row>
    <row r="3132" spans="7:33" ht="15.75" customHeight="1">
      <c r="G3132" s="36"/>
      <c r="H3132" s="36"/>
      <c r="I3132" s="36"/>
      <c r="J3132" s="39"/>
      <c r="K3132" s="39"/>
      <c r="AF3132" s="42">
        <v>3300009545</v>
      </c>
      <c r="AG3132" s="42" t="s">
        <v>6529</v>
      </c>
    </row>
    <row r="3133" spans="7:33" ht="15.75" customHeight="1">
      <c r="G3133" s="36"/>
      <c r="H3133" s="36"/>
      <c r="I3133" s="36"/>
      <c r="J3133" s="39"/>
      <c r="K3133" s="39"/>
      <c r="AF3133" s="42">
        <v>3300009546</v>
      </c>
      <c r="AG3133" s="42" t="s">
        <v>6529</v>
      </c>
    </row>
    <row r="3134" spans="7:33" ht="15.75" customHeight="1">
      <c r="G3134" s="36"/>
      <c r="H3134" s="36"/>
      <c r="I3134" s="36"/>
      <c r="J3134" s="39"/>
      <c r="K3134" s="39"/>
      <c r="AF3134" s="42">
        <v>3300009547</v>
      </c>
      <c r="AG3134" s="42" t="s">
        <v>6529</v>
      </c>
    </row>
    <row r="3135" spans="7:33" ht="15.75" customHeight="1">
      <c r="G3135" s="36"/>
      <c r="H3135" s="36"/>
      <c r="I3135" s="36"/>
      <c r="J3135" s="39"/>
      <c r="K3135" s="39"/>
      <c r="AF3135" s="42">
        <v>3300009548</v>
      </c>
      <c r="AG3135" s="42" t="s">
        <v>6529</v>
      </c>
    </row>
    <row r="3136" spans="7:33" ht="15.75" customHeight="1">
      <c r="G3136" s="36"/>
      <c r="H3136" s="36"/>
      <c r="I3136" s="36"/>
      <c r="J3136" s="39"/>
      <c r="K3136" s="39"/>
      <c r="AF3136" s="42">
        <v>3300009549</v>
      </c>
      <c r="AG3136" s="42" t="s">
        <v>6529</v>
      </c>
    </row>
    <row r="3137" spans="7:33" ht="15.75" customHeight="1">
      <c r="G3137" s="36"/>
      <c r="H3137" s="36"/>
      <c r="I3137" s="36"/>
      <c r="J3137" s="39"/>
      <c r="K3137" s="39"/>
      <c r="AF3137" s="42">
        <v>3300009550</v>
      </c>
      <c r="AG3137" s="42" t="s">
        <v>6529</v>
      </c>
    </row>
    <row r="3138" spans="7:33" ht="15.75" customHeight="1">
      <c r="G3138" s="36"/>
      <c r="H3138" s="36"/>
      <c r="I3138" s="36"/>
      <c r="J3138" s="39"/>
      <c r="K3138" s="39"/>
      <c r="AF3138" s="42">
        <v>3300009551</v>
      </c>
      <c r="AG3138" s="42" t="s">
        <v>6529</v>
      </c>
    </row>
    <row r="3139" spans="7:33" ht="15.75" customHeight="1">
      <c r="G3139" s="36"/>
      <c r="H3139" s="36"/>
      <c r="I3139" s="36"/>
      <c r="J3139" s="39"/>
      <c r="K3139" s="39"/>
      <c r="AF3139" s="42">
        <v>3300009552</v>
      </c>
      <c r="AG3139" s="42" t="s">
        <v>6529</v>
      </c>
    </row>
    <row r="3140" spans="7:33" ht="15.75" customHeight="1">
      <c r="G3140" s="36"/>
      <c r="H3140" s="36"/>
      <c r="I3140" s="36"/>
      <c r="J3140" s="39"/>
      <c r="K3140" s="39"/>
      <c r="AF3140" s="42">
        <v>3300009553</v>
      </c>
      <c r="AG3140" s="42" t="s">
        <v>6529</v>
      </c>
    </row>
    <row r="3141" spans="7:33" ht="15.75" customHeight="1">
      <c r="G3141" s="36"/>
      <c r="H3141" s="36"/>
      <c r="I3141" s="36"/>
      <c r="J3141" s="39"/>
      <c r="K3141" s="39"/>
      <c r="AF3141" s="42">
        <v>3300009554</v>
      </c>
      <c r="AG3141" s="42" t="s">
        <v>6529</v>
      </c>
    </row>
    <row r="3142" spans="7:33" ht="15.75" customHeight="1">
      <c r="G3142" s="36"/>
      <c r="H3142" s="36"/>
      <c r="I3142" s="36"/>
      <c r="J3142" s="39"/>
      <c r="K3142" s="39"/>
      <c r="AF3142" s="42">
        <v>3300009555</v>
      </c>
      <c r="AG3142" s="42" t="s">
        <v>6529</v>
      </c>
    </row>
    <row r="3143" spans="7:33" ht="15.75" customHeight="1">
      <c r="G3143" s="36"/>
      <c r="H3143" s="36"/>
      <c r="I3143" s="36"/>
      <c r="J3143" s="39"/>
      <c r="K3143" s="39"/>
      <c r="AF3143" s="42">
        <v>3300009556</v>
      </c>
      <c r="AG3143" s="42" t="s">
        <v>6529</v>
      </c>
    </row>
    <row r="3144" spans="7:33" ht="15.75" customHeight="1">
      <c r="G3144" s="36"/>
      <c r="H3144" s="36"/>
      <c r="I3144" s="36"/>
      <c r="J3144" s="39"/>
      <c r="K3144" s="39"/>
      <c r="AF3144" s="42">
        <v>3300009557</v>
      </c>
      <c r="AG3144" s="42" t="s">
        <v>6529</v>
      </c>
    </row>
    <row r="3145" spans="7:33" ht="15.75" customHeight="1">
      <c r="G3145" s="36"/>
      <c r="H3145" s="36"/>
      <c r="I3145" s="36"/>
      <c r="J3145" s="39"/>
      <c r="K3145" s="39"/>
      <c r="AF3145" s="42">
        <v>3300009558</v>
      </c>
      <c r="AG3145" s="42" t="s">
        <v>6529</v>
      </c>
    </row>
    <row r="3146" spans="7:33" ht="15.75" customHeight="1">
      <c r="G3146" s="36"/>
      <c r="H3146" s="36"/>
      <c r="I3146" s="36"/>
      <c r="J3146" s="39"/>
      <c r="K3146" s="39"/>
      <c r="AF3146" s="42">
        <v>3300009559</v>
      </c>
      <c r="AG3146" s="42" t="s">
        <v>6529</v>
      </c>
    </row>
    <row r="3147" spans="7:33" ht="15.75" customHeight="1">
      <c r="G3147" s="36"/>
      <c r="H3147" s="36"/>
      <c r="I3147" s="36"/>
      <c r="J3147" s="39"/>
      <c r="K3147" s="39"/>
      <c r="AF3147" s="42">
        <v>3300009560</v>
      </c>
      <c r="AG3147" s="42" t="s">
        <v>6529</v>
      </c>
    </row>
    <row r="3148" spans="7:33" ht="15.75" customHeight="1">
      <c r="G3148" s="36"/>
      <c r="H3148" s="36"/>
      <c r="I3148" s="36"/>
      <c r="J3148" s="39"/>
      <c r="K3148" s="39"/>
      <c r="AF3148" s="42">
        <v>3300009561</v>
      </c>
      <c r="AG3148" s="42" t="s">
        <v>6529</v>
      </c>
    </row>
    <row r="3149" spans="7:33" ht="15.75" customHeight="1">
      <c r="G3149" s="36"/>
      <c r="H3149" s="36"/>
      <c r="I3149" s="36"/>
      <c r="J3149" s="39"/>
      <c r="K3149" s="39"/>
      <c r="AF3149" s="42">
        <v>3300009562</v>
      </c>
      <c r="AG3149" s="42" t="s">
        <v>6529</v>
      </c>
    </row>
    <row r="3150" spans="7:33" ht="15.75" customHeight="1">
      <c r="G3150" s="36"/>
      <c r="H3150" s="36"/>
      <c r="I3150" s="36"/>
      <c r="J3150" s="39"/>
      <c r="K3150" s="39"/>
      <c r="AF3150" s="42">
        <v>3300009563</v>
      </c>
      <c r="AG3150" s="42" t="s">
        <v>6529</v>
      </c>
    </row>
    <row r="3151" spans="7:33" ht="15.75" customHeight="1">
      <c r="G3151" s="36"/>
      <c r="H3151" s="36"/>
      <c r="I3151" s="36"/>
      <c r="J3151" s="39"/>
      <c r="K3151" s="39"/>
      <c r="AF3151" s="42">
        <v>3300009564</v>
      </c>
      <c r="AG3151" s="42" t="s">
        <v>6529</v>
      </c>
    </row>
    <row r="3152" spans="7:33" ht="15.75" customHeight="1">
      <c r="G3152" s="36"/>
      <c r="H3152" s="36"/>
      <c r="I3152" s="36"/>
      <c r="J3152" s="39"/>
      <c r="K3152" s="39"/>
      <c r="AF3152" s="42">
        <v>3300009705</v>
      </c>
      <c r="AG3152" s="42" t="s">
        <v>6529</v>
      </c>
    </row>
    <row r="3153" spans="7:33" ht="15.75" customHeight="1">
      <c r="G3153" s="36"/>
      <c r="H3153" s="36"/>
      <c r="I3153" s="36"/>
      <c r="J3153" s="39"/>
      <c r="K3153" s="39"/>
      <c r="AF3153" s="42">
        <v>3300009706</v>
      </c>
      <c r="AG3153" s="42" t="s">
        <v>6529</v>
      </c>
    </row>
    <row r="3154" spans="7:33" ht="15.75" customHeight="1">
      <c r="G3154" s="36"/>
      <c r="H3154" s="36"/>
      <c r="I3154" s="36"/>
      <c r="J3154" s="39"/>
      <c r="K3154" s="39"/>
      <c r="AF3154" s="42">
        <v>3300009707</v>
      </c>
      <c r="AG3154" s="42" t="s">
        <v>6529</v>
      </c>
    </row>
    <row r="3155" spans="7:33" ht="15.75" customHeight="1">
      <c r="G3155" s="36"/>
      <c r="H3155" s="36"/>
      <c r="I3155" s="36"/>
      <c r="J3155" s="39"/>
      <c r="K3155" s="39"/>
      <c r="AF3155" s="42">
        <v>3300009708</v>
      </c>
      <c r="AG3155" s="42" t="s">
        <v>6529</v>
      </c>
    </row>
    <row r="3156" spans="7:33" ht="15.75" customHeight="1">
      <c r="G3156" s="36"/>
      <c r="H3156" s="36"/>
      <c r="I3156" s="36"/>
      <c r="J3156" s="39"/>
      <c r="K3156" s="39"/>
      <c r="AF3156" s="42">
        <v>3300009709</v>
      </c>
      <c r="AG3156" s="42" t="s">
        <v>6529</v>
      </c>
    </row>
    <row r="3157" spans="7:33" ht="15.75" customHeight="1">
      <c r="G3157" s="36"/>
      <c r="H3157" s="36"/>
      <c r="I3157" s="36"/>
      <c r="J3157" s="39"/>
      <c r="K3157" s="39"/>
      <c r="AF3157" s="42">
        <v>3300009710</v>
      </c>
      <c r="AG3157" s="42" t="s">
        <v>6529</v>
      </c>
    </row>
    <row r="3158" spans="7:33" ht="15.75" customHeight="1">
      <c r="G3158" s="36"/>
      <c r="H3158" s="36"/>
      <c r="I3158" s="36"/>
      <c r="J3158" s="39"/>
      <c r="K3158" s="39"/>
      <c r="AF3158" s="42">
        <v>3300009711</v>
      </c>
      <c r="AG3158" s="42" t="s">
        <v>6529</v>
      </c>
    </row>
    <row r="3159" spans="7:33" ht="15.75" customHeight="1">
      <c r="G3159" s="36"/>
      <c r="H3159" s="36"/>
      <c r="I3159" s="36"/>
      <c r="J3159" s="39"/>
      <c r="K3159" s="39"/>
      <c r="AF3159" s="42">
        <v>3300009712</v>
      </c>
      <c r="AG3159" s="42" t="s">
        <v>6529</v>
      </c>
    </row>
    <row r="3160" spans="7:33" ht="15.75" customHeight="1">
      <c r="G3160" s="36"/>
      <c r="H3160" s="36"/>
      <c r="I3160" s="36"/>
      <c r="J3160" s="39"/>
      <c r="K3160" s="39"/>
      <c r="AF3160" s="42">
        <v>3300009713</v>
      </c>
      <c r="AG3160" s="42" t="s">
        <v>6529</v>
      </c>
    </row>
    <row r="3161" spans="7:33" ht="15.75" customHeight="1">
      <c r="G3161" s="36"/>
      <c r="H3161" s="36"/>
      <c r="I3161" s="36"/>
      <c r="J3161" s="39"/>
      <c r="K3161" s="39"/>
      <c r="AF3161" s="42">
        <v>3300009714</v>
      </c>
      <c r="AG3161" s="42" t="s">
        <v>6529</v>
      </c>
    </row>
    <row r="3162" spans="7:33" ht="15.75" customHeight="1">
      <c r="G3162" s="36"/>
      <c r="H3162" s="36"/>
      <c r="I3162" s="36"/>
      <c r="J3162" s="39"/>
      <c r="K3162" s="39"/>
      <c r="AF3162" s="42">
        <v>3300009715</v>
      </c>
      <c r="AG3162" s="42" t="s">
        <v>6529</v>
      </c>
    </row>
    <row r="3163" spans="7:33" ht="15.75" customHeight="1">
      <c r="G3163" s="36"/>
      <c r="H3163" s="36"/>
      <c r="I3163" s="36"/>
      <c r="J3163" s="39"/>
      <c r="K3163" s="39"/>
      <c r="AF3163" s="42">
        <v>3300009716</v>
      </c>
      <c r="AG3163" s="42" t="s">
        <v>6529</v>
      </c>
    </row>
    <row r="3164" spans="7:33" ht="15.75" customHeight="1">
      <c r="G3164" s="36"/>
      <c r="H3164" s="36"/>
      <c r="I3164" s="36"/>
      <c r="J3164" s="39"/>
      <c r="K3164" s="39"/>
      <c r="AF3164" s="42">
        <v>3300009717</v>
      </c>
      <c r="AG3164" s="42" t="s">
        <v>6529</v>
      </c>
    </row>
    <row r="3165" spans="7:33" ht="15.75" customHeight="1">
      <c r="G3165" s="36"/>
      <c r="H3165" s="36"/>
      <c r="I3165" s="36"/>
      <c r="J3165" s="39"/>
      <c r="K3165" s="39"/>
      <c r="AF3165" s="42">
        <v>3300009718</v>
      </c>
      <c r="AG3165" s="42" t="s">
        <v>6529</v>
      </c>
    </row>
    <row r="3166" spans="7:33" ht="15.75" customHeight="1">
      <c r="G3166" s="36"/>
      <c r="H3166" s="36"/>
      <c r="I3166" s="36"/>
      <c r="J3166" s="39"/>
      <c r="K3166" s="39"/>
      <c r="AF3166" s="42">
        <v>3300009719</v>
      </c>
      <c r="AG3166" s="42" t="s">
        <v>6529</v>
      </c>
    </row>
    <row r="3167" spans="7:33" ht="15.75" customHeight="1">
      <c r="G3167" s="36"/>
      <c r="H3167" s="36"/>
      <c r="I3167" s="36"/>
      <c r="J3167" s="39"/>
      <c r="K3167" s="39"/>
      <c r="AF3167" s="42">
        <v>3300009720</v>
      </c>
      <c r="AG3167" s="42" t="s">
        <v>6529</v>
      </c>
    </row>
    <row r="3168" spans="7:33" ht="15.75" customHeight="1">
      <c r="G3168" s="36"/>
      <c r="H3168" s="36"/>
      <c r="I3168" s="36"/>
      <c r="J3168" s="39"/>
      <c r="K3168" s="39"/>
      <c r="AF3168" s="42">
        <v>3300009721</v>
      </c>
      <c r="AG3168" s="42" t="s">
        <v>6529</v>
      </c>
    </row>
    <row r="3169" spans="7:33" ht="15.75" customHeight="1">
      <c r="G3169" s="36"/>
      <c r="H3169" s="36"/>
      <c r="I3169" s="36"/>
      <c r="J3169" s="39"/>
      <c r="K3169" s="39"/>
      <c r="AF3169" s="42">
        <v>3300009722</v>
      </c>
      <c r="AG3169" s="42" t="s">
        <v>6529</v>
      </c>
    </row>
    <row r="3170" spans="7:33" ht="15.75" customHeight="1">
      <c r="G3170" s="36"/>
      <c r="H3170" s="36"/>
      <c r="I3170" s="36"/>
      <c r="J3170" s="39"/>
      <c r="K3170" s="39"/>
      <c r="AF3170" s="42">
        <v>3300009723</v>
      </c>
      <c r="AG3170" s="42" t="s">
        <v>6529</v>
      </c>
    </row>
    <row r="3171" spans="7:33" ht="15.75" customHeight="1">
      <c r="G3171" s="36"/>
      <c r="H3171" s="36"/>
      <c r="I3171" s="36"/>
      <c r="J3171" s="39"/>
      <c r="K3171" s="39"/>
      <c r="AF3171" s="42">
        <v>3300009724</v>
      </c>
      <c r="AG3171" s="42" t="s">
        <v>6529</v>
      </c>
    </row>
    <row r="3172" spans="7:33" ht="15.75" customHeight="1">
      <c r="G3172" s="36"/>
      <c r="H3172" s="36"/>
      <c r="I3172" s="36"/>
      <c r="J3172" s="39"/>
      <c r="K3172" s="39"/>
      <c r="AF3172" s="42">
        <v>3300009725</v>
      </c>
      <c r="AG3172" s="42" t="s">
        <v>6529</v>
      </c>
    </row>
    <row r="3173" spans="7:33" ht="15.75" customHeight="1">
      <c r="G3173" s="36"/>
      <c r="H3173" s="36"/>
      <c r="I3173" s="36"/>
      <c r="J3173" s="39"/>
      <c r="K3173" s="39"/>
      <c r="AF3173" s="42">
        <v>3300009726</v>
      </c>
      <c r="AG3173" s="42" t="s">
        <v>6529</v>
      </c>
    </row>
    <row r="3174" spans="7:33" ht="15.75" customHeight="1">
      <c r="G3174" s="36"/>
      <c r="H3174" s="36"/>
      <c r="I3174" s="36"/>
      <c r="J3174" s="39"/>
      <c r="K3174" s="39"/>
      <c r="AF3174" s="42">
        <v>3300009727</v>
      </c>
      <c r="AG3174" s="42" t="s">
        <v>6529</v>
      </c>
    </row>
    <row r="3175" spans="7:33" ht="15.75" customHeight="1">
      <c r="G3175" s="36"/>
      <c r="H3175" s="36"/>
      <c r="I3175" s="36"/>
      <c r="J3175" s="39"/>
      <c r="K3175" s="39"/>
      <c r="AF3175" s="42">
        <v>3300009728</v>
      </c>
      <c r="AG3175" s="42" t="s">
        <v>6529</v>
      </c>
    </row>
    <row r="3176" spans="7:33" ht="15.75" customHeight="1">
      <c r="G3176" s="36"/>
      <c r="H3176" s="36"/>
      <c r="I3176" s="36"/>
      <c r="J3176" s="39"/>
      <c r="K3176" s="39"/>
      <c r="AF3176" s="42">
        <v>3300009729</v>
      </c>
      <c r="AG3176" s="42" t="s">
        <v>6529</v>
      </c>
    </row>
    <row r="3177" spans="7:33" ht="15.75" customHeight="1">
      <c r="G3177" s="36"/>
      <c r="H3177" s="36"/>
      <c r="I3177" s="36"/>
      <c r="J3177" s="39"/>
      <c r="K3177" s="39"/>
      <c r="AF3177" s="42">
        <v>3300009730</v>
      </c>
      <c r="AG3177" s="42" t="s">
        <v>6529</v>
      </c>
    </row>
    <row r="3178" spans="7:33" ht="15.75" customHeight="1">
      <c r="G3178" s="36"/>
      <c r="H3178" s="36"/>
      <c r="I3178" s="36"/>
      <c r="J3178" s="39"/>
      <c r="K3178" s="39"/>
      <c r="AF3178" s="42">
        <v>3300009731</v>
      </c>
      <c r="AG3178" s="42" t="s">
        <v>6529</v>
      </c>
    </row>
    <row r="3179" spans="7:33" ht="15.75" customHeight="1">
      <c r="G3179" s="36"/>
      <c r="H3179" s="36"/>
      <c r="I3179" s="36"/>
      <c r="J3179" s="39"/>
      <c r="K3179" s="39"/>
      <c r="AF3179" s="42">
        <v>3300009732</v>
      </c>
      <c r="AG3179" s="42" t="s">
        <v>6529</v>
      </c>
    </row>
    <row r="3180" spans="7:33" ht="15.75" customHeight="1">
      <c r="G3180" s="36"/>
      <c r="H3180" s="36"/>
      <c r="I3180" s="36"/>
      <c r="J3180" s="39"/>
      <c r="K3180" s="39"/>
      <c r="AF3180" s="42">
        <v>3300009733</v>
      </c>
      <c r="AG3180" s="42" t="s">
        <v>6529</v>
      </c>
    </row>
    <row r="3181" spans="7:33" ht="15.75" customHeight="1">
      <c r="G3181" s="36"/>
      <c r="H3181" s="36"/>
      <c r="I3181" s="36"/>
      <c r="J3181" s="39"/>
      <c r="K3181" s="39"/>
      <c r="AF3181" s="42">
        <v>3300009734</v>
      </c>
      <c r="AG3181" s="42" t="s">
        <v>6529</v>
      </c>
    </row>
    <row r="3182" spans="7:33" ht="15.75" customHeight="1">
      <c r="G3182" s="36"/>
      <c r="H3182" s="36"/>
      <c r="I3182" s="36"/>
      <c r="J3182" s="39"/>
      <c r="K3182" s="39"/>
      <c r="AF3182" s="42">
        <v>3300009735</v>
      </c>
      <c r="AG3182" s="42" t="s">
        <v>6529</v>
      </c>
    </row>
    <row r="3183" spans="7:33" ht="15.75" customHeight="1">
      <c r="G3183" s="36"/>
      <c r="H3183" s="36"/>
      <c r="I3183" s="36"/>
      <c r="J3183" s="39"/>
      <c r="K3183" s="39"/>
      <c r="AF3183" s="42">
        <v>3300009736</v>
      </c>
      <c r="AG3183" s="42" t="s">
        <v>6529</v>
      </c>
    </row>
    <row r="3184" spans="7:33" ht="15.75" customHeight="1">
      <c r="G3184" s="36"/>
      <c r="H3184" s="36"/>
      <c r="I3184" s="36"/>
      <c r="J3184" s="39"/>
      <c r="K3184" s="39"/>
      <c r="AF3184" s="42">
        <v>3300009737</v>
      </c>
      <c r="AG3184" s="42" t="s">
        <v>6529</v>
      </c>
    </row>
    <row r="3185" spans="7:33" ht="15.75" customHeight="1">
      <c r="G3185" s="36"/>
      <c r="H3185" s="36"/>
      <c r="I3185" s="36"/>
      <c r="J3185" s="39"/>
      <c r="K3185" s="39"/>
      <c r="AF3185" s="42">
        <v>3300009738</v>
      </c>
      <c r="AG3185" s="42" t="s">
        <v>6529</v>
      </c>
    </row>
    <row r="3186" spans="7:33" ht="15.75" customHeight="1">
      <c r="G3186" s="36"/>
      <c r="H3186" s="36"/>
      <c r="I3186" s="36"/>
      <c r="J3186" s="39"/>
      <c r="K3186" s="39"/>
      <c r="AF3186" s="42">
        <v>3300009739</v>
      </c>
      <c r="AG3186" s="42" t="s">
        <v>6529</v>
      </c>
    </row>
    <row r="3187" spans="7:33" ht="15.75" customHeight="1">
      <c r="G3187" s="36"/>
      <c r="H3187" s="36"/>
      <c r="I3187" s="36"/>
      <c r="J3187" s="39"/>
      <c r="K3187" s="39"/>
      <c r="AF3187" s="42">
        <v>3300009740</v>
      </c>
      <c r="AG3187" s="42" t="s">
        <v>6529</v>
      </c>
    </row>
    <row r="3188" spans="7:33" ht="15.75" customHeight="1">
      <c r="G3188" s="36"/>
      <c r="H3188" s="36"/>
      <c r="I3188" s="36"/>
      <c r="J3188" s="39"/>
      <c r="K3188" s="39"/>
      <c r="AF3188" s="42">
        <v>3300009741</v>
      </c>
      <c r="AG3188" s="42" t="s">
        <v>6529</v>
      </c>
    </row>
    <row r="3189" spans="7:33" ht="15.75" customHeight="1">
      <c r="G3189" s="36"/>
      <c r="H3189" s="36"/>
      <c r="I3189" s="36"/>
      <c r="J3189" s="39"/>
      <c r="K3189" s="39"/>
      <c r="AF3189" s="42">
        <v>3300009742</v>
      </c>
      <c r="AG3189" s="42" t="s">
        <v>6529</v>
      </c>
    </row>
    <row r="3190" spans="7:33" ht="15.75" customHeight="1">
      <c r="G3190" s="36"/>
      <c r="H3190" s="36"/>
      <c r="I3190" s="36"/>
      <c r="J3190" s="39"/>
      <c r="K3190" s="39"/>
      <c r="AF3190" s="42">
        <v>3300009743</v>
      </c>
      <c r="AG3190" s="42" t="s">
        <v>6529</v>
      </c>
    </row>
    <row r="3191" spans="7:33" ht="15.75" customHeight="1">
      <c r="G3191" s="36"/>
      <c r="H3191" s="36"/>
      <c r="I3191" s="36"/>
      <c r="J3191" s="39"/>
      <c r="K3191" s="39"/>
      <c r="AF3191" s="42">
        <v>3300009744</v>
      </c>
      <c r="AG3191" s="42" t="s">
        <v>6529</v>
      </c>
    </row>
    <row r="3192" spans="7:33" ht="15.75" customHeight="1">
      <c r="G3192" s="36"/>
      <c r="H3192" s="36"/>
      <c r="I3192" s="36"/>
      <c r="J3192" s="39"/>
      <c r="K3192" s="39"/>
      <c r="AF3192" s="42">
        <v>3300009745</v>
      </c>
      <c r="AG3192" s="42" t="s">
        <v>6529</v>
      </c>
    </row>
    <row r="3193" spans="7:33" ht="15.75" customHeight="1">
      <c r="G3193" s="36"/>
      <c r="H3193" s="36"/>
      <c r="I3193" s="36"/>
      <c r="J3193" s="39"/>
      <c r="K3193" s="39"/>
      <c r="AF3193" s="42">
        <v>3300009746</v>
      </c>
      <c r="AG3193" s="42" t="s">
        <v>6529</v>
      </c>
    </row>
    <row r="3194" spans="7:33" ht="15.75" customHeight="1">
      <c r="G3194" s="36"/>
      <c r="H3194" s="36"/>
      <c r="I3194" s="36"/>
      <c r="J3194" s="39"/>
      <c r="K3194" s="39"/>
      <c r="AF3194" s="42">
        <v>3300009747</v>
      </c>
      <c r="AG3194" s="42" t="s">
        <v>6529</v>
      </c>
    </row>
    <row r="3195" spans="7:33" ht="15.75" customHeight="1">
      <c r="G3195" s="36"/>
      <c r="H3195" s="36"/>
      <c r="I3195" s="36"/>
      <c r="J3195" s="39"/>
      <c r="K3195" s="39"/>
      <c r="AF3195" s="42">
        <v>3300009748</v>
      </c>
      <c r="AG3195" s="42" t="s">
        <v>6529</v>
      </c>
    </row>
    <row r="3196" spans="7:33" ht="15.75" customHeight="1">
      <c r="G3196" s="36"/>
      <c r="H3196" s="36"/>
      <c r="I3196" s="36"/>
      <c r="J3196" s="39"/>
      <c r="K3196" s="39"/>
      <c r="AF3196" s="42">
        <v>3300009749</v>
      </c>
      <c r="AG3196" s="42" t="s">
        <v>6529</v>
      </c>
    </row>
    <row r="3197" spans="7:33" ht="15.75" customHeight="1">
      <c r="G3197" s="36"/>
      <c r="H3197" s="36"/>
      <c r="I3197" s="36"/>
      <c r="J3197" s="39"/>
      <c r="K3197" s="39"/>
      <c r="AF3197" s="42">
        <v>3300009750</v>
      </c>
      <c r="AG3197" s="42" t="s">
        <v>6529</v>
      </c>
    </row>
    <row r="3198" spans="7:33" ht="15.75" customHeight="1">
      <c r="G3198" s="36"/>
      <c r="H3198" s="36"/>
      <c r="I3198" s="36"/>
      <c r="J3198" s="39"/>
      <c r="K3198" s="39"/>
      <c r="AF3198" s="42">
        <v>3300009751</v>
      </c>
      <c r="AG3198" s="42" t="s">
        <v>6529</v>
      </c>
    </row>
    <row r="3199" spans="7:33" ht="15.75" customHeight="1">
      <c r="G3199" s="36"/>
      <c r="H3199" s="36"/>
      <c r="I3199" s="36"/>
      <c r="J3199" s="39"/>
      <c r="K3199" s="39"/>
      <c r="AF3199" s="42">
        <v>3300009752</v>
      </c>
      <c r="AG3199" s="42" t="s">
        <v>6529</v>
      </c>
    </row>
    <row r="3200" spans="7:33" ht="15.75" customHeight="1">
      <c r="G3200" s="36"/>
      <c r="H3200" s="36"/>
      <c r="I3200" s="36"/>
      <c r="J3200" s="39"/>
      <c r="K3200" s="39"/>
      <c r="AF3200" s="42">
        <v>3300009753</v>
      </c>
      <c r="AG3200" s="42" t="s">
        <v>6529</v>
      </c>
    </row>
    <row r="3201" spans="7:33" ht="15.75" customHeight="1">
      <c r="G3201" s="36"/>
      <c r="H3201" s="36"/>
      <c r="I3201" s="36"/>
      <c r="J3201" s="39"/>
      <c r="K3201" s="39"/>
      <c r="AF3201" s="42">
        <v>3300009754</v>
      </c>
      <c r="AG3201" s="42" t="s">
        <v>6529</v>
      </c>
    </row>
    <row r="3202" spans="7:33" ht="15.75" customHeight="1">
      <c r="G3202" s="36"/>
      <c r="H3202" s="36"/>
      <c r="I3202" s="36"/>
      <c r="J3202" s="39"/>
      <c r="K3202" s="39"/>
      <c r="AF3202" s="42">
        <v>3300009755</v>
      </c>
      <c r="AG3202" s="42" t="s">
        <v>6529</v>
      </c>
    </row>
    <row r="3203" spans="7:33" ht="15.75" customHeight="1">
      <c r="G3203" s="36"/>
      <c r="H3203" s="36"/>
      <c r="I3203" s="36"/>
      <c r="J3203" s="39"/>
      <c r="K3203" s="39"/>
      <c r="AF3203" s="42">
        <v>3300009756</v>
      </c>
      <c r="AG3203" s="42" t="s">
        <v>6529</v>
      </c>
    </row>
    <row r="3204" spans="7:33" ht="15.75" customHeight="1">
      <c r="G3204" s="36"/>
      <c r="H3204" s="36"/>
      <c r="I3204" s="36"/>
      <c r="J3204" s="39"/>
      <c r="K3204" s="39"/>
      <c r="AF3204" s="42">
        <v>3300009757</v>
      </c>
      <c r="AG3204" s="42" t="s">
        <v>6529</v>
      </c>
    </row>
    <row r="3205" spans="7:33" ht="15.75" customHeight="1">
      <c r="G3205" s="36"/>
      <c r="H3205" s="36"/>
      <c r="I3205" s="36"/>
      <c r="J3205" s="39"/>
      <c r="K3205" s="39"/>
      <c r="AF3205" s="42">
        <v>3300009758</v>
      </c>
      <c r="AG3205" s="42" t="s">
        <v>6529</v>
      </c>
    </row>
    <row r="3206" spans="7:33" ht="15.75" customHeight="1">
      <c r="G3206" s="36"/>
      <c r="H3206" s="36"/>
      <c r="I3206" s="36"/>
      <c r="J3206" s="39"/>
      <c r="K3206" s="39"/>
      <c r="AF3206" s="42">
        <v>3300009759</v>
      </c>
      <c r="AG3206" s="42" t="s">
        <v>6529</v>
      </c>
    </row>
    <row r="3207" spans="7:33" ht="15.75" customHeight="1">
      <c r="G3207" s="36"/>
      <c r="H3207" s="36"/>
      <c r="I3207" s="36"/>
      <c r="J3207" s="39"/>
      <c r="K3207" s="39"/>
      <c r="AF3207" s="42">
        <v>3300009760</v>
      </c>
      <c r="AG3207" s="42" t="s">
        <v>6529</v>
      </c>
    </row>
    <row r="3208" spans="7:33" ht="15.75" customHeight="1">
      <c r="G3208" s="36"/>
      <c r="H3208" s="36"/>
      <c r="I3208" s="36"/>
      <c r="J3208" s="39"/>
      <c r="K3208" s="39"/>
      <c r="AF3208" s="42">
        <v>3300009761</v>
      </c>
      <c r="AG3208" s="42" t="s">
        <v>6529</v>
      </c>
    </row>
    <row r="3209" spans="7:33" ht="15.75" customHeight="1">
      <c r="G3209" s="36"/>
      <c r="H3209" s="36"/>
      <c r="I3209" s="36"/>
      <c r="J3209" s="39"/>
      <c r="K3209" s="39"/>
      <c r="AF3209" s="42">
        <v>3300009762</v>
      </c>
      <c r="AG3209" s="42" t="s">
        <v>6529</v>
      </c>
    </row>
    <row r="3210" spans="7:33" ht="15.75" customHeight="1">
      <c r="G3210" s="36"/>
      <c r="H3210" s="36"/>
      <c r="I3210" s="36"/>
      <c r="J3210" s="39"/>
      <c r="K3210" s="39"/>
      <c r="AF3210" s="42">
        <v>3300009763</v>
      </c>
      <c r="AG3210" s="42" t="s">
        <v>6529</v>
      </c>
    </row>
    <row r="3211" spans="7:33" ht="15.75" customHeight="1">
      <c r="G3211" s="36"/>
      <c r="H3211" s="36"/>
      <c r="I3211" s="36"/>
      <c r="J3211" s="39"/>
      <c r="K3211" s="39"/>
      <c r="AF3211" s="42">
        <v>3300009764</v>
      </c>
      <c r="AG3211" s="42" t="s">
        <v>6529</v>
      </c>
    </row>
    <row r="3212" spans="7:33" ht="15.75" customHeight="1">
      <c r="G3212" s="36"/>
      <c r="H3212" s="36"/>
      <c r="I3212" s="36"/>
      <c r="J3212" s="39"/>
      <c r="K3212" s="39"/>
      <c r="AF3212" s="42">
        <v>3300009765</v>
      </c>
      <c r="AG3212" s="42" t="s">
        <v>6529</v>
      </c>
    </row>
    <row r="3213" spans="7:33" ht="15.75" customHeight="1">
      <c r="G3213" s="36"/>
      <c r="H3213" s="36"/>
      <c r="I3213" s="36"/>
      <c r="J3213" s="39"/>
      <c r="K3213" s="39"/>
      <c r="AF3213" s="42">
        <v>3300009766</v>
      </c>
      <c r="AG3213" s="42" t="s">
        <v>6529</v>
      </c>
    </row>
    <row r="3214" spans="7:33" ht="15.75" customHeight="1">
      <c r="G3214" s="36"/>
      <c r="H3214" s="36"/>
      <c r="I3214" s="36"/>
      <c r="J3214" s="39"/>
      <c r="K3214" s="39"/>
      <c r="AF3214" s="42">
        <v>3300009767</v>
      </c>
      <c r="AG3214" s="42" t="s">
        <v>6529</v>
      </c>
    </row>
    <row r="3215" spans="7:33" ht="15.75" customHeight="1">
      <c r="G3215" s="36"/>
      <c r="H3215" s="36"/>
      <c r="I3215" s="36"/>
      <c r="J3215" s="39"/>
      <c r="K3215" s="39"/>
      <c r="AF3215" s="42">
        <v>3300009768</v>
      </c>
      <c r="AG3215" s="42" t="s">
        <v>6529</v>
      </c>
    </row>
    <row r="3216" spans="7:33" ht="15.75" customHeight="1">
      <c r="G3216" s="36"/>
      <c r="H3216" s="36"/>
      <c r="I3216" s="36"/>
      <c r="J3216" s="39"/>
      <c r="K3216" s="39"/>
      <c r="AF3216" s="42">
        <v>3300009769</v>
      </c>
      <c r="AG3216" s="42" t="s">
        <v>6529</v>
      </c>
    </row>
    <row r="3217" spans="7:33" ht="15.75" customHeight="1">
      <c r="G3217" s="36"/>
      <c r="H3217" s="36"/>
      <c r="I3217" s="36"/>
      <c r="J3217" s="39"/>
      <c r="K3217" s="39"/>
      <c r="AF3217" s="42">
        <v>3300009770</v>
      </c>
      <c r="AG3217" s="42" t="s">
        <v>6529</v>
      </c>
    </row>
    <row r="3218" spans="7:33" ht="15.75" customHeight="1">
      <c r="G3218" s="36"/>
      <c r="H3218" s="36"/>
      <c r="I3218" s="36"/>
      <c r="J3218" s="39"/>
      <c r="K3218" s="39"/>
      <c r="AF3218" s="42">
        <v>3300009771</v>
      </c>
      <c r="AG3218" s="42" t="s">
        <v>6529</v>
      </c>
    </row>
    <row r="3219" spans="7:33" ht="15.75" customHeight="1">
      <c r="G3219" s="36"/>
      <c r="H3219" s="36"/>
      <c r="I3219" s="36"/>
      <c r="J3219" s="39"/>
      <c r="K3219" s="39"/>
      <c r="AF3219" s="42">
        <v>3300009772</v>
      </c>
      <c r="AG3219" s="42" t="s">
        <v>6529</v>
      </c>
    </row>
    <row r="3220" spans="7:33" ht="15.75" customHeight="1">
      <c r="G3220" s="36"/>
      <c r="H3220" s="36"/>
      <c r="I3220" s="36"/>
      <c r="J3220" s="39"/>
      <c r="K3220" s="39"/>
      <c r="AF3220" s="42">
        <v>3300009773</v>
      </c>
      <c r="AG3220" s="42" t="s">
        <v>6529</v>
      </c>
    </row>
    <row r="3221" spans="7:33" ht="15.75" customHeight="1">
      <c r="G3221" s="36"/>
      <c r="H3221" s="36"/>
      <c r="I3221" s="36"/>
      <c r="J3221" s="39"/>
      <c r="K3221" s="39"/>
      <c r="AF3221" s="42">
        <v>3300009774</v>
      </c>
      <c r="AG3221" s="42" t="s">
        <v>6529</v>
      </c>
    </row>
    <row r="3222" spans="7:33" ht="15.75" customHeight="1">
      <c r="G3222" s="36"/>
      <c r="H3222" s="36"/>
      <c r="I3222" s="36"/>
      <c r="J3222" s="39"/>
      <c r="K3222" s="39"/>
      <c r="AF3222" s="42">
        <v>3300009775</v>
      </c>
      <c r="AG3222" s="42" t="s">
        <v>6529</v>
      </c>
    </row>
    <row r="3223" spans="7:33" ht="15.75" customHeight="1">
      <c r="G3223" s="36"/>
      <c r="H3223" s="36"/>
      <c r="I3223" s="36"/>
      <c r="J3223" s="39"/>
      <c r="K3223" s="39"/>
      <c r="AF3223" s="42">
        <v>3300009776</v>
      </c>
      <c r="AG3223" s="42" t="s">
        <v>6529</v>
      </c>
    </row>
    <row r="3224" spans="7:33" ht="15.75" customHeight="1">
      <c r="G3224" s="36"/>
      <c r="H3224" s="36"/>
      <c r="I3224" s="36"/>
      <c r="J3224" s="39"/>
      <c r="K3224" s="39"/>
      <c r="AF3224" s="42">
        <v>3300009777</v>
      </c>
      <c r="AG3224" s="42" t="s">
        <v>6529</v>
      </c>
    </row>
    <row r="3225" spans="7:33" ht="15.75" customHeight="1">
      <c r="G3225" s="36"/>
      <c r="H3225" s="36"/>
      <c r="I3225" s="36"/>
      <c r="J3225" s="39"/>
      <c r="K3225" s="39"/>
      <c r="AF3225" s="42">
        <v>3300009778</v>
      </c>
      <c r="AG3225" s="42" t="s">
        <v>6529</v>
      </c>
    </row>
    <row r="3226" spans="7:33" ht="15.75" customHeight="1">
      <c r="G3226" s="36"/>
      <c r="H3226" s="36"/>
      <c r="I3226" s="36"/>
      <c r="J3226" s="39"/>
      <c r="K3226" s="39"/>
      <c r="AF3226" s="42">
        <v>3300009779</v>
      </c>
      <c r="AG3226" s="42" t="s">
        <v>6529</v>
      </c>
    </row>
    <row r="3227" spans="7:33" ht="15.75" customHeight="1">
      <c r="G3227" s="36"/>
      <c r="H3227" s="36"/>
      <c r="I3227" s="36"/>
      <c r="J3227" s="39"/>
      <c r="K3227" s="39"/>
      <c r="AF3227" s="42">
        <v>3300009780</v>
      </c>
      <c r="AG3227" s="42" t="s">
        <v>6529</v>
      </c>
    </row>
    <row r="3228" spans="7:33" ht="15.75" customHeight="1">
      <c r="G3228" s="36"/>
      <c r="H3228" s="36"/>
      <c r="I3228" s="36"/>
      <c r="J3228" s="39"/>
      <c r="K3228" s="39"/>
      <c r="AF3228" s="42">
        <v>3300009781</v>
      </c>
      <c r="AG3228" s="42" t="s">
        <v>6529</v>
      </c>
    </row>
    <row r="3229" spans="7:33" ht="15.75" customHeight="1">
      <c r="G3229" s="36"/>
      <c r="H3229" s="36"/>
      <c r="I3229" s="36"/>
      <c r="J3229" s="39"/>
      <c r="K3229" s="39"/>
      <c r="AF3229" s="42">
        <v>3300009782</v>
      </c>
      <c r="AG3229" s="42" t="s">
        <v>6529</v>
      </c>
    </row>
    <row r="3230" spans="7:33" ht="15.75" customHeight="1">
      <c r="G3230" s="36"/>
      <c r="H3230" s="36"/>
      <c r="I3230" s="36"/>
      <c r="J3230" s="39"/>
      <c r="K3230" s="39"/>
      <c r="AF3230" s="42">
        <v>3300009783</v>
      </c>
      <c r="AG3230" s="42" t="s">
        <v>6529</v>
      </c>
    </row>
    <row r="3231" spans="7:33" ht="15.75" customHeight="1">
      <c r="G3231" s="36"/>
      <c r="H3231" s="36"/>
      <c r="I3231" s="36"/>
      <c r="J3231" s="39"/>
      <c r="K3231" s="39"/>
      <c r="AF3231" s="42">
        <v>3300009784</v>
      </c>
      <c r="AG3231" s="42" t="s">
        <v>6529</v>
      </c>
    </row>
    <row r="3232" spans="7:33" ht="15.75" customHeight="1">
      <c r="G3232" s="36"/>
      <c r="H3232" s="36"/>
      <c r="I3232" s="36"/>
      <c r="J3232" s="39"/>
      <c r="K3232" s="39"/>
      <c r="AF3232" s="42">
        <v>3300009785</v>
      </c>
      <c r="AG3232" s="42" t="s">
        <v>6529</v>
      </c>
    </row>
    <row r="3233" spans="7:33" ht="15.75" customHeight="1">
      <c r="G3233" s="36"/>
      <c r="H3233" s="36"/>
      <c r="I3233" s="36"/>
      <c r="J3233" s="39"/>
      <c r="K3233" s="39"/>
      <c r="AF3233" s="42">
        <v>3300009786</v>
      </c>
      <c r="AG3233" s="42" t="s">
        <v>6529</v>
      </c>
    </row>
    <row r="3234" spans="7:33" ht="15.75" customHeight="1">
      <c r="G3234" s="36"/>
      <c r="H3234" s="36"/>
      <c r="I3234" s="36"/>
      <c r="J3234" s="39"/>
      <c r="K3234" s="39"/>
      <c r="AF3234" s="42">
        <v>3300009787</v>
      </c>
      <c r="AG3234" s="42" t="s">
        <v>6529</v>
      </c>
    </row>
    <row r="3235" spans="7:33" ht="15.75" customHeight="1">
      <c r="G3235" s="36"/>
      <c r="H3235" s="36"/>
      <c r="I3235" s="36"/>
      <c r="J3235" s="39"/>
      <c r="K3235" s="39"/>
      <c r="AF3235" s="42">
        <v>3300009788</v>
      </c>
      <c r="AG3235" s="42" t="s">
        <v>6529</v>
      </c>
    </row>
    <row r="3236" spans="7:33" ht="15.75" customHeight="1">
      <c r="G3236" s="36"/>
      <c r="H3236" s="36"/>
      <c r="I3236" s="36"/>
      <c r="J3236" s="39"/>
      <c r="K3236" s="39"/>
      <c r="AF3236" s="42">
        <v>3300009789</v>
      </c>
      <c r="AG3236" s="42" t="s">
        <v>6529</v>
      </c>
    </row>
    <row r="3237" spans="7:33" ht="15.75" customHeight="1">
      <c r="G3237" s="36"/>
      <c r="H3237" s="36"/>
      <c r="I3237" s="36"/>
      <c r="J3237" s="39"/>
      <c r="K3237" s="39"/>
      <c r="AF3237" s="42">
        <v>3300009790</v>
      </c>
      <c r="AG3237" s="42" t="s">
        <v>6529</v>
      </c>
    </row>
    <row r="3238" spans="7:33" ht="15.75" customHeight="1">
      <c r="G3238" s="36"/>
      <c r="H3238" s="36"/>
      <c r="I3238" s="36"/>
      <c r="J3238" s="39"/>
      <c r="K3238" s="39"/>
      <c r="AF3238" s="42">
        <v>3300009791</v>
      </c>
      <c r="AG3238" s="42" t="s">
        <v>6529</v>
      </c>
    </row>
    <row r="3239" spans="7:33" ht="15.75" customHeight="1">
      <c r="G3239" s="36"/>
      <c r="H3239" s="36"/>
      <c r="I3239" s="36"/>
      <c r="J3239" s="39"/>
      <c r="K3239" s="39"/>
      <c r="AF3239" s="42">
        <v>3300009792</v>
      </c>
      <c r="AG3239" s="42" t="s">
        <v>6529</v>
      </c>
    </row>
    <row r="3240" spans="7:33" ht="15.75" customHeight="1">
      <c r="G3240" s="36"/>
      <c r="H3240" s="36"/>
      <c r="I3240" s="36"/>
      <c r="J3240" s="39"/>
      <c r="K3240" s="39"/>
      <c r="AF3240" s="42">
        <v>3300009793</v>
      </c>
      <c r="AG3240" s="42" t="s">
        <v>6529</v>
      </c>
    </row>
    <row r="3241" spans="7:33" ht="15.75" customHeight="1">
      <c r="G3241" s="36"/>
      <c r="H3241" s="36"/>
      <c r="I3241" s="36"/>
      <c r="J3241" s="39"/>
      <c r="K3241" s="39"/>
      <c r="AF3241" s="42">
        <v>3300009794</v>
      </c>
      <c r="AG3241" s="42" t="s">
        <v>6529</v>
      </c>
    </row>
    <row r="3242" spans="7:33" ht="15.75" customHeight="1">
      <c r="G3242" s="36"/>
      <c r="H3242" s="36"/>
      <c r="I3242" s="36"/>
      <c r="J3242" s="39"/>
      <c r="K3242" s="39"/>
      <c r="AF3242" s="42">
        <v>3300009795</v>
      </c>
      <c r="AG3242" s="42" t="s">
        <v>6529</v>
      </c>
    </row>
    <row r="3243" spans="7:33" ht="15.75" customHeight="1">
      <c r="G3243" s="36"/>
      <c r="H3243" s="36"/>
      <c r="I3243" s="36"/>
      <c r="J3243" s="39"/>
      <c r="K3243" s="39"/>
      <c r="AF3243" s="42">
        <v>3300009796</v>
      </c>
      <c r="AG3243" s="42" t="s">
        <v>6529</v>
      </c>
    </row>
    <row r="3244" spans="7:33" ht="15.75" customHeight="1">
      <c r="G3244" s="36"/>
      <c r="H3244" s="36"/>
      <c r="I3244" s="36"/>
      <c r="J3244" s="39"/>
      <c r="K3244" s="39"/>
      <c r="AF3244" s="42">
        <v>3300009797</v>
      </c>
      <c r="AG3244" s="42" t="s">
        <v>6529</v>
      </c>
    </row>
    <row r="3245" spans="7:33" ht="15.75" customHeight="1">
      <c r="G3245" s="36"/>
      <c r="H3245" s="36"/>
      <c r="I3245" s="36"/>
      <c r="J3245" s="39"/>
      <c r="K3245" s="39"/>
      <c r="AF3245" s="42">
        <v>3300009798</v>
      </c>
      <c r="AG3245" s="42" t="s">
        <v>6529</v>
      </c>
    </row>
    <row r="3246" spans="7:33" ht="15.75" customHeight="1">
      <c r="G3246" s="36"/>
      <c r="H3246" s="36"/>
      <c r="I3246" s="36"/>
      <c r="J3246" s="39"/>
      <c r="K3246" s="39"/>
      <c r="AF3246" s="42">
        <v>3300009799</v>
      </c>
      <c r="AG3246" s="42" t="s">
        <v>6529</v>
      </c>
    </row>
    <row r="3247" spans="7:33" ht="15.75" customHeight="1">
      <c r="G3247" s="36"/>
      <c r="H3247" s="36"/>
      <c r="I3247" s="36"/>
      <c r="J3247" s="39"/>
      <c r="K3247" s="39"/>
      <c r="AF3247" s="42">
        <v>3300009806</v>
      </c>
      <c r="AG3247" s="42" t="s">
        <v>6529</v>
      </c>
    </row>
    <row r="3248" spans="7:33" ht="15.75" customHeight="1">
      <c r="G3248" s="36"/>
      <c r="H3248" s="36"/>
      <c r="I3248" s="36"/>
      <c r="J3248" s="39"/>
      <c r="K3248" s="39"/>
      <c r="AF3248" s="42">
        <v>3300009818</v>
      </c>
      <c r="AG3248" s="42" t="s">
        <v>6529</v>
      </c>
    </row>
    <row r="3249" spans="7:33" ht="15.75" customHeight="1">
      <c r="G3249" s="36"/>
      <c r="H3249" s="36"/>
      <c r="I3249" s="36"/>
      <c r="J3249" s="39"/>
      <c r="K3249" s="39"/>
      <c r="AF3249" s="42">
        <v>3300009819</v>
      </c>
      <c r="AG3249" s="42" t="s">
        <v>6529</v>
      </c>
    </row>
    <row r="3250" spans="7:33" ht="15.75" customHeight="1">
      <c r="G3250" s="36"/>
      <c r="H3250" s="36"/>
      <c r="I3250" s="36"/>
      <c r="J3250" s="39"/>
      <c r="K3250" s="39"/>
      <c r="AF3250" s="42">
        <v>3300009820</v>
      </c>
      <c r="AG3250" s="42" t="s">
        <v>6529</v>
      </c>
    </row>
    <row r="3251" spans="7:33" ht="15.75" customHeight="1">
      <c r="G3251" s="36"/>
      <c r="H3251" s="36"/>
      <c r="I3251" s="36"/>
      <c r="J3251" s="39"/>
      <c r="K3251" s="39"/>
      <c r="AF3251" s="42">
        <v>3300009821</v>
      </c>
      <c r="AG3251" s="42" t="s">
        <v>6529</v>
      </c>
    </row>
    <row r="3252" spans="7:33" ht="15.75" customHeight="1">
      <c r="G3252" s="36"/>
      <c r="H3252" s="36"/>
      <c r="I3252" s="36"/>
      <c r="J3252" s="39"/>
      <c r="K3252" s="39"/>
      <c r="AF3252" s="42">
        <v>3300009822</v>
      </c>
      <c r="AG3252" s="42" t="s">
        <v>6529</v>
      </c>
    </row>
    <row r="3253" spans="7:33" ht="15.75" customHeight="1">
      <c r="G3253" s="36"/>
      <c r="H3253" s="36"/>
      <c r="I3253" s="36"/>
      <c r="J3253" s="39"/>
      <c r="K3253" s="39"/>
      <c r="AF3253" s="42">
        <v>3300009823</v>
      </c>
      <c r="AG3253" s="42" t="s">
        <v>6529</v>
      </c>
    </row>
    <row r="3254" spans="7:33" ht="15.75" customHeight="1">
      <c r="G3254" s="36"/>
      <c r="H3254" s="36"/>
      <c r="I3254" s="36"/>
      <c r="J3254" s="39"/>
      <c r="K3254" s="39"/>
      <c r="AF3254" s="42">
        <v>3300009824</v>
      </c>
      <c r="AG3254" s="42" t="s">
        <v>6529</v>
      </c>
    </row>
    <row r="3255" spans="7:33" ht="15.75" customHeight="1">
      <c r="G3255" s="36"/>
      <c r="H3255" s="36"/>
      <c r="I3255" s="36"/>
      <c r="J3255" s="39"/>
      <c r="K3255" s="39"/>
      <c r="AF3255" s="42">
        <v>3300009967</v>
      </c>
      <c r="AG3255" s="42" t="s">
        <v>6529</v>
      </c>
    </row>
    <row r="3256" spans="7:33" ht="15.75" customHeight="1">
      <c r="G3256" s="36"/>
      <c r="H3256" s="36"/>
      <c r="I3256" s="36"/>
      <c r="J3256" s="39"/>
      <c r="K3256" s="39"/>
      <c r="AF3256" s="42">
        <v>3300009968</v>
      </c>
      <c r="AG3256" s="42" t="s">
        <v>6529</v>
      </c>
    </row>
    <row r="3257" spans="7:33" ht="15.75" customHeight="1">
      <c r="G3257" s="36"/>
      <c r="H3257" s="36"/>
      <c r="I3257" s="36"/>
      <c r="J3257" s="39"/>
      <c r="K3257" s="39"/>
      <c r="AF3257" s="42">
        <v>3300010055</v>
      </c>
      <c r="AG3257" s="42" t="s">
        <v>6529</v>
      </c>
    </row>
    <row r="3258" spans="7:33" ht="15.75" customHeight="1">
      <c r="G3258" s="36"/>
      <c r="H3258" s="36"/>
      <c r="I3258" s="36"/>
      <c r="J3258" s="39"/>
      <c r="K3258" s="39"/>
      <c r="AF3258" s="42">
        <v>3300010073</v>
      </c>
      <c r="AG3258" s="42" t="s">
        <v>6529</v>
      </c>
    </row>
    <row r="3259" spans="7:33" ht="15.75" customHeight="1">
      <c r="G3259" s="36"/>
      <c r="H3259" s="36"/>
      <c r="I3259" s="36"/>
      <c r="J3259" s="39"/>
      <c r="K3259" s="39"/>
      <c r="AF3259" s="42">
        <v>3300010074</v>
      </c>
      <c r="AG3259" s="42" t="s">
        <v>6529</v>
      </c>
    </row>
    <row r="3260" spans="7:33" ht="15.75" customHeight="1">
      <c r="G3260" s="36"/>
      <c r="H3260" s="36"/>
      <c r="I3260" s="36"/>
      <c r="J3260" s="39"/>
      <c r="K3260" s="39"/>
      <c r="AF3260" s="42">
        <v>3300010076</v>
      </c>
      <c r="AG3260" s="42" t="s">
        <v>6529</v>
      </c>
    </row>
    <row r="3261" spans="7:33" ht="15.75" customHeight="1">
      <c r="G3261" s="36"/>
      <c r="H3261" s="36"/>
      <c r="I3261" s="36"/>
      <c r="J3261" s="39"/>
      <c r="K3261" s="39"/>
      <c r="AF3261" s="42">
        <v>3300010086</v>
      </c>
      <c r="AG3261" s="42" t="s">
        <v>6529</v>
      </c>
    </row>
    <row r="3262" spans="7:33" ht="15.75" customHeight="1">
      <c r="G3262" s="36"/>
      <c r="H3262" s="36"/>
      <c r="I3262" s="36"/>
      <c r="J3262" s="39"/>
      <c r="K3262" s="39"/>
      <c r="AF3262" s="42">
        <v>3300010087</v>
      </c>
      <c r="AG3262" s="42" t="s">
        <v>6529</v>
      </c>
    </row>
    <row r="3263" spans="7:33" ht="15.75" customHeight="1">
      <c r="G3263" s="36"/>
      <c r="H3263" s="36"/>
      <c r="I3263" s="36"/>
      <c r="J3263" s="39"/>
      <c r="K3263" s="39"/>
      <c r="AF3263" s="42">
        <v>3300010088</v>
      </c>
      <c r="AG3263" s="42" t="s">
        <v>6529</v>
      </c>
    </row>
    <row r="3264" spans="7:33" ht="15.75" customHeight="1">
      <c r="G3264" s="36"/>
      <c r="H3264" s="36"/>
      <c r="I3264" s="36"/>
      <c r="J3264" s="39"/>
      <c r="K3264" s="39"/>
      <c r="AF3264" s="42">
        <v>3300010089</v>
      </c>
      <c r="AG3264" s="42" t="s">
        <v>6529</v>
      </c>
    </row>
    <row r="3265" spans="7:33" ht="15.75" customHeight="1">
      <c r="G3265" s="36"/>
      <c r="H3265" s="36"/>
      <c r="I3265" s="36"/>
      <c r="J3265" s="39"/>
      <c r="K3265" s="39"/>
      <c r="AF3265" s="42">
        <v>3300010098</v>
      </c>
      <c r="AG3265" s="42" t="s">
        <v>6529</v>
      </c>
    </row>
    <row r="3266" spans="7:33" ht="15.75" customHeight="1">
      <c r="G3266" s="36"/>
      <c r="H3266" s="36"/>
      <c r="I3266" s="36"/>
      <c r="J3266" s="39"/>
      <c r="K3266" s="39"/>
      <c r="AF3266" s="42">
        <v>3300010099</v>
      </c>
      <c r="AG3266" s="42" t="s">
        <v>6529</v>
      </c>
    </row>
    <row r="3267" spans="7:33" ht="15.75" customHeight="1">
      <c r="G3267" s="36"/>
      <c r="H3267" s="36"/>
      <c r="I3267" s="36"/>
      <c r="J3267" s="39"/>
      <c r="K3267" s="39"/>
      <c r="AF3267" s="42">
        <v>3300010100</v>
      </c>
      <c r="AG3267" s="42" t="s">
        <v>6529</v>
      </c>
    </row>
    <row r="3268" spans="7:33" ht="15.75" customHeight="1">
      <c r="G3268" s="36"/>
      <c r="H3268" s="36"/>
      <c r="I3268" s="36"/>
      <c r="J3268" s="39"/>
      <c r="K3268" s="39"/>
      <c r="AF3268" s="42">
        <v>3300010102</v>
      </c>
      <c r="AG3268" s="42" t="s">
        <v>6529</v>
      </c>
    </row>
    <row r="3269" spans="7:33" ht="15.75" customHeight="1">
      <c r="G3269" s="36"/>
      <c r="H3269" s="36"/>
      <c r="I3269" s="36"/>
      <c r="J3269" s="39"/>
      <c r="K3269" s="39"/>
      <c r="AF3269" s="42">
        <v>3300010126</v>
      </c>
      <c r="AG3269" s="42" t="s">
        <v>6529</v>
      </c>
    </row>
    <row r="3270" spans="7:33" ht="15.75" customHeight="1">
      <c r="G3270" s="36"/>
      <c r="H3270" s="36"/>
      <c r="I3270" s="36"/>
      <c r="J3270" s="39"/>
      <c r="K3270" s="39"/>
      <c r="AF3270" s="42">
        <v>3300010657</v>
      </c>
      <c r="AG3270" s="42" t="s">
        <v>6529</v>
      </c>
    </row>
    <row r="3271" spans="7:33" ht="15.75" customHeight="1">
      <c r="G3271" s="36"/>
      <c r="H3271" s="36"/>
      <c r="I3271" s="36"/>
      <c r="J3271" s="39"/>
      <c r="K3271" s="39"/>
      <c r="AF3271" s="42">
        <v>3300010658</v>
      </c>
      <c r="AG3271" s="42" t="s">
        <v>6529</v>
      </c>
    </row>
    <row r="3272" spans="7:33" ht="15.75" customHeight="1">
      <c r="G3272" s="36"/>
      <c r="H3272" s="36"/>
      <c r="I3272" s="36"/>
      <c r="J3272" s="39"/>
      <c r="K3272" s="39"/>
      <c r="AF3272" s="42">
        <v>3300010663</v>
      </c>
      <c r="AG3272" s="42" t="s">
        <v>6529</v>
      </c>
    </row>
    <row r="3273" spans="7:33" ht="15.75" customHeight="1">
      <c r="G3273" s="36"/>
      <c r="H3273" s="36"/>
      <c r="I3273" s="36"/>
      <c r="J3273" s="39"/>
      <c r="K3273" s="39"/>
      <c r="AF3273" s="42">
        <v>3300010664</v>
      </c>
      <c r="AG3273" s="42" t="s">
        <v>6529</v>
      </c>
    </row>
    <row r="3274" spans="7:33" ht="15.75" customHeight="1">
      <c r="G3274" s="36"/>
      <c r="H3274" s="36"/>
      <c r="I3274" s="36"/>
      <c r="J3274" s="39"/>
      <c r="K3274" s="39"/>
      <c r="AF3274" s="42">
        <v>3300010669</v>
      </c>
      <c r="AG3274" s="42" t="s">
        <v>6529</v>
      </c>
    </row>
    <row r="3275" spans="7:33" ht="15.75" customHeight="1">
      <c r="G3275" s="36"/>
      <c r="H3275" s="36"/>
      <c r="I3275" s="36"/>
      <c r="J3275" s="39"/>
      <c r="K3275" s="39"/>
      <c r="AF3275" s="42">
        <v>3300010671</v>
      </c>
      <c r="AG3275" s="42" t="s">
        <v>6529</v>
      </c>
    </row>
    <row r="3276" spans="7:33" ht="15.75" customHeight="1">
      <c r="G3276" s="36"/>
      <c r="H3276" s="36"/>
      <c r="I3276" s="36"/>
      <c r="J3276" s="39"/>
      <c r="K3276" s="39"/>
      <c r="AF3276" s="42">
        <v>3300010674</v>
      </c>
      <c r="AG3276" s="42" t="s">
        <v>6529</v>
      </c>
    </row>
    <row r="3277" spans="7:33" ht="15.75" customHeight="1">
      <c r="G3277" s="36"/>
      <c r="H3277" s="36"/>
      <c r="I3277" s="36"/>
      <c r="J3277" s="39"/>
      <c r="K3277" s="39"/>
      <c r="AF3277" s="42">
        <v>3300010682</v>
      </c>
      <c r="AG3277" s="42" t="s">
        <v>6529</v>
      </c>
    </row>
    <row r="3278" spans="7:33" ht="15.75" customHeight="1">
      <c r="G3278" s="36"/>
      <c r="H3278" s="36"/>
      <c r="I3278" s="36"/>
      <c r="J3278" s="39"/>
      <c r="K3278" s="39"/>
      <c r="AF3278" s="42">
        <v>3300010698</v>
      </c>
      <c r="AG3278" s="42" t="s">
        <v>6529</v>
      </c>
    </row>
    <row r="3279" spans="7:33" ht="15.75" customHeight="1">
      <c r="G3279" s="36"/>
      <c r="H3279" s="36"/>
      <c r="I3279" s="36"/>
      <c r="J3279" s="39"/>
      <c r="K3279" s="39"/>
      <c r="AF3279" s="42">
        <v>3300010700</v>
      </c>
      <c r="AG3279" s="42" t="s">
        <v>6529</v>
      </c>
    </row>
    <row r="3280" spans="7:33" ht="15.75" customHeight="1">
      <c r="G3280" s="36"/>
      <c r="H3280" s="36"/>
      <c r="I3280" s="36"/>
      <c r="J3280" s="39"/>
      <c r="K3280" s="39"/>
      <c r="AF3280" s="42">
        <v>3300010890</v>
      </c>
      <c r="AG3280" s="42" t="s">
        <v>6529</v>
      </c>
    </row>
    <row r="3281" spans="7:33" ht="15.75" customHeight="1">
      <c r="G3281" s="36"/>
      <c r="H3281" s="36"/>
      <c r="I3281" s="36"/>
      <c r="J3281" s="39"/>
      <c r="K3281" s="39"/>
      <c r="AF3281" s="42">
        <v>3300010891</v>
      </c>
      <c r="AG3281" s="42" t="s">
        <v>6529</v>
      </c>
    </row>
    <row r="3282" spans="7:33" ht="15.75" customHeight="1">
      <c r="G3282" s="36"/>
      <c r="H3282" s="36"/>
      <c r="I3282" s="36"/>
      <c r="J3282" s="39"/>
      <c r="K3282" s="39"/>
      <c r="AF3282" s="42">
        <v>3300010892</v>
      </c>
      <c r="AG3282" s="42" t="s">
        <v>6529</v>
      </c>
    </row>
    <row r="3283" spans="7:33" ht="15.75" customHeight="1">
      <c r="G3283" s="36"/>
      <c r="H3283" s="36"/>
      <c r="I3283" s="36"/>
      <c r="J3283" s="39"/>
      <c r="K3283" s="39"/>
      <c r="AF3283" s="42">
        <v>3300010893</v>
      </c>
      <c r="AG3283" s="42" t="s">
        <v>6529</v>
      </c>
    </row>
    <row r="3284" spans="7:33" ht="15.75" customHeight="1">
      <c r="G3284" s="36"/>
      <c r="H3284" s="36"/>
      <c r="I3284" s="36"/>
      <c r="J3284" s="39"/>
      <c r="K3284" s="39"/>
      <c r="AF3284" s="42">
        <v>3300010894</v>
      </c>
      <c r="AG3284" s="42" t="s">
        <v>6529</v>
      </c>
    </row>
    <row r="3285" spans="7:33" ht="15.75" customHeight="1">
      <c r="G3285" s="36"/>
      <c r="H3285" s="36"/>
      <c r="I3285" s="36"/>
      <c r="J3285" s="39"/>
      <c r="K3285" s="39"/>
      <c r="AF3285" s="42">
        <v>3300010895</v>
      </c>
      <c r="AG3285" s="42" t="s">
        <v>6529</v>
      </c>
    </row>
    <row r="3286" spans="7:33" ht="15.75" customHeight="1">
      <c r="G3286" s="36"/>
      <c r="H3286" s="36"/>
      <c r="I3286" s="36"/>
      <c r="J3286" s="39"/>
      <c r="K3286" s="39"/>
      <c r="AF3286" s="42">
        <v>3300010897</v>
      </c>
      <c r="AG3286" s="42" t="s">
        <v>6529</v>
      </c>
    </row>
    <row r="3287" spans="7:33" ht="15.75" customHeight="1">
      <c r="G3287" s="36"/>
      <c r="H3287" s="36"/>
      <c r="I3287" s="36"/>
      <c r="J3287" s="39"/>
      <c r="K3287" s="39"/>
      <c r="AF3287" s="42">
        <v>3300010898</v>
      </c>
      <c r="AG3287" s="42" t="s">
        <v>6529</v>
      </c>
    </row>
    <row r="3288" spans="7:33" ht="15.75" customHeight="1">
      <c r="G3288" s="36"/>
      <c r="H3288" s="36"/>
      <c r="I3288" s="36"/>
      <c r="J3288" s="39"/>
      <c r="K3288" s="39"/>
      <c r="AF3288" s="42">
        <v>3300010899</v>
      </c>
      <c r="AG3288" s="42" t="s">
        <v>6529</v>
      </c>
    </row>
    <row r="3289" spans="7:33" ht="15.75" customHeight="1">
      <c r="G3289" s="36"/>
      <c r="H3289" s="36"/>
      <c r="I3289" s="36"/>
      <c r="J3289" s="39"/>
      <c r="K3289" s="39"/>
      <c r="AF3289" s="42">
        <v>3300010900</v>
      </c>
      <c r="AG3289" s="42" t="s">
        <v>6529</v>
      </c>
    </row>
    <row r="3290" spans="7:33" ht="15.75" customHeight="1">
      <c r="G3290" s="36"/>
      <c r="H3290" s="36"/>
      <c r="I3290" s="36"/>
      <c r="J3290" s="39"/>
      <c r="K3290" s="39"/>
      <c r="AF3290" s="42">
        <v>3300010905</v>
      </c>
      <c r="AG3290" s="42" t="s">
        <v>6529</v>
      </c>
    </row>
    <row r="3291" spans="7:33" ht="15.75" customHeight="1">
      <c r="G3291" s="36"/>
      <c r="H3291" s="36"/>
      <c r="I3291" s="36"/>
      <c r="J3291" s="39"/>
      <c r="K3291" s="39"/>
      <c r="AF3291" s="42">
        <v>3300010906</v>
      </c>
      <c r="AG3291" s="42" t="s">
        <v>6529</v>
      </c>
    </row>
    <row r="3292" spans="7:33" ht="15.75" customHeight="1">
      <c r="G3292" s="36"/>
      <c r="H3292" s="36"/>
      <c r="I3292" s="36"/>
      <c r="J3292" s="39"/>
      <c r="K3292" s="39"/>
      <c r="AF3292" s="42">
        <v>3300010907</v>
      </c>
      <c r="AG3292" s="42" t="s">
        <v>6529</v>
      </c>
    </row>
    <row r="3293" spans="7:33" ht="15.75" customHeight="1">
      <c r="G3293" s="36"/>
      <c r="H3293" s="36"/>
      <c r="I3293" s="36"/>
      <c r="J3293" s="39"/>
      <c r="K3293" s="39"/>
      <c r="AF3293" s="42">
        <v>3300010909</v>
      </c>
      <c r="AG3293" s="42" t="s">
        <v>6529</v>
      </c>
    </row>
    <row r="3294" spans="7:33" ht="15.75" customHeight="1">
      <c r="G3294" s="36"/>
      <c r="H3294" s="36"/>
      <c r="I3294" s="36"/>
      <c r="J3294" s="39"/>
      <c r="K3294" s="39"/>
      <c r="AF3294" s="42">
        <v>3300010910</v>
      </c>
      <c r="AG3294" s="42" t="s">
        <v>6529</v>
      </c>
    </row>
    <row r="3295" spans="7:33" ht="15.75" customHeight="1">
      <c r="G3295" s="36"/>
      <c r="H3295" s="36"/>
      <c r="I3295" s="36"/>
      <c r="J3295" s="39"/>
      <c r="K3295" s="39"/>
      <c r="AF3295" s="42">
        <v>3300010911</v>
      </c>
      <c r="AG3295" s="42" t="s">
        <v>6529</v>
      </c>
    </row>
    <row r="3296" spans="7:33" ht="15.75" customHeight="1">
      <c r="G3296" s="36"/>
      <c r="H3296" s="36"/>
      <c r="I3296" s="36"/>
      <c r="J3296" s="39"/>
      <c r="K3296" s="39"/>
      <c r="AF3296" s="42">
        <v>3300010912</v>
      </c>
      <c r="AG3296" s="42" t="s">
        <v>6529</v>
      </c>
    </row>
    <row r="3297" spans="7:33" ht="15.75" customHeight="1">
      <c r="G3297" s="36"/>
      <c r="H3297" s="36"/>
      <c r="I3297" s="36"/>
      <c r="J3297" s="39"/>
      <c r="K3297" s="39"/>
      <c r="AF3297" s="42">
        <v>3300010913</v>
      </c>
      <c r="AG3297" s="42" t="s">
        <v>6529</v>
      </c>
    </row>
    <row r="3298" spans="7:33" ht="15.75" customHeight="1">
      <c r="G3298" s="36"/>
      <c r="H3298" s="36"/>
      <c r="I3298" s="36"/>
      <c r="J3298" s="39"/>
      <c r="K3298" s="39"/>
      <c r="AF3298" s="42">
        <v>3300010914</v>
      </c>
      <c r="AG3298" s="42" t="s">
        <v>6529</v>
      </c>
    </row>
    <row r="3299" spans="7:33" ht="15.75" customHeight="1">
      <c r="G3299" s="36"/>
      <c r="H3299" s="36"/>
      <c r="I3299" s="36"/>
      <c r="J3299" s="39"/>
      <c r="K3299" s="39"/>
      <c r="AF3299" s="42">
        <v>3300010915</v>
      </c>
      <c r="AG3299" s="42" t="s">
        <v>6529</v>
      </c>
    </row>
    <row r="3300" spans="7:33" ht="15.75" customHeight="1">
      <c r="G3300" s="36"/>
      <c r="H3300" s="36"/>
      <c r="I3300" s="36"/>
      <c r="J3300" s="39"/>
      <c r="K3300" s="39"/>
      <c r="AF3300" s="42">
        <v>3300010916</v>
      </c>
      <c r="AG3300" s="42" t="s">
        <v>6529</v>
      </c>
    </row>
    <row r="3301" spans="7:33" ht="15.75" customHeight="1">
      <c r="G3301" s="36"/>
      <c r="H3301" s="36"/>
      <c r="I3301" s="36"/>
      <c r="J3301" s="39"/>
      <c r="K3301" s="39"/>
      <c r="AF3301" s="42">
        <v>3300010917</v>
      </c>
      <c r="AG3301" s="42" t="s">
        <v>6529</v>
      </c>
    </row>
    <row r="3302" spans="7:33" ht="15.75" customHeight="1">
      <c r="G3302" s="36"/>
      <c r="H3302" s="36"/>
      <c r="I3302" s="36"/>
      <c r="J3302" s="39"/>
      <c r="K3302" s="39"/>
      <c r="AF3302" s="42">
        <v>3300010920</v>
      </c>
      <c r="AG3302" s="42" t="s">
        <v>6529</v>
      </c>
    </row>
    <row r="3303" spans="7:33" ht="15.75" customHeight="1">
      <c r="G3303" s="36"/>
      <c r="H3303" s="36"/>
      <c r="I3303" s="36"/>
      <c r="J3303" s="39"/>
      <c r="K3303" s="39"/>
      <c r="AF3303" s="42">
        <v>3300010921</v>
      </c>
      <c r="AG3303" s="42" t="s">
        <v>6529</v>
      </c>
    </row>
    <row r="3304" spans="7:33" ht="15.75" customHeight="1">
      <c r="G3304" s="36"/>
      <c r="H3304" s="36"/>
      <c r="I3304" s="36"/>
      <c r="J3304" s="39"/>
      <c r="K3304" s="39"/>
      <c r="AF3304" s="42">
        <v>3300010922</v>
      </c>
      <c r="AG3304" s="42" t="s">
        <v>6529</v>
      </c>
    </row>
    <row r="3305" spans="7:33" ht="15.75" customHeight="1">
      <c r="G3305" s="36"/>
      <c r="H3305" s="36"/>
      <c r="I3305" s="36"/>
      <c r="J3305" s="39"/>
      <c r="K3305" s="39"/>
      <c r="AF3305" s="42">
        <v>3300010924</v>
      </c>
      <c r="AG3305" s="42" t="s">
        <v>6529</v>
      </c>
    </row>
    <row r="3306" spans="7:33" ht="15.75" customHeight="1">
      <c r="G3306" s="36"/>
      <c r="H3306" s="36"/>
      <c r="I3306" s="36"/>
      <c r="J3306" s="39"/>
      <c r="K3306" s="39"/>
      <c r="AF3306" s="42">
        <v>3300011186</v>
      </c>
      <c r="AG3306" s="42" t="s">
        <v>6529</v>
      </c>
    </row>
    <row r="3307" spans="7:33" ht="15.75" customHeight="1">
      <c r="G3307" s="36"/>
      <c r="H3307" s="36"/>
      <c r="I3307" s="36"/>
      <c r="J3307" s="39"/>
      <c r="K3307" s="39"/>
      <c r="AF3307" s="42">
        <v>3300011187</v>
      </c>
      <c r="AG3307" s="42" t="s">
        <v>6529</v>
      </c>
    </row>
    <row r="3308" spans="7:33" ht="15.75" customHeight="1">
      <c r="G3308" s="36"/>
      <c r="H3308" s="36"/>
      <c r="I3308" s="36"/>
      <c r="J3308" s="39"/>
      <c r="K3308" s="39"/>
      <c r="AF3308" s="42">
        <v>3300011188</v>
      </c>
      <c r="AG3308" s="42" t="s">
        <v>6529</v>
      </c>
    </row>
    <row r="3309" spans="7:33" ht="15.75" customHeight="1">
      <c r="G3309" s="36"/>
      <c r="H3309" s="36"/>
      <c r="I3309" s="36"/>
      <c r="J3309" s="39"/>
      <c r="K3309" s="39"/>
      <c r="AF3309" s="42">
        <v>3300011192</v>
      </c>
      <c r="AG3309" s="42" t="s">
        <v>6529</v>
      </c>
    </row>
    <row r="3310" spans="7:33" ht="15.75" customHeight="1">
      <c r="G3310" s="36"/>
      <c r="H3310" s="36"/>
      <c r="I3310" s="36"/>
      <c r="J3310" s="39"/>
      <c r="K3310" s="39"/>
      <c r="AF3310" s="42">
        <v>3300011193</v>
      </c>
      <c r="AG3310" s="42" t="s">
        <v>6529</v>
      </c>
    </row>
    <row r="3311" spans="7:33" ht="15.75" customHeight="1">
      <c r="G3311" s="36"/>
      <c r="H3311" s="36"/>
      <c r="I3311" s="36"/>
      <c r="J3311" s="39"/>
      <c r="K3311" s="39"/>
      <c r="AF3311" s="42">
        <v>3300011194</v>
      </c>
      <c r="AG3311" s="42" t="s">
        <v>6529</v>
      </c>
    </row>
    <row r="3312" spans="7:33" ht="15.75" customHeight="1">
      <c r="G3312" s="36"/>
      <c r="H3312" s="36"/>
      <c r="I3312" s="36"/>
      <c r="J3312" s="39"/>
      <c r="K3312" s="39"/>
      <c r="AF3312" s="42">
        <v>3300011195</v>
      </c>
      <c r="AG3312" s="42" t="s">
        <v>6529</v>
      </c>
    </row>
    <row r="3313" spans="7:33" ht="15.75" customHeight="1">
      <c r="G3313" s="36"/>
      <c r="H3313" s="36"/>
      <c r="I3313" s="36"/>
      <c r="J3313" s="39"/>
      <c r="K3313" s="39"/>
      <c r="AF3313" s="42">
        <v>3300011198</v>
      </c>
      <c r="AG3313" s="42" t="s">
        <v>6529</v>
      </c>
    </row>
    <row r="3314" spans="7:33" ht="15.75" customHeight="1">
      <c r="G3314" s="36"/>
      <c r="H3314" s="36"/>
      <c r="I3314" s="36"/>
      <c r="J3314" s="39"/>
      <c r="K3314" s="39"/>
      <c r="AF3314" s="42">
        <v>3300011484</v>
      </c>
      <c r="AG3314" s="42" t="s">
        <v>6529</v>
      </c>
    </row>
    <row r="3315" spans="7:33" ht="15.75" customHeight="1">
      <c r="G3315" s="36"/>
      <c r="H3315" s="36"/>
      <c r="I3315" s="36"/>
      <c r="J3315" s="39"/>
      <c r="K3315" s="39"/>
      <c r="AF3315" s="42">
        <v>3300011485</v>
      </c>
      <c r="AG3315" s="42" t="s">
        <v>6529</v>
      </c>
    </row>
    <row r="3316" spans="7:33" ht="15.75" customHeight="1">
      <c r="G3316" s="36"/>
      <c r="H3316" s="36"/>
      <c r="I3316" s="36"/>
      <c r="J3316" s="39"/>
      <c r="K3316" s="39"/>
      <c r="AF3316" s="42">
        <v>3300011486</v>
      </c>
      <c r="AG3316" s="42" t="s">
        <v>6529</v>
      </c>
    </row>
    <row r="3317" spans="7:33" ht="15.75" customHeight="1">
      <c r="G3317" s="36"/>
      <c r="H3317" s="36"/>
      <c r="I3317" s="36"/>
      <c r="J3317" s="39"/>
      <c r="K3317" s="39"/>
      <c r="AF3317" s="42">
        <v>3300011488</v>
      </c>
      <c r="AG3317" s="42" t="s">
        <v>6529</v>
      </c>
    </row>
    <row r="3318" spans="7:33" ht="15.75" customHeight="1">
      <c r="G3318" s="36"/>
      <c r="H3318" s="36"/>
      <c r="I3318" s="36"/>
      <c r="J3318" s="39"/>
      <c r="K3318" s="39"/>
      <c r="AF3318" s="42">
        <v>3300011489</v>
      </c>
      <c r="AG3318" s="42" t="s">
        <v>6529</v>
      </c>
    </row>
    <row r="3319" spans="7:33" ht="15.75" customHeight="1">
      <c r="G3319" s="36"/>
      <c r="H3319" s="36"/>
      <c r="I3319" s="36"/>
      <c r="J3319" s="39"/>
      <c r="K3319" s="39"/>
      <c r="AF3319" s="42">
        <v>3300011490</v>
      </c>
      <c r="AG3319" s="42" t="s">
        <v>6529</v>
      </c>
    </row>
    <row r="3320" spans="7:33" ht="15.75" customHeight="1">
      <c r="G3320" s="36"/>
      <c r="H3320" s="36"/>
      <c r="I3320" s="36"/>
      <c r="J3320" s="39"/>
      <c r="K3320" s="39"/>
      <c r="AF3320" s="42">
        <v>3300011491</v>
      </c>
      <c r="AG3320" s="42" t="s">
        <v>6529</v>
      </c>
    </row>
    <row r="3321" spans="7:33" ht="15.75" customHeight="1">
      <c r="G3321" s="36"/>
      <c r="H3321" s="36"/>
      <c r="I3321" s="36"/>
      <c r="J3321" s="39"/>
      <c r="K3321" s="39"/>
      <c r="AF3321" s="42">
        <v>3300011492</v>
      </c>
      <c r="AG3321" s="42" t="s">
        <v>6529</v>
      </c>
    </row>
    <row r="3322" spans="7:33" ht="15.75" customHeight="1">
      <c r="G3322" s="36"/>
      <c r="H3322" s="36"/>
      <c r="I3322" s="36"/>
      <c r="J3322" s="39"/>
      <c r="K3322" s="39"/>
      <c r="AF3322" s="42">
        <v>3300011493</v>
      </c>
      <c r="AG3322" s="42" t="s">
        <v>6529</v>
      </c>
    </row>
    <row r="3323" spans="7:33" ht="15.75" customHeight="1">
      <c r="G3323" s="36"/>
      <c r="H3323" s="36"/>
      <c r="I3323" s="36"/>
      <c r="J3323" s="39"/>
      <c r="K3323" s="39"/>
      <c r="AF3323" s="42">
        <v>3300011494</v>
      </c>
      <c r="AG3323" s="42" t="s">
        <v>6529</v>
      </c>
    </row>
    <row r="3324" spans="7:33" ht="15.75" customHeight="1">
      <c r="G3324" s="36"/>
      <c r="H3324" s="36"/>
      <c r="I3324" s="36"/>
      <c r="J3324" s="39"/>
      <c r="K3324" s="39"/>
      <c r="AF3324" s="42">
        <v>3300011495</v>
      </c>
      <c r="AG3324" s="42" t="s">
        <v>6529</v>
      </c>
    </row>
    <row r="3325" spans="7:33" ht="15.75" customHeight="1">
      <c r="G3325" s="36"/>
      <c r="H3325" s="36"/>
      <c r="I3325" s="36"/>
      <c r="J3325" s="39"/>
      <c r="K3325" s="39"/>
      <c r="AF3325" s="42">
        <v>3300011496</v>
      </c>
      <c r="AG3325" s="42" t="s">
        <v>6529</v>
      </c>
    </row>
    <row r="3326" spans="7:33" ht="15.75" customHeight="1">
      <c r="G3326" s="36"/>
      <c r="H3326" s="36"/>
      <c r="I3326" s="36"/>
      <c r="J3326" s="39"/>
      <c r="K3326" s="39"/>
      <c r="AF3326" s="42">
        <v>3300011501</v>
      </c>
      <c r="AG3326" s="42" t="s">
        <v>6529</v>
      </c>
    </row>
    <row r="3327" spans="7:33" ht="15.75" customHeight="1">
      <c r="G3327" s="36"/>
      <c r="H3327" s="36"/>
      <c r="I3327" s="36"/>
      <c r="J3327" s="39"/>
      <c r="K3327" s="39"/>
      <c r="AF3327" s="42">
        <v>3300011502</v>
      </c>
      <c r="AG3327" s="42" t="s">
        <v>6529</v>
      </c>
    </row>
    <row r="3328" spans="7:33" ht="15.75" customHeight="1">
      <c r="G3328" s="36"/>
      <c r="H3328" s="36"/>
      <c r="I3328" s="36"/>
      <c r="J3328" s="39"/>
      <c r="K3328" s="39"/>
      <c r="AF3328" s="42">
        <v>3300011504</v>
      </c>
      <c r="AG3328" s="42" t="s">
        <v>6529</v>
      </c>
    </row>
    <row r="3329" spans="7:33" ht="15.75" customHeight="1">
      <c r="G3329" s="36"/>
      <c r="H3329" s="36"/>
      <c r="I3329" s="36"/>
      <c r="J3329" s="39"/>
      <c r="K3329" s="39"/>
      <c r="AF3329" s="42">
        <v>3300011505</v>
      </c>
      <c r="AG3329" s="42" t="s">
        <v>6529</v>
      </c>
    </row>
    <row r="3330" spans="7:33" ht="15.75" customHeight="1">
      <c r="G3330" s="36"/>
      <c r="H3330" s="36"/>
      <c r="I3330" s="36"/>
      <c r="J3330" s="39"/>
      <c r="K3330" s="39"/>
      <c r="AF3330" s="42">
        <v>3300011506</v>
      </c>
      <c r="AG3330" s="42" t="s">
        <v>6529</v>
      </c>
    </row>
    <row r="3331" spans="7:33" ht="15.75" customHeight="1">
      <c r="G3331" s="36"/>
      <c r="H3331" s="36"/>
      <c r="I3331" s="36"/>
      <c r="J3331" s="39"/>
      <c r="K3331" s="39"/>
      <c r="AF3331" s="42">
        <v>3300011507</v>
      </c>
      <c r="AG3331" s="42" t="s">
        <v>6529</v>
      </c>
    </row>
    <row r="3332" spans="7:33" ht="15.75" customHeight="1">
      <c r="G3332" s="36"/>
      <c r="H3332" s="36"/>
      <c r="I3332" s="36"/>
      <c r="J3332" s="39"/>
      <c r="K3332" s="39"/>
      <c r="AF3332" s="42">
        <v>3300011508</v>
      </c>
      <c r="AG3332" s="42" t="s">
        <v>6529</v>
      </c>
    </row>
    <row r="3333" spans="7:33" ht="15.75" customHeight="1">
      <c r="G3333" s="36"/>
      <c r="H3333" s="36"/>
      <c r="I3333" s="36"/>
      <c r="J3333" s="39"/>
      <c r="K3333" s="39"/>
      <c r="AF3333" s="42">
        <v>3300011509</v>
      </c>
      <c r="AG3333" s="42" t="s">
        <v>6529</v>
      </c>
    </row>
    <row r="3334" spans="7:33" ht="15.75" customHeight="1">
      <c r="G3334" s="36"/>
      <c r="H3334" s="36"/>
      <c r="I3334" s="36"/>
      <c r="J3334" s="39"/>
      <c r="K3334" s="39"/>
      <c r="AF3334" s="42">
        <v>3300011511</v>
      </c>
      <c r="AG3334" s="42" t="s">
        <v>6529</v>
      </c>
    </row>
    <row r="3335" spans="7:33" ht="15.75" customHeight="1">
      <c r="G3335" s="36"/>
      <c r="H3335" s="36"/>
      <c r="I3335" s="36"/>
      <c r="J3335" s="39"/>
      <c r="K3335" s="39"/>
      <c r="AF3335" s="42">
        <v>3300011512</v>
      </c>
      <c r="AG3335" s="42" t="s">
        <v>6529</v>
      </c>
    </row>
    <row r="3336" spans="7:33" ht="15.75" customHeight="1">
      <c r="G3336" s="36"/>
      <c r="H3336" s="36"/>
      <c r="I3336" s="36"/>
      <c r="J3336" s="39"/>
      <c r="K3336" s="39"/>
      <c r="AF3336" s="42">
        <v>3300011513</v>
      </c>
      <c r="AG3336" s="42" t="s">
        <v>6529</v>
      </c>
    </row>
    <row r="3337" spans="7:33" ht="15.75" customHeight="1">
      <c r="G3337" s="36"/>
      <c r="H3337" s="36"/>
      <c r="I3337" s="36"/>
      <c r="J3337" s="39"/>
      <c r="K3337" s="39"/>
      <c r="AF3337" s="42">
        <v>3300011514</v>
      </c>
      <c r="AG3337" s="42" t="s">
        <v>6529</v>
      </c>
    </row>
    <row r="3338" spans="7:33" ht="15.75" customHeight="1">
      <c r="G3338" s="36"/>
      <c r="H3338" s="36"/>
      <c r="I3338" s="36"/>
      <c r="J3338" s="39"/>
      <c r="K3338" s="39"/>
      <c r="AF3338" s="42">
        <v>3300011520</v>
      </c>
      <c r="AG3338" s="42" t="s">
        <v>6529</v>
      </c>
    </row>
    <row r="3339" spans="7:33" ht="15.75" customHeight="1">
      <c r="G3339" s="36"/>
      <c r="H3339" s="36"/>
      <c r="I3339" s="36"/>
      <c r="J3339" s="39"/>
      <c r="K3339" s="39"/>
      <c r="AF3339" s="42">
        <v>3300011521</v>
      </c>
      <c r="AG3339" s="42" t="s">
        <v>6529</v>
      </c>
    </row>
    <row r="3340" spans="7:33" ht="15.75" customHeight="1">
      <c r="G3340" s="36"/>
      <c r="H3340" s="36"/>
      <c r="I3340" s="36"/>
      <c r="J3340" s="39"/>
      <c r="K3340" s="39"/>
      <c r="AF3340" s="42">
        <v>3300011523</v>
      </c>
      <c r="AG3340" s="42" t="s">
        <v>6529</v>
      </c>
    </row>
    <row r="3341" spans="7:33" ht="15.75" customHeight="1">
      <c r="G3341" s="36"/>
      <c r="H3341" s="36"/>
      <c r="I3341" s="36"/>
      <c r="J3341" s="39"/>
      <c r="K3341" s="39"/>
      <c r="AF3341" s="42">
        <v>3300011524</v>
      </c>
      <c r="AG3341" s="42" t="s">
        <v>6529</v>
      </c>
    </row>
    <row r="3342" spans="7:33" ht="15.75" customHeight="1">
      <c r="G3342" s="36"/>
      <c r="H3342" s="36"/>
      <c r="I3342" s="36"/>
      <c r="J3342" s="39"/>
      <c r="K3342" s="39"/>
      <c r="AF3342" s="42">
        <v>3300011760</v>
      </c>
      <c r="AG3342" s="42" t="s">
        <v>6529</v>
      </c>
    </row>
    <row r="3343" spans="7:33" ht="15.75" customHeight="1">
      <c r="G3343" s="36"/>
      <c r="H3343" s="36"/>
      <c r="I3343" s="36"/>
      <c r="J3343" s="39"/>
      <c r="K3343" s="39"/>
      <c r="AF3343" s="42">
        <v>3300011761</v>
      </c>
      <c r="AG3343" s="42" t="s">
        <v>6529</v>
      </c>
    </row>
    <row r="3344" spans="7:33" ht="15.75" customHeight="1">
      <c r="G3344" s="36"/>
      <c r="H3344" s="36"/>
      <c r="I3344" s="36"/>
      <c r="J3344" s="39"/>
      <c r="K3344" s="39"/>
      <c r="AF3344" s="42">
        <v>3300011777</v>
      </c>
      <c r="AG3344" s="42" t="s">
        <v>6529</v>
      </c>
    </row>
    <row r="3345" spans="7:33" ht="15.75" customHeight="1">
      <c r="G3345" s="36"/>
      <c r="H3345" s="36"/>
      <c r="I3345" s="36"/>
      <c r="J3345" s="39"/>
      <c r="K3345" s="39"/>
      <c r="AF3345" s="42">
        <v>3300011780</v>
      </c>
      <c r="AG3345" s="42" t="s">
        <v>6529</v>
      </c>
    </row>
    <row r="3346" spans="7:33" ht="15.75" customHeight="1">
      <c r="G3346" s="36"/>
      <c r="H3346" s="36"/>
      <c r="I3346" s="36"/>
      <c r="J3346" s="39"/>
      <c r="K3346" s="39"/>
      <c r="AF3346" s="42">
        <v>3300011785</v>
      </c>
      <c r="AG3346" s="42" t="s">
        <v>6529</v>
      </c>
    </row>
    <row r="3347" spans="7:33" ht="15.75" customHeight="1">
      <c r="G3347" s="36"/>
      <c r="H3347" s="36"/>
      <c r="I3347" s="36"/>
      <c r="J3347" s="39"/>
      <c r="K3347" s="39"/>
      <c r="AF3347" s="42">
        <v>3300011786</v>
      </c>
      <c r="AG3347" s="42" t="s">
        <v>6529</v>
      </c>
    </row>
    <row r="3348" spans="7:33" ht="15.75" customHeight="1">
      <c r="G3348" s="36"/>
      <c r="H3348" s="36"/>
      <c r="I3348" s="36"/>
      <c r="J3348" s="39"/>
      <c r="K3348" s="39"/>
      <c r="AF3348" s="42">
        <v>3300011788</v>
      </c>
      <c r="AG3348" s="42" t="s">
        <v>6529</v>
      </c>
    </row>
    <row r="3349" spans="7:33" ht="15.75" customHeight="1">
      <c r="G3349" s="36"/>
      <c r="H3349" s="36"/>
      <c r="I3349" s="36"/>
      <c r="J3349" s="39"/>
      <c r="K3349" s="39"/>
      <c r="AF3349" s="42">
        <v>3300011789</v>
      </c>
      <c r="AG3349" s="42" t="s">
        <v>6529</v>
      </c>
    </row>
    <row r="3350" spans="7:33" ht="15.75" customHeight="1">
      <c r="G3350" s="36"/>
      <c r="H3350" s="36"/>
      <c r="I3350" s="36"/>
      <c r="J3350" s="39"/>
      <c r="K3350" s="39"/>
      <c r="AF3350" s="42">
        <v>3300011790</v>
      </c>
      <c r="AG3350" s="42" t="s">
        <v>6529</v>
      </c>
    </row>
    <row r="3351" spans="7:33" ht="15.75" customHeight="1">
      <c r="G3351" s="36"/>
      <c r="H3351" s="36"/>
      <c r="I3351" s="36"/>
      <c r="J3351" s="39"/>
      <c r="K3351" s="39"/>
      <c r="AF3351" s="42">
        <v>3300011791</v>
      </c>
      <c r="AG3351" s="42" t="s">
        <v>6529</v>
      </c>
    </row>
    <row r="3352" spans="7:33" ht="15.75" customHeight="1">
      <c r="G3352" s="36"/>
      <c r="H3352" s="36"/>
      <c r="I3352" s="36"/>
      <c r="J3352" s="39"/>
      <c r="K3352" s="39"/>
      <c r="AF3352" s="42">
        <v>3300011792</v>
      </c>
      <c r="AG3352" s="42" t="s">
        <v>6529</v>
      </c>
    </row>
    <row r="3353" spans="7:33" ht="15.75" customHeight="1">
      <c r="G3353" s="36"/>
      <c r="H3353" s="36"/>
      <c r="I3353" s="36"/>
      <c r="J3353" s="39"/>
      <c r="K3353" s="39"/>
      <c r="AF3353" s="42">
        <v>3300011793</v>
      </c>
      <c r="AG3353" s="42" t="s">
        <v>6529</v>
      </c>
    </row>
    <row r="3354" spans="7:33" ht="15.75" customHeight="1">
      <c r="G3354" s="36"/>
      <c r="H3354" s="36"/>
      <c r="I3354" s="36"/>
      <c r="J3354" s="39"/>
      <c r="K3354" s="39"/>
      <c r="AF3354" s="42">
        <v>3300011797</v>
      </c>
      <c r="AG3354" s="42" t="s">
        <v>6529</v>
      </c>
    </row>
    <row r="3355" spans="7:33" ht="15.75" customHeight="1">
      <c r="G3355" s="36"/>
      <c r="H3355" s="36"/>
      <c r="I3355" s="36"/>
      <c r="J3355" s="39"/>
      <c r="K3355" s="39"/>
      <c r="AF3355" s="42">
        <v>3300011800</v>
      </c>
      <c r="AG3355" s="42" t="s">
        <v>6529</v>
      </c>
    </row>
    <row r="3356" spans="7:33" ht="15.75" customHeight="1">
      <c r="G3356" s="36"/>
      <c r="H3356" s="36"/>
      <c r="I3356" s="36"/>
      <c r="J3356" s="39"/>
      <c r="K3356" s="39"/>
      <c r="AF3356" s="42">
        <v>3300011801</v>
      </c>
      <c r="AG3356" s="42" t="s">
        <v>6529</v>
      </c>
    </row>
    <row r="3357" spans="7:33" ht="15.75" customHeight="1">
      <c r="G3357" s="36"/>
      <c r="H3357" s="36"/>
      <c r="I3357" s="36"/>
      <c r="J3357" s="39"/>
      <c r="K3357" s="39"/>
      <c r="AF3357" s="42">
        <v>3300011802</v>
      </c>
      <c r="AG3357" s="42" t="s">
        <v>6529</v>
      </c>
    </row>
    <row r="3358" spans="7:33" ht="15.75" customHeight="1">
      <c r="G3358" s="36"/>
      <c r="H3358" s="36"/>
      <c r="I3358" s="36"/>
      <c r="J3358" s="39"/>
      <c r="K3358" s="39"/>
      <c r="AF3358" s="42">
        <v>3300011803</v>
      </c>
      <c r="AG3358" s="42" t="s">
        <v>6529</v>
      </c>
    </row>
    <row r="3359" spans="7:33" ht="15.75" customHeight="1">
      <c r="G3359" s="36"/>
      <c r="H3359" s="36"/>
      <c r="I3359" s="36"/>
      <c r="J3359" s="39"/>
      <c r="K3359" s="39"/>
      <c r="AF3359" s="42">
        <v>3300011804</v>
      </c>
      <c r="AG3359" s="42" t="s">
        <v>6529</v>
      </c>
    </row>
    <row r="3360" spans="7:33" ht="15.75" customHeight="1">
      <c r="G3360" s="36"/>
      <c r="H3360" s="36"/>
      <c r="I3360" s="36"/>
      <c r="J3360" s="39"/>
      <c r="K3360" s="39"/>
      <c r="AF3360" s="42">
        <v>3300011805</v>
      </c>
      <c r="AG3360" s="42" t="s">
        <v>6529</v>
      </c>
    </row>
    <row r="3361" spans="7:33" ht="15.75" customHeight="1">
      <c r="G3361" s="36"/>
      <c r="H3361" s="36"/>
      <c r="I3361" s="36"/>
      <c r="J3361" s="39"/>
      <c r="K3361" s="39"/>
      <c r="AF3361" s="42">
        <v>3300011806</v>
      </c>
      <c r="AG3361" s="42" t="s">
        <v>6529</v>
      </c>
    </row>
    <row r="3362" spans="7:33" ht="15.75" customHeight="1">
      <c r="G3362" s="36"/>
      <c r="H3362" s="36"/>
      <c r="I3362" s="36"/>
      <c r="J3362" s="39"/>
      <c r="K3362" s="39"/>
      <c r="AF3362" s="42">
        <v>3300011812</v>
      </c>
      <c r="AG3362" s="42" t="s">
        <v>6529</v>
      </c>
    </row>
    <row r="3363" spans="7:33" ht="15.75" customHeight="1">
      <c r="G3363" s="36"/>
      <c r="H3363" s="36"/>
      <c r="I3363" s="36"/>
      <c r="J3363" s="39"/>
      <c r="K3363" s="39"/>
      <c r="AF3363" s="42">
        <v>3300011816</v>
      </c>
      <c r="AG3363" s="42" t="s">
        <v>6529</v>
      </c>
    </row>
    <row r="3364" spans="7:33" ht="15.75" customHeight="1">
      <c r="G3364" s="36"/>
      <c r="H3364" s="36"/>
      <c r="I3364" s="36"/>
      <c r="J3364" s="39"/>
      <c r="K3364" s="39"/>
      <c r="AF3364" s="42">
        <v>3300011818</v>
      </c>
      <c r="AG3364" s="42" t="s">
        <v>6529</v>
      </c>
    </row>
    <row r="3365" spans="7:33" ht="15.75" customHeight="1">
      <c r="G3365" s="36"/>
      <c r="H3365" s="36"/>
      <c r="I3365" s="36"/>
      <c r="J3365" s="39"/>
      <c r="K3365" s="39"/>
      <c r="AF3365" s="42">
        <v>3300011819</v>
      </c>
      <c r="AG3365" s="42" t="s">
        <v>6529</v>
      </c>
    </row>
    <row r="3366" spans="7:33" ht="15.75" customHeight="1">
      <c r="G3366" s="36"/>
      <c r="H3366" s="36"/>
      <c r="I3366" s="36"/>
      <c r="J3366" s="39"/>
      <c r="K3366" s="39"/>
      <c r="AF3366" s="42">
        <v>3300011820</v>
      </c>
      <c r="AG3366" s="42" t="s">
        <v>6529</v>
      </c>
    </row>
    <row r="3367" spans="7:33" ht="15.75" customHeight="1">
      <c r="G3367" s="36"/>
      <c r="H3367" s="36"/>
      <c r="I3367" s="36"/>
      <c r="J3367" s="39"/>
      <c r="K3367" s="39"/>
      <c r="AF3367" s="42">
        <v>3300011821</v>
      </c>
      <c r="AG3367" s="42" t="s">
        <v>6529</v>
      </c>
    </row>
    <row r="3368" spans="7:33" ht="15.75" customHeight="1">
      <c r="G3368" s="36"/>
      <c r="H3368" s="36"/>
      <c r="I3368" s="36"/>
      <c r="J3368" s="39"/>
      <c r="K3368" s="39"/>
      <c r="AF3368" s="42">
        <v>3300011822</v>
      </c>
      <c r="AG3368" s="42" t="s">
        <v>6529</v>
      </c>
    </row>
    <row r="3369" spans="7:33" ht="15.75" customHeight="1">
      <c r="G3369" s="36"/>
      <c r="H3369" s="36"/>
      <c r="I3369" s="36"/>
      <c r="J3369" s="39"/>
      <c r="K3369" s="39"/>
      <c r="AF3369" s="42">
        <v>3300011823</v>
      </c>
      <c r="AG3369" s="42" t="s">
        <v>6529</v>
      </c>
    </row>
    <row r="3370" spans="7:33" ht="15.75" customHeight="1">
      <c r="G3370" s="36"/>
      <c r="H3370" s="36"/>
      <c r="I3370" s="36"/>
      <c r="J3370" s="39"/>
      <c r="K3370" s="39"/>
      <c r="AF3370" s="42">
        <v>3300012247</v>
      </c>
      <c r="AG3370" s="42" t="s">
        <v>6529</v>
      </c>
    </row>
    <row r="3371" spans="7:33" ht="15.75" customHeight="1">
      <c r="G3371" s="36"/>
      <c r="H3371" s="36"/>
      <c r="I3371" s="36"/>
      <c r="J3371" s="39"/>
      <c r="K3371" s="39"/>
      <c r="AF3371" s="42">
        <v>3300012249</v>
      </c>
      <c r="AG3371" s="42" t="s">
        <v>6529</v>
      </c>
    </row>
    <row r="3372" spans="7:33" ht="15.75" customHeight="1">
      <c r="G3372" s="36"/>
      <c r="H3372" s="36"/>
      <c r="I3372" s="36"/>
      <c r="J3372" s="39"/>
      <c r="K3372" s="39"/>
      <c r="AF3372" s="42">
        <v>3300012255</v>
      </c>
      <c r="AG3372" s="42" t="s">
        <v>6529</v>
      </c>
    </row>
    <row r="3373" spans="7:33" ht="15.75" customHeight="1">
      <c r="G3373" s="36"/>
      <c r="H3373" s="36"/>
      <c r="I3373" s="36"/>
      <c r="J3373" s="39"/>
      <c r="K3373" s="39"/>
      <c r="AF3373" s="42">
        <v>3300012257</v>
      </c>
      <c r="AG3373" s="42" t="s">
        <v>6529</v>
      </c>
    </row>
    <row r="3374" spans="7:33" ht="15.75" customHeight="1">
      <c r="G3374" s="36"/>
      <c r="H3374" s="36"/>
      <c r="I3374" s="36"/>
      <c r="J3374" s="39"/>
      <c r="K3374" s="39"/>
      <c r="AF3374" s="42">
        <v>3300012259</v>
      </c>
      <c r="AG3374" s="42" t="s">
        <v>6529</v>
      </c>
    </row>
    <row r="3375" spans="7:33" ht="15.75" customHeight="1">
      <c r="G3375" s="36"/>
      <c r="H3375" s="36"/>
      <c r="I3375" s="36"/>
      <c r="J3375" s="39"/>
      <c r="K3375" s="39"/>
      <c r="AF3375" s="42">
        <v>3300012261</v>
      </c>
      <c r="AG3375" s="42" t="s">
        <v>6529</v>
      </c>
    </row>
    <row r="3376" spans="7:33" ht="15.75" customHeight="1">
      <c r="G3376" s="36"/>
      <c r="H3376" s="36"/>
      <c r="I3376" s="36"/>
      <c r="J3376" s="39"/>
      <c r="K3376" s="39"/>
      <c r="AF3376" s="42">
        <v>3300012262</v>
      </c>
      <c r="AG3376" s="42" t="s">
        <v>6529</v>
      </c>
    </row>
    <row r="3377" spans="7:33" ht="15.75" customHeight="1">
      <c r="G3377" s="36"/>
      <c r="H3377" s="36"/>
      <c r="I3377" s="36"/>
      <c r="J3377" s="39"/>
      <c r="K3377" s="39"/>
      <c r="AF3377" s="42">
        <v>3300012263</v>
      </c>
      <c r="AG3377" s="42" t="s">
        <v>6529</v>
      </c>
    </row>
    <row r="3378" spans="7:33" ht="15.75" customHeight="1">
      <c r="G3378" s="36"/>
      <c r="H3378" s="36"/>
      <c r="I3378" s="36"/>
      <c r="J3378" s="39"/>
      <c r="K3378" s="39"/>
      <c r="AF3378" s="42">
        <v>3300012264</v>
      </c>
      <c r="AG3378" s="42" t="s">
        <v>6529</v>
      </c>
    </row>
    <row r="3379" spans="7:33" ht="15.75" customHeight="1">
      <c r="G3379" s="36"/>
      <c r="H3379" s="36"/>
      <c r="I3379" s="36"/>
      <c r="J3379" s="39"/>
      <c r="K3379" s="39"/>
      <c r="AF3379" s="42">
        <v>3300012267</v>
      </c>
      <c r="AG3379" s="42" t="s">
        <v>6529</v>
      </c>
    </row>
    <row r="3380" spans="7:33" ht="15.75" customHeight="1">
      <c r="G3380" s="36"/>
      <c r="H3380" s="36"/>
      <c r="I3380" s="36"/>
      <c r="J3380" s="39"/>
      <c r="K3380" s="39"/>
      <c r="AF3380" s="42">
        <v>3300012270</v>
      </c>
      <c r="AG3380" s="42" t="s">
        <v>6529</v>
      </c>
    </row>
    <row r="3381" spans="7:33" ht="15.75" customHeight="1">
      <c r="G3381" s="36"/>
      <c r="H3381" s="36"/>
      <c r="I3381" s="36"/>
      <c r="J3381" s="39"/>
      <c r="K3381" s="39"/>
      <c r="AF3381" s="42">
        <v>3300012276</v>
      </c>
      <c r="AG3381" s="42" t="s">
        <v>6529</v>
      </c>
    </row>
    <row r="3382" spans="7:33" ht="15.75" customHeight="1">
      <c r="G3382" s="36"/>
      <c r="H3382" s="36"/>
      <c r="I3382" s="36"/>
      <c r="J3382" s="39"/>
      <c r="K3382" s="39"/>
      <c r="AF3382" s="42">
        <v>3300012284</v>
      </c>
      <c r="AG3382" s="42" t="s">
        <v>6529</v>
      </c>
    </row>
    <row r="3383" spans="7:33" ht="15.75" customHeight="1">
      <c r="G3383" s="36"/>
      <c r="H3383" s="36"/>
      <c r="I3383" s="36"/>
      <c r="J3383" s="39"/>
      <c r="K3383" s="39"/>
      <c r="AF3383" s="42">
        <v>3300012285</v>
      </c>
      <c r="AG3383" s="42" t="s">
        <v>6529</v>
      </c>
    </row>
    <row r="3384" spans="7:33" ht="15.75" customHeight="1">
      <c r="G3384" s="36"/>
      <c r="H3384" s="36"/>
      <c r="I3384" s="36"/>
      <c r="J3384" s="39"/>
      <c r="K3384" s="39"/>
      <c r="AF3384" s="42">
        <v>3300012287</v>
      </c>
      <c r="AG3384" s="42" t="s">
        <v>6529</v>
      </c>
    </row>
    <row r="3385" spans="7:33" ht="15.75" customHeight="1">
      <c r="G3385" s="36"/>
      <c r="H3385" s="36"/>
      <c r="I3385" s="36"/>
      <c r="J3385" s="39"/>
      <c r="K3385" s="39"/>
      <c r="AF3385" s="42">
        <v>3300012290</v>
      </c>
      <c r="AG3385" s="42" t="s">
        <v>6529</v>
      </c>
    </row>
    <row r="3386" spans="7:33" ht="15.75" customHeight="1">
      <c r="G3386" s="36"/>
      <c r="H3386" s="36"/>
      <c r="I3386" s="36"/>
      <c r="J3386" s="39"/>
      <c r="K3386" s="39"/>
      <c r="AF3386" s="42">
        <v>3300012291</v>
      </c>
      <c r="AG3386" s="42" t="s">
        <v>6529</v>
      </c>
    </row>
    <row r="3387" spans="7:33" ht="15.75" customHeight="1">
      <c r="G3387" s="36"/>
      <c r="H3387" s="36"/>
      <c r="I3387" s="36"/>
      <c r="J3387" s="39"/>
      <c r="K3387" s="39"/>
      <c r="AF3387" s="42">
        <v>3300012293</v>
      </c>
      <c r="AG3387" s="42" t="s">
        <v>6529</v>
      </c>
    </row>
    <row r="3388" spans="7:33" ht="15.75" customHeight="1">
      <c r="G3388" s="36"/>
      <c r="H3388" s="36"/>
      <c r="I3388" s="36"/>
      <c r="J3388" s="39"/>
      <c r="K3388" s="39"/>
      <c r="AF3388" s="42">
        <v>3300012295</v>
      </c>
      <c r="AG3388" s="42" t="s">
        <v>6529</v>
      </c>
    </row>
    <row r="3389" spans="7:33" ht="15.75" customHeight="1">
      <c r="G3389" s="36"/>
      <c r="H3389" s="36"/>
      <c r="I3389" s="36"/>
      <c r="J3389" s="39"/>
      <c r="K3389" s="39"/>
      <c r="AF3389" s="42">
        <v>3300012296</v>
      </c>
      <c r="AG3389" s="42" t="s">
        <v>6529</v>
      </c>
    </row>
    <row r="3390" spans="7:33" ht="15.75" customHeight="1">
      <c r="G3390" s="36"/>
      <c r="H3390" s="36"/>
      <c r="I3390" s="36"/>
      <c r="J3390" s="39"/>
      <c r="K3390" s="39"/>
      <c r="AF3390" s="42">
        <v>3300012297</v>
      </c>
      <c r="AG3390" s="42" t="s">
        <v>6529</v>
      </c>
    </row>
    <row r="3391" spans="7:33" ht="15.75" customHeight="1">
      <c r="G3391" s="36"/>
      <c r="H3391" s="36"/>
      <c r="I3391" s="36"/>
      <c r="J3391" s="39"/>
      <c r="K3391" s="39"/>
      <c r="AF3391" s="42">
        <v>3300012298</v>
      </c>
      <c r="AG3391" s="42" t="s">
        <v>6529</v>
      </c>
    </row>
    <row r="3392" spans="7:33" ht="15.75" customHeight="1">
      <c r="G3392" s="36"/>
      <c r="H3392" s="36"/>
      <c r="I3392" s="36"/>
      <c r="J3392" s="39"/>
      <c r="K3392" s="39"/>
      <c r="AF3392" s="42">
        <v>3300012473</v>
      </c>
      <c r="AG3392" s="42" t="s">
        <v>6529</v>
      </c>
    </row>
    <row r="3393" spans="7:33" ht="15.75" customHeight="1">
      <c r="G3393" s="36"/>
      <c r="H3393" s="36"/>
      <c r="I3393" s="36"/>
      <c r="J3393" s="39"/>
      <c r="K3393" s="39"/>
      <c r="AF3393" s="42">
        <v>3300012489</v>
      </c>
      <c r="AG3393" s="42" t="s">
        <v>6529</v>
      </c>
    </row>
    <row r="3394" spans="7:33" ht="15.75" customHeight="1">
      <c r="G3394" s="36"/>
      <c r="H3394" s="36"/>
      <c r="I3394" s="36"/>
      <c r="J3394" s="39"/>
      <c r="K3394" s="39"/>
      <c r="AF3394" s="42">
        <v>3300012490</v>
      </c>
      <c r="AG3394" s="42" t="s">
        <v>6529</v>
      </c>
    </row>
    <row r="3395" spans="7:33" ht="15.75" customHeight="1">
      <c r="G3395" s="36"/>
      <c r="H3395" s="36"/>
      <c r="I3395" s="36"/>
      <c r="J3395" s="39"/>
      <c r="K3395" s="39"/>
      <c r="AF3395" s="42">
        <v>3300012491</v>
      </c>
      <c r="AG3395" s="42" t="s">
        <v>6529</v>
      </c>
    </row>
    <row r="3396" spans="7:33" ht="15.75" customHeight="1">
      <c r="G3396" s="36"/>
      <c r="H3396" s="36"/>
      <c r="I3396" s="36"/>
      <c r="J3396" s="39"/>
      <c r="K3396" s="39"/>
      <c r="AF3396" s="42">
        <v>3300012501</v>
      </c>
      <c r="AG3396" s="42" t="s">
        <v>6529</v>
      </c>
    </row>
    <row r="3397" spans="7:33" ht="15.75" customHeight="1">
      <c r="G3397" s="36"/>
      <c r="H3397" s="36"/>
      <c r="I3397" s="36"/>
      <c r="J3397" s="39"/>
      <c r="K3397" s="39"/>
      <c r="AF3397" s="42">
        <v>3300012507</v>
      </c>
      <c r="AG3397" s="42" t="s">
        <v>6529</v>
      </c>
    </row>
    <row r="3398" spans="7:33" ht="15.75" customHeight="1">
      <c r="G3398" s="36"/>
      <c r="H3398" s="36"/>
      <c r="I3398" s="36"/>
      <c r="J3398" s="39"/>
      <c r="K3398" s="39"/>
      <c r="AF3398" s="42">
        <v>3300012510</v>
      </c>
      <c r="AG3398" s="42" t="s">
        <v>6529</v>
      </c>
    </row>
    <row r="3399" spans="7:33" ht="15.75" customHeight="1">
      <c r="G3399" s="36"/>
      <c r="H3399" s="36"/>
      <c r="I3399" s="36"/>
      <c r="J3399" s="39"/>
      <c r="K3399" s="39"/>
      <c r="AF3399" s="42">
        <v>3300012514</v>
      </c>
      <c r="AG3399" s="42" t="s">
        <v>6529</v>
      </c>
    </row>
    <row r="3400" spans="7:33" ht="15.75" customHeight="1">
      <c r="G3400" s="36"/>
      <c r="H3400" s="36"/>
      <c r="I3400" s="36"/>
      <c r="J3400" s="39"/>
      <c r="K3400" s="39"/>
      <c r="AF3400" s="42">
        <v>3300012517</v>
      </c>
      <c r="AG3400" s="42" t="s">
        <v>6529</v>
      </c>
    </row>
    <row r="3401" spans="7:33" ht="15.75" customHeight="1">
      <c r="G3401" s="36"/>
      <c r="H3401" s="36"/>
      <c r="I3401" s="36"/>
      <c r="J3401" s="39"/>
      <c r="K3401" s="39"/>
      <c r="AF3401" s="42">
        <v>3300012519</v>
      </c>
      <c r="AG3401" s="42" t="s">
        <v>6529</v>
      </c>
    </row>
    <row r="3402" spans="7:33" ht="15.75" customHeight="1">
      <c r="G3402" s="36"/>
      <c r="H3402" s="36"/>
      <c r="I3402" s="36"/>
      <c r="J3402" s="39"/>
      <c r="K3402" s="39"/>
      <c r="AF3402" s="42">
        <v>3300012520</v>
      </c>
      <c r="AG3402" s="42" t="s">
        <v>6529</v>
      </c>
    </row>
    <row r="3403" spans="7:33" ht="15.75" customHeight="1">
      <c r="G3403" s="36"/>
      <c r="H3403" s="36"/>
      <c r="I3403" s="36"/>
      <c r="J3403" s="39"/>
      <c r="K3403" s="39"/>
      <c r="AF3403" s="42">
        <v>3300012521</v>
      </c>
      <c r="AG3403" s="42" t="s">
        <v>6529</v>
      </c>
    </row>
    <row r="3404" spans="7:33" ht="15.75" customHeight="1">
      <c r="G3404" s="36"/>
      <c r="H3404" s="36"/>
      <c r="I3404" s="36"/>
      <c r="J3404" s="39"/>
      <c r="K3404" s="39"/>
      <c r="AF3404" s="42">
        <v>3300012524</v>
      </c>
      <c r="AG3404" s="42" t="s">
        <v>6529</v>
      </c>
    </row>
    <row r="3405" spans="7:33" ht="15.75" customHeight="1">
      <c r="G3405" s="36"/>
      <c r="H3405" s="36"/>
      <c r="I3405" s="36"/>
      <c r="J3405" s="39"/>
      <c r="K3405" s="39"/>
      <c r="AF3405" s="42">
        <v>3300012670</v>
      </c>
      <c r="AG3405" s="42" t="s">
        <v>6529</v>
      </c>
    </row>
    <row r="3406" spans="7:33" ht="15.75" customHeight="1">
      <c r="G3406" s="36"/>
      <c r="H3406" s="36"/>
      <c r="I3406" s="36"/>
      <c r="J3406" s="39"/>
      <c r="K3406" s="39"/>
      <c r="AF3406" s="42">
        <v>3300012671</v>
      </c>
      <c r="AG3406" s="42" t="s">
        <v>6529</v>
      </c>
    </row>
    <row r="3407" spans="7:33" ht="15.75" customHeight="1">
      <c r="G3407" s="36"/>
      <c r="H3407" s="36"/>
      <c r="I3407" s="36"/>
      <c r="J3407" s="39"/>
      <c r="K3407" s="39"/>
      <c r="AF3407" s="42">
        <v>3300012673</v>
      </c>
      <c r="AG3407" s="42" t="s">
        <v>6529</v>
      </c>
    </row>
    <row r="3408" spans="7:33" ht="15.75" customHeight="1">
      <c r="G3408" s="36"/>
      <c r="H3408" s="36"/>
      <c r="I3408" s="36"/>
      <c r="J3408" s="39"/>
      <c r="K3408" s="39"/>
      <c r="AF3408" s="42">
        <v>3300012674</v>
      </c>
      <c r="AG3408" s="42" t="s">
        <v>6529</v>
      </c>
    </row>
    <row r="3409" spans="7:33" ht="15.75" customHeight="1">
      <c r="G3409" s="36"/>
      <c r="H3409" s="36"/>
      <c r="I3409" s="36"/>
      <c r="J3409" s="39"/>
      <c r="K3409" s="39"/>
      <c r="AF3409" s="42">
        <v>3300012676</v>
      </c>
      <c r="AG3409" s="42" t="s">
        <v>6529</v>
      </c>
    </row>
    <row r="3410" spans="7:33" ht="15.75" customHeight="1">
      <c r="G3410" s="36"/>
      <c r="H3410" s="36"/>
      <c r="I3410" s="36"/>
      <c r="J3410" s="39"/>
      <c r="K3410" s="39"/>
      <c r="AF3410" s="42">
        <v>3300012677</v>
      </c>
      <c r="AG3410" s="42" t="s">
        <v>6529</v>
      </c>
    </row>
    <row r="3411" spans="7:33" ht="15.75" customHeight="1">
      <c r="G3411" s="36"/>
      <c r="H3411" s="36"/>
      <c r="I3411" s="36"/>
      <c r="J3411" s="39"/>
      <c r="K3411" s="39"/>
      <c r="AF3411" s="42">
        <v>3300012678</v>
      </c>
      <c r="AG3411" s="42" t="s">
        <v>6529</v>
      </c>
    </row>
    <row r="3412" spans="7:33" ht="15.75" customHeight="1">
      <c r="G3412" s="36"/>
      <c r="H3412" s="36"/>
      <c r="I3412" s="36"/>
      <c r="J3412" s="39"/>
      <c r="K3412" s="39"/>
      <c r="AF3412" s="42">
        <v>3300012682</v>
      </c>
      <c r="AG3412" s="42" t="s">
        <v>6529</v>
      </c>
    </row>
    <row r="3413" spans="7:33" ht="15.75" customHeight="1">
      <c r="G3413" s="36"/>
      <c r="H3413" s="36"/>
      <c r="I3413" s="36"/>
      <c r="J3413" s="39"/>
      <c r="K3413" s="39"/>
      <c r="AF3413" s="42">
        <v>3300012684</v>
      </c>
      <c r="AG3413" s="42" t="s">
        <v>6529</v>
      </c>
    </row>
    <row r="3414" spans="7:33" ht="15.75" customHeight="1">
      <c r="G3414" s="36"/>
      <c r="H3414" s="36"/>
      <c r="I3414" s="36"/>
      <c r="J3414" s="39"/>
      <c r="K3414" s="39"/>
      <c r="AF3414" s="42">
        <v>3300012685</v>
      </c>
      <c r="AG3414" s="42" t="s">
        <v>6529</v>
      </c>
    </row>
    <row r="3415" spans="7:33" ht="15.75" customHeight="1">
      <c r="G3415" s="36"/>
      <c r="H3415" s="36"/>
      <c r="I3415" s="36"/>
      <c r="J3415" s="39"/>
      <c r="K3415" s="39"/>
      <c r="AF3415" s="42">
        <v>3300012686</v>
      </c>
      <c r="AG3415" s="42" t="s">
        <v>6529</v>
      </c>
    </row>
    <row r="3416" spans="7:33" ht="15.75" customHeight="1">
      <c r="G3416" s="36"/>
      <c r="H3416" s="36"/>
      <c r="I3416" s="36"/>
      <c r="J3416" s="39"/>
      <c r="K3416" s="39"/>
      <c r="AF3416" s="42">
        <v>3300012693</v>
      </c>
      <c r="AG3416" s="42" t="s">
        <v>6529</v>
      </c>
    </row>
    <row r="3417" spans="7:33" ht="15.75" customHeight="1">
      <c r="G3417" s="36"/>
      <c r="H3417" s="36"/>
      <c r="I3417" s="36"/>
      <c r="J3417" s="39"/>
      <c r="K3417" s="39"/>
      <c r="AF3417" s="42">
        <v>3300012701</v>
      </c>
      <c r="AG3417" s="42" t="s">
        <v>6529</v>
      </c>
    </row>
    <row r="3418" spans="7:33" ht="15.75" customHeight="1">
      <c r="G3418" s="36"/>
      <c r="H3418" s="36"/>
      <c r="I3418" s="36"/>
      <c r="J3418" s="39"/>
      <c r="K3418" s="39"/>
      <c r="AF3418" s="42">
        <v>3300012702</v>
      </c>
      <c r="AG3418" s="42" t="s">
        <v>6529</v>
      </c>
    </row>
    <row r="3419" spans="7:33" ht="15.75" customHeight="1">
      <c r="G3419" s="36"/>
      <c r="H3419" s="36"/>
      <c r="I3419" s="36"/>
      <c r="J3419" s="39"/>
      <c r="K3419" s="39"/>
      <c r="AF3419" s="42">
        <v>3300012802</v>
      </c>
      <c r="AG3419" s="42" t="s">
        <v>6529</v>
      </c>
    </row>
    <row r="3420" spans="7:33" ht="15.75" customHeight="1">
      <c r="G3420" s="36"/>
      <c r="H3420" s="36"/>
      <c r="I3420" s="36"/>
      <c r="J3420" s="39"/>
      <c r="K3420" s="39"/>
      <c r="AF3420" s="42">
        <v>3300012803</v>
      </c>
      <c r="AG3420" s="42" t="s">
        <v>6529</v>
      </c>
    </row>
    <row r="3421" spans="7:33" ht="15.75" customHeight="1">
      <c r="G3421" s="36"/>
      <c r="H3421" s="36"/>
      <c r="I3421" s="36"/>
      <c r="J3421" s="39"/>
      <c r="K3421" s="39"/>
      <c r="AF3421" s="42">
        <v>3300012804</v>
      </c>
      <c r="AG3421" s="42" t="s">
        <v>6529</v>
      </c>
    </row>
    <row r="3422" spans="7:33" ht="15.75" customHeight="1">
      <c r="G3422" s="36"/>
      <c r="H3422" s="36"/>
      <c r="I3422" s="36"/>
      <c r="J3422" s="39"/>
      <c r="K3422" s="39"/>
      <c r="AF3422" s="42">
        <v>3300012805</v>
      </c>
      <c r="AG3422" s="42" t="s">
        <v>6529</v>
      </c>
    </row>
    <row r="3423" spans="7:33" ht="15.75" customHeight="1">
      <c r="G3423" s="36"/>
      <c r="H3423" s="36"/>
      <c r="I3423" s="36"/>
      <c r="J3423" s="39"/>
      <c r="K3423" s="39"/>
      <c r="AF3423" s="42">
        <v>3300012806</v>
      </c>
      <c r="AG3423" s="42" t="s">
        <v>6529</v>
      </c>
    </row>
    <row r="3424" spans="7:33" ht="15.75" customHeight="1">
      <c r="G3424" s="36"/>
      <c r="H3424" s="36"/>
      <c r="I3424" s="36"/>
      <c r="J3424" s="39"/>
      <c r="K3424" s="39"/>
      <c r="AF3424" s="42">
        <v>3300012807</v>
      </c>
      <c r="AG3424" s="42" t="s">
        <v>6529</v>
      </c>
    </row>
    <row r="3425" spans="7:33" ht="15.75" customHeight="1">
      <c r="G3425" s="36"/>
      <c r="H3425" s="36"/>
      <c r="I3425" s="36"/>
      <c r="J3425" s="39"/>
      <c r="K3425" s="39"/>
      <c r="AF3425" s="42">
        <v>3300012808</v>
      </c>
      <c r="AG3425" s="42" t="s">
        <v>6529</v>
      </c>
    </row>
    <row r="3426" spans="7:33" ht="15.75" customHeight="1">
      <c r="G3426" s="36"/>
      <c r="H3426" s="36"/>
      <c r="I3426" s="36"/>
      <c r="J3426" s="39"/>
      <c r="K3426" s="39"/>
      <c r="AF3426" s="42">
        <v>3300012810</v>
      </c>
      <c r="AG3426" s="42" t="s">
        <v>6529</v>
      </c>
    </row>
    <row r="3427" spans="7:33" ht="15.75" customHeight="1">
      <c r="G3427" s="36"/>
      <c r="H3427" s="36"/>
      <c r="I3427" s="36"/>
      <c r="J3427" s="39"/>
      <c r="K3427" s="39"/>
      <c r="AF3427" s="42">
        <v>3300012811</v>
      </c>
      <c r="AG3427" s="42" t="s">
        <v>6529</v>
      </c>
    </row>
    <row r="3428" spans="7:33" ht="15.75" customHeight="1">
      <c r="G3428" s="36"/>
      <c r="H3428" s="36"/>
      <c r="I3428" s="36"/>
      <c r="J3428" s="39"/>
      <c r="K3428" s="39"/>
      <c r="AF3428" s="42">
        <v>3300012812</v>
      </c>
      <c r="AG3428" s="42" t="s">
        <v>6529</v>
      </c>
    </row>
    <row r="3429" spans="7:33" ht="15.75" customHeight="1">
      <c r="G3429" s="36"/>
      <c r="H3429" s="36"/>
      <c r="I3429" s="36"/>
      <c r="J3429" s="39"/>
      <c r="K3429" s="39"/>
      <c r="AF3429" s="42">
        <v>3300012813</v>
      </c>
      <c r="AG3429" s="42" t="s">
        <v>6529</v>
      </c>
    </row>
    <row r="3430" spans="7:33" ht="15.75" customHeight="1">
      <c r="G3430" s="36"/>
      <c r="H3430" s="36"/>
      <c r="I3430" s="36"/>
      <c r="J3430" s="39"/>
      <c r="K3430" s="39"/>
      <c r="AF3430" s="42">
        <v>3300012814</v>
      </c>
      <c r="AG3430" s="42" t="s">
        <v>6529</v>
      </c>
    </row>
    <row r="3431" spans="7:33" ht="15.75" customHeight="1">
      <c r="G3431" s="36"/>
      <c r="H3431" s="36"/>
      <c r="I3431" s="36"/>
      <c r="J3431" s="39"/>
      <c r="K3431" s="39"/>
      <c r="AF3431" s="42">
        <v>3300012815</v>
      </c>
      <c r="AG3431" s="42" t="s">
        <v>6529</v>
      </c>
    </row>
    <row r="3432" spans="7:33" ht="15.75" customHeight="1">
      <c r="G3432" s="36"/>
      <c r="H3432" s="36"/>
      <c r="I3432" s="36"/>
      <c r="J3432" s="39"/>
      <c r="K3432" s="39"/>
      <c r="AF3432" s="42">
        <v>3300012816</v>
      </c>
      <c r="AG3432" s="42" t="s">
        <v>6529</v>
      </c>
    </row>
    <row r="3433" spans="7:33" ht="15.75" customHeight="1">
      <c r="G3433" s="36"/>
      <c r="H3433" s="36"/>
      <c r="I3433" s="36"/>
      <c r="J3433" s="39"/>
      <c r="K3433" s="39"/>
      <c r="AF3433" s="42">
        <v>3300012817</v>
      </c>
      <c r="AG3433" s="42" t="s">
        <v>6529</v>
      </c>
    </row>
    <row r="3434" spans="7:33" ht="15.75" customHeight="1">
      <c r="G3434" s="36"/>
      <c r="H3434" s="36"/>
      <c r="I3434" s="36"/>
      <c r="J3434" s="39"/>
      <c r="K3434" s="39"/>
      <c r="AF3434" s="42">
        <v>3300012818</v>
      </c>
      <c r="AG3434" s="42" t="s">
        <v>6529</v>
      </c>
    </row>
    <row r="3435" spans="7:33" ht="15.75" customHeight="1">
      <c r="G3435" s="36"/>
      <c r="H3435" s="36"/>
      <c r="I3435" s="36"/>
      <c r="J3435" s="39"/>
      <c r="K3435" s="39"/>
      <c r="AF3435" s="42">
        <v>3300012819</v>
      </c>
      <c r="AG3435" s="42" t="s">
        <v>6529</v>
      </c>
    </row>
    <row r="3436" spans="7:33" ht="15.75" customHeight="1">
      <c r="G3436" s="36"/>
      <c r="H3436" s="36"/>
      <c r="I3436" s="36"/>
      <c r="J3436" s="39"/>
      <c r="K3436" s="39"/>
      <c r="AF3436" s="42">
        <v>3300012820</v>
      </c>
      <c r="AG3436" s="42" t="s">
        <v>6529</v>
      </c>
    </row>
    <row r="3437" spans="7:33" ht="15.75" customHeight="1">
      <c r="G3437" s="36"/>
      <c r="H3437" s="36"/>
      <c r="I3437" s="36"/>
      <c r="J3437" s="39"/>
      <c r="K3437" s="39"/>
      <c r="AF3437" s="42">
        <v>3300012825</v>
      </c>
      <c r="AG3437" s="42" t="s">
        <v>6529</v>
      </c>
    </row>
    <row r="3438" spans="7:33" ht="15.75" customHeight="1">
      <c r="G3438" s="36"/>
      <c r="H3438" s="36"/>
      <c r="I3438" s="36"/>
      <c r="J3438" s="39"/>
      <c r="K3438" s="39"/>
      <c r="AF3438" s="42">
        <v>3300012826</v>
      </c>
      <c r="AG3438" s="42" t="s">
        <v>6529</v>
      </c>
    </row>
    <row r="3439" spans="7:33" ht="15.75" customHeight="1">
      <c r="G3439" s="36"/>
      <c r="H3439" s="36"/>
      <c r="I3439" s="36"/>
      <c r="J3439" s="39"/>
      <c r="K3439" s="39"/>
      <c r="AF3439" s="42">
        <v>3300012829</v>
      </c>
      <c r="AG3439" s="42" t="s">
        <v>6529</v>
      </c>
    </row>
    <row r="3440" spans="7:33" ht="15.75" customHeight="1">
      <c r="G3440" s="36"/>
      <c r="H3440" s="36"/>
      <c r="I3440" s="36"/>
      <c r="J3440" s="39"/>
      <c r="K3440" s="39"/>
      <c r="AF3440" s="42">
        <v>3300012830</v>
      </c>
      <c r="AG3440" s="42" t="s">
        <v>6529</v>
      </c>
    </row>
    <row r="3441" spans="7:33" ht="15.75" customHeight="1">
      <c r="G3441" s="36"/>
      <c r="H3441" s="36"/>
      <c r="I3441" s="36"/>
      <c r="J3441" s="39"/>
      <c r="K3441" s="39"/>
      <c r="AF3441" s="42">
        <v>3300012831</v>
      </c>
      <c r="AG3441" s="42" t="s">
        <v>6529</v>
      </c>
    </row>
    <row r="3442" spans="7:33" ht="15.75" customHeight="1">
      <c r="G3442" s="36"/>
      <c r="H3442" s="36"/>
      <c r="I3442" s="36"/>
      <c r="J3442" s="39"/>
      <c r="K3442" s="39"/>
      <c r="AF3442" s="42">
        <v>3300012832</v>
      </c>
      <c r="AG3442" s="42" t="s">
        <v>6529</v>
      </c>
    </row>
    <row r="3443" spans="7:33" ht="15.75" customHeight="1">
      <c r="G3443" s="36"/>
      <c r="H3443" s="36"/>
      <c r="I3443" s="36"/>
      <c r="J3443" s="39"/>
      <c r="K3443" s="39"/>
      <c r="AF3443" s="42">
        <v>3300012833</v>
      </c>
      <c r="AG3443" s="42" t="s">
        <v>6529</v>
      </c>
    </row>
    <row r="3444" spans="7:33" ht="15.75" customHeight="1">
      <c r="G3444" s="36"/>
      <c r="H3444" s="36"/>
      <c r="I3444" s="36"/>
      <c r="J3444" s="39"/>
      <c r="K3444" s="39"/>
      <c r="AF3444" s="42">
        <v>3300012834</v>
      </c>
      <c r="AG3444" s="42" t="s">
        <v>6529</v>
      </c>
    </row>
    <row r="3445" spans="7:33" ht="15.75" customHeight="1">
      <c r="G3445" s="36"/>
      <c r="H3445" s="36"/>
      <c r="I3445" s="36"/>
      <c r="J3445" s="39"/>
      <c r="K3445" s="39"/>
      <c r="AF3445" s="42">
        <v>3300012838</v>
      </c>
      <c r="AG3445" s="42" t="s">
        <v>6529</v>
      </c>
    </row>
    <row r="3446" spans="7:33" ht="15.75" customHeight="1">
      <c r="G3446" s="36"/>
      <c r="H3446" s="36"/>
      <c r="I3446" s="36"/>
      <c r="J3446" s="39"/>
      <c r="K3446" s="39"/>
      <c r="AF3446" s="42">
        <v>3300012839</v>
      </c>
      <c r="AG3446" s="42" t="s">
        <v>6529</v>
      </c>
    </row>
    <row r="3447" spans="7:33" ht="15.75" customHeight="1">
      <c r="G3447" s="36"/>
      <c r="H3447" s="36"/>
      <c r="I3447" s="36"/>
      <c r="J3447" s="39"/>
      <c r="K3447" s="39"/>
      <c r="AF3447" s="42">
        <v>3300012840</v>
      </c>
      <c r="AG3447" s="42" t="s">
        <v>6529</v>
      </c>
    </row>
    <row r="3448" spans="7:33" ht="15.75" customHeight="1">
      <c r="G3448" s="36"/>
      <c r="H3448" s="36"/>
      <c r="I3448" s="36"/>
      <c r="J3448" s="39"/>
      <c r="K3448" s="39"/>
      <c r="AF3448" s="42">
        <v>3300012841</v>
      </c>
      <c r="AG3448" s="42" t="s">
        <v>6529</v>
      </c>
    </row>
    <row r="3449" spans="7:33" ht="15.75" customHeight="1">
      <c r="G3449" s="36"/>
      <c r="H3449" s="36"/>
      <c r="I3449" s="36"/>
      <c r="J3449" s="39"/>
      <c r="K3449" s="39"/>
      <c r="AF3449" s="42">
        <v>3300012843</v>
      </c>
      <c r="AG3449" s="42" t="s">
        <v>6529</v>
      </c>
    </row>
    <row r="3450" spans="7:33" ht="15.75" customHeight="1">
      <c r="G3450" s="36"/>
      <c r="H3450" s="36"/>
      <c r="I3450" s="36"/>
      <c r="J3450" s="39"/>
      <c r="K3450" s="39"/>
      <c r="AF3450" s="42">
        <v>3300012846</v>
      </c>
      <c r="AG3450" s="42" t="s">
        <v>6529</v>
      </c>
    </row>
    <row r="3451" spans="7:33" ht="15.75" customHeight="1">
      <c r="G3451" s="36"/>
      <c r="H3451" s="36"/>
      <c r="I3451" s="36"/>
      <c r="J3451" s="39"/>
      <c r="K3451" s="39"/>
      <c r="AF3451" s="42">
        <v>3300012847</v>
      </c>
      <c r="AG3451" s="42" t="s">
        <v>6529</v>
      </c>
    </row>
    <row r="3452" spans="7:33" ht="15.75" customHeight="1">
      <c r="G3452" s="36"/>
      <c r="H3452" s="36"/>
      <c r="I3452" s="36"/>
      <c r="J3452" s="39"/>
      <c r="K3452" s="39"/>
      <c r="AF3452" s="42">
        <v>3300012849</v>
      </c>
      <c r="AG3452" s="42" t="s">
        <v>6529</v>
      </c>
    </row>
    <row r="3453" spans="7:33" ht="15.75" customHeight="1">
      <c r="G3453" s="36"/>
      <c r="H3453" s="36"/>
      <c r="I3453" s="36"/>
      <c r="J3453" s="39"/>
      <c r="K3453" s="39"/>
      <c r="AF3453" s="42">
        <v>3300013071</v>
      </c>
      <c r="AG3453" s="42" t="s">
        <v>6529</v>
      </c>
    </row>
    <row r="3454" spans="7:33" ht="15.75" customHeight="1">
      <c r="G3454" s="36"/>
      <c r="H3454" s="36"/>
      <c r="I3454" s="36"/>
      <c r="J3454" s="39"/>
      <c r="K3454" s="39"/>
      <c r="AF3454" s="42">
        <v>3300013074</v>
      </c>
      <c r="AG3454" s="42" t="s">
        <v>6529</v>
      </c>
    </row>
    <row r="3455" spans="7:33" ht="15.75" customHeight="1">
      <c r="G3455" s="36"/>
      <c r="H3455" s="36"/>
      <c r="I3455" s="36"/>
      <c r="J3455" s="39"/>
      <c r="K3455" s="39"/>
      <c r="AF3455" s="42">
        <v>3300013080</v>
      </c>
      <c r="AG3455" s="42" t="s">
        <v>6529</v>
      </c>
    </row>
    <row r="3456" spans="7:33" ht="15.75" customHeight="1">
      <c r="G3456" s="36"/>
      <c r="H3456" s="36"/>
      <c r="I3456" s="36"/>
      <c r="J3456" s="39"/>
      <c r="K3456" s="39"/>
      <c r="AF3456" s="42">
        <v>3300013091</v>
      </c>
      <c r="AG3456" s="42" t="s">
        <v>6529</v>
      </c>
    </row>
    <row r="3457" spans="7:33" ht="15.75" customHeight="1">
      <c r="G3457" s="36"/>
      <c r="H3457" s="36"/>
      <c r="I3457" s="36"/>
      <c r="J3457" s="39"/>
      <c r="K3457" s="39"/>
      <c r="AF3457" s="42">
        <v>3300013093</v>
      </c>
      <c r="AG3457" s="42" t="s">
        <v>6529</v>
      </c>
    </row>
    <row r="3458" spans="7:33" ht="15.75" customHeight="1">
      <c r="G3458" s="36"/>
      <c r="H3458" s="36"/>
      <c r="I3458" s="36"/>
      <c r="J3458" s="39"/>
      <c r="K3458" s="39"/>
      <c r="AF3458" s="42">
        <v>3300013099</v>
      </c>
      <c r="AG3458" s="42" t="s">
        <v>6529</v>
      </c>
    </row>
    <row r="3459" spans="7:33" ht="15.75" customHeight="1">
      <c r="G3459" s="36"/>
      <c r="H3459" s="36"/>
      <c r="I3459" s="36"/>
      <c r="J3459" s="39"/>
      <c r="K3459" s="39"/>
      <c r="AF3459" s="42">
        <v>3300013100</v>
      </c>
      <c r="AG3459" s="42" t="s">
        <v>6529</v>
      </c>
    </row>
    <row r="3460" spans="7:33" ht="15.75" customHeight="1">
      <c r="G3460" s="36"/>
      <c r="H3460" s="36"/>
      <c r="I3460" s="36"/>
      <c r="J3460" s="39"/>
      <c r="K3460" s="39"/>
      <c r="AF3460" s="42">
        <v>3300013104</v>
      </c>
      <c r="AG3460" s="42" t="s">
        <v>6529</v>
      </c>
    </row>
    <row r="3461" spans="7:33" ht="15.75" customHeight="1">
      <c r="G3461" s="36"/>
      <c r="H3461" s="36"/>
      <c r="I3461" s="36"/>
      <c r="J3461" s="39"/>
      <c r="K3461" s="39"/>
      <c r="AF3461" s="42">
        <v>3300013108</v>
      </c>
      <c r="AG3461" s="42" t="s">
        <v>6529</v>
      </c>
    </row>
    <row r="3462" spans="7:33" ht="15.75" customHeight="1">
      <c r="G3462" s="36"/>
      <c r="H3462" s="36"/>
      <c r="I3462" s="36"/>
      <c r="J3462" s="39"/>
      <c r="K3462" s="39"/>
      <c r="AF3462" s="42">
        <v>3300013109</v>
      </c>
      <c r="AG3462" s="42" t="s">
        <v>6529</v>
      </c>
    </row>
    <row r="3463" spans="7:33" ht="15.75" customHeight="1">
      <c r="G3463" s="36"/>
      <c r="H3463" s="36"/>
      <c r="I3463" s="36"/>
      <c r="J3463" s="39"/>
      <c r="K3463" s="39"/>
      <c r="AF3463" s="42">
        <v>3300013111</v>
      </c>
      <c r="AG3463" s="42" t="s">
        <v>6529</v>
      </c>
    </row>
    <row r="3464" spans="7:33" ht="15.75" customHeight="1">
      <c r="G3464" s="36"/>
      <c r="H3464" s="36"/>
      <c r="I3464" s="36"/>
      <c r="J3464" s="39"/>
      <c r="K3464" s="39"/>
      <c r="AF3464" s="42">
        <v>3300013114</v>
      </c>
      <c r="AG3464" s="42" t="s">
        <v>6529</v>
      </c>
    </row>
    <row r="3465" spans="7:33" ht="15.75" customHeight="1">
      <c r="G3465" s="36"/>
      <c r="H3465" s="36"/>
      <c r="I3465" s="36"/>
      <c r="J3465" s="39"/>
      <c r="K3465" s="39"/>
      <c r="AF3465" s="42">
        <v>3300013116</v>
      </c>
      <c r="AG3465" s="42" t="s">
        <v>6529</v>
      </c>
    </row>
    <row r="3466" spans="7:33" ht="15.75" customHeight="1">
      <c r="G3466" s="36"/>
      <c r="H3466" s="36"/>
      <c r="I3466" s="36"/>
      <c r="J3466" s="39"/>
      <c r="K3466" s="39"/>
      <c r="AF3466" s="42">
        <v>3300013117</v>
      </c>
      <c r="AG3466" s="42" t="s">
        <v>6529</v>
      </c>
    </row>
    <row r="3467" spans="7:33" ht="15.75" customHeight="1">
      <c r="G3467" s="36"/>
      <c r="H3467" s="36"/>
      <c r="I3467" s="36"/>
      <c r="J3467" s="39"/>
      <c r="K3467" s="39"/>
      <c r="AF3467" s="42">
        <v>3300015826</v>
      </c>
      <c r="AG3467" s="42" t="s">
        <v>6529</v>
      </c>
    </row>
    <row r="3468" spans="7:33" ht="15.75" customHeight="1">
      <c r="G3468" s="36"/>
      <c r="H3468" s="36"/>
      <c r="I3468" s="36"/>
      <c r="J3468" s="39"/>
      <c r="K3468" s="39"/>
      <c r="AF3468" s="42">
        <v>3300015836</v>
      </c>
      <c r="AG3468" s="42" t="s">
        <v>6529</v>
      </c>
    </row>
    <row r="3469" spans="7:33" ht="15.75" customHeight="1">
      <c r="G3469" s="36"/>
      <c r="H3469" s="36"/>
      <c r="I3469" s="36"/>
      <c r="J3469" s="39"/>
      <c r="K3469" s="39"/>
      <c r="AF3469" s="42">
        <v>3300015842</v>
      </c>
      <c r="AG3469" s="42" t="s">
        <v>6529</v>
      </c>
    </row>
    <row r="3470" spans="7:33" ht="15.75" customHeight="1">
      <c r="G3470" s="36"/>
      <c r="H3470" s="36"/>
      <c r="I3470" s="36"/>
      <c r="J3470" s="39"/>
      <c r="K3470" s="39"/>
      <c r="AF3470" s="42">
        <v>3300015844</v>
      </c>
      <c r="AG3470" s="42" t="s">
        <v>6529</v>
      </c>
    </row>
    <row r="3471" spans="7:33" ht="15.75" customHeight="1">
      <c r="G3471" s="36"/>
      <c r="H3471" s="36"/>
      <c r="I3471" s="36"/>
      <c r="J3471" s="39"/>
      <c r="K3471" s="39"/>
      <c r="AF3471" s="42">
        <v>3300015846</v>
      </c>
      <c r="AG3471" s="42" t="s">
        <v>6529</v>
      </c>
    </row>
    <row r="3472" spans="7:33" ht="15.75" customHeight="1">
      <c r="G3472" s="36"/>
      <c r="H3472" s="36"/>
      <c r="I3472" s="36"/>
      <c r="J3472" s="39"/>
      <c r="K3472" s="39"/>
      <c r="AF3472" s="42">
        <v>3300015851</v>
      </c>
      <c r="AG3472" s="42" t="s">
        <v>6529</v>
      </c>
    </row>
    <row r="3473" spans="7:33" ht="15.75" customHeight="1">
      <c r="G3473" s="36"/>
      <c r="H3473" s="36"/>
      <c r="I3473" s="36"/>
      <c r="J3473" s="39"/>
      <c r="K3473" s="39"/>
      <c r="AF3473" s="42">
        <v>3300015853</v>
      </c>
      <c r="AG3473" s="42" t="s">
        <v>6529</v>
      </c>
    </row>
    <row r="3474" spans="7:33" ht="15.75" customHeight="1">
      <c r="G3474" s="36"/>
      <c r="H3474" s="36"/>
      <c r="I3474" s="36"/>
      <c r="J3474" s="39"/>
      <c r="K3474" s="39"/>
      <c r="AF3474" s="42">
        <v>3300015856</v>
      </c>
      <c r="AG3474" s="42" t="s">
        <v>6529</v>
      </c>
    </row>
    <row r="3475" spans="7:33" ht="15.75" customHeight="1">
      <c r="G3475" s="36"/>
      <c r="H3475" s="36"/>
      <c r="I3475" s="36"/>
      <c r="J3475" s="39"/>
      <c r="K3475" s="39"/>
      <c r="AF3475" s="42">
        <v>3300015868</v>
      </c>
      <c r="AG3475" s="42" t="s">
        <v>6529</v>
      </c>
    </row>
    <row r="3476" spans="7:33" ht="15.75" customHeight="1">
      <c r="G3476" s="36"/>
      <c r="H3476" s="36"/>
      <c r="I3476" s="36"/>
      <c r="J3476" s="39"/>
      <c r="K3476" s="39"/>
      <c r="AF3476" s="42">
        <v>3300015870</v>
      </c>
      <c r="AG3476" s="42" t="s">
        <v>6529</v>
      </c>
    </row>
    <row r="3477" spans="7:33" ht="15.75" customHeight="1">
      <c r="G3477" s="36"/>
      <c r="H3477" s="36"/>
      <c r="I3477" s="36"/>
      <c r="J3477" s="39"/>
      <c r="K3477" s="39"/>
      <c r="AF3477" s="42">
        <v>3300016055</v>
      </c>
      <c r="AG3477" s="42" t="s">
        <v>6529</v>
      </c>
    </row>
    <row r="3478" spans="7:33" ht="15.75" customHeight="1">
      <c r="G3478" s="36"/>
      <c r="H3478" s="36"/>
      <c r="I3478" s="36"/>
      <c r="J3478" s="39"/>
      <c r="K3478" s="39"/>
      <c r="AF3478" s="42">
        <v>3300016059</v>
      </c>
      <c r="AG3478" s="42" t="s">
        <v>6529</v>
      </c>
    </row>
    <row r="3479" spans="7:33" ht="15.75" customHeight="1">
      <c r="G3479" s="36"/>
      <c r="H3479" s="36"/>
      <c r="I3479" s="36"/>
      <c r="J3479" s="39"/>
      <c r="K3479" s="39"/>
      <c r="AF3479" s="42">
        <v>3300016061</v>
      </c>
      <c r="AG3479" s="42" t="s">
        <v>6529</v>
      </c>
    </row>
    <row r="3480" spans="7:33" ht="15.75" customHeight="1">
      <c r="G3480" s="36"/>
      <c r="H3480" s="36"/>
      <c r="I3480" s="36"/>
      <c r="J3480" s="39"/>
      <c r="K3480" s="39"/>
      <c r="AF3480" s="42">
        <v>3300016071</v>
      </c>
      <c r="AG3480" s="42" t="s">
        <v>6529</v>
      </c>
    </row>
    <row r="3481" spans="7:33" ht="15.75" customHeight="1">
      <c r="G3481" s="36"/>
      <c r="H3481" s="36"/>
      <c r="I3481" s="36"/>
      <c r="J3481" s="39"/>
      <c r="K3481" s="39"/>
      <c r="AF3481" s="42">
        <v>3300016078</v>
      </c>
      <c r="AG3481" s="42" t="s">
        <v>6529</v>
      </c>
    </row>
    <row r="3482" spans="7:33" ht="15.75" customHeight="1">
      <c r="G3482" s="36"/>
      <c r="H3482" s="36"/>
      <c r="I3482" s="36"/>
      <c r="J3482" s="39"/>
      <c r="K3482" s="39"/>
      <c r="AF3482" s="42">
        <v>3300016079</v>
      </c>
      <c r="AG3482" s="42" t="s">
        <v>6529</v>
      </c>
    </row>
    <row r="3483" spans="7:33" ht="15.75" customHeight="1">
      <c r="G3483" s="36"/>
      <c r="H3483" s="36"/>
      <c r="I3483" s="36"/>
      <c r="J3483" s="39"/>
      <c r="K3483" s="39"/>
      <c r="AF3483" s="42">
        <v>3300016080</v>
      </c>
      <c r="AG3483" s="42" t="s">
        <v>6529</v>
      </c>
    </row>
    <row r="3484" spans="7:33" ht="15.75" customHeight="1">
      <c r="G3484" s="36"/>
      <c r="H3484" s="36"/>
      <c r="I3484" s="36"/>
      <c r="J3484" s="39"/>
      <c r="K3484" s="39"/>
      <c r="AF3484" s="42">
        <v>3300016088</v>
      </c>
      <c r="AG3484" s="42" t="s">
        <v>6529</v>
      </c>
    </row>
    <row r="3485" spans="7:33" ht="15.75" customHeight="1">
      <c r="G3485" s="36"/>
      <c r="H3485" s="36"/>
      <c r="I3485" s="36"/>
      <c r="J3485" s="39"/>
      <c r="K3485" s="39"/>
      <c r="AF3485" s="42">
        <v>3300016090</v>
      </c>
      <c r="AG3485" s="42" t="s">
        <v>6529</v>
      </c>
    </row>
    <row r="3486" spans="7:33" ht="15.75" customHeight="1">
      <c r="G3486" s="36"/>
      <c r="H3486" s="36"/>
      <c r="I3486" s="36"/>
      <c r="J3486" s="39"/>
      <c r="K3486" s="39"/>
      <c r="AF3486" s="42">
        <v>3300016092</v>
      </c>
      <c r="AG3486" s="42" t="s">
        <v>6529</v>
      </c>
    </row>
    <row r="3487" spans="7:33" ht="15.75" customHeight="1">
      <c r="G3487" s="36"/>
      <c r="H3487" s="36"/>
      <c r="I3487" s="36"/>
      <c r="J3487" s="39"/>
      <c r="K3487" s="39"/>
      <c r="AF3487" s="42">
        <v>3300016113</v>
      </c>
      <c r="AG3487" s="42" t="s">
        <v>6529</v>
      </c>
    </row>
    <row r="3488" spans="7:33" ht="15.75" customHeight="1">
      <c r="G3488" s="36"/>
      <c r="H3488" s="36"/>
      <c r="I3488" s="36"/>
      <c r="J3488" s="39"/>
      <c r="K3488" s="39"/>
      <c r="AF3488" s="42">
        <v>3300016118</v>
      </c>
      <c r="AG3488" s="42" t="s">
        <v>6529</v>
      </c>
    </row>
    <row r="3489" spans="7:33" ht="15.75" customHeight="1">
      <c r="G3489" s="36"/>
      <c r="H3489" s="36"/>
      <c r="I3489" s="36"/>
      <c r="J3489" s="39"/>
      <c r="K3489" s="39"/>
      <c r="AF3489" s="42">
        <v>3300016121</v>
      </c>
      <c r="AG3489" s="42" t="s">
        <v>6529</v>
      </c>
    </row>
    <row r="3490" spans="7:33" ht="15.75" customHeight="1">
      <c r="G3490" s="36"/>
      <c r="H3490" s="36"/>
      <c r="I3490" s="36"/>
      <c r="J3490" s="39"/>
      <c r="K3490" s="39"/>
      <c r="AF3490" s="42">
        <v>3300016134</v>
      </c>
      <c r="AG3490" s="42" t="s">
        <v>6529</v>
      </c>
    </row>
    <row r="3491" spans="7:33" ht="15.75" customHeight="1">
      <c r="G3491" s="36"/>
      <c r="H3491" s="36"/>
      <c r="I3491" s="36"/>
      <c r="J3491" s="39"/>
      <c r="K3491" s="39"/>
      <c r="AF3491" s="42">
        <v>3300016144</v>
      </c>
      <c r="AG3491" s="42" t="s">
        <v>6529</v>
      </c>
    </row>
    <row r="3492" spans="7:33" ht="15.75" customHeight="1">
      <c r="G3492" s="36"/>
      <c r="H3492" s="36"/>
      <c r="I3492" s="36"/>
      <c r="J3492" s="39"/>
      <c r="K3492" s="39"/>
      <c r="AF3492" s="42">
        <v>3300016148</v>
      </c>
      <c r="AG3492" s="42" t="s">
        <v>6529</v>
      </c>
    </row>
    <row r="3493" spans="7:33" ht="15.75" customHeight="1">
      <c r="G3493" s="36"/>
      <c r="H3493" s="36"/>
      <c r="I3493" s="36"/>
      <c r="J3493" s="39"/>
      <c r="K3493" s="39"/>
      <c r="AF3493" s="42">
        <v>3300016165</v>
      </c>
      <c r="AG3493" s="42" t="s">
        <v>6529</v>
      </c>
    </row>
    <row r="3494" spans="7:33" ht="15.75" customHeight="1">
      <c r="G3494" s="36"/>
      <c r="H3494" s="36"/>
      <c r="I3494" s="36"/>
      <c r="J3494" s="39"/>
      <c r="K3494" s="39"/>
      <c r="AF3494" s="42">
        <v>3300016203</v>
      </c>
      <c r="AG3494" s="42" t="s">
        <v>6529</v>
      </c>
    </row>
    <row r="3495" spans="7:33" ht="15.75" customHeight="1">
      <c r="G3495" s="36"/>
      <c r="H3495" s="36"/>
      <c r="I3495" s="36"/>
      <c r="J3495" s="39"/>
      <c r="K3495" s="39"/>
      <c r="AF3495" s="42">
        <v>3300016218</v>
      </c>
      <c r="AG3495" s="42" t="s">
        <v>6529</v>
      </c>
    </row>
    <row r="3496" spans="7:33" ht="15.75" customHeight="1">
      <c r="G3496" s="36"/>
      <c r="H3496" s="36"/>
      <c r="I3496" s="36"/>
      <c r="J3496" s="39"/>
      <c r="K3496" s="39"/>
      <c r="AF3496" s="42">
        <v>3300016337</v>
      </c>
      <c r="AG3496" s="42" t="s">
        <v>6529</v>
      </c>
    </row>
    <row r="3497" spans="7:33" ht="15.75" customHeight="1">
      <c r="G3497" s="36"/>
      <c r="H3497" s="36"/>
      <c r="I3497" s="36"/>
      <c r="J3497" s="39"/>
      <c r="K3497" s="39"/>
      <c r="AF3497" s="42">
        <v>3300016342</v>
      </c>
      <c r="AG3497" s="42" t="s">
        <v>6529</v>
      </c>
    </row>
    <row r="3498" spans="7:33" ht="15.75" customHeight="1">
      <c r="G3498" s="36"/>
      <c r="H3498" s="36"/>
      <c r="I3498" s="36"/>
      <c r="J3498" s="39"/>
      <c r="K3498" s="39"/>
      <c r="AF3498" s="42">
        <v>3300016367</v>
      </c>
      <c r="AG3498" s="42" t="s">
        <v>6529</v>
      </c>
    </row>
    <row r="3499" spans="7:33" ht="15.75" customHeight="1">
      <c r="G3499" s="36"/>
      <c r="H3499" s="36"/>
      <c r="I3499" s="36"/>
      <c r="J3499" s="39"/>
      <c r="K3499" s="39"/>
      <c r="AF3499" s="42">
        <v>3300016382</v>
      </c>
      <c r="AG3499" s="42" t="s">
        <v>6529</v>
      </c>
    </row>
    <row r="3500" spans="7:33" ht="15.75" customHeight="1">
      <c r="G3500" s="36"/>
      <c r="H3500" s="36"/>
      <c r="I3500" s="36"/>
      <c r="J3500" s="39"/>
      <c r="K3500" s="39"/>
      <c r="AF3500" s="42">
        <v>3300016384</v>
      </c>
      <c r="AG3500" s="42" t="s">
        <v>6529</v>
      </c>
    </row>
    <row r="3501" spans="7:33" ht="15.75" customHeight="1">
      <c r="G3501" s="36"/>
      <c r="H3501" s="36"/>
      <c r="I3501" s="36"/>
      <c r="J3501" s="39"/>
      <c r="K3501" s="39"/>
      <c r="AF3501" s="42">
        <v>3300016390</v>
      </c>
      <c r="AG3501" s="42" t="s">
        <v>6529</v>
      </c>
    </row>
    <row r="3502" spans="7:33" ht="15.75" customHeight="1">
      <c r="G3502" s="36"/>
      <c r="H3502" s="36"/>
      <c r="I3502" s="36"/>
      <c r="J3502" s="39"/>
      <c r="K3502" s="39"/>
      <c r="AF3502" s="42">
        <v>3300016391</v>
      </c>
      <c r="AG3502" s="42" t="s">
        <v>6529</v>
      </c>
    </row>
    <row r="3503" spans="7:33" ht="15.75" customHeight="1">
      <c r="G3503" s="36"/>
      <c r="H3503" s="36"/>
      <c r="I3503" s="36"/>
      <c r="J3503" s="39"/>
      <c r="K3503" s="39"/>
      <c r="AF3503" s="42">
        <v>3300016393</v>
      </c>
      <c r="AG3503" s="42" t="s">
        <v>6529</v>
      </c>
    </row>
    <row r="3504" spans="7:33" ht="15.75" customHeight="1">
      <c r="G3504" s="36"/>
      <c r="H3504" s="36"/>
      <c r="I3504" s="36"/>
      <c r="J3504" s="39"/>
      <c r="K3504" s="39"/>
      <c r="AF3504" s="42">
        <v>3300016394</v>
      </c>
      <c r="AG3504" s="42" t="s">
        <v>6529</v>
      </c>
    </row>
    <row r="3505" spans="7:33" ht="15.75" customHeight="1">
      <c r="G3505" s="36"/>
      <c r="H3505" s="36"/>
      <c r="I3505" s="36"/>
      <c r="J3505" s="39"/>
      <c r="K3505" s="39"/>
      <c r="AF3505" s="42">
        <v>3300016395</v>
      </c>
      <c r="AG3505" s="42" t="s">
        <v>6529</v>
      </c>
    </row>
    <row r="3506" spans="7:33" ht="15.75" customHeight="1">
      <c r="G3506" s="36"/>
      <c r="H3506" s="36"/>
      <c r="I3506" s="36"/>
      <c r="J3506" s="39"/>
      <c r="K3506" s="39"/>
      <c r="AF3506" s="42">
        <v>3300016404</v>
      </c>
      <c r="AG3506" s="42" t="s">
        <v>6529</v>
      </c>
    </row>
    <row r="3507" spans="7:33" ht="15.75" customHeight="1">
      <c r="G3507" s="36"/>
      <c r="H3507" s="36"/>
      <c r="I3507" s="36"/>
      <c r="J3507" s="39"/>
      <c r="K3507" s="39"/>
      <c r="AF3507" s="42">
        <v>3300016495</v>
      </c>
      <c r="AG3507" s="42" t="s">
        <v>6529</v>
      </c>
    </row>
    <row r="3508" spans="7:33" ht="15.75" customHeight="1">
      <c r="G3508" s="36"/>
      <c r="H3508" s="36"/>
      <c r="I3508" s="36"/>
      <c r="J3508" s="39"/>
      <c r="K3508" s="39"/>
      <c r="AF3508" s="42">
        <v>3300016496</v>
      </c>
      <c r="AG3508" s="42" t="s">
        <v>6529</v>
      </c>
    </row>
    <row r="3509" spans="7:33" ht="15.75" customHeight="1">
      <c r="G3509" s="36"/>
      <c r="H3509" s="36"/>
      <c r="I3509" s="36"/>
      <c r="J3509" s="39"/>
      <c r="K3509" s="39"/>
      <c r="AF3509" s="42">
        <v>3300016497</v>
      </c>
      <c r="AG3509" s="42" t="s">
        <v>6529</v>
      </c>
    </row>
    <row r="3510" spans="7:33" ht="15.75" customHeight="1">
      <c r="G3510" s="36"/>
      <c r="H3510" s="36"/>
      <c r="I3510" s="36"/>
      <c r="J3510" s="39"/>
      <c r="K3510" s="39"/>
      <c r="AF3510" s="42">
        <v>3300016498</v>
      </c>
      <c r="AG3510" s="42" t="s">
        <v>6529</v>
      </c>
    </row>
    <row r="3511" spans="7:33" ht="15.75" customHeight="1">
      <c r="G3511" s="36"/>
      <c r="H3511" s="36"/>
      <c r="I3511" s="36"/>
      <c r="J3511" s="39"/>
      <c r="K3511" s="39"/>
      <c r="AF3511" s="42">
        <v>3300016501</v>
      </c>
      <c r="AG3511" s="42" t="s">
        <v>6529</v>
      </c>
    </row>
    <row r="3512" spans="7:33" ht="15.75" customHeight="1">
      <c r="G3512" s="36"/>
      <c r="H3512" s="36"/>
      <c r="I3512" s="36"/>
      <c r="J3512" s="39"/>
      <c r="K3512" s="39"/>
      <c r="AF3512" s="42">
        <v>3300016506</v>
      </c>
      <c r="AG3512" s="42" t="s">
        <v>6529</v>
      </c>
    </row>
    <row r="3513" spans="7:33" ht="15.75" customHeight="1">
      <c r="G3513" s="36"/>
      <c r="H3513" s="36"/>
      <c r="I3513" s="36"/>
      <c r="J3513" s="39"/>
      <c r="K3513" s="39"/>
      <c r="AF3513" s="42">
        <v>3300016508</v>
      </c>
      <c r="AG3513" s="42" t="s">
        <v>6529</v>
      </c>
    </row>
    <row r="3514" spans="7:33" ht="15.75" customHeight="1">
      <c r="G3514" s="36"/>
      <c r="H3514" s="36"/>
      <c r="I3514" s="36"/>
      <c r="J3514" s="39"/>
      <c r="K3514" s="39"/>
      <c r="AF3514" s="42">
        <v>3300016509</v>
      </c>
      <c r="AG3514" s="42" t="s">
        <v>6529</v>
      </c>
    </row>
    <row r="3515" spans="7:33" ht="15.75" customHeight="1">
      <c r="G3515" s="36"/>
      <c r="H3515" s="36"/>
      <c r="I3515" s="36"/>
      <c r="J3515" s="39"/>
      <c r="K3515" s="39"/>
      <c r="AF3515" s="42">
        <v>3300016511</v>
      </c>
      <c r="AG3515" s="42" t="s">
        <v>6529</v>
      </c>
    </row>
    <row r="3516" spans="7:33" ht="15.75" customHeight="1">
      <c r="G3516" s="36"/>
      <c r="H3516" s="36"/>
      <c r="I3516" s="36"/>
      <c r="J3516" s="39"/>
      <c r="K3516" s="39"/>
      <c r="AF3516" s="42">
        <v>3300016512</v>
      </c>
      <c r="AG3516" s="42" t="s">
        <v>6529</v>
      </c>
    </row>
    <row r="3517" spans="7:33" ht="15.75" customHeight="1">
      <c r="G3517" s="36"/>
      <c r="H3517" s="36"/>
      <c r="I3517" s="36"/>
      <c r="J3517" s="39"/>
      <c r="K3517" s="39"/>
      <c r="AF3517" s="42">
        <v>3300016519</v>
      </c>
      <c r="AG3517" s="42" t="s">
        <v>6529</v>
      </c>
    </row>
    <row r="3518" spans="7:33" ht="15.75" customHeight="1">
      <c r="G3518" s="36"/>
      <c r="H3518" s="36"/>
      <c r="I3518" s="36"/>
      <c r="J3518" s="39"/>
      <c r="K3518" s="39"/>
      <c r="AF3518" s="42">
        <v>3300016523</v>
      </c>
      <c r="AG3518" s="42" t="s">
        <v>6529</v>
      </c>
    </row>
    <row r="3519" spans="7:33" ht="15.75" customHeight="1">
      <c r="G3519" s="36"/>
      <c r="H3519" s="36"/>
      <c r="I3519" s="36"/>
      <c r="J3519" s="39"/>
      <c r="K3519" s="39"/>
      <c r="AF3519" s="42">
        <v>3300016524</v>
      </c>
      <c r="AG3519" s="42" t="s">
        <v>6529</v>
      </c>
    </row>
    <row r="3520" spans="7:33" ht="15.75" customHeight="1">
      <c r="G3520" s="36"/>
      <c r="H3520" s="36"/>
      <c r="I3520" s="36"/>
      <c r="J3520" s="39"/>
      <c r="K3520" s="39"/>
      <c r="AF3520" s="42">
        <v>3400001161</v>
      </c>
      <c r="AG3520" s="42" t="s">
        <v>6675</v>
      </c>
    </row>
    <row r="3521" spans="7:33" ht="15.75" customHeight="1">
      <c r="G3521" s="36"/>
      <c r="H3521" s="36"/>
      <c r="I3521" s="36"/>
      <c r="J3521" s="39"/>
      <c r="K3521" s="39"/>
      <c r="AF3521" s="42">
        <v>3400001162</v>
      </c>
      <c r="AG3521" s="42" t="s">
        <v>6675</v>
      </c>
    </row>
    <row r="3522" spans="7:33" ht="15.75" customHeight="1">
      <c r="G3522" s="36"/>
      <c r="H3522" s="36"/>
      <c r="I3522" s="36"/>
      <c r="J3522" s="39"/>
      <c r="K3522" s="39"/>
      <c r="AF3522" s="42">
        <v>3400001163</v>
      </c>
      <c r="AG3522" s="42" t="s">
        <v>6675</v>
      </c>
    </row>
    <row r="3523" spans="7:33" ht="15.75" customHeight="1">
      <c r="G3523" s="36"/>
      <c r="H3523" s="36"/>
      <c r="I3523" s="36"/>
      <c r="J3523" s="39"/>
      <c r="K3523" s="39"/>
      <c r="AF3523" s="42">
        <v>3400001164</v>
      </c>
      <c r="AG3523" s="42" t="s">
        <v>6675</v>
      </c>
    </row>
    <row r="3524" spans="7:33" ht="15.75" customHeight="1">
      <c r="G3524" s="36"/>
      <c r="H3524" s="36"/>
      <c r="I3524" s="36"/>
      <c r="J3524" s="39"/>
      <c r="K3524" s="39"/>
      <c r="AF3524" s="42">
        <v>3400001165</v>
      </c>
      <c r="AG3524" s="42" t="s">
        <v>6675</v>
      </c>
    </row>
    <row r="3525" spans="7:33" ht="15.75" customHeight="1">
      <c r="G3525" s="36"/>
      <c r="H3525" s="36"/>
      <c r="I3525" s="36"/>
      <c r="J3525" s="39"/>
      <c r="K3525" s="39"/>
      <c r="AF3525" s="42">
        <v>3400001166</v>
      </c>
      <c r="AG3525" s="42" t="s">
        <v>6675</v>
      </c>
    </row>
    <row r="3526" spans="7:33" ht="15.75" customHeight="1">
      <c r="G3526" s="36"/>
      <c r="H3526" s="36"/>
      <c r="I3526" s="36"/>
      <c r="J3526" s="39"/>
      <c r="K3526" s="39"/>
      <c r="AF3526" s="42">
        <v>3400001167</v>
      </c>
      <c r="AG3526" s="42" t="s">
        <v>6675</v>
      </c>
    </row>
    <row r="3527" spans="7:33" ht="15.75" customHeight="1">
      <c r="G3527" s="36"/>
      <c r="H3527" s="36"/>
      <c r="I3527" s="36"/>
      <c r="J3527" s="39"/>
      <c r="K3527" s="39"/>
      <c r="AF3527" s="42">
        <v>3400001168</v>
      </c>
      <c r="AG3527" s="42" t="s">
        <v>6675</v>
      </c>
    </row>
    <row r="3528" spans="7:33" ht="15.75" customHeight="1">
      <c r="G3528" s="36"/>
      <c r="H3528" s="36"/>
      <c r="I3528" s="36"/>
      <c r="J3528" s="39"/>
      <c r="K3528" s="39"/>
      <c r="AF3528" s="42">
        <v>3400001171</v>
      </c>
      <c r="AG3528" s="42" t="s">
        <v>6675</v>
      </c>
    </row>
    <row r="3529" spans="7:33" ht="15.75" customHeight="1">
      <c r="G3529" s="36"/>
      <c r="H3529" s="36"/>
      <c r="I3529" s="36"/>
      <c r="J3529" s="39"/>
      <c r="K3529" s="39"/>
      <c r="AF3529" s="42">
        <v>3400001172</v>
      </c>
      <c r="AG3529" s="42" t="s">
        <v>6675</v>
      </c>
    </row>
    <row r="3530" spans="7:33" ht="15.75" customHeight="1">
      <c r="G3530" s="36"/>
      <c r="H3530" s="36"/>
      <c r="I3530" s="36"/>
      <c r="J3530" s="39"/>
      <c r="K3530" s="39"/>
      <c r="AF3530" s="42">
        <v>3400001173</v>
      </c>
      <c r="AG3530" s="42" t="s">
        <v>6675</v>
      </c>
    </row>
    <row r="3531" spans="7:33" ht="15.75" customHeight="1">
      <c r="G3531" s="36"/>
      <c r="H3531" s="36"/>
      <c r="I3531" s="36"/>
      <c r="J3531" s="39"/>
      <c r="K3531" s="39"/>
      <c r="AF3531" s="42">
        <v>3400001175</v>
      </c>
      <c r="AG3531" s="42" t="s">
        <v>6675</v>
      </c>
    </row>
    <row r="3532" spans="7:33" ht="15.75" customHeight="1">
      <c r="G3532" s="36"/>
      <c r="H3532" s="36"/>
      <c r="I3532" s="36"/>
      <c r="J3532" s="39"/>
      <c r="K3532" s="39"/>
      <c r="AF3532" s="42">
        <v>3400002030</v>
      </c>
      <c r="AG3532" s="42" t="s">
        <v>6675</v>
      </c>
    </row>
    <row r="3533" spans="7:33" ht="15.75" customHeight="1">
      <c r="G3533" s="36"/>
      <c r="H3533" s="36"/>
      <c r="I3533" s="36"/>
      <c r="J3533" s="39"/>
      <c r="K3533" s="39"/>
      <c r="AF3533" s="42">
        <v>3400002031</v>
      </c>
      <c r="AG3533" s="42" t="s">
        <v>6675</v>
      </c>
    </row>
    <row r="3534" spans="7:33" ht="15.75" customHeight="1">
      <c r="G3534" s="36"/>
      <c r="H3534" s="36"/>
      <c r="I3534" s="36"/>
      <c r="J3534" s="39"/>
      <c r="K3534" s="39"/>
      <c r="AF3534" s="42">
        <v>3400002454</v>
      </c>
      <c r="AG3534" s="42" t="s">
        <v>6675</v>
      </c>
    </row>
    <row r="3535" spans="7:33" ht="15.75" customHeight="1">
      <c r="G3535" s="36"/>
      <c r="H3535" s="36"/>
      <c r="I3535" s="36"/>
      <c r="J3535" s="39"/>
      <c r="K3535" s="39"/>
      <c r="AF3535" s="42">
        <v>3400002455</v>
      </c>
      <c r="AG3535" s="42" t="s">
        <v>6675</v>
      </c>
    </row>
    <row r="3536" spans="7:33" ht="15.75" customHeight="1">
      <c r="G3536" s="36"/>
      <c r="H3536" s="36"/>
      <c r="I3536" s="36"/>
      <c r="J3536" s="39"/>
      <c r="K3536" s="39"/>
      <c r="AF3536" s="42">
        <v>3400002957</v>
      </c>
      <c r="AG3536" s="42" t="s">
        <v>6675</v>
      </c>
    </row>
    <row r="3537" spans="7:33" ht="15.75" customHeight="1">
      <c r="G3537" s="36"/>
      <c r="H3537" s="36"/>
      <c r="I3537" s="36"/>
      <c r="J3537" s="39"/>
      <c r="K3537" s="39"/>
      <c r="AF3537" s="42">
        <v>3400002959</v>
      </c>
      <c r="AG3537" s="42" t="s">
        <v>6675</v>
      </c>
    </row>
    <row r="3538" spans="7:33" ht="15.75" customHeight="1">
      <c r="G3538" s="36"/>
      <c r="H3538" s="36"/>
      <c r="I3538" s="36"/>
      <c r="J3538" s="39"/>
      <c r="K3538" s="39"/>
      <c r="AF3538" s="42">
        <v>3400002961</v>
      </c>
      <c r="AG3538" s="42" t="s">
        <v>6675</v>
      </c>
    </row>
    <row r="3539" spans="7:33" ht="15.75" customHeight="1">
      <c r="G3539" s="36"/>
      <c r="H3539" s="36"/>
      <c r="I3539" s="36"/>
      <c r="J3539" s="39"/>
      <c r="K3539" s="39"/>
      <c r="AF3539" s="42">
        <v>3400002963</v>
      </c>
      <c r="AG3539" s="42" t="s">
        <v>6675</v>
      </c>
    </row>
    <row r="3540" spans="7:33" ht="15.75" customHeight="1">
      <c r="G3540" s="36"/>
      <c r="H3540" s="36"/>
      <c r="I3540" s="36"/>
      <c r="J3540" s="39"/>
      <c r="K3540" s="39"/>
      <c r="AF3540" s="42">
        <v>3400002965</v>
      </c>
      <c r="AG3540" s="42" t="s">
        <v>6675</v>
      </c>
    </row>
    <row r="3541" spans="7:33" ht="15.75" customHeight="1">
      <c r="G3541" s="36"/>
      <c r="H3541" s="36"/>
      <c r="I3541" s="36"/>
      <c r="J3541" s="39"/>
      <c r="K3541" s="39"/>
      <c r="AF3541" s="42">
        <v>3400002967</v>
      </c>
      <c r="AG3541" s="42" t="s">
        <v>6675</v>
      </c>
    </row>
    <row r="3542" spans="7:33" ht="15.75" customHeight="1">
      <c r="G3542" s="36"/>
      <c r="H3542" s="36"/>
      <c r="I3542" s="36"/>
      <c r="J3542" s="39"/>
      <c r="K3542" s="39"/>
      <c r="AF3542" s="42">
        <v>3400002968</v>
      </c>
      <c r="AG3542" s="42" t="s">
        <v>6675</v>
      </c>
    </row>
    <row r="3543" spans="7:33" ht="15.75" customHeight="1">
      <c r="G3543" s="36"/>
      <c r="H3543" s="36"/>
      <c r="I3543" s="36"/>
      <c r="J3543" s="39"/>
      <c r="K3543" s="39"/>
      <c r="AF3543" s="42">
        <v>3400002974</v>
      </c>
      <c r="AG3543" s="42" t="s">
        <v>6675</v>
      </c>
    </row>
    <row r="3544" spans="7:33" ht="15.75" customHeight="1">
      <c r="G3544" s="36"/>
      <c r="H3544" s="36"/>
      <c r="I3544" s="36"/>
      <c r="J3544" s="39"/>
      <c r="K3544" s="39"/>
      <c r="AF3544" s="42">
        <v>3400002976</v>
      </c>
      <c r="AG3544" s="42" t="s">
        <v>6675</v>
      </c>
    </row>
    <row r="3545" spans="7:33" ht="15.75" customHeight="1">
      <c r="G3545" s="36"/>
      <c r="H3545" s="36"/>
      <c r="I3545" s="36"/>
      <c r="J3545" s="39"/>
      <c r="K3545" s="39"/>
      <c r="AF3545" s="42">
        <v>3400002983</v>
      </c>
      <c r="AG3545" s="42" t="s">
        <v>6675</v>
      </c>
    </row>
    <row r="3546" spans="7:33" ht="15.75" customHeight="1">
      <c r="G3546" s="36"/>
      <c r="H3546" s="36"/>
      <c r="I3546" s="36"/>
      <c r="J3546" s="39"/>
      <c r="K3546" s="39"/>
      <c r="AF3546" s="42">
        <v>3400003010</v>
      </c>
      <c r="AG3546" s="42" t="s">
        <v>6675</v>
      </c>
    </row>
    <row r="3547" spans="7:33" ht="15.75" customHeight="1">
      <c r="G3547" s="36"/>
      <c r="H3547" s="36"/>
      <c r="I3547" s="36"/>
      <c r="J3547" s="39"/>
      <c r="K3547" s="39"/>
      <c r="AF3547" s="42">
        <v>3400003012</v>
      </c>
      <c r="AG3547" s="42" t="s">
        <v>6675</v>
      </c>
    </row>
    <row r="3548" spans="7:33" ht="15.75" customHeight="1">
      <c r="G3548" s="36"/>
      <c r="H3548" s="36"/>
      <c r="I3548" s="36"/>
      <c r="J3548" s="39"/>
      <c r="K3548" s="39"/>
      <c r="AF3548" s="42">
        <v>3400003013</v>
      </c>
      <c r="AG3548" s="42" t="s">
        <v>6675</v>
      </c>
    </row>
    <row r="3549" spans="7:33" ht="15.75" customHeight="1">
      <c r="G3549" s="36"/>
      <c r="H3549" s="36"/>
      <c r="I3549" s="36"/>
      <c r="J3549" s="39"/>
      <c r="K3549" s="39"/>
      <c r="AF3549" s="42">
        <v>3400003018</v>
      </c>
      <c r="AG3549" s="42" t="s">
        <v>6675</v>
      </c>
    </row>
    <row r="3550" spans="7:33" ht="15.75" customHeight="1">
      <c r="G3550" s="36"/>
      <c r="H3550" s="36"/>
      <c r="I3550" s="36"/>
      <c r="J3550" s="39"/>
      <c r="K3550" s="39"/>
      <c r="AF3550" s="42">
        <v>3400003019</v>
      </c>
      <c r="AG3550" s="42" t="s">
        <v>6675</v>
      </c>
    </row>
    <row r="3551" spans="7:33" ht="15.75" customHeight="1">
      <c r="G3551" s="36"/>
      <c r="H3551" s="36"/>
      <c r="I3551" s="36"/>
      <c r="J3551" s="39"/>
      <c r="K3551" s="39"/>
      <c r="AF3551" s="42">
        <v>3400003020</v>
      </c>
      <c r="AG3551" s="42" t="s">
        <v>6675</v>
      </c>
    </row>
    <row r="3552" spans="7:33" ht="15.75" customHeight="1">
      <c r="G3552" s="36"/>
      <c r="H3552" s="36"/>
      <c r="I3552" s="36"/>
      <c r="J3552" s="39"/>
      <c r="K3552" s="39"/>
      <c r="AF3552" s="42">
        <v>3400003024</v>
      </c>
      <c r="AG3552" s="42" t="s">
        <v>6675</v>
      </c>
    </row>
    <row r="3553" spans="7:33" ht="15.75" customHeight="1">
      <c r="G3553" s="36"/>
      <c r="H3553" s="36"/>
      <c r="I3553" s="36"/>
      <c r="J3553" s="39"/>
      <c r="K3553" s="39"/>
      <c r="AF3553" s="42">
        <v>3400003025</v>
      </c>
      <c r="AG3553" s="42" t="s">
        <v>6675</v>
      </c>
    </row>
    <row r="3554" spans="7:33" ht="15.75" customHeight="1">
      <c r="G3554" s="36"/>
      <c r="H3554" s="36"/>
      <c r="I3554" s="36"/>
      <c r="J3554" s="39"/>
      <c r="K3554" s="39"/>
      <c r="AF3554" s="42">
        <v>3400003031</v>
      </c>
      <c r="AG3554" s="42" t="s">
        <v>6675</v>
      </c>
    </row>
    <row r="3555" spans="7:33" ht="15.75" customHeight="1">
      <c r="G3555" s="36"/>
      <c r="H3555" s="36"/>
      <c r="I3555" s="36"/>
      <c r="J3555" s="39"/>
      <c r="K3555" s="39"/>
      <c r="AF3555" s="42">
        <v>3400003032</v>
      </c>
      <c r="AG3555" s="42" t="s">
        <v>6675</v>
      </c>
    </row>
    <row r="3556" spans="7:33" ht="15.75" customHeight="1">
      <c r="G3556" s="36"/>
      <c r="H3556" s="36"/>
      <c r="I3556" s="36"/>
      <c r="J3556" s="39"/>
      <c r="K3556" s="39"/>
      <c r="AF3556" s="42">
        <v>3400003035</v>
      </c>
      <c r="AG3556" s="42" t="s">
        <v>6675</v>
      </c>
    </row>
    <row r="3557" spans="7:33" ht="15.75" customHeight="1">
      <c r="G3557" s="36"/>
      <c r="H3557" s="36"/>
      <c r="I3557" s="36"/>
      <c r="J3557" s="39"/>
      <c r="K3557" s="39"/>
      <c r="AF3557" s="42">
        <v>3400003040</v>
      </c>
      <c r="AG3557" s="42" t="s">
        <v>6675</v>
      </c>
    </row>
    <row r="3558" spans="7:33" ht="15.75" customHeight="1">
      <c r="G3558" s="36"/>
      <c r="H3558" s="36"/>
      <c r="I3558" s="36"/>
      <c r="J3558" s="39"/>
      <c r="K3558" s="39"/>
      <c r="AF3558" s="42">
        <v>3400003044</v>
      </c>
      <c r="AG3558" s="42" t="s">
        <v>6675</v>
      </c>
    </row>
    <row r="3559" spans="7:33" ht="15.75" customHeight="1">
      <c r="G3559" s="36"/>
      <c r="H3559" s="36"/>
      <c r="I3559" s="36"/>
      <c r="J3559" s="39"/>
      <c r="K3559" s="39"/>
      <c r="AF3559" s="42">
        <v>3400003045</v>
      </c>
      <c r="AG3559" s="42" t="s">
        <v>6675</v>
      </c>
    </row>
    <row r="3560" spans="7:33" ht="15.75" customHeight="1">
      <c r="G3560" s="36"/>
      <c r="H3560" s="36"/>
      <c r="I3560" s="36"/>
      <c r="J3560" s="39"/>
      <c r="K3560" s="39"/>
      <c r="AF3560" s="42">
        <v>3400003051</v>
      </c>
      <c r="AG3560" s="42" t="s">
        <v>6675</v>
      </c>
    </row>
    <row r="3561" spans="7:33" ht="15.75" customHeight="1">
      <c r="G3561" s="36"/>
      <c r="H3561" s="36"/>
      <c r="I3561" s="36"/>
      <c r="J3561" s="39"/>
      <c r="K3561" s="39"/>
      <c r="AF3561" s="42">
        <v>3400003719</v>
      </c>
      <c r="AG3561" s="42" t="s">
        <v>6675</v>
      </c>
    </row>
    <row r="3562" spans="7:33" ht="15.75" customHeight="1">
      <c r="G3562" s="36"/>
      <c r="H3562" s="36"/>
      <c r="I3562" s="36"/>
      <c r="J3562" s="39"/>
      <c r="K3562" s="39"/>
      <c r="AF3562" s="42">
        <v>3400003726</v>
      </c>
      <c r="AG3562" s="42" t="s">
        <v>6675</v>
      </c>
    </row>
    <row r="3563" spans="7:33" ht="15.75" customHeight="1">
      <c r="G3563" s="36"/>
      <c r="H3563" s="36"/>
      <c r="I3563" s="36"/>
      <c r="J3563" s="39"/>
      <c r="K3563" s="39"/>
      <c r="AF3563" s="42">
        <v>3400003759</v>
      </c>
      <c r="AG3563" s="42" t="s">
        <v>6675</v>
      </c>
    </row>
    <row r="3564" spans="7:33" ht="15.75" customHeight="1">
      <c r="G3564" s="36"/>
      <c r="H3564" s="36"/>
      <c r="I3564" s="36"/>
      <c r="J3564" s="39"/>
      <c r="K3564" s="39"/>
      <c r="AF3564" s="42">
        <v>3400003761</v>
      </c>
      <c r="AG3564" s="42" t="s">
        <v>6675</v>
      </c>
    </row>
    <row r="3565" spans="7:33" ht="15.75" customHeight="1">
      <c r="G3565" s="36"/>
      <c r="H3565" s="36"/>
      <c r="I3565" s="36"/>
      <c r="J3565" s="39"/>
      <c r="K3565" s="39"/>
      <c r="AF3565" s="42">
        <v>3400003762</v>
      </c>
      <c r="AG3565" s="42" t="s">
        <v>6675</v>
      </c>
    </row>
    <row r="3566" spans="7:33" ht="15.75" customHeight="1">
      <c r="G3566" s="36"/>
      <c r="H3566" s="36"/>
      <c r="I3566" s="36"/>
      <c r="J3566" s="39"/>
      <c r="K3566" s="39"/>
      <c r="AF3566" s="42">
        <v>3400003764</v>
      </c>
      <c r="AG3566" s="42" t="s">
        <v>6675</v>
      </c>
    </row>
    <row r="3567" spans="7:33" ht="15.75" customHeight="1">
      <c r="G3567" s="36"/>
      <c r="H3567" s="36"/>
      <c r="I3567" s="36"/>
      <c r="J3567" s="39"/>
      <c r="K3567" s="39"/>
      <c r="AF3567" s="42">
        <v>3400003767</v>
      </c>
      <c r="AG3567" s="42" t="s">
        <v>6675</v>
      </c>
    </row>
    <row r="3568" spans="7:33" ht="15.75" customHeight="1">
      <c r="G3568" s="36"/>
      <c r="H3568" s="36"/>
      <c r="I3568" s="36"/>
      <c r="J3568" s="39"/>
      <c r="K3568" s="39"/>
      <c r="AF3568" s="42">
        <v>3400003768</v>
      </c>
      <c r="AG3568" s="42" t="s">
        <v>6675</v>
      </c>
    </row>
    <row r="3569" spans="7:33" ht="15.75" customHeight="1">
      <c r="G3569" s="36"/>
      <c r="H3569" s="36"/>
      <c r="I3569" s="36"/>
      <c r="J3569" s="39"/>
      <c r="K3569" s="39"/>
      <c r="AF3569" s="42">
        <v>3400003769</v>
      </c>
      <c r="AG3569" s="42" t="s">
        <v>6675</v>
      </c>
    </row>
    <row r="3570" spans="7:33" ht="15.75" customHeight="1">
      <c r="G3570" s="36"/>
      <c r="H3570" s="36"/>
      <c r="I3570" s="36"/>
      <c r="J3570" s="39"/>
      <c r="K3570" s="39"/>
      <c r="AF3570" s="42">
        <v>3400003773</v>
      </c>
      <c r="AG3570" s="42" t="s">
        <v>6675</v>
      </c>
    </row>
    <row r="3571" spans="7:33" ht="15.75" customHeight="1">
      <c r="G3571" s="36"/>
      <c r="H3571" s="36"/>
      <c r="I3571" s="36"/>
      <c r="J3571" s="39"/>
      <c r="K3571" s="39"/>
      <c r="AF3571" s="42">
        <v>3400003776</v>
      </c>
      <c r="AG3571" s="42" t="s">
        <v>6675</v>
      </c>
    </row>
    <row r="3572" spans="7:33" ht="15.75" customHeight="1">
      <c r="G3572" s="36"/>
      <c r="H3572" s="36"/>
      <c r="I3572" s="36"/>
      <c r="J3572" s="39"/>
      <c r="K3572" s="39"/>
      <c r="AF3572" s="42">
        <v>3400003777</v>
      </c>
      <c r="AG3572" s="42" t="s">
        <v>6675</v>
      </c>
    </row>
    <row r="3573" spans="7:33" ht="15.75" customHeight="1">
      <c r="G3573" s="36"/>
      <c r="H3573" s="36"/>
      <c r="I3573" s="36"/>
      <c r="J3573" s="39"/>
      <c r="K3573" s="39"/>
      <c r="AF3573" s="42">
        <v>3400003779</v>
      </c>
      <c r="AG3573" s="42" t="s">
        <v>6675</v>
      </c>
    </row>
    <row r="3574" spans="7:33" ht="15.75" customHeight="1">
      <c r="G3574" s="36"/>
      <c r="H3574" s="36"/>
      <c r="I3574" s="36"/>
      <c r="J3574" s="39"/>
      <c r="K3574" s="39"/>
      <c r="AF3574" s="42">
        <v>3400003781</v>
      </c>
      <c r="AG3574" s="42" t="s">
        <v>6675</v>
      </c>
    </row>
    <row r="3575" spans="7:33" ht="15.75" customHeight="1">
      <c r="G3575" s="36"/>
      <c r="H3575" s="36"/>
      <c r="I3575" s="36"/>
      <c r="J3575" s="39"/>
      <c r="K3575" s="39"/>
      <c r="AF3575" s="42">
        <v>3400003786</v>
      </c>
      <c r="AG3575" s="42" t="s">
        <v>6675</v>
      </c>
    </row>
    <row r="3576" spans="7:33" ht="15.75" customHeight="1">
      <c r="G3576" s="36"/>
      <c r="H3576" s="36"/>
      <c r="I3576" s="36"/>
      <c r="J3576" s="39"/>
      <c r="K3576" s="39"/>
      <c r="AF3576" s="42">
        <v>3400003787</v>
      </c>
      <c r="AG3576" s="42" t="s">
        <v>6675</v>
      </c>
    </row>
    <row r="3577" spans="7:33" ht="15.75" customHeight="1">
      <c r="G3577" s="36"/>
      <c r="H3577" s="36"/>
      <c r="I3577" s="36"/>
      <c r="J3577" s="39"/>
      <c r="K3577" s="39"/>
      <c r="AF3577" s="42">
        <v>3400003790</v>
      </c>
      <c r="AG3577" s="42" t="s">
        <v>6675</v>
      </c>
    </row>
    <row r="3578" spans="7:33" ht="15.75" customHeight="1">
      <c r="G3578" s="36"/>
      <c r="H3578" s="36"/>
      <c r="I3578" s="36"/>
      <c r="J3578" s="39"/>
      <c r="K3578" s="39"/>
      <c r="AF3578" s="42">
        <v>3400003791</v>
      </c>
      <c r="AG3578" s="42" t="s">
        <v>6675</v>
      </c>
    </row>
    <row r="3579" spans="7:33" ht="15.75" customHeight="1">
      <c r="G3579" s="36"/>
      <c r="H3579" s="36"/>
      <c r="I3579" s="36"/>
      <c r="J3579" s="39"/>
      <c r="K3579" s="39"/>
      <c r="AF3579" s="42">
        <v>3400003794</v>
      </c>
      <c r="AG3579" s="42" t="s">
        <v>6675</v>
      </c>
    </row>
    <row r="3580" spans="7:33" ht="15.75" customHeight="1">
      <c r="G3580" s="36"/>
      <c r="H3580" s="36"/>
      <c r="I3580" s="36"/>
      <c r="J3580" s="39"/>
      <c r="K3580" s="39"/>
      <c r="AF3580" s="42">
        <v>3400003798</v>
      </c>
      <c r="AG3580" s="42" t="s">
        <v>6675</v>
      </c>
    </row>
    <row r="3581" spans="7:33" ht="15.75" customHeight="1">
      <c r="G3581" s="36"/>
      <c r="H3581" s="36"/>
      <c r="I3581" s="36"/>
      <c r="J3581" s="39"/>
      <c r="K3581" s="39"/>
      <c r="AF3581" s="42">
        <v>3400003800</v>
      </c>
      <c r="AG3581" s="42" t="s">
        <v>6675</v>
      </c>
    </row>
    <row r="3582" spans="7:33" ht="15.75" customHeight="1">
      <c r="G3582" s="36"/>
      <c r="H3582" s="36"/>
      <c r="I3582" s="36"/>
      <c r="J3582" s="39"/>
      <c r="K3582" s="39"/>
      <c r="AF3582" s="42">
        <v>3400003803</v>
      </c>
      <c r="AG3582" s="42" t="s">
        <v>6675</v>
      </c>
    </row>
    <row r="3583" spans="7:33" ht="15.75" customHeight="1">
      <c r="G3583" s="36"/>
      <c r="H3583" s="36"/>
      <c r="I3583" s="36"/>
      <c r="J3583" s="39"/>
      <c r="K3583" s="39"/>
      <c r="AF3583" s="42">
        <v>3400003810</v>
      </c>
      <c r="AG3583" s="42" t="s">
        <v>6675</v>
      </c>
    </row>
    <row r="3584" spans="7:33" ht="15.75" customHeight="1">
      <c r="G3584" s="36"/>
      <c r="H3584" s="36"/>
      <c r="I3584" s="36"/>
      <c r="J3584" s="39"/>
      <c r="K3584" s="39"/>
      <c r="AF3584" s="42">
        <v>3400003836</v>
      </c>
      <c r="AG3584" s="42" t="s">
        <v>6675</v>
      </c>
    </row>
    <row r="3585" spans="7:33" ht="15.75" customHeight="1">
      <c r="G3585" s="36"/>
      <c r="H3585" s="36"/>
      <c r="I3585" s="36"/>
      <c r="J3585" s="39"/>
      <c r="K3585" s="39"/>
      <c r="AF3585" s="42">
        <v>3400003841</v>
      </c>
      <c r="AG3585" s="42" t="s">
        <v>6675</v>
      </c>
    </row>
    <row r="3586" spans="7:33" ht="15.75" customHeight="1">
      <c r="G3586" s="36"/>
      <c r="H3586" s="36"/>
      <c r="I3586" s="36"/>
      <c r="J3586" s="39"/>
      <c r="K3586" s="39"/>
      <c r="AF3586" s="42">
        <v>3400003843</v>
      </c>
      <c r="AG3586" s="42" t="s">
        <v>6675</v>
      </c>
    </row>
    <row r="3587" spans="7:33" ht="15.75" customHeight="1">
      <c r="G3587" s="36"/>
      <c r="H3587" s="36"/>
      <c r="I3587" s="36"/>
      <c r="J3587" s="39"/>
      <c r="K3587" s="39"/>
      <c r="AF3587" s="42">
        <v>3400003849</v>
      </c>
      <c r="AG3587" s="42" t="s">
        <v>6675</v>
      </c>
    </row>
    <row r="3588" spans="7:33" ht="15.75" customHeight="1">
      <c r="G3588" s="36"/>
      <c r="H3588" s="36"/>
      <c r="I3588" s="36"/>
      <c r="J3588" s="39"/>
      <c r="K3588" s="39"/>
      <c r="AF3588" s="42">
        <v>3400003854</v>
      </c>
      <c r="AG3588" s="42" t="s">
        <v>6675</v>
      </c>
    </row>
    <row r="3589" spans="7:33" ht="15.75" customHeight="1">
      <c r="G3589" s="36"/>
      <c r="H3589" s="36"/>
      <c r="I3589" s="36"/>
      <c r="J3589" s="39"/>
      <c r="K3589" s="39"/>
      <c r="AF3589" s="42">
        <v>3400003855</v>
      </c>
      <c r="AG3589" s="42" t="s">
        <v>6675</v>
      </c>
    </row>
    <row r="3590" spans="7:33" ht="15.75" customHeight="1">
      <c r="G3590" s="36"/>
      <c r="H3590" s="36"/>
      <c r="I3590" s="36"/>
      <c r="J3590" s="39"/>
      <c r="K3590" s="39"/>
      <c r="AF3590" s="42">
        <v>3400003857</v>
      </c>
      <c r="AG3590" s="42" t="s">
        <v>6675</v>
      </c>
    </row>
    <row r="3591" spans="7:33" ht="15.75" customHeight="1">
      <c r="G3591" s="36"/>
      <c r="H3591" s="36"/>
      <c r="I3591" s="36"/>
      <c r="J3591" s="39"/>
      <c r="K3591" s="39"/>
      <c r="AF3591" s="42">
        <v>3400003859</v>
      </c>
      <c r="AG3591" s="42" t="s">
        <v>6675</v>
      </c>
    </row>
    <row r="3592" spans="7:33" ht="15.75" customHeight="1">
      <c r="G3592" s="36"/>
      <c r="H3592" s="36"/>
      <c r="I3592" s="36"/>
      <c r="J3592" s="39"/>
      <c r="K3592" s="39"/>
      <c r="AF3592" s="42">
        <v>3400003860</v>
      </c>
      <c r="AG3592" s="42" t="s">
        <v>6675</v>
      </c>
    </row>
    <row r="3593" spans="7:33" ht="15.75" customHeight="1">
      <c r="G3593" s="36"/>
      <c r="H3593" s="36"/>
      <c r="I3593" s="36"/>
      <c r="J3593" s="39"/>
      <c r="K3593" s="39"/>
      <c r="AF3593" s="42">
        <v>3400003863</v>
      </c>
      <c r="AG3593" s="42" t="s">
        <v>6675</v>
      </c>
    </row>
    <row r="3594" spans="7:33" ht="15.75" customHeight="1">
      <c r="G3594" s="36"/>
      <c r="H3594" s="36"/>
      <c r="I3594" s="36"/>
      <c r="J3594" s="39"/>
      <c r="K3594" s="39"/>
      <c r="AF3594" s="42">
        <v>3400003865</v>
      </c>
      <c r="AG3594" s="42" t="s">
        <v>6675</v>
      </c>
    </row>
    <row r="3595" spans="7:33" ht="15.75" customHeight="1">
      <c r="G3595" s="36"/>
      <c r="H3595" s="36"/>
      <c r="I3595" s="36"/>
      <c r="J3595" s="39"/>
      <c r="K3595" s="39"/>
      <c r="AF3595" s="42">
        <v>3400003866</v>
      </c>
      <c r="AG3595" s="42" t="s">
        <v>6675</v>
      </c>
    </row>
    <row r="3596" spans="7:33" ht="15.75" customHeight="1">
      <c r="G3596" s="36"/>
      <c r="H3596" s="36"/>
      <c r="I3596" s="36"/>
      <c r="J3596" s="39"/>
      <c r="K3596" s="39"/>
      <c r="AF3596" s="42">
        <v>3400003867</v>
      </c>
      <c r="AG3596" s="42" t="s">
        <v>6675</v>
      </c>
    </row>
    <row r="3597" spans="7:33" ht="15.75" customHeight="1">
      <c r="G3597" s="36"/>
      <c r="H3597" s="36"/>
      <c r="I3597" s="36"/>
      <c r="J3597" s="39"/>
      <c r="K3597" s="39"/>
      <c r="AF3597" s="42">
        <v>3400003868</v>
      </c>
      <c r="AG3597" s="42" t="s">
        <v>6675</v>
      </c>
    </row>
    <row r="3598" spans="7:33" ht="15.75" customHeight="1">
      <c r="G3598" s="36"/>
      <c r="H3598" s="36"/>
      <c r="I3598" s="36"/>
      <c r="J3598" s="39"/>
      <c r="K3598" s="39"/>
      <c r="AF3598" s="42">
        <v>3400003974</v>
      </c>
      <c r="AG3598" s="42" t="s">
        <v>6675</v>
      </c>
    </row>
    <row r="3599" spans="7:33" ht="15.75" customHeight="1">
      <c r="G3599" s="36"/>
      <c r="H3599" s="36"/>
      <c r="I3599" s="36"/>
      <c r="J3599" s="39"/>
      <c r="K3599" s="39"/>
      <c r="AF3599" s="42">
        <v>3400003975</v>
      </c>
      <c r="AG3599" s="42" t="s">
        <v>6675</v>
      </c>
    </row>
    <row r="3600" spans="7:33" ht="15.75" customHeight="1">
      <c r="G3600" s="36"/>
      <c r="H3600" s="36"/>
      <c r="I3600" s="36"/>
      <c r="J3600" s="39"/>
      <c r="K3600" s="39"/>
      <c r="AF3600" s="42">
        <v>3400003984</v>
      </c>
      <c r="AG3600" s="42" t="s">
        <v>6675</v>
      </c>
    </row>
    <row r="3601" spans="7:33" ht="15.75" customHeight="1">
      <c r="G3601" s="36"/>
      <c r="H3601" s="36"/>
      <c r="I3601" s="36"/>
      <c r="J3601" s="39"/>
      <c r="K3601" s="39"/>
      <c r="AF3601" s="42">
        <v>3400003989</v>
      </c>
      <c r="AG3601" s="42" t="s">
        <v>6675</v>
      </c>
    </row>
    <row r="3602" spans="7:33" ht="15.75" customHeight="1">
      <c r="G3602" s="36"/>
      <c r="H3602" s="36"/>
      <c r="I3602" s="36"/>
      <c r="J3602" s="39"/>
      <c r="K3602" s="39"/>
      <c r="AF3602" s="42">
        <v>3400004011</v>
      </c>
      <c r="AG3602" s="42" t="s">
        <v>6675</v>
      </c>
    </row>
    <row r="3603" spans="7:33" ht="15.75" customHeight="1">
      <c r="G3603" s="36"/>
      <c r="H3603" s="36"/>
      <c r="I3603" s="36"/>
      <c r="J3603" s="39"/>
      <c r="K3603" s="39"/>
      <c r="AF3603" s="42" t="s">
        <v>4247</v>
      </c>
      <c r="AG3603" s="42" t="s">
        <v>6530</v>
      </c>
    </row>
    <row r="3604" spans="7:33" ht="15.75" customHeight="1">
      <c r="G3604" s="36"/>
      <c r="H3604" s="36"/>
      <c r="I3604" s="36"/>
      <c r="J3604" s="39"/>
      <c r="K3604" s="39"/>
      <c r="AF3604" s="42" t="s">
        <v>6770</v>
      </c>
      <c r="AG3604" s="42" t="s">
        <v>6530</v>
      </c>
    </row>
    <row r="3605" spans="7:33" ht="15.75" customHeight="1">
      <c r="G3605" s="36"/>
      <c r="H3605" s="36"/>
      <c r="I3605" s="36"/>
      <c r="J3605" s="39"/>
      <c r="K3605" s="39"/>
      <c r="AF3605" s="42" t="s">
        <v>1859</v>
      </c>
      <c r="AG3605" s="42" t="s">
        <v>6530</v>
      </c>
    </row>
    <row r="3606" spans="7:33" ht="15.75" customHeight="1">
      <c r="G3606" s="36"/>
      <c r="H3606" s="36"/>
      <c r="I3606" s="36"/>
      <c r="J3606" s="39"/>
      <c r="K3606" s="39"/>
      <c r="AF3606" s="42" t="s">
        <v>4311</v>
      </c>
      <c r="AG3606" s="42" t="s">
        <v>6530</v>
      </c>
    </row>
    <row r="3607" spans="7:33" ht="15.75" customHeight="1">
      <c r="G3607" s="36"/>
      <c r="H3607" s="36"/>
      <c r="I3607" s="36"/>
      <c r="J3607" s="39"/>
      <c r="K3607" s="39"/>
      <c r="AF3607" s="42" t="s">
        <v>4916</v>
      </c>
      <c r="AG3607" s="42" t="s">
        <v>6530</v>
      </c>
    </row>
    <row r="3608" spans="7:33" ht="15.75" customHeight="1">
      <c r="G3608" s="36"/>
      <c r="H3608" s="36"/>
      <c r="I3608" s="36"/>
      <c r="J3608" s="39"/>
      <c r="K3608" s="39"/>
      <c r="AF3608" s="42" t="s">
        <v>1382</v>
      </c>
      <c r="AG3608" s="42" t="s">
        <v>6530</v>
      </c>
    </row>
    <row r="3609" spans="7:33" ht="15.75" customHeight="1">
      <c r="G3609" s="36"/>
      <c r="H3609" s="36"/>
      <c r="I3609" s="36"/>
      <c r="J3609" s="39"/>
      <c r="K3609" s="39"/>
      <c r="AF3609" s="42" t="s">
        <v>6055</v>
      </c>
      <c r="AG3609" s="42" t="s">
        <v>6530</v>
      </c>
    </row>
    <row r="3610" spans="7:33" ht="15.75" customHeight="1">
      <c r="G3610" s="36"/>
      <c r="H3610" s="36"/>
      <c r="I3610" s="36"/>
      <c r="J3610" s="39"/>
      <c r="K3610" s="39"/>
      <c r="AF3610" s="42" t="s">
        <v>6038</v>
      </c>
      <c r="AG3610" s="42" t="s">
        <v>6530</v>
      </c>
    </row>
    <row r="3611" spans="7:33" ht="15.75" customHeight="1">
      <c r="G3611" s="36"/>
      <c r="H3611" s="36"/>
      <c r="I3611" s="36"/>
      <c r="J3611" s="39"/>
      <c r="K3611" s="39"/>
      <c r="AF3611" s="42" t="s">
        <v>4222</v>
      </c>
      <c r="AG3611" s="42" t="s">
        <v>6530</v>
      </c>
    </row>
    <row r="3612" spans="7:33" ht="15.75" customHeight="1">
      <c r="G3612" s="36"/>
      <c r="H3612" s="36"/>
      <c r="I3612" s="36"/>
      <c r="J3612" s="39"/>
      <c r="K3612" s="39"/>
      <c r="AF3612" s="42" t="s">
        <v>4836</v>
      </c>
      <c r="AG3612" s="42" t="s">
        <v>6530</v>
      </c>
    </row>
    <row r="3613" spans="7:33" ht="15.75" customHeight="1">
      <c r="G3613" s="36"/>
      <c r="H3613" s="36"/>
      <c r="I3613" s="36"/>
      <c r="J3613" s="39"/>
      <c r="K3613" s="39"/>
      <c r="AF3613" s="42" t="s">
        <v>1620</v>
      </c>
      <c r="AG3613" s="42" t="s">
        <v>6530</v>
      </c>
    </row>
    <row r="3614" spans="7:33" ht="15.75" customHeight="1">
      <c r="G3614" s="36"/>
      <c r="H3614" s="36"/>
      <c r="I3614" s="36"/>
      <c r="J3614" s="39"/>
      <c r="K3614" s="39"/>
      <c r="AF3614" s="42" t="s">
        <v>5477</v>
      </c>
      <c r="AG3614" s="42" t="s">
        <v>6530</v>
      </c>
    </row>
    <row r="3615" spans="7:33" ht="15.75" customHeight="1">
      <c r="G3615" s="36"/>
      <c r="H3615" s="36"/>
      <c r="I3615" s="36"/>
      <c r="J3615" s="39"/>
      <c r="K3615" s="39"/>
      <c r="AF3615" s="42" t="s">
        <v>4496</v>
      </c>
      <c r="AG3615" s="42" t="s">
        <v>6530</v>
      </c>
    </row>
    <row r="3616" spans="7:33" ht="15.75" customHeight="1">
      <c r="G3616" s="36"/>
      <c r="H3616" s="36"/>
      <c r="I3616" s="36"/>
      <c r="J3616" s="39"/>
      <c r="K3616" s="39"/>
      <c r="AF3616" s="42" t="s">
        <v>5384</v>
      </c>
      <c r="AG3616" s="42" t="s">
        <v>6530</v>
      </c>
    </row>
    <row r="3617" spans="7:33" ht="15.75" customHeight="1">
      <c r="G3617" s="36"/>
      <c r="H3617" s="36"/>
      <c r="I3617" s="36"/>
      <c r="J3617" s="39"/>
      <c r="K3617" s="39"/>
      <c r="AF3617" s="42" t="s">
        <v>4187</v>
      </c>
      <c r="AG3617" s="42" t="s">
        <v>6530</v>
      </c>
    </row>
    <row r="3618" spans="7:33" ht="15.75" customHeight="1">
      <c r="G3618" s="36"/>
      <c r="H3618" s="36"/>
      <c r="I3618" s="36"/>
      <c r="J3618" s="39"/>
      <c r="K3618" s="39"/>
      <c r="AF3618" s="42" t="s">
        <v>6775</v>
      </c>
      <c r="AG3618" s="42" t="s">
        <v>6530</v>
      </c>
    </row>
    <row r="3619" spans="7:33" ht="15.75" customHeight="1">
      <c r="G3619" s="36"/>
      <c r="H3619" s="36"/>
      <c r="I3619" s="36"/>
      <c r="J3619" s="39"/>
      <c r="K3619" s="39"/>
      <c r="AF3619" s="42" t="s">
        <v>2140</v>
      </c>
      <c r="AG3619" s="42" t="s">
        <v>6530</v>
      </c>
    </row>
    <row r="3620" spans="7:33" ht="15.75" customHeight="1">
      <c r="G3620" s="36"/>
      <c r="H3620" s="36"/>
      <c r="I3620" s="36"/>
      <c r="J3620" s="39"/>
      <c r="K3620" s="39"/>
      <c r="AF3620" s="42" t="s">
        <v>5718</v>
      </c>
      <c r="AG3620" s="42" t="s">
        <v>6530</v>
      </c>
    </row>
    <row r="3621" spans="7:33" ht="15.75" customHeight="1">
      <c r="G3621" s="36"/>
      <c r="H3621" s="36"/>
      <c r="I3621" s="36"/>
      <c r="J3621" s="39"/>
      <c r="K3621" s="39"/>
      <c r="AF3621" s="42" t="s">
        <v>5224</v>
      </c>
      <c r="AG3621" s="42" t="s">
        <v>6530</v>
      </c>
    </row>
    <row r="3622" spans="7:33" ht="15.75" customHeight="1">
      <c r="G3622" s="36"/>
      <c r="H3622" s="36"/>
      <c r="I3622" s="36"/>
      <c r="J3622" s="39"/>
      <c r="K3622" s="39"/>
      <c r="AF3622" s="42" t="s">
        <v>4140</v>
      </c>
      <c r="AG3622" s="42" t="s">
        <v>6530</v>
      </c>
    </row>
    <row r="3623" spans="7:33" ht="15.75" customHeight="1">
      <c r="G3623" s="36"/>
      <c r="H3623" s="36"/>
      <c r="I3623" s="36"/>
      <c r="J3623" s="39"/>
      <c r="K3623" s="39"/>
      <c r="AF3623" s="42" t="s">
        <v>1799</v>
      </c>
      <c r="AG3623" s="42" t="s">
        <v>6530</v>
      </c>
    </row>
    <row r="3624" spans="7:33" ht="15.75" customHeight="1">
      <c r="G3624" s="36"/>
      <c r="H3624" s="36"/>
      <c r="I3624" s="36"/>
      <c r="J3624" s="39"/>
      <c r="K3624" s="39"/>
      <c r="AF3624" s="42" t="s">
        <v>1199</v>
      </c>
      <c r="AG3624" s="42" t="s">
        <v>6530</v>
      </c>
    </row>
    <row r="3625" spans="7:33" ht="15.75" customHeight="1">
      <c r="G3625" s="36"/>
      <c r="H3625" s="36"/>
      <c r="I3625" s="36"/>
      <c r="J3625" s="39"/>
      <c r="K3625" s="39"/>
      <c r="AF3625" s="42" t="s">
        <v>1466</v>
      </c>
      <c r="AG3625" s="42" t="s">
        <v>6530</v>
      </c>
    </row>
    <row r="3626" spans="7:33" ht="15.75" customHeight="1">
      <c r="G3626" s="36"/>
      <c r="H3626" s="36"/>
      <c r="I3626" s="36"/>
      <c r="J3626" s="39"/>
      <c r="K3626" s="39"/>
      <c r="AF3626" s="42" t="s">
        <v>1177</v>
      </c>
      <c r="AG3626" s="42" t="s">
        <v>6530</v>
      </c>
    </row>
    <row r="3627" spans="7:33" ht="15.75" customHeight="1">
      <c r="G3627" s="36"/>
      <c r="H3627" s="36"/>
      <c r="I3627" s="36"/>
      <c r="J3627" s="39"/>
      <c r="K3627" s="39"/>
      <c r="AF3627" s="42" t="s">
        <v>6547</v>
      </c>
      <c r="AG3627" s="42" t="s">
        <v>6530</v>
      </c>
    </row>
    <row r="3628" spans="7:33" ht="15.75" customHeight="1">
      <c r="G3628" s="36"/>
      <c r="H3628" s="36"/>
      <c r="I3628" s="36"/>
      <c r="J3628" s="39"/>
      <c r="K3628" s="39"/>
      <c r="AF3628" s="42" t="s">
        <v>6563</v>
      </c>
      <c r="AG3628" s="42" t="s">
        <v>6530</v>
      </c>
    </row>
    <row r="3629" spans="7:33" ht="15.75" customHeight="1">
      <c r="G3629" s="36"/>
      <c r="H3629" s="36"/>
      <c r="I3629" s="36"/>
      <c r="J3629" s="39"/>
      <c r="K3629" s="39"/>
      <c r="AF3629" s="42" t="s">
        <v>3793</v>
      </c>
      <c r="AG3629" s="42" t="s">
        <v>6530</v>
      </c>
    </row>
    <row r="3630" spans="7:33" ht="15.75" customHeight="1">
      <c r="G3630" s="36"/>
      <c r="H3630" s="36"/>
      <c r="I3630" s="36"/>
      <c r="J3630" s="39"/>
      <c r="K3630" s="39"/>
      <c r="AF3630" s="42" t="s">
        <v>1979</v>
      </c>
      <c r="AG3630" s="42" t="s">
        <v>6530</v>
      </c>
    </row>
    <row r="3631" spans="7:33" ht="15.75" customHeight="1">
      <c r="G3631" s="36"/>
      <c r="H3631" s="36"/>
      <c r="I3631" s="36"/>
      <c r="J3631" s="39"/>
      <c r="K3631" s="39"/>
      <c r="AF3631" s="42" t="s">
        <v>6543</v>
      </c>
      <c r="AG3631" s="42" t="s">
        <v>6530</v>
      </c>
    </row>
    <row r="3632" spans="7:33" ht="15.75" customHeight="1">
      <c r="G3632" s="36"/>
      <c r="H3632" s="36"/>
      <c r="I3632" s="36"/>
      <c r="J3632" s="39"/>
      <c r="K3632" s="39"/>
      <c r="AF3632" s="42" t="s">
        <v>3075</v>
      </c>
      <c r="AG3632" s="42" t="s">
        <v>6530</v>
      </c>
    </row>
    <row r="3633" spans="7:33" ht="15.75" customHeight="1">
      <c r="G3633" s="36"/>
      <c r="H3633" s="36"/>
      <c r="I3633" s="36"/>
      <c r="J3633" s="39"/>
      <c r="K3633" s="39"/>
      <c r="AF3633" s="42" t="s">
        <v>912</v>
      </c>
      <c r="AG3633" s="42" t="s">
        <v>6569</v>
      </c>
    </row>
    <row r="3634" spans="7:33" ht="15.75" customHeight="1">
      <c r="G3634" s="36"/>
      <c r="H3634" s="36"/>
      <c r="I3634" s="36"/>
      <c r="J3634" s="39"/>
      <c r="K3634" s="39"/>
      <c r="AF3634" s="42" t="s">
        <v>963</v>
      </c>
      <c r="AG3634" s="42" t="s">
        <v>6569</v>
      </c>
    </row>
    <row r="3635" spans="7:33" ht="15.75" customHeight="1">
      <c r="G3635" s="36"/>
      <c r="H3635" s="36"/>
      <c r="I3635" s="36"/>
      <c r="J3635" s="39"/>
      <c r="K3635" s="39"/>
      <c r="AF3635" s="42" t="s">
        <v>5880</v>
      </c>
      <c r="AG3635" s="42" t="s">
        <v>6530</v>
      </c>
    </row>
    <row r="3636" spans="7:33" ht="15.75" customHeight="1">
      <c r="G3636" s="36"/>
      <c r="H3636" s="36"/>
      <c r="I3636" s="36"/>
      <c r="J3636" s="39"/>
      <c r="K3636" s="39"/>
      <c r="AF3636" s="42" t="s">
        <v>5953</v>
      </c>
      <c r="AG3636" s="42" t="s">
        <v>6530</v>
      </c>
    </row>
    <row r="3637" spans="7:33" ht="15.75" customHeight="1">
      <c r="G3637" s="36"/>
      <c r="H3637" s="36"/>
      <c r="I3637" s="36"/>
      <c r="J3637" s="39"/>
      <c r="K3637" s="39"/>
      <c r="AF3637" s="42" t="s">
        <v>5593</v>
      </c>
      <c r="AG3637" s="42" t="s">
        <v>6530</v>
      </c>
    </row>
    <row r="3638" spans="7:33" ht="15.75" customHeight="1">
      <c r="G3638" s="36"/>
      <c r="H3638" s="36"/>
      <c r="I3638" s="36"/>
      <c r="J3638" s="39"/>
      <c r="K3638" s="39"/>
      <c r="AF3638" s="42" t="s">
        <v>5959</v>
      </c>
      <c r="AG3638" s="42" t="s">
        <v>6530</v>
      </c>
    </row>
    <row r="3639" spans="7:33" ht="15.75" customHeight="1">
      <c r="G3639" s="36"/>
      <c r="H3639" s="36"/>
      <c r="I3639" s="36"/>
      <c r="J3639" s="39"/>
      <c r="K3639" s="39"/>
      <c r="AF3639" s="42" t="s">
        <v>1893</v>
      </c>
      <c r="AG3639" s="42" t="s">
        <v>6530</v>
      </c>
    </row>
    <row r="3640" spans="7:33" ht="15.75" customHeight="1">
      <c r="G3640" s="36"/>
      <c r="H3640" s="36"/>
      <c r="I3640" s="36"/>
      <c r="J3640" s="39"/>
      <c r="K3640" s="39"/>
      <c r="AF3640" s="42" t="s">
        <v>2731</v>
      </c>
      <c r="AG3640" s="42" t="s">
        <v>6530</v>
      </c>
    </row>
    <row r="3641" spans="7:33" ht="15.75" customHeight="1">
      <c r="G3641" s="36"/>
      <c r="H3641" s="36"/>
      <c r="I3641" s="36"/>
      <c r="J3641" s="39"/>
      <c r="K3641" s="39"/>
      <c r="AF3641" s="42" t="s">
        <v>1957</v>
      </c>
      <c r="AG3641" s="42" t="s">
        <v>6569</v>
      </c>
    </row>
    <row r="3642" spans="7:33" ht="15.75" customHeight="1">
      <c r="G3642" s="36"/>
      <c r="H3642" s="36"/>
      <c r="I3642" s="36"/>
      <c r="J3642" s="39"/>
      <c r="K3642" s="39"/>
      <c r="AF3642" s="42" t="s">
        <v>6562</v>
      </c>
      <c r="AG3642" s="42" t="s">
        <v>6530</v>
      </c>
    </row>
    <row r="3643" spans="7:33" ht="15.75" customHeight="1">
      <c r="G3643" s="36"/>
      <c r="H3643" s="36"/>
      <c r="I3643" s="36"/>
      <c r="J3643" s="39"/>
      <c r="K3643" s="39"/>
      <c r="AF3643" s="42" t="s">
        <v>2571</v>
      </c>
      <c r="AG3643" s="42" t="s">
        <v>6530</v>
      </c>
    </row>
    <row r="3644" spans="7:33" ht="15.75" customHeight="1">
      <c r="G3644" s="36"/>
      <c r="H3644" s="36"/>
      <c r="I3644" s="36"/>
      <c r="J3644" s="39"/>
      <c r="K3644" s="39"/>
      <c r="AF3644" s="42" t="s">
        <v>971</v>
      </c>
      <c r="AG3644" s="42" t="s">
        <v>6569</v>
      </c>
    </row>
    <row r="3645" spans="7:33" ht="15.75" customHeight="1">
      <c r="G3645" s="36"/>
      <c r="H3645" s="36"/>
      <c r="I3645" s="36"/>
      <c r="J3645" s="39"/>
      <c r="K3645" s="39"/>
      <c r="AF3645" s="42" t="s">
        <v>6068</v>
      </c>
      <c r="AG3645" s="42" t="s">
        <v>6530</v>
      </c>
    </row>
    <row r="3646" spans="7:33" ht="15.75" customHeight="1">
      <c r="G3646" s="36"/>
      <c r="H3646" s="36"/>
      <c r="I3646" s="36"/>
      <c r="J3646" s="39"/>
      <c r="K3646" s="39"/>
      <c r="AF3646" s="42" t="s">
        <v>1909</v>
      </c>
      <c r="AG3646" s="42" t="s">
        <v>6530</v>
      </c>
    </row>
    <row r="3647" spans="7:33" ht="15.75" customHeight="1">
      <c r="G3647" s="36"/>
      <c r="H3647" s="36"/>
      <c r="I3647" s="36"/>
      <c r="J3647" s="39"/>
      <c r="K3647" s="39"/>
      <c r="AF3647" s="42" t="s">
        <v>5316</v>
      </c>
      <c r="AG3647" s="42" t="s">
        <v>6530</v>
      </c>
    </row>
    <row r="3648" spans="7:33" ht="15.75" customHeight="1">
      <c r="G3648" s="36"/>
      <c r="H3648" s="36"/>
      <c r="I3648" s="36"/>
      <c r="J3648" s="39"/>
      <c r="K3648" s="39"/>
      <c r="AF3648" s="42" t="s">
        <v>1844</v>
      </c>
      <c r="AG3648" s="42" t="s">
        <v>6530</v>
      </c>
    </row>
    <row r="3649" spans="7:33" ht="15.75" customHeight="1">
      <c r="G3649" s="36"/>
      <c r="H3649" s="36"/>
      <c r="I3649" s="36"/>
      <c r="J3649" s="39"/>
      <c r="K3649" s="39"/>
      <c r="AF3649" s="42" t="s">
        <v>5921</v>
      </c>
      <c r="AG3649" s="42" t="s">
        <v>6530</v>
      </c>
    </row>
    <row r="3650" spans="7:33" ht="15.75" customHeight="1">
      <c r="G3650" s="36"/>
      <c r="H3650" s="36"/>
      <c r="I3650" s="36"/>
      <c r="J3650" s="39"/>
      <c r="K3650" s="39"/>
      <c r="AF3650" s="42" t="s">
        <v>3847</v>
      </c>
      <c r="AG3650" s="42" t="s">
        <v>6530</v>
      </c>
    </row>
    <row r="3651" spans="7:33" ht="15.75" customHeight="1">
      <c r="G3651" s="36"/>
      <c r="H3651" s="36"/>
      <c r="I3651" s="36"/>
      <c r="J3651" s="39"/>
      <c r="K3651" s="39"/>
      <c r="AF3651" s="42" t="s">
        <v>4318</v>
      </c>
      <c r="AG3651" s="42" t="s">
        <v>6530</v>
      </c>
    </row>
    <row r="3652" spans="7:33" ht="15.75" customHeight="1">
      <c r="G3652" s="36"/>
      <c r="H3652" s="36"/>
      <c r="I3652" s="36"/>
      <c r="J3652" s="39"/>
      <c r="K3652" s="39"/>
      <c r="AF3652" s="42" t="s">
        <v>6220</v>
      </c>
      <c r="AG3652" s="42" t="s">
        <v>6530</v>
      </c>
    </row>
    <row r="3653" spans="7:33" ht="15.75" customHeight="1">
      <c r="G3653" s="36"/>
      <c r="H3653" s="36"/>
      <c r="I3653" s="36"/>
      <c r="J3653" s="39"/>
      <c r="K3653" s="39"/>
      <c r="AF3653" s="42" t="s">
        <v>3179</v>
      </c>
      <c r="AG3653" s="42" t="s">
        <v>6530</v>
      </c>
    </row>
    <row r="3654" spans="7:33" ht="15.75" customHeight="1">
      <c r="G3654" s="36"/>
      <c r="H3654" s="36"/>
      <c r="I3654" s="36"/>
      <c r="J3654" s="39"/>
      <c r="K3654" s="39"/>
      <c r="AF3654" s="42" t="s">
        <v>1690</v>
      </c>
      <c r="AG3654" s="42" t="s">
        <v>6530</v>
      </c>
    </row>
    <row r="3655" spans="7:33" ht="15.75" customHeight="1">
      <c r="G3655" s="36"/>
      <c r="H3655" s="36"/>
      <c r="I3655" s="36"/>
      <c r="J3655" s="39"/>
      <c r="K3655" s="39"/>
      <c r="AF3655" s="42" t="s">
        <v>1745</v>
      </c>
      <c r="AG3655" s="42" t="s">
        <v>6569</v>
      </c>
    </row>
    <row r="3656" spans="7:33" ht="15.75" customHeight="1">
      <c r="G3656" s="36"/>
      <c r="H3656" s="36"/>
      <c r="I3656" s="36"/>
      <c r="J3656" s="39"/>
      <c r="K3656" s="39"/>
      <c r="AF3656" s="42" t="s">
        <v>3162</v>
      </c>
      <c r="AG3656" s="42" t="s">
        <v>6530</v>
      </c>
    </row>
    <row r="3657" spans="7:33" ht="15.75" customHeight="1">
      <c r="G3657" s="36"/>
      <c r="H3657" s="36"/>
      <c r="I3657" s="36"/>
      <c r="J3657" s="39"/>
      <c r="K3657" s="39"/>
      <c r="AF3657" s="42" t="s">
        <v>2220</v>
      </c>
      <c r="AG3657" s="42" t="s">
        <v>6530</v>
      </c>
    </row>
    <row r="3658" spans="7:33" ht="15.75" customHeight="1">
      <c r="G3658" s="36"/>
      <c r="H3658" s="36"/>
      <c r="I3658" s="36"/>
      <c r="J3658" s="39"/>
      <c r="K3658" s="39"/>
      <c r="AF3658" s="42" t="s">
        <v>1353</v>
      </c>
      <c r="AG3658" s="42" t="s">
        <v>6530</v>
      </c>
    </row>
    <row r="3659" spans="7:33" ht="15.75" customHeight="1">
      <c r="G3659" s="36"/>
      <c r="H3659" s="36"/>
      <c r="I3659" s="36"/>
      <c r="J3659" s="39"/>
      <c r="K3659" s="39"/>
      <c r="AF3659" s="42" t="s">
        <v>2468</v>
      </c>
      <c r="AG3659" s="42" t="s">
        <v>6530</v>
      </c>
    </row>
    <row r="3660" spans="7:33" ht="15.75" customHeight="1">
      <c r="G3660" s="36"/>
      <c r="H3660" s="36"/>
      <c r="I3660" s="36"/>
      <c r="J3660" s="39"/>
      <c r="K3660" s="39"/>
      <c r="AF3660" s="42" t="s">
        <v>5730</v>
      </c>
      <c r="AG3660" s="42" t="s">
        <v>6530</v>
      </c>
    </row>
    <row r="3661" spans="7:33" ht="15.75" customHeight="1">
      <c r="G3661" s="36"/>
      <c r="H3661" s="36"/>
      <c r="I3661" s="36"/>
      <c r="J3661" s="39"/>
      <c r="K3661" s="39"/>
      <c r="AF3661" s="42" t="s">
        <v>2286</v>
      </c>
      <c r="AG3661" s="42" t="s">
        <v>6530</v>
      </c>
    </row>
    <row r="3662" spans="7:33" ht="15.75" customHeight="1">
      <c r="G3662" s="36"/>
      <c r="H3662" s="36"/>
      <c r="I3662" s="36"/>
      <c r="J3662" s="39"/>
      <c r="K3662" s="39"/>
      <c r="AF3662" s="42" t="s">
        <v>6140</v>
      </c>
      <c r="AG3662" s="42" t="s">
        <v>6530</v>
      </c>
    </row>
    <row r="3663" spans="7:33" ht="15.75" customHeight="1">
      <c r="G3663" s="36"/>
      <c r="H3663" s="36"/>
      <c r="I3663" s="36"/>
      <c r="J3663" s="39"/>
      <c r="K3663" s="39"/>
      <c r="AF3663" s="42" t="s">
        <v>3699</v>
      </c>
      <c r="AG3663" s="42" t="s">
        <v>6530</v>
      </c>
    </row>
    <row r="3664" spans="7:33" ht="15.75" customHeight="1">
      <c r="G3664" s="36"/>
      <c r="H3664" s="36"/>
      <c r="I3664" s="36"/>
      <c r="J3664" s="39"/>
      <c r="K3664" s="39"/>
      <c r="AF3664" s="42" t="s">
        <v>3882</v>
      </c>
      <c r="AG3664" s="42" t="s">
        <v>6530</v>
      </c>
    </row>
    <row r="3665" spans="7:33" ht="15.75" customHeight="1">
      <c r="G3665" s="36"/>
      <c r="H3665" s="36"/>
      <c r="I3665" s="36"/>
      <c r="J3665" s="39"/>
      <c r="K3665" s="39"/>
      <c r="AF3665" s="42" t="s">
        <v>3545</v>
      </c>
      <c r="AG3665" s="42" t="s">
        <v>6530</v>
      </c>
    </row>
    <row r="3666" spans="7:33" ht="15.75" customHeight="1">
      <c r="G3666" s="36"/>
      <c r="H3666" s="36"/>
      <c r="I3666" s="36"/>
      <c r="J3666" s="39"/>
      <c r="K3666" s="39"/>
      <c r="AF3666" s="42" t="s">
        <v>1915</v>
      </c>
      <c r="AG3666" s="42" t="s">
        <v>6530</v>
      </c>
    </row>
    <row r="3667" spans="7:33" ht="15.75" customHeight="1">
      <c r="G3667" s="36"/>
      <c r="H3667" s="36"/>
      <c r="I3667" s="36"/>
      <c r="J3667" s="39"/>
      <c r="K3667" s="39"/>
      <c r="AF3667" s="42" t="s">
        <v>1293</v>
      </c>
      <c r="AG3667" s="42" t="s">
        <v>6530</v>
      </c>
    </row>
    <row r="3668" spans="7:33" ht="15.75" customHeight="1">
      <c r="G3668" s="36"/>
      <c r="H3668" s="36"/>
      <c r="I3668" s="36"/>
      <c r="J3668" s="39"/>
      <c r="K3668" s="39"/>
      <c r="AF3668" s="42" t="s">
        <v>3819</v>
      </c>
      <c r="AG3668" s="42" t="s">
        <v>6530</v>
      </c>
    </row>
    <row r="3669" spans="7:33" ht="15.75" customHeight="1">
      <c r="G3669" s="36"/>
      <c r="H3669" s="36"/>
      <c r="I3669" s="36"/>
      <c r="J3669" s="39"/>
      <c r="K3669" s="39"/>
      <c r="AF3669" s="42" t="s">
        <v>2215</v>
      </c>
      <c r="AG3669" s="42" t="s">
        <v>6530</v>
      </c>
    </row>
    <row r="3670" spans="7:33" ht="15.75" customHeight="1">
      <c r="G3670" s="36"/>
      <c r="H3670" s="36"/>
      <c r="I3670" s="36"/>
      <c r="J3670" s="39"/>
      <c r="K3670" s="39"/>
      <c r="AF3670" s="42" t="s">
        <v>5723</v>
      </c>
      <c r="AG3670" s="42" t="s">
        <v>6530</v>
      </c>
    </row>
    <row r="3671" spans="7:33" ht="15.75" customHeight="1">
      <c r="G3671" s="36"/>
      <c r="H3671" s="36"/>
      <c r="I3671" s="36"/>
      <c r="J3671" s="39"/>
      <c r="K3671" s="39"/>
      <c r="AF3671" s="42" t="s">
        <v>1368</v>
      </c>
      <c r="AG3671" s="42" t="s">
        <v>6530</v>
      </c>
    </row>
    <row r="3672" spans="7:33" ht="15.75" customHeight="1">
      <c r="G3672" s="36"/>
      <c r="H3672" s="36"/>
      <c r="I3672" s="36"/>
      <c r="J3672" s="39"/>
      <c r="K3672" s="39"/>
      <c r="AF3672" s="42" t="s">
        <v>1254</v>
      </c>
      <c r="AG3672" s="42" t="s">
        <v>6530</v>
      </c>
    </row>
    <row r="3673" spans="7:33" ht="15.75" customHeight="1">
      <c r="G3673" s="36"/>
      <c r="H3673" s="36"/>
      <c r="I3673" s="36"/>
      <c r="J3673" s="39"/>
      <c r="K3673" s="39"/>
      <c r="AF3673" s="42" t="s">
        <v>5682</v>
      </c>
      <c r="AG3673" s="42" t="s">
        <v>6530</v>
      </c>
    </row>
    <row r="3674" spans="7:33" ht="15.75" customHeight="1">
      <c r="G3674" s="36"/>
      <c r="H3674" s="36"/>
      <c r="I3674" s="36"/>
      <c r="J3674" s="39"/>
      <c r="K3674" s="39"/>
      <c r="AF3674" s="42" t="s">
        <v>1157</v>
      </c>
      <c r="AG3674" s="42" t="s">
        <v>6530</v>
      </c>
    </row>
    <row r="3675" spans="7:33" ht="15.75" customHeight="1">
      <c r="G3675" s="36"/>
      <c r="H3675" s="36"/>
      <c r="I3675" s="36"/>
      <c r="J3675" s="39"/>
      <c r="K3675" s="39"/>
      <c r="AF3675" s="42" t="s">
        <v>994</v>
      </c>
      <c r="AG3675" s="42" t="s">
        <v>6530</v>
      </c>
    </row>
    <row r="3676" spans="7:33" ht="15.75" customHeight="1">
      <c r="G3676" s="36"/>
      <c r="H3676" s="36"/>
      <c r="I3676" s="36"/>
      <c r="J3676" s="39"/>
      <c r="K3676" s="39"/>
      <c r="AF3676" s="42" t="s">
        <v>4018</v>
      </c>
      <c r="AG3676" s="42" t="s">
        <v>6530</v>
      </c>
    </row>
    <row r="3677" spans="7:33" ht="15.75" customHeight="1">
      <c r="G3677" s="36"/>
      <c r="H3677" s="36"/>
      <c r="I3677" s="36"/>
      <c r="J3677" s="39"/>
      <c r="K3677" s="39"/>
      <c r="AF3677" s="42" t="s">
        <v>3339</v>
      </c>
      <c r="AG3677" s="42" t="s">
        <v>6530</v>
      </c>
    </row>
    <row r="3678" spans="7:33" ht="15.75" customHeight="1">
      <c r="G3678" s="36"/>
      <c r="H3678" s="36"/>
      <c r="I3678" s="36"/>
      <c r="J3678" s="39"/>
      <c r="K3678" s="39"/>
      <c r="AF3678" s="42" t="s">
        <v>3619</v>
      </c>
      <c r="AG3678" s="42" t="s">
        <v>6530</v>
      </c>
    </row>
    <row r="3679" spans="7:33" ht="15.75" customHeight="1">
      <c r="G3679" s="36"/>
      <c r="H3679" s="36"/>
      <c r="I3679" s="36"/>
      <c r="J3679" s="39"/>
      <c r="K3679" s="39"/>
      <c r="AF3679" s="42" t="s">
        <v>1009</v>
      </c>
      <c r="AG3679" s="42" t="s">
        <v>6530</v>
      </c>
    </row>
    <row r="3680" spans="7:33" ht="15.75" customHeight="1">
      <c r="G3680" s="36"/>
      <c r="H3680" s="36"/>
      <c r="I3680" s="36"/>
      <c r="J3680" s="39"/>
      <c r="K3680" s="39"/>
      <c r="AF3680" s="42" t="s">
        <v>5777</v>
      </c>
      <c r="AG3680" s="42" t="s">
        <v>6530</v>
      </c>
    </row>
    <row r="3681" spans="7:33" ht="15.75" customHeight="1">
      <c r="G3681" s="36"/>
      <c r="H3681" s="36"/>
      <c r="I3681" s="36"/>
      <c r="J3681" s="39"/>
      <c r="K3681" s="39"/>
      <c r="AF3681" s="42" t="s">
        <v>2095</v>
      </c>
      <c r="AG3681" s="42" t="s">
        <v>6530</v>
      </c>
    </row>
    <row r="3682" spans="7:33" ht="15.75" customHeight="1">
      <c r="G3682" s="36"/>
      <c r="H3682" s="36"/>
      <c r="I3682" s="36"/>
      <c r="J3682" s="39"/>
      <c r="K3682" s="39"/>
      <c r="AF3682" s="42" t="s">
        <v>6803</v>
      </c>
      <c r="AG3682" s="42" t="s">
        <v>6530</v>
      </c>
    </row>
    <row r="3683" spans="7:33" ht="15.75" customHeight="1">
      <c r="G3683" s="36"/>
      <c r="H3683" s="36"/>
      <c r="I3683" s="36"/>
      <c r="J3683" s="39"/>
      <c r="K3683" s="39"/>
      <c r="AF3683" s="42" t="s">
        <v>3116</v>
      </c>
      <c r="AG3683" s="42" t="s">
        <v>6530</v>
      </c>
    </row>
    <row r="3684" spans="7:33" ht="15.75" customHeight="1">
      <c r="G3684" s="36"/>
      <c r="H3684" s="36"/>
      <c r="I3684" s="36"/>
      <c r="J3684" s="39"/>
      <c r="K3684" s="39"/>
      <c r="AF3684" s="42" t="s">
        <v>3921</v>
      </c>
      <c r="AG3684" s="42" t="s">
        <v>6530</v>
      </c>
    </row>
    <row r="3685" spans="7:33" ht="15.75" customHeight="1">
      <c r="G3685" s="36"/>
      <c r="H3685" s="36"/>
      <c r="I3685" s="36"/>
      <c r="J3685" s="39"/>
      <c r="K3685" s="39"/>
      <c r="AF3685" s="42" t="s">
        <v>1397</v>
      </c>
      <c r="AG3685" s="42" t="s">
        <v>6530</v>
      </c>
    </row>
    <row r="3686" spans="7:33" ht="15.75" customHeight="1">
      <c r="G3686" s="36"/>
      <c r="H3686" s="36"/>
      <c r="I3686" s="36"/>
      <c r="J3686" s="39"/>
      <c r="K3686" s="39"/>
      <c r="AF3686" s="42" t="s">
        <v>4258</v>
      </c>
      <c r="AG3686" s="42" t="s">
        <v>6530</v>
      </c>
    </row>
    <row r="3687" spans="7:33" ht="15.75" customHeight="1">
      <c r="G3687" s="36"/>
      <c r="H3687" s="36"/>
      <c r="I3687" s="36"/>
      <c r="J3687" s="39"/>
      <c r="K3687" s="39"/>
      <c r="AF3687" s="42" t="s">
        <v>5172</v>
      </c>
      <c r="AG3687" s="42" t="s">
        <v>6530</v>
      </c>
    </row>
    <row r="3688" spans="7:33" ht="15.75" customHeight="1">
      <c r="G3688" s="36"/>
      <c r="H3688" s="36"/>
      <c r="I3688" s="36"/>
      <c r="J3688" s="39"/>
      <c r="K3688" s="39"/>
      <c r="AF3688" s="42" t="s">
        <v>2978</v>
      </c>
      <c r="AG3688" s="42" t="s">
        <v>6530</v>
      </c>
    </row>
    <row r="3689" spans="7:33" ht="15.75" customHeight="1">
      <c r="G3689" s="36"/>
      <c r="H3689" s="36"/>
      <c r="I3689" s="36"/>
      <c r="J3689" s="39"/>
      <c r="K3689" s="39"/>
      <c r="AF3689" s="42" t="s">
        <v>2040</v>
      </c>
      <c r="AG3689" s="42" t="s">
        <v>6530</v>
      </c>
    </row>
    <row r="3690" spans="7:33" ht="15.75" customHeight="1">
      <c r="G3690" s="36"/>
      <c r="H3690" s="36"/>
      <c r="I3690" s="36"/>
      <c r="J3690" s="39"/>
      <c r="K3690" s="39"/>
      <c r="AF3690" s="42" t="s">
        <v>2299</v>
      </c>
      <c r="AG3690" s="42" t="s">
        <v>6530</v>
      </c>
    </row>
    <row r="3691" spans="7:33" ht="15.75" customHeight="1">
      <c r="G3691" s="36"/>
      <c r="H3691" s="36"/>
      <c r="I3691" s="36"/>
      <c r="J3691" s="39"/>
      <c r="K3691" s="39"/>
      <c r="AF3691" s="42" t="s">
        <v>6474</v>
      </c>
      <c r="AG3691" s="42" t="s">
        <v>6530</v>
      </c>
    </row>
    <row r="3692" spans="7:33" ht="15.75" customHeight="1">
      <c r="G3692" s="36"/>
      <c r="H3692" s="36"/>
      <c r="I3692" s="36"/>
      <c r="J3692" s="39"/>
      <c r="K3692" s="39"/>
      <c r="AF3692" s="42" t="s">
        <v>1987</v>
      </c>
      <c r="AG3692" s="42" t="s">
        <v>6530</v>
      </c>
    </row>
    <row r="3693" spans="7:33" ht="15.75" customHeight="1">
      <c r="G3693" s="36"/>
      <c r="H3693" s="36"/>
      <c r="I3693" s="36"/>
      <c r="J3693" s="39"/>
      <c r="K3693" s="39"/>
      <c r="AF3693" s="42" t="s">
        <v>4148</v>
      </c>
      <c r="AG3693" s="42" t="s">
        <v>6530</v>
      </c>
    </row>
    <row r="3694" spans="7:33" ht="15.75" customHeight="1">
      <c r="G3694" s="36"/>
      <c r="H3694" s="36"/>
      <c r="I3694" s="36"/>
      <c r="J3694" s="39"/>
      <c r="K3694" s="39"/>
      <c r="AF3694" s="42" t="s">
        <v>3614</v>
      </c>
      <c r="AG3694" s="42" t="s">
        <v>6530</v>
      </c>
    </row>
    <row r="3695" spans="7:33" ht="15.75" customHeight="1">
      <c r="G3695" s="36"/>
      <c r="H3695" s="36"/>
      <c r="I3695" s="36"/>
      <c r="J3695" s="39"/>
      <c r="K3695" s="39"/>
      <c r="AF3695" s="42" t="s">
        <v>6263</v>
      </c>
      <c r="AG3695" s="42" t="s">
        <v>6530</v>
      </c>
    </row>
    <row r="3696" spans="7:33" ht="15.75" customHeight="1">
      <c r="G3696" s="36"/>
      <c r="H3696" s="36"/>
      <c r="I3696" s="36"/>
      <c r="J3696" s="39"/>
      <c r="K3696" s="39"/>
      <c r="AF3696" s="42" t="s">
        <v>3999</v>
      </c>
      <c r="AG3696" s="42" t="s">
        <v>6530</v>
      </c>
    </row>
    <row r="3697" spans="7:33" ht="15.75" customHeight="1">
      <c r="G3697" s="36"/>
      <c r="H3697" s="36"/>
      <c r="I3697" s="36"/>
      <c r="J3697" s="39"/>
      <c r="K3697" s="39"/>
      <c r="AF3697" s="42" t="s">
        <v>6104</v>
      </c>
      <c r="AG3697" s="42" t="s">
        <v>6530</v>
      </c>
    </row>
    <row r="3698" spans="7:33" ht="15.75" customHeight="1">
      <c r="G3698" s="36"/>
      <c r="H3698" s="36"/>
      <c r="I3698" s="36"/>
      <c r="J3698" s="39"/>
      <c r="K3698" s="39"/>
      <c r="AF3698" s="42" t="s">
        <v>4202</v>
      </c>
      <c r="AG3698" s="42" t="s">
        <v>6530</v>
      </c>
    </row>
    <row r="3699" spans="7:33" ht="15.75" customHeight="1">
      <c r="G3699" s="36"/>
      <c r="H3699" s="36"/>
      <c r="I3699" s="36"/>
      <c r="J3699" s="39"/>
      <c r="K3699" s="39"/>
      <c r="AF3699" s="42" t="s">
        <v>1405</v>
      </c>
      <c r="AG3699" s="42" t="s">
        <v>6530</v>
      </c>
    </row>
    <row r="3700" spans="7:33" ht="15.75" customHeight="1">
      <c r="G3700" s="36"/>
      <c r="H3700" s="36"/>
      <c r="I3700" s="36"/>
      <c r="J3700" s="39"/>
      <c r="K3700" s="39"/>
      <c r="AF3700" s="42" t="s">
        <v>3648</v>
      </c>
      <c r="AG3700" s="42" t="s">
        <v>6530</v>
      </c>
    </row>
    <row r="3701" spans="7:33" ht="15.75" customHeight="1">
      <c r="G3701" s="36"/>
      <c r="H3701" s="36"/>
      <c r="I3701" s="36"/>
      <c r="J3701" s="39"/>
      <c r="K3701" s="39"/>
      <c r="AF3701" s="42" t="s">
        <v>5844</v>
      </c>
      <c r="AG3701" s="42" t="s">
        <v>6530</v>
      </c>
    </row>
    <row r="3702" spans="7:33" ht="15.75" customHeight="1">
      <c r="G3702" s="36"/>
      <c r="H3702" s="36"/>
      <c r="I3702" s="36"/>
      <c r="J3702" s="39"/>
      <c r="K3702" s="39"/>
      <c r="AF3702" s="42" t="s">
        <v>5946</v>
      </c>
      <c r="AG3702" s="42" t="s">
        <v>6530</v>
      </c>
    </row>
    <row r="3703" spans="7:33" ht="15.75" customHeight="1">
      <c r="G3703" s="36"/>
      <c r="H3703" s="36"/>
      <c r="I3703" s="36"/>
      <c r="J3703" s="39"/>
      <c r="K3703" s="39"/>
      <c r="AF3703" s="42" t="s">
        <v>4633</v>
      </c>
      <c r="AG3703" s="42" t="s">
        <v>6530</v>
      </c>
    </row>
    <row r="3704" spans="7:33" ht="15.75" customHeight="1">
      <c r="G3704" s="36"/>
      <c r="H3704" s="36"/>
      <c r="I3704" s="36"/>
      <c r="J3704" s="39"/>
      <c r="K3704" s="39"/>
      <c r="AF3704" s="42" t="s">
        <v>3964</v>
      </c>
      <c r="AG3704" s="42" t="s">
        <v>6530</v>
      </c>
    </row>
    <row r="3705" spans="7:33" ht="15.75" customHeight="1">
      <c r="G3705" s="36"/>
      <c r="H3705" s="36"/>
      <c r="I3705" s="36"/>
      <c r="J3705" s="39"/>
      <c r="K3705" s="39"/>
      <c r="AF3705" s="42" t="s">
        <v>5083</v>
      </c>
      <c r="AG3705" s="42" t="s">
        <v>6530</v>
      </c>
    </row>
    <row r="3706" spans="7:33" ht="15.75" customHeight="1">
      <c r="G3706" s="36"/>
      <c r="H3706" s="36"/>
      <c r="I3706" s="36"/>
      <c r="J3706" s="39"/>
      <c r="K3706" s="39"/>
      <c r="AF3706" s="42" t="s">
        <v>4999</v>
      </c>
      <c r="AG3706" s="42" t="s">
        <v>6530</v>
      </c>
    </row>
    <row r="3707" spans="7:33" ht="15.75" customHeight="1">
      <c r="G3707" s="36"/>
      <c r="H3707" s="36"/>
      <c r="I3707" s="36"/>
      <c r="J3707" s="39"/>
      <c r="K3707" s="39"/>
      <c r="AF3707" s="42" t="s">
        <v>3219</v>
      </c>
      <c r="AG3707" s="42" t="s">
        <v>6530</v>
      </c>
    </row>
    <row r="3708" spans="7:33" ht="15.75" customHeight="1">
      <c r="G3708" s="36"/>
      <c r="H3708" s="36"/>
      <c r="I3708" s="36"/>
      <c r="J3708" s="39"/>
      <c r="K3708" s="39"/>
      <c r="AF3708" s="42" t="s">
        <v>3005</v>
      </c>
      <c r="AG3708" s="42" t="s">
        <v>6530</v>
      </c>
    </row>
    <row r="3709" spans="7:33" ht="15.75" customHeight="1">
      <c r="G3709" s="36"/>
      <c r="H3709" s="36"/>
      <c r="I3709" s="36"/>
      <c r="J3709" s="39"/>
      <c r="K3709" s="39"/>
      <c r="AF3709" s="42" t="s">
        <v>2200</v>
      </c>
      <c r="AG3709" s="42" t="s">
        <v>6530</v>
      </c>
    </row>
    <row r="3710" spans="7:33" ht="15.75" customHeight="1">
      <c r="G3710" s="36"/>
      <c r="H3710" s="36"/>
      <c r="I3710" s="36"/>
      <c r="J3710" s="39"/>
      <c r="K3710" s="39"/>
      <c r="AF3710" s="42" t="s">
        <v>2908</v>
      </c>
      <c r="AG3710" s="42" t="s">
        <v>6530</v>
      </c>
    </row>
    <row r="3711" spans="7:33" ht="15.75" customHeight="1">
      <c r="G3711" s="36"/>
      <c r="H3711" s="36"/>
      <c r="I3711" s="36"/>
      <c r="J3711" s="39"/>
      <c r="K3711" s="39"/>
      <c r="AF3711" s="42" t="s">
        <v>6146</v>
      </c>
      <c r="AG3711" s="42" t="s">
        <v>6530</v>
      </c>
    </row>
    <row r="3712" spans="7:33" ht="15.75" customHeight="1">
      <c r="G3712" s="36"/>
      <c r="H3712" s="36"/>
      <c r="I3712" s="36"/>
      <c r="J3712" s="39"/>
      <c r="K3712" s="39"/>
      <c r="AF3712" s="42" t="s">
        <v>2333</v>
      </c>
      <c r="AG3712" s="42" t="s">
        <v>6530</v>
      </c>
    </row>
    <row r="3713" spans="7:33" ht="15.75" customHeight="1">
      <c r="G3713" s="36"/>
      <c r="H3713" s="36"/>
      <c r="I3713" s="36"/>
      <c r="J3713" s="39"/>
      <c r="K3713" s="39"/>
      <c r="AF3713" s="42" t="s">
        <v>1927</v>
      </c>
      <c r="AG3713" s="42" t="s">
        <v>6530</v>
      </c>
    </row>
    <row r="3714" spans="7:33" ht="15.75" customHeight="1">
      <c r="G3714" s="36"/>
      <c r="H3714" s="36"/>
      <c r="I3714" s="36"/>
      <c r="J3714" s="39"/>
      <c r="K3714" s="39"/>
      <c r="AF3714" s="42" t="s">
        <v>3406</v>
      </c>
      <c r="AG3714" s="42" t="s">
        <v>6530</v>
      </c>
    </row>
    <row r="3715" spans="7:33" ht="15.75" customHeight="1">
      <c r="G3715" s="36"/>
      <c r="H3715" s="36"/>
      <c r="I3715" s="36"/>
      <c r="J3715" s="39"/>
      <c r="K3715" s="39"/>
      <c r="AF3715" s="42" t="s">
        <v>1696</v>
      </c>
      <c r="AG3715" s="42" t="s">
        <v>6530</v>
      </c>
    </row>
    <row r="3716" spans="7:33" ht="15.75" customHeight="1">
      <c r="G3716" s="36"/>
      <c r="H3716" s="36"/>
      <c r="I3716" s="36"/>
      <c r="J3716" s="39"/>
      <c r="K3716" s="39"/>
      <c r="AF3716" s="42" t="s">
        <v>5783</v>
      </c>
      <c r="AG3716" s="42" t="s">
        <v>6530</v>
      </c>
    </row>
    <row r="3717" spans="7:33" ht="15.75" customHeight="1">
      <c r="G3717" s="36"/>
      <c r="H3717" s="36"/>
      <c r="I3717" s="36"/>
      <c r="J3717" s="39"/>
      <c r="K3717" s="39"/>
      <c r="AF3717" s="42" t="s">
        <v>3666</v>
      </c>
      <c r="AG3717" s="42" t="s">
        <v>6530</v>
      </c>
    </row>
    <row r="3718" spans="7:33" ht="15.75" customHeight="1">
      <c r="G3718" s="36"/>
      <c r="H3718" s="36"/>
      <c r="I3718" s="36"/>
      <c r="J3718" s="39"/>
      <c r="K3718" s="39"/>
      <c r="AF3718" s="42" t="s">
        <v>6007</v>
      </c>
      <c r="AG3718" s="42" t="s">
        <v>6530</v>
      </c>
    </row>
    <row r="3719" spans="7:33" ht="15.75" customHeight="1">
      <c r="G3719" s="36"/>
      <c r="H3719" s="36"/>
      <c r="I3719" s="36"/>
      <c r="J3719" s="39"/>
      <c r="K3719" s="39"/>
      <c r="AF3719" s="42" t="s">
        <v>5810</v>
      </c>
      <c r="AG3719" s="42" t="s">
        <v>6530</v>
      </c>
    </row>
    <row r="3720" spans="7:33" ht="15.75" customHeight="1">
      <c r="G3720" s="36"/>
      <c r="H3720" s="36"/>
      <c r="I3720" s="36"/>
      <c r="J3720" s="39"/>
      <c r="K3720" s="39"/>
      <c r="AF3720" s="42" t="s">
        <v>6540</v>
      </c>
      <c r="AG3720" s="42" t="s">
        <v>6530</v>
      </c>
    </row>
    <row r="3721" spans="7:33" ht="15.75" customHeight="1">
      <c r="G3721" s="36"/>
      <c r="H3721" s="36"/>
      <c r="I3721" s="36"/>
      <c r="J3721" s="39"/>
      <c r="K3721" s="39"/>
      <c r="AF3721" s="42" t="s">
        <v>2483</v>
      </c>
      <c r="AG3721" s="42" t="s">
        <v>6530</v>
      </c>
    </row>
    <row r="3722" spans="7:33" ht="15.75" customHeight="1">
      <c r="G3722" s="36"/>
      <c r="H3722" s="36"/>
      <c r="I3722" s="36"/>
      <c r="J3722" s="39"/>
      <c r="K3722" s="39"/>
      <c r="AF3722" s="42" t="s">
        <v>1736</v>
      </c>
      <c r="AG3722" s="42" t="s">
        <v>6530</v>
      </c>
    </row>
    <row r="3723" spans="7:33" ht="15.75" customHeight="1">
      <c r="G3723" s="36"/>
      <c r="H3723" s="36"/>
      <c r="I3723" s="36"/>
      <c r="J3723" s="39"/>
      <c r="K3723" s="39"/>
      <c r="AF3723" s="42" t="s">
        <v>3867</v>
      </c>
      <c r="AG3723" s="42" t="s">
        <v>6530</v>
      </c>
    </row>
    <row r="3724" spans="7:33" ht="15.75" customHeight="1">
      <c r="G3724" s="36"/>
      <c r="H3724" s="36"/>
      <c r="I3724" s="36"/>
      <c r="J3724" s="39"/>
      <c r="K3724" s="39"/>
      <c r="AF3724" s="42" t="s">
        <v>6045</v>
      </c>
      <c r="AG3724" s="42" t="s">
        <v>6530</v>
      </c>
    </row>
    <row r="3725" spans="7:33" ht="15.75" customHeight="1">
      <c r="G3725" s="36"/>
      <c r="H3725" s="36"/>
      <c r="I3725" s="36"/>
      <c r="J3725" s="39"/>
      <c r="K3725" s="39"/>
      <c r="AF3725" s="42" t="s">
        <v>1948</v>
      </c>
      <c r="AG3725" s="42" t="s">
        <v>6530</v>
      </c>
    </row>
    <row r="3726" spans="7:33" ht="15.75" customHeight="1">
      <c r="G3726" s="36"/>
      <c r="H3726" s="36"/>
      <c r="I3726" s="36"/>
      <c r="J3726" s="39"/>
      <c r="K3726" s="39"/>
      <c r="AF3726" s="42" t="s">
        <v>3271</v>
      </c>
      <c r="AG3726" s="42" t="s">
        <v>6530</v>
      </c>
    </row>
    <row r="3727" spans="7:33" ht="15.75" customHeight="1">
      <c r="G3727" s="36"/>
      <c r="H3727" s="36"/>
      <c r="I3727" s="36"/>
      <c r="J3727" s="39"/>
      <c r="K3727" s="39"/>
      <c r="AF3727" s="42" t="s">
        <v>6828</v>
      </c>
      <c r="AG3727" s="42" t="s">
        <v>6530</v>
      </c>
    </row>
    <row r="3728" spans="7:33" ht="15.75" customHeight="1">
      <c r="G3728" s="36"/>
      <c r="H3728" s="36"/>
      <c r="I3728" s="36"/>
      <c r="J3728" s="39"/>
      <c r="K3728" s="39"/>
      <c r="AF3728" s="42" t="s">
        <v>2254</v>
      </c>
      <c r="AG3728" s="42" t="s">
        <v>6530</v>
      </c>
    </row>
    <row r="3729" spans="7:33" ht="15.75" customHeight="1">
      <c r="G3729" s="36"/>
      <c r="H3729" s="36"/>
      <c r="I3729" s="36"/>
      <c r="J3729" s="39"/>
      <c r="K3729" s="39"/>
      <c r="AF3729" s="42" t="s">
        <v>6535</v>
      </c>
      <c r="AG3729" s="42" t="s">
        <v>6530</v>
      </c>
    </row>
    <row r="3730" spans="7:33" ht="15.75" customHeight="1">
      <c r="G3730" s="36"/>
      <c r="H3730" s="36"/>
      <c r="I3730" s="36"/>
      <c r="J3730" s="39"/>
      <c r="K3730" s="39"/>
      <c r="AF3730" s="42" t="s">
        <v>1039</v>
      </c>
      <c r="AG3730" s="42" t="s">
        <v>6530</v>
      </c>
    </row>
    <row r="3731" spans="7:33" ht="15.75" customHeight="1">
      <c r="G3731" s="36"/>
      <c r="H3731" s="36"/>
      <c r="I3731" s="36"/>
      <c r="J3731" s="39"/>
      <c r="K3731" s="39"/>
      <c r="AF3731" s="42" t="s">
        <v>6368</v>
      </c>
      <c r="AG3731" s="42" t="s">
        <v>6530</v>
      </c>
    </row>
    <row r="3732" spans="7:33" ht="15.75" customHeight="1">
      <c r="G3732" s="36"/>
      <c r="H3732" s="36"/>
      <c r="I3732" s="36"/>
      <c r="J3732" s="39"/>
      <c r="K3732" s="39"/>
      <c r="AF3732" s="42" t="s">
        <v>4107</v>
      </c>
      <c r="AG3732" s="42" t="s">
        <v>6530</v>
      </c>
    </row>
    <row r="3733" spans="7:33" ht="15.75" customHeight="1">
      <c r="G3733" s="36"/>
      <c r="H3733" s="36"/>
      <c r="I3733" s="36"/>
      <c r="J3733" s="39"/>
      <c r="K3733" s="39"/>
      <c r="AF3733" s="42" t="s">
        <v>4460</v>
      </c>
      <c r="AG3733" s="42" t="s">
        <v>6530</v>
      </c>
    </row>
    <row r="3734" spans="7:33" ht="15.75" customHeight="1">
      <c r="G3734" s="36"/>
      <c r="H3734" s="36"/>
      <c r="I3734" s="36"/>
      <c r="J3734" s="39"/>
      <c r="K3734" s="39"/>
      <c r="AF3734" s="42" t="s">
        <v>6442</v>
      </c>
      <c r="AG3734" s="42" t="s">
        <v>6530</v>
      </c>
    </row>
    <row r="3735" spans="7:33" ht="15.75" customHeight="1">
      <c r="G3735" s="36"/>
      <c r="H3735" s="36"/>
      <c r="I3735" s="36"/>
      <c r="J3735" s="39"/>
      <c r="K3735" s="39"/>
      <c r="AF3735" s="42" t="s">
        <v>6531</v>
      </c>
      <c r="AG3735" s="42" t="s">
        <v>6530</v>
      </c>
    </row>
    <row r="3736" spans="7:33" ht="15.75" customHeight="1">
      <c r="G3736" s="36"/>
      <c r="H3736" s="36"/>
      <c r="I3736" s="36"/>
      <c r="J3736" s="39"/>
      <c r="K3736" s="39"/>
      <c r="AF3736" s="42" t="s">
        <v>3393</v>
      </c>
      <c r="AG3736" s="42" t="s">
        <v>6530</v>
      </c>
    </row>
    <row r="3737" spans="7:33" ht="15.75" customHeight="1">
      <c r="G3737" s="36"/>
      <c r="H3737" s="36"/>
      <c r="I3737" s="36"/>
      <c r="J3737" s="39"/>
      <c r="K3737" s="39"/>
      <c r="AF3737" s="42" t="s">
        <v>3693</v>
      </c>
      <c r="AG3737" s="42" t="s">
        <v>6530</v>
      </c>
    </row>
    <row r="3738" spans="7:33" ht="15.75" customHeight="1">
      <c r="G3738" s="36"/>
      <c r="H3738" s="36"/>
      <c r="I3738" s="36"/>
      <c r="J3738" s="39"/>
      <c r="K3738" s="39"/>
      <c r="AF3738" s="42" t="s">
        <v>2233</v>
      </c>
      <c r="AG3738" s="42" t="s">
        <v>6530</v>
      </c>
    </row>
    <row r="3739" spans="7:33" ht="15.75" customHeight="1">
      <c r="G3739" s="36"/>
      <c r="H3739" s="36"/>
      <c r="I3739" s="36"/>
      <c r="J3739" s="39"/>
      <c r="K3739" s="39"/>
      <c r="AF3739" s="42" t="s">
        <v>4520</v>
      </c>
      <c r="AG3739" s="42" t="s">
        <v>6530</v>
      </c>
    </row>
    <row r="3740" spans="7:33" ht="15.75" customHeight="1">
      <c r="G3740" s="36"/>
      <c r="H3740" s="36"/>
      <c r="I3740" s="36"/>
      <c r="J3740" s="39"/>
      <c r="K3740" s="39"/>
      <c r="AF3740" s="42" t="s">
        <v>6209</v>
      </c>
      <c r="AG3740" s="42" t="s">
        <v>6530</v>
      </c>
    </row>
    <row r="3741" spans="7:33" ht="15.75" customHeight="1">
      <c r="G3741" s="36"/>
      <c r="H3741" s="36"/>
      <c r="I3741" s="36"/>
      <c r="J3741" s="39"/>
      <c r="K3741" s="39"/>
      <c r="AF3741" s="42" t="s">
        <v>878</v>
      </c>
      <c r="AG3741" s="42" t="s">
        <v>6530</v>
      </c>
    </row>
    <row r="3742" spans="7:33" ht="15.75" customHeight="1">
      <c r="G3742" s="36"/>
      <c r="H3742" s="36"/>
      <c r="I3742" s="36"/>
      <c r="J3742" s="39"/>
      <c r="K3742" s="39"/>
      <c r="AF3742" s="42" t="s">
        <v>1124</v>
      </c>
      <c r="AG3742" s="42" t="s">
        <v>6530</v>
      </c>
    </row>
    <row r="3743" spans="7:33" ht="15.75" customHeight="1">
      <c r="G3743" s="36"/>
      <c r="H3743" s="36"/>
      <c r="I3743" s="36"/>
      <c r="J3743" s="39"/>
      <c r="K3743" s="39"/>
      <c r="AF3743" s="42" t="s">
        <v>1934</v>
      </c>
      <c r="AG3743" s="42" t="s">
        <v>6530</v>
      </c>
    </row>
    <row r="3744" spans="7:33" ht="15.75" customHeight="1">
      <c r="G3744" s="36"/>
      <c r="H3744" s="36"/>
      <c r="I3744" s="36"/>
      <c r="J3744" s="39"/>
      <c r="K3744" s="39"/>
      <c r="AF3744" s="42" t="s">
        <v>2074</v>
      </c>
      <c r="AG3744" s="42" t="s">
        <v>6530</v>
      </c>
    </row>
    <row r="3745" spans="7:33" ht="15.75" customHeight="1">
      <c r="G3745" s="36"/>
      <c r="H3745" s="36"/>
      <c r="I3745" s="36"/>
      <c r="J3745" s="39"/>
      <c r="K3745" s="39"/>
      <c r="AF3745" s="42" t="s">
        <v>5818</v>
      </c>
      <c r="AG3745" s="42" t="s">
        <v>6530</v>
      </c>
    </row>
    <row r="3746" spans="7:33" ht="15.75" customHeight="1">
      <c r="G3746" s="36"/>
      <c r="H3746" s="36"/>
      <c r="I3746" s="36"/>
      <c r="J3746" s="39"/>
      <c r="K3746" s="39"/>
      <c r="AF3746" s="42" t="s">
        <v>3527</v>
      </c>
      <c r="AG3746" s="42" t="s">
        <v>6530</v>
      </c>
    </row>
    <row r="3747" spans="7:33" ht="15.75" customHeight="1">
      <c r="G3747" s="36"/>
      <c r="H3747" s="36"/>
      <c r="I3747" s="36"/>
      <c r="J3747" s="39"/>
      <c r="K3747" s="39"/>
      <c r="AF3747" s="42" t="s">
        <v>3504</v>
      </c>
      <c r="AG3747" s="42" t="s">
        <v>6530</v>
      </c>
    </row>
    <row r="3748" spans="7:33" ht="15.75" customHeight="1">
      <c r="G3748" s="36"/>
      <c r="H3748" s="36"/>
      <c r="I3748" s="36"/>
      <c r="J3748" s="39"/>
      <c r="K3748" s="39"/>
      <c r="AF3748" s="42" t="s">
        <v>1676</v>
      </c>
      <c r="AG3748" s="42" t="s">
        <v>6530</v>
      </c>
    </row>
    <row r="3749" spans="7:33" ht="15.75" customHeight="1">
      <c r="G3749" s="36"/>
      <c r="H3749" s="36"/>
      <c r="I3749" s="36"/>
      <c r="J3749" s="39"/>
      <c r="K3749" s="39"/>
      <c r="AF3749" s="42" t="s">
        <v>4182</v>
      </c>
      <c r="AG3749" s="42" t="s">
        <v>6530</v>
      </c>
    </row>
    <row r="3750" spans="7:33" ht="15.75" customHeight="1">
      <c r="G3750" s="36"/>
      <c r="H3750" s="36"/>
      <c r="I3750" s="36"/>
      <c r="J3750" s="39"/>
      <c r="K3750" s="39"/>
      <c r="AF3750" s="42" t="s">
        <v>6257</v>
      </c>
      <c r="AG3750" s="42" t="s">
        <v>6530</v>
      </c>
    </row>
    <row r="3751" spans="7:33" ht="15.75" customHeight="1">
      <c r="G3751" s="36"/>
      <c r="H3751" s="36"/>
      <c r="I3751" s="36"/>
      <c r="J3751" s="39"/>
      <c r="K3751" s="39"/>
      <c r="AF3751" s="42" t="s">
        <v>1900</v>
      </c>
      <c r="AG3751" s="42" t="s">
        <v>6530</v>
      </c>
    </row>
    <row r="3752" spans="7:33" ht="15.75" customHeight="1">
      <c r="G3752" s="36"/>
      <c r="H3752" s="36"/>
      <c r="I3752" s="36"/>
      <c r="J3752" s="39"/>
      <c r="K3752" s="39"/>
      <c r="AF3752" s="42" t="s">
        <v>5045</v>
      </c>
      <c r="AG3752" s="42" t="s">
        <v>6530</v>
      </c>
    </row>
    <row r="3753" spans="7:33" ht="15.75" customHeight="1">
      <c r="G3753" s="36"/>
      <c r="H3753" s="36"/>
      <c r="I3753" s="36"/>
      <c r="J3753" s="39"/>
      <c r="K3753" s="39"/>
      <c r="AF3753" s="42" t="s">
        <v>5973</v>
      </c>
      <c r="AG3753" s="42" t="s">
        <v>6530</v>
      </c>
    </row>
    <row r="3754" spans="7:33" ht="15.75" customHeight="1">
      <c r="G3754" s="36"/>
      <c r="H3754" s="36"/>
      <c r="I3754" s="36"/>
      <c r="J3754" s="39"/>
      <c r="K3754" s="39"/>
      <c r="AF3754" s="42" t="s">
        <v>4690</v>
      </c>
      <c r="AG3754" s="42" t="s">
        <v>6530</v>
      </c>
    </row>
    <row r="3755" spans="7:33" ht="15.75" customHeight="1">
      <c r="G3755" s="36"/>
      <c r="H3755" s="36"/>
      <c r="I3755" s="36"/>
      <c r="J3755" s="39"/>
      <c r="K3755" s="39"/>
      <c r="AF3755" s="42" t="s">
        <v>2113</v>
      </c>
      <c r="AG3755" s="42" t="s">
        <v>6530</v>
      </c>
    </row>
    <row r="3756" spans="7:33" ht="15.75" customHeight="1">
      <c r="G3756" s="36"/>
      <c r="H3756" s="36"/>
      <c r="I3756" s="36"/>
      <c r="J3756" s="39"/>
      <c r="K3756" s="39"/>
      <c r="AF3756" s="42" t="s">
        <v>3799</v>
      </c>
      <c r="AG3756" s="42" t="s">
        <v>6530</v>
      </c>
    </row>
    <row r="3757" spans="7:33" ht="15.75" customHeight="1">
      <c r="G3757" s="36"/>
      <c r="H3757" s="36"/>
      <c r="I3757" s="36"/>
      <c r="J3757" s="39"/>
      <c r="K3757" s="39"/>
      <c r="AF3757" s="42" t="s">
        <v>6134</v>
      </c>
      <c r="AG3757" s="42" t="s">
        <v>6530</v>
      </c>
    </row>
    <row r="3758" spans="7:33" ht="15.75" customHeight="1">
      <c r="G3758" s="36"/>
      <c r="H3758" s="36"/>
      <c r="I3758" s="36"/>
      <c r="J3758" s="39"/>
      <c r="K3758" s="39"/>
      <c r="AF3758" s="42" t="s">
        <v>2796</v>
      </c>
      <c r="AG3758" s="42" t="s">
        <v>6530</v>
      </c>
    </row>
    <row r="3759" spans="7:33" ht="15.75" customHeight="1">
      <c r="G3759" s="36"/>
      <c r="H3759" s="36"/>
      <c r="I3759" s="36"/>
      <c r="J3759" s="39"/>
      <c r="K3759" s="39"/>
      <c r="AF3759" s="42" t="s">
        <v>4382</v>
      </c>
      <c r="AG3759" s="42" t="s">
        <v>6530</v>
      </c>
    </row>
    <row r="3760" spans="7:33" ht="15.75" customHeight="1">
      <c r="G3760" s="36"/>
      <c r="H3760" s="36"/>
      <c r="I3760" s="36"/>
      <c r="J3760" s="39"/>
      <c r="K3760" s="39"/>
      <c r="AF3760" s="42" t="s">
        <v>5323</v>
      </c>
      <c r="AG3760" s="42" t="s">
        <v>6530</v>
      </c>
    </row>
    <row r="3761" spans="7:33" ht="15.75" customHeight="1">
      <c r="G3761" s="36"/>
      <c r="H3761" s="36"/>
      <c r="I3761" s="36"/>
      <c r="J3761" s="39"/>
      <c r="K3761" s="39"/>
      <c r="AF3761" s="42" t="s">
        <v>4863</v>
      </c>
      <c r="AG3761" s="42" t="s">
        <v>6530</v>
      </c>
    </row>
    <row r="3762" spans="7:33" ht="15.75" customHeight="1">
      <c r="G3762" s="36"/>
      <c r="H3762" s="36"/>
      <c r="I3762" s="36"/>
      <c r="J3762" s="39"/>
      <c r="K3762" s="39"/>
      <c r="AF3762" s="42" t="s">
        <v>3235</v>
      </c>
      <c r="AG3762" s="42" t="s">
        <v>6530</v>
      </c>
    </row>
    <row r="3763" spans="7:33" ht="15.75" customHeight="1">
      <c r="G3763" s="36"/>
      <c r="H3763" s="36"/>
      <c r="I3763" s="36"/>
      <c r="J3763" s="39"/>
      <c r="K3763" s="39"/>
      <c r="AF3763" s="42" t="s">
        <v>1164</v>
      </c>
      <c r="AG3763" s="42" t="s">
        <v>6530</v>
      </c>
    </row>
    <row r="3764" spans="7:33" ht="15.75" customHeight="1">
      <c r="G3764" s="36"/>
      <c r="H3764" s="36"/>
      <c r="I3764" s="36"/>
      <c r="J3764" s="39"/>
      <c r="K3764" s="39"/>
      <c r="AF3764" s="42" t="s">
        <v>4683</v>
      </c>
      <c r="AG3764" s="42" t="s">
        <v>6530</v>
      </c>
    </row>
    <row r="3765" spans="7:33" ht="15.75" customHeight="1">
      <c r="G3765" s="36"/>
      <c r="H3765" s="36"/>
      <c r="I3765" s="36"/>
      <c r="J3765" s="39"/>
      <c r="K3765" s="39"/>
      <c r="AF3765" s="42" t="s">
        <v>4844</v>
      </c>
      <c r="AG3765" s="42" t="s">
        <v>6530</v>
      </c>
    </row>
    <row r="3766" spans="7:33" ht="15.75" customHeight="1">
      <c r="G3766" s="36"/>
      <c r="H3766" s="36"/>
      <c r="I3766" s="36"/>
      <c r="J3766" s="39"/>
      <c r="K3766" s="39"/>
      <c r="AF3766" s="42" t="s">
        <v>1872</v>
      </c>
      <c r="AG3766" s="42" t="s">
        <v>6530</v>
      </c>
    </row>
    <row r="3767" spans="7:33" ht="15.75" customHeight="1">
      <c r="G3767" s="36"/>
      <c r="H3767" s="36"/>
      <c r="I3767" s="36"/>
      <c r="J3767" s="39"/>
      <c r="K3767" s="39"/>
      <c r="AF3767" s="42" t="s">
        <v>6081</v>
      </c>
      <c r="AG3767" s="42" t="s">
        <v>6530</v>
      </c>
    </row>
    <row r="3768" spans="7:33" ht="15.75" customHeight="1">
      <c r="G3768" s="36"/>
      <c r="H3768" s="36"/>
      <c r="I3768" s="36"/>
      <c r="J3768" s="39"/>
      <c r="K3768" s="39"/>
      <c r="AF3768" s="42" t="s">
        <v>4526</v>
      </c>
      <c r="AG3768" s="42" t="s">
        <v>6530</v>
      </c>
    </row>
    <row r="3769" spans="7:33" ht="15.75" customHeight="1">
      <c r="G3769" s="36"/>
      <c r="H3769" s="36"/>
      <c r="I3769" s="36"/>
      <c r="J3769" s="39"/>
      <c r="K3769" s="39"/>
      <c r="AF3769" s="42" t="s">
        <v>3242</v>
      </c>
      <c r="AG3769" s="42" t="s">
        <v>6530</v>
      </c>
    </row>
    <row r="3770" spans="7:33" ht="15.75" customHeight="1">
      <c r="G3770" s="36"/>
      <c r="H3770" s="36"/>
      <c r="I3770" s="36"/>
      <c r="J3770" s="39"/>
      <c r="K3770" s="39"/>
      <c r="AF3770" s="42" t="s">
        <v>5994</v>
      </c>
      <c r="AG3770" s="42" t="s">
        <v>6530</v>
      </c>
    </row>
    <row r="3771" spans="7:33" ht="15.75" customHeight="1">
      <c r="G3771" s="36"/>
      <c r="H3771" s="36"/>
      <c r="I3771" s="36"/>
      <c r="J3771" s="39"/>
      <c r="K3771" s="39"/>
      <c r="AF3771" s="42" t="s">
        <v>4850</v>
      </c>
      <c r="AG3771" s="42" t="s">
        <v>6530</v>
      </c>
    </row>
    <row r="3772" spans="7:33" ht="15.75" customHeight="1">
      <c r="G3772" s="36"/>
      <c r="H3772" s="36"/>
      <c r="I3772" s="36"/>
      <c r="J3772" s="39"/>
      <c r="K3772" s="39"/>
      <c r="AF3772" s="42" t="s">
        <v>3263</v>
      </c>
      <c r="AG3772" s="42" t="s">
        <v>6530</v>
      </c>
    </row>
    <row r="3773" spans="7:33" ht="15.75" customHeight="1">
      <c r="G3773" s="36"/>
      <c r="H3773" s="36"/>
      <c r="I3773" s="36"/>
      <c r="J3773" s="39"/>
      <c r="K3773" s="39"/>
      <c r="AF3773" s="42" t="s">
        <v>1420</v>
      </c>
      <c r="AG3773" s="42" t="s">
        <v>6530</v>
      </c>
    </row>
    <row r="3774" spans="7:33" ht="15.75" customHeight="1">
      <c r="G3774" s="36"/>
      <c r="H3774" s="36"/>
      <c r="I3774" s="36"/>
      <c r="J3774" s="39"/>
      <c r="K3774" s="39"/>
      <c r="AF3774" s="42" t="s">
        <v>6817</v>
      </c>
      <c r="AG3774" s="42" t="s">
        <v>6530</v>
      </c>
    </row>
    <row r="3775" spans="7:33" ht="15.75" customHeight="1">
      <c r="G3775" s="36"/>
      <c r="H3775" s="36"/>
      <c r="I3775" s="36"/>
      <c r="J3775" s="39"/>
      <c r="K3775" s="39"/>
      <c r="AF3775" s="42" t="s">
        <v>4772</v>
      </c>
      <c r="AG3775" s="42" t="s">
        <v>6530</v>
      </c>
    </row>
    <row r="3776" spans="7:33" ht="15.75" customHeight="1">
      <c r="G3776" s="36"/>
      <c r="H3776" s="36"/>
      <c r="I3776" s="36"/>
      <c r="J3776" s="39"/>
      <c r="K3776" s="39"/>
      <c r="AF3776" s="42" t="s">
        <v>1262</v>
      </c>
      <c r="AG3776" s="42" t="s">
        <v>6530</v>
      </c>
    </row>
    <row r="3777" spans="7:33" ht="15.75" customHeight="1">
      <c r="G3777" s="36"/>
      <c r="H3777" s="36"/>
      <c r="I3777" s="36"/>
      <c r="J3777" s="39"/>
      <c r="K3777" s="39"/>
      <c r="AF3777" s="42" t="s">
        <v>1496</v>
      </c>
      <c r="AG3777" s="42" t="s">
        <v>6530</v>
      </c>
    </row>
    <row r="3778" spans="7:33" ht="15.75" customHeight="1">
      <c r="G3778" s="36"/>
      <c r="H3778" s="36"/>
      <c r="I3778" s="36"/>
      <c r="J3778" s="39"/>
      <c r="K3778" s="39"/>
      <c r="AF3778" s="42" t="s">
        <v>1487</v>
      </c>
      <c r="AG3778" s="42" t="s">
        <v>6530</v>
      </c>
    </row>
    <row r="3779" spans="7:33" ht="15.75" customHeight="1">
      <c r="G3779" s="36"/>
      <c r="H3779" s="36"/>
      <c r="I3779" s="36"/>
      <c r="J3779" s="39"/>
      <c r="K3779" s="39"/>
      <c r="AF3779" s="42" t="s">
        <v>3749</v>
      </c>
      <c r="AG3779" s="42" t="s">
        <v>6530</v>
      </c>
    </row>
    <row r="3780" spans="7:33" ht="15.75" customHeight="1">
      <c r="G3780" s="36"/>
      <c r="H3780" s="36"/>
      <c r="I3780" s="36"/>
      <c r="J3780" s="39"/>
      <c r="K3780" s="39"/>
      <c r="AF3780" s="42" t="s">
        <v>1458</v>
      </c>
      <c r="AG3780" s="42" t="s">
        <v>6530</v>
      </c>
    </row>
    <row r="3781" spans="7:33" ht="15.75" customHeight="1">
      <c r="G3781" s="36"/>
      <c r="H3781" s="36"/>
      <c r="I3781" s="36"/>
      <c r="J3781" s="39"/>
      <c r="K3781" s="39"/>
      <c r="AF3781" s="42" t="s">
        <v>1853</v>
      </c>
      <c r="AG3781" s="42" t="s">
        <v>6530</v>
      </c>
    </row>
    <row r="3782" spans="7:33" ht="15.75" customHeight="1">
      <c r="G3782" s="36"/>
      <c r="H3782" s="36"/>
      <c r="I3782" s="36"/>
      <c r="J3782" s="39"/>
      <c r="K3782" s="39"/>
      <c r="AF3782" s="42" t="s">
        <v>2718</v>
      </c>
      <c r="AG3782" s="42" t="s">
        <v>6530</v>
      </c>
    </row>
    <row r="3783" spans="7:33" ht="15.75" customHeight="1">
      <c r="G3783" s="36"/>
      <c r="H3783" s="36"/>
      <c r="I3783" s="36"/>
      <c r="J3783" s="39"/>
      <c r="K3783" s="39"/>
      <c r="AF3783" s="42" t="s">
        <v>2671</v>
      </c>
      <c r="AG3783" s="42" t="s">
        <v>6530</v>
      </c>
    </row>
    <row r="3784" spans="7:33" ht="15.75" customHeight="1">
      <c r="G3784" s="36"/>
      <c r="H3784" s="36"/>
      <c r="I3784" s="36"/>
      <c r="J3784" s="39"/>
      <c r="K3784" s="39"/>
      <c r="AF3784" s="42" t="s">
        <v>2491</v>
      </c>
      <c r="AG3784" s="42" t="s">
        <v>6530</v>
      </c>
    </row>
    <row r="3785" spans="7:33" ht="15.75" customHeight="1">
      <c r="G3785" s="36"/>
      <c r="H3785" s="36"/>
      <c r="I3785" s="36"/>
      <c r="J3785" s="39"/>
      <c r="K3785" s="39"/>
      <c r="AF3785" s="42" t="s">
        <v>5291</v>
      </c>
      <c r="AG3785" s="42" t="s">
        <v>6530</v>
      </c>
    </row>
    <row r="3786" spans="7:33" ht="15.75" customHeight="1">
      <c r="G3786" s="36"/>
      <c r="H3786" s="36"/>
      <c r="I3786" s="36"/>
      <c r="J3786" s="39"/>
      <c r="K3786" s="39"/>
      <c r="AF3786" s="42" t="s">
        <v>1920</v>
      </c>
      <c r="AG3786" s="42" t="s">
        <v>6530</v>
      </c>
    </row>
    <row r="3787" spans="7:33" ht="15.75" customHeight="1">
      <c r="G3787" s="36"/>
      <c r="H3787" s="36"/>
      <c r="I3787" s="36"/>
      <c r="J3787" s="39"/>
      <c r="K3787" s="39"/>
      <c r="AF3787" s="42" t="s">
        <v>5867</v>
      </c>
      <c r="AG3787" s="42" t="s">
        <v>6530</v>
      </c>
    </row>
    <row r="3788" spans="7:33" ht="15.75" customHeight="1">
      <c r="G3788" s="36"/>
      <c r="H3788" s="36"/>
      <c r="I3788" s="36"/>
      <c r="J3788" s="39"/>
      <c r="K3788" s="39"/>
      <c r="AF3788" s="42" t="s">
        <v>4489</v>
      </c>
      <c r="AG3788" s="42" t="s">
        <v>6530</v>
      </c>
    </row>
    <row r="3789" spans="7:33" ht="15.75" customHeight="1">
      <c r="G3789" s="36"/>
      <c r="H3789" s="36"/>
      <c r="I3789" s="36"/>
      <c r="J3789" s="39"/>
      <c r="K3789" s="39"/>
      <c r="AF3789" s="42" t="s">
        <v>6182</v>
      </c>
      <c r="AG3789" s="42" t="s">
        <v>6530</v>
      </c>
    </row>
    <row r="3790" spans="7:33" ht="15.75" customHeight="1">
      <c r="G3790" s="36"/>
      <c r="H3790" s="36"/>
      <c r="I3790" s="36"/>
      <c r="J3790" s="39"/>
      <c r="K3790" s="39"/>
      <c r="AF3790" s="42" t="s">
        <v>2348</v>
      </c>
      <c r="AG3790" s="42" t="s">
        <v>6530</v>
      </c>
    </row>
    <row r="3791" spans="7:33" ht="15.75" customHeight="1">
      <c r="G3791" s="36"/>
      <c r="H3791" s="36"/>
      <c r="I3791" s="36"/>
      <c r="J3791" s="39"/>
      <c r="K3791" s="39"/>
      <c r="AF3791" s="42" t="s">
        <v>5897</v>
      </c>
      <c r="AG3791" s="42" t="s">
        <v>6530</v>
      </c>
    </row>
    <row r="3792" spans="7:33" ht="15.75" customHeight="1">
      <c r="G3792" s="36"/>
      <c r="H3792" s="36"/>
      <c r="I3792" s="36"/>
      <c r="J3792" s="39"/>
      <c r="K3792" s="39"/>
      <c r="AF3792" s="42" t="s">
        <v>4899</v>
      </c>
      <c r="AG3792" s="42" t="s">
        <v>6530</v>
      </c>
    </row>
    <row r="3793" spans="7:33" ht="15.75" customHeight="1">
      <c r="G3793" s="36"/>
      <c r="H3793" s="36"/>
      <c r="I3793" s="36"/>
      <c r="J3793" s="39"/>
      <c r="K3793" s="39"/>
      <c r="AF3793" s="42" t="s">
        <v>1211</v>
      </c>
      <c r="AG3793" s="42" t="s">
        <v>6530</v>
      </c>
    </row>
    <row r="3794" spans="7:33" ht="15.75" customHeight="1">
      <c r="G3794" s="36"/>
      <c r="H3794" s="36"/>
      <c r="I3794" s="36"/>
      <c r="J3794" s="39"/>
      <c r="K3794" s="39"/>
      <c r="AF3794" s="42" t="s">
        <v>2557</v>
      </c>
      <c r="AG3794" s="42" t="s">
        <v>6530</v>
      </c>
    </row>
    <row r="3795" spans="7:33" ht="15.75" customHeight="1">
      <c r="G3795" s="36"/>
      <c r="H3795" s="36"/>
      <c r="I3795" s="36"/>
      <c r="J3795" s="39"/>
      <c r="K3795" s="39"/>
      <c r="AF3795" s="42" t="s">
        <v>3168</v>
      </c>
      <c r="AG3795" s="42" t="s">
        <v>6530</v>
      </c>
    </row>
    <row r="3796" spans="7:33" ht="15.75" customHeight="1">
      <c r="G3796" s="36"/>
      <c r="H3796" s="36"/>
      <c r="I3796" s="36"/>
      <c r="J3796" s="39"/>
      <c r="K3796" s="39"/>
      <c r="AF3796" s="42" t="s">
        <v>2839</v>
      </c>
      <c r="AG3796" s="42" t="s">
        <v>6530</v>
      </c>
    </row>
    <row r="3797" spans="7:33" ht="15.75" customHeight="1">
      <c r="G3797" s="36"/>
      <c r="H3797" s="36"/>
      <c r="I3797" s="36"/>
      <c r="J3797" s="39"/>
      <c r="K3797" s="39"/>
      <c r="AF3797" s="42" t="s">
        <v>5217</v>
      </c>
      <c r="AG3797" s="42" t="s">
        <v>6530</v>
      </c>
    </row>
    <row r="3798" spans="7:33" ht="15.75" customHeight="1">
      <c r="G3798" s="36"/>
      <c r="H3798" s="36"/>
      <c r="I3798" s="36"/>
      <c r="J3798" s="39"/>
      <c r="K3798" s="39"/>
      <c r="AF3798" s="42" t="s">
        <v>6421</v>
      </c>
      <c r="AG3798" s="42" t="s">
        <v>6530</v>
      </c>
    </row>
    <row r="3799" spans="7:33" ht="15.75" customHeight="1">
      <c r="G3799" s="36"/>
      <c r="H3799" s="36"/>
      <c r="I3799" s="36"/>
      <c r="J3799" s="39"/>
      <c r="K3799" s="39"/>
      <c r="AF3799" s="42" t="s">
        <v>6190</v>
      </c>
      <c r="AG3799" s="42" t="s">
        <v>6530</v>
      </c>
    </row>
    <row r="3800" spans="7:33" ht="15.75" customHeight="1">
      <c r="G3800" s="36"/>
      <c r="H3800" s="36"/>
      <c r="I3800" s="36"/>
      <c r="J3800" s="39"/>
      <c r="K3800" s="39"/>
      <c r="AF3800" s="42" t="s">
        <v>4243</v>
      </c>
      <c r="AG3800" s="42" t="s">
        <v>6530</v>
      </c>
    </row>
    <row r="3801" spans="7:33" ht="15.75" customHeight="1">
      <c r="G3801" s="36"/>
      <c r="H3801" s="36"/>
      <c r="I3801" s="36"/>
      <c r="J3801" s="39"/>
      <c r="K3801" s="39"/>
      <c r="AF3801" s="42" t="s">
        <v>3834</v>
      </c>
      <c r="AG3801" s="42" t="s">
        <v>6530</v>
      </c>
    </row>
    <row r="3802" spans="7:33" ht="15.75" customHeight="1">
      <c r="G3802" s="36"/>
      <c r="H3802" s="36"/>
      <c r="I3802" s="36"/>
      <c r="J3802" s="39"/>
      <c r="K3802" s="39"/>
      <c r="AF3802" s="42" t="s">
        <v>2067</v>
      </c>
      <c r="AG3802" s="42" t="s">
        <v>6530</v>
      </c>
    </row>
    <row r="3803" spans="7:33" ht="15.75" customHeight="1">
      <c r="G3803" s="36"/>
      <c r="H3803" s="36"/>
      <c r="I3803" s="36"/>
      <c r="J3803" s="39"/>
      <c r="K3803" s="39"/>
      <c r="AF3803" s="42" t="s">
        <v>4216</v>
      </c>
      <c r="AG3803" s="42" t="s">
        <v>6530</v>
      </c>
    </row>
    <row r="3804" spans="7:33" ht="15.75" customHeight="1">
      <c r="G3804" s="36"/>
      <c r="H3804" s="36"/>
      <c r="I3804" s="36"/>
      <c r="J3804" s="39"/>
      <c r="K3804" s="39"/>
      <c r="AF3804" s="42" t="s">
        <v>2746</v>
      </c>
      <c r="AG3804" s="42" t="s">
        <v>6530</v>
      </c>
    </row>
    <row r="3805" spans="7:33" ht="15.75" customHeight="1">
      <c r="G3805" s="36"/>
      <c r="H3805" s="36"/>
      <c r="I3805" s="36"/>
      <c r="J3805" s="39"/>
      <c r="K3805" s="39"/>
      <c r="AF3805" s="42" t="s">
        <v>6771</v>
      </c>
      <c r="AG3805" s="42" t="s">
        <v>6530</v>
      </c>
    </row>
    <row r="3806" spans="7:33" ht="15.75" customHeight="1">
      <c r="G3806" s="36"/>
      <c r="H3806" s="36"/>
      <c r="I3806" s="36"/>
      <c r="J3806" s="39"/>
      <c r="K3806" s="39"/>
      <c r="AF3806" s="42" t="s">
        <v>5986</v>
      </c>
      <c r="AG3806" s="42" t="s">
        <v>6530</v>
      </c>
    </row>
    <row r="3807" spans="7:33" ht="15.75" customHeight="1">
      <c r="G3807" s="36"/>
      <c r="H3807" s="36"/>
      <c r="I3807" s="36"/>
      <c r="J3807" s="39"/>
      <c r="K3807" s="39"/>
      <c r="AF3807" s="42" t="s">
        <v>3023</v>
      </c>
      <c r="AG3807" s="42" t="s">
        <v>6530</v>
      </c>
    </row>
    <row r="3808" spans="7:33" ht="15.75" customHeight="1">
      <c r="G3808" s="36"/>
      <c r="H3808" s="36"/>
      <c r="I3808" s="36"/>
      <c r="J3808" s="39"/>
      <c r="K3808" s="39"/>
      <c r="AF3808" s="42" t="s">
        <v>6200</v>
      </c>
      <c r="AG3808" s="42" t="s">
        <v>6530</v>
      </c>
    </row>
    <row r="3809" spans="7:33" ht="15.75" customHeight="1">
      <c r="G3809" s="36"/>
      <c r="H3809" s="36"/>
      <c r="I3809" s="36"/>
      <c r="J3809" s="39"/>
      <c r="K3809" s="39"/>
      <c r="AF3809" s="42" t="s">
        <v>3193</v>
      </c>
      <c r="AG3809" s="42" t="s">
        <v>6530</v>
      </c>
    </row>
    <row r="3810" spans="7:33" ht="15.75" customHeight="1">
      <c r="G3810" s="36"/>
      <c r="H3810" s="36"/>
      <c r="I3810" s="36"/>
      <c r="J3810" s="39"/>
      <c r="K3810" s="39"/>
      <c r="AF3810" s="42" t="s">
        <v>3137</v>
      </c>
      <c r="AG3810" s="42" t="s">
        <v>6530</v>
      </c>
    </row>
    <row r="3811" spans="7:33" ht="15.75" customHeight="1">
      <c r="G3811" s="36"/>
      <c r="H3811" s="36"/>
      <c r="I3811" s="36"/>
      <c r="J3811" s="39"/>
      <c r="K3811" s="39"/>
      <c r="AF3811" s="42" t="s">
        <v>6074</v>
      </c>
      <c r="AG3811" s="42" t="s">
        <v>6530</v>
      </c>
    </row>
    <row r="3812" spans="7:33" ht="15.75" customHeight="1">
      <c r="G3812" s="36"/>
      <c r="H3812" s="36"/>
      <c r="I3812" s="36"/>
      <c r="J3812" s="39"/>
      <c r="K3812" s="39"/>
      <c r="AF3812" s="42" t="s">
        <v>1812</v>
      </c>
      <c r="AG3812" s="42" t="s">
        <v>6530</v>
      </c>
    </row>
    <row r="3813" spans="7:33" ht="15.75" customHeight="1">
      <c r="G3813" s="36"/>
      <c r="H3813" s="36"/>
      <c r="I3813" s="36"/>
      <c r="J3813" s="39"/>
      <c r="K3813" s="39"/>
      <c r="AF3813" s="42" t="s">
        <v>6274</v>
      </c>
      <c r="AG3813" s="42" t="s">
        <v>6530</v>
      </c>
    </row>
    <row r="3814" spans="7:33" ht="15.75" customHeight="1">
      <c r="G3814" s="36"/>
      <c r="H3814" s="36"/>
      <c r="I3814" s="36"/>
      <c r="J3814" s="39"/>
      <c r="K3814" s="39"/>
      <c r="AF3814" s="42" t="s">
        <v>2364</v>
      </c>
      <c r="AG3814" s="42" t="s">
        <v>6530</v>
      </c>
    </row>
    <row r="3815" spans="7:33" ht="15.75" customHeight="1">
      <c r="G3815" s="36"/>
      <c r="H3815" s="36"/>
      <c r="I3815" s="36"/>
      <c r="J3815" s="39"/>
      <c r="K3815" s="39"/>
      <c r="AF3815" s="42" t="s">
        <v>4720</v>
      </c>
      <c r="AG3815" s="42" t="s">
        <v>6530</v>
      </c>
    </row>
    <row r="3816" spans="7:33" ht="15.75" customHeight="1">
      <c r="G3816" s="36"/>
      <c r="H3816" s="36"/>
      <c r="I3816" s="36"/>
      <c r="J3816" s="39"/>
      <c r="K3816" s="39"/>
      <c r="AF3816" s="42" t="s">
        <v>4660</v>
      </c>
      <c r="AG3816" s="42" t="s">
        <v>6530</v>
      </c>
    </row>
    <row r="3817" spans="7:33" ht="15.75" customHeight="1">
      <c r="G3817" s="36"/>
      <c r="H3817" s="36"/>
      <c r="I3817" s="36"/>
      <c r="J3817" s="39"/>
      <c r="K3817" s="39"/>
      <c r="AF3817" s="42" t="s">
        <v>3938</v>
      </c>
      <c r="AG3817" s="42" t="s">
        <v>6530</v>
      </c>
    </row>
    <row r="3818" spans="7:33" ht="15.75" customHeight="1">
      <c r="G3818" s="36"/>
      <c r="H3818" s="36"/>
      <c r="I3818" s="36"/>
      <c r="J3818" s="39"/>
      <c r="K3818" s="39"/>
      <c r="AF3818" s="42" t="s">
        <v>5460</v>
      </c>
      <c r="AG3818" s="42" t="s">
        <v>6530</v>
      </c>
    </row>
    <row r="3819" spans="7:33" ht="15.75" customHeight="1">
      <c r="G3819" s="36"/>
      <c r="H3819" s="36"/>
      <c r="I3819" s="36"/>
      <c r="J3819" s="39"/>
      <c r="K3819" s="39"/>
      <c r="AF3819" s="42" t="s">
        <v>1599</v>
      </c>
      <c r="AG3819" s="42" t="s">
        <v>6530</v>
      </c>
    </row>
    <row r="3820" spans="7:33" ht="15.75" customHeight="1">
      <c r="G3820" s="36"/>
      <c r="H3820" s="36"/>
      <c r="I3820" s="36"/>
      <c r="J3820" s="39"/>
      <c r="K3820" s="39"/>
      <c r="AF3820" s="42" t="s">
        <v>4029</v>
      </c>
      <c r="AG3820" s="42" t="s">
        <v>6530</v>
      </c>
    </row>
    <row r="3821" spans="7:33" ht="15.75" customHeight="1">
      <c r="G3821" s="36"/>
      <c r="H3821" s="36"/>
      <c r="I3821" s="36"/>
      <c r="J3821" s="39"/>
      <c r="K3821" s="39"/>
      <c r="AF3821" s="42" t="s">
        <v>4701</v>
      </c>
      <c r="AG3821" s="42" t="s">
        <v>6530</v>
      </c>
    </row>
    <row r="3822" spans="7:33" ht="15.75" customHeight="1">
      <c r="G3822" s="36"/>
      <c r="H3822" s="36"/>
      <c r="I3822" s="36"/>
      <c r="J3822" s="39"/>
      <c r="K3822" s="39"/>
      <c r="AF3822" s="42" t="s">
        <v>2662</v>
      </c>
      <c r="AG3822" s="42" t="s">
        <v>6530</v>
      </c>
    </row>
    <row r="3823" spans="7:33" ht="15.75" customHeight="1">
      <c r="G3823" s="36"/>
      <c r="H3823" s="36"/>
      <c r="I3823" s="36"/>
      <c r="J3823" s="39"/>
      <c r="K3823" s="39"/>
      <c r="AF3823" s="42" t="s">
        <v>4279</v>
      </c>
      <c r="AG3823" s="42" t="s">
        <v>6530</v>
      </c>
    </row>
    <row r="3824" spans="7:33" ht="15.75" customHeight="1">
      <c r="G3824" s="36"/>
      <c r="H3824" s="36"/>
      <c r="I3824" s="36"/>
      <c r="J3824" s="39"/>
      <c r="K3824" s="39"/>
      <c r="AF3824" s="42" t="s">
        <v>1684</v>
      </c>
      <c r="AG3824" s="42" t="s">
        <v>6530</v>
      </c>
    </row>
    <row r="3825" spans="7:33" ht="15.75" customHeight="1">
      <c r="G3825" s="36"/>
      <c r="H3825" s="36"/>
      <c r="I3825" s="36"/>
      <c r="J3825" s="39"/>
      <c r="K3825" s="39"/>
      <c r="AF3825" s="42" t="s">
        <v>4556</v>
      </c>
      <c r="AG3825" s="42" t="s">
        <v>6530</v>
      </c>
    </row>
    <row r="3826" spans="7:33" ht="15.75" customHeight="1">
      <c r="G3826" s="36"/>
      <c r="H3826" s="36"/>
      <c r="I3826" s="36"/>
      <c r="J3826" s="39"/>
      <c r="K3826" s="39"/>
      <c r="AF3826" s="42" t="s">
        <v>5967</v>
      </c>
      <c r="AG3826" s="42" t="s">
        <v>6530</v>
      </c>
    </row>
    <row r="3827" spans="7:33" ht="15.75" customHeight="1">
      <c r="G3827" s="36"/>
      <c r="H3827" s="36"/>
      <c r="I3827" s="36"/>
      <c r="J3827" s="39"/>
      <c r="K3827" s="39"/>
      <c r="AF3827" s="42" t="s">
        <v>4968</v>
      </c>
      <c r="AG3827" s="42" t="s">
        <v>6530</v>
      </c>
    </row>
    <row r="3828" spans="7:33" ht="15.75" customHeight="1">
      <c r="G3828" s="36"/>
      <c r="H3828" s="36"/>
      <c r="I3828" s="36"/>
      <c r="J3828" s="39"/>
      <c r="K3828" s="39"/>
      <c r="AF3828" s="42" t="s">
        <v>6110</v>
      </c>
      <c r="AG3828" s="42" t="s">
        <v>6530</v>
      </c>
    </row>
    <row r="3829" spans="7:33" ht="15.75" customHeight="1">
      <c r="G3829" s="36"/>
      <c r="H3829" s="36"/>
      <c r="I3829" s="36"/>
      <c r="J3829" s="39"/>
      <c r="K3829" s="39"/>
      <c r="AF3829" s="42" t="s">
        <v>3373</v>
      </c>
      <c r="AG3829" s="42" t="s">
        <v>6530</v>
      </c>
    </row>
    <row r="3830" spans="7:33" ht="15.75" customHeight="1">
      <c r="G3830" s="36"/>
      <c r="H3830" s="36"/>
      <c r="I3830" s="36"/>
      <c r="J3830" s="39"/>
      <c r="K3830" s="39"/>
      <c r="AF3830" s="42" t="s">
        <v>6779</v>
      </c>
      <c r="AG3830" s="42" t="s">
        <v>6530</v>
      </c>
    </row>
    <row r="3831" spans="7:33" ht="15.75" customHeight="1">
      <c r="G3831" s="36"/>
      <c r="H3831" s="36"/>
      <c r="I3831" s="36"/>
      <c r="J3831" s="39"/>
      <c r="K3831" s="39"/>
      <c r="AF3831" s="42" t="s">
        <v>4881</v>
      </c>
      <c r="AG3831" s="42" t="s">
        <v>6530</v>
      </c>
    </row>
    <row r="3832" spans="7:33" ht="15.75" customHeight="1">
      <c r="G3832" s="36"/>
      <c r="H3832" s="36"/>
      <c r="I3832" s="36"/>
      <c r="J3832" s="39"/>
      <c r="K3832" s="39"/>
      <c r="AF3832" s="42" t="s">
        <v>6195</v>
      </c>
      <c r="AG3832" s="42" t="s">
        <v>6530</v>
      </c>
    </row>
    <row r="3833" spans="7:33" ht="15.75" customHeight="1">
      <c r="G3833" s="36"/>
      <c r="H3833" s="36"/>
      <c r="I3833" s="36"/>
      <c r="J3833" s="39"/>
      <c r="K3833" s="39"/>
      <c r="AF3833" s="42" t="s">
        <v>2915</v>
      </c>
      <c r="AG3833" s="42" t="s">
        <v>6530</v>
      </c>
    </row>
    <row r="3834" spans="7:33" ht="15.75" customHeight="1">
      <c r="G3834" s="36"/>
      <c r="H3834" s="36"/>
      <c r="I3834" s="36"/>
      <c r="J3834" s="39"/>
      <c r="K3834" s="39"/>
      <c r="AF3834" s="42" t="s">
        <v>3685</v>
      </c>
      <c r="AG3834" s="42" t="s">
        <v>6530</v>
      </c>
    </row>
    <row r="3835" spans="7:33" ht="15.75" customHeight="1">
      <c r="G3835" s="36"/>
      <c r="H3835" s="36"/>
      <c r="I3835" s="36"/>
      <c r="J3835" s="39"/>
      <c r="K3835" s="39"/>
      <c r="AF3835" s="42" t="s">
        <v>4453</v>
      </c>
      <c r="AG3835" s="42" t="s">
        <v>6530</v>
      </c>
    </row>
    <row r="3836" spans="7:33" ht="15.75" customHeight="1">
      <c r="G3836" s="36"/>
      <c r="H3836" s="36"/>
      <c r="I3836" s="36"/>
      <c r="J3836" s="39"/>
      <c r="K3836" s="39"/>
      <c r="AF3836" s="42" t="s">
        <v>2892</v>
      </c>
      <c r="AG3836" s="42" t="s">
        <v>6530</v>
      </c>
    </row>
    <row r="3837" spans="7:33" ht="15.75" customHeight="1">
      <c r="G3837" s="36"/>
      <c r="H3837" s="36"/>
      <c r="I3837" s="36"/>
      <c r="J3837" s="39"/>
      <c r="K3837" s="39"/>
      <c r="AF3837" s="42" t="s">
        <v>4362</v>
      </c>
      <c r="AG3837" s="42" t="s">
        <v>6530</v>
      </c>
    </row>
    <row r="3838" spans="7:33" ht="15.75" customHeight="1">
      <c r="G3838" s="36"/>
      <c r="H3838" s="36"/>
      <c r="I3838" s="36"/>
      <c r="J3838" s="39"/>
      <c r="K3838" s="39"/>
      <c r="AF3838" s="42" t="s">
        <v>3915</v>
      </c>
      <c r="AG3838" s="42" t="s">
        <v>6530</v>
      </c>
    </row>
    <row r="3839" spans="7:33" ht="15.75" customHeight="1">
      <c r="G3839" s="36"/>
      <c r="H3839" s="36"/>
      <c r="I3839" s="36"/>
      <c r="J3839" s="39"/>
      <c r="K3839" s="39"/>
      <c r="AF3839" s="42" t="s">
        <v>6748</v>
      </c>
      <c r="AG3839" s="42" t="s">
        <v>6530</v>
      </c>
    </row>
    <row r="3840" spans="7:33" ht="15.75" customHeight="1">
      <c r="G3840" s="36"/>
      <c r="H3840" s="36"/>
      <c r="I3840" s="36"/>
      <c r="J3840" s="39"/>
      <c r="K3840" s="39"/>
      <c r="AF3840" s="42" t="s">
        <v>6762</v>
      </c>
      <c r="AG3840" s="42" t="s">
        <v>6530</v>
      </c>
    </row>
    <row r="3841" spans="7:33" ht="15.75" customHeight="1">
      <c r="G3841" s="36"/>
      <c r="H3841" s="36"/>
      <c r="I3841" s="36"/>
      <c r="J3841" s="39"/>
      <c r="K3841" s="39"/>
      <c r="AF3841" s="42" t="s">
        <v>6763</v>
      </c>
      <c r="AG3841" s="42" t="s">
        <v>6530</v>
      </c>
    </row>
    <row r="3842" spans="7:33" ht="15.75" customHeight="1">
      <c r="G3842" s="36"/>
      <c r="H3842" s="36"/>
      <c r="I3842" s="36"/>
      <c r="J3842" s="39"/>
      <c r="K3842" s="39"/>
      <c r="AF3842" s="42" t="s">
        <v>6020</v>
      </c>
      <c r="AG3842" s="42" t="s">
        <v>6530</v>
      </c>
    </row>
    <row r="3843" spans="7:33" ht="15.75" customHeight="1">
      <c r="G3843" s="36"/>
      <c r="H3843" s="36"/>
      <c r="I3843" s="36"/>
      <c r="J3843" s="39"/>
      <c r="K3843" s="39"/>
      <c r="AF3843" s="42" t="s">
        <v>5856</v>
      </c>
      <c r="AG3843" s="42" t="s">
        <v>6530</v>
      </c>
    </row>
    <row r="3844" spans="7:33" ht="15.75" customHeight="1">
      <c r="G3844" s="36"/>
      <c r="H3844" s="36"/>
      <c r="I3844" s="36"/>
      <c r="J3844" s="39"/>
      <c r="K3844" s="39"/>
      <c r="AF3844" s="42" t="s">
        <v>6534</v>
      </c>
      <c r="AG3844" s="42" t="s">
        <v>6530</v>
      </c>
    </row>
    <row r="3845" spans="7:33" ht="15.75" customHeight="1">
      <c r="G3845" s="36"/>
      <c r="H3845" s="36"/>
      <c r="I3845" s="36"/>
      <c r="J3845" s="39"/>
      <c r="K3845" s="39"/>
      <c r="AF3845" s="42" t="s">
        <v>3360</v>
      </c>
      <c r="AG3845" s="42" t="s">
        <v>6530</v>
      </c>
    </row>
    <row r="3846" spans="7:33" ht="15.75" customHeight="1">
      <c r="G3846" s="36"/>
      <c r="H3846" s="36"/>
      <c r="I3846" s="36"/>
      <c r="J3846" s="39"/>
      <c r="K3846" s="39"/>
      <c r="AF3846" s="42" t="s">
        <v>5034</v>
      </c>
      <c r="AG3846" s="42" t="s">
        <v>6530</v>
      </c>
    </row>
    <row r="3847" spans="7:33" ht="15.75" customHeight="1">
      <c r="G3847" s="36"/>
      <c r="H3847" s="36"/>
      <c r="I3847" s="36"/>
      <c r="J3847" s="39"/>
      <c r="K3847" s="39"/>
      <c r="AF3847" s="42" t="s">
        <v>3318</v>
      </c>
      <c r="AG3847" s="42" t="s">
        <v>6530</v>
      </c>
    </row>
    <row r="3848" spans="7:33" ht="15.75" customHeight="1">
      <c r="G3848" s="36"/>
      <c r="H3848" s="36"/>
      <c r="I3848" s="36"/>
      <c r="J3848" s="39"/>
      <c r="K3848" s="39"/>
      <c r="AF3848" s="42" t="s">
        <v>6778</v>
      </c>
      <c r="AG3848" s="42" t="s">
        <v>6530</v>
      </c>
    </row>
    <row r="3849" spans="7:33" ht="15.75" customHeight="1">
      <c r="G3849" s="36"/>
      <c r="H3849" s="36"/>
      <c r="I3849" s="36"/>
      <c r="J3849" s="39"/>
      <c r="K3849" s="39"/>
      <c r="AF3849" s="42" t="s">
        <v>6280</v>
      </c>
      <c r="AG3849" s="42" t="s">
        <v>6530</v>
      </c>
    </row>
    <row r="3850" spans="7:33" ht="15.75" customHeight="1">
      <c r="G3850" s="36"/>
      <c r="H3850" s="36"/>
      <c r="I3850" s="36"/>
      <c r="J3850" s="39"/>
      <c r="K3850" s="39"/>
      <c r="AF3850" s="42" t="s">
        <v>6786</v>
      </c>
      <c r="AG3850" s="42" t="s">
        <v>6530</v>
      </c>
    </row>
    <row r="3851" spans="7:33" ht="15.75" customHeight="1">
      <c r="G3851" s="36"/>
      <c r="H3851" s="36"/>
      <c r="I3851" s="36"/>
      <c r="J3851" s="39"/>
      <c r="K3851" s="39"/>
      <c r="AF3851" s="42" t="s">
        <v>2997</v>
      </c>
      <c r="AG3851" s="42" t="s">
        <v>6530</v>
      </c>
    </row>
    <row r="3852" spans="7:33" ht="15.75" customHeight="1">
      <c r="G3852" s="36"/>
      <c r="H3852" s="36"/>
      <c r="I3852" s="36"/>
      <c r="J3852" s="39"/>
      <c r="K3852" s="39"/>
      <c r="AF3852" s="42" t="s">
        <v>4785</v>
      </c>
      <c r="AG3852" s="42" t="s">
        <v>6530</v>
      </c>
    </row>
    <row r="3853" spans="7:33" ht="15.75" customHeight="1">
      <c r="G3853" s="36"/>
      <c r="H3853" s="36"/>
      <c r="I3853" s="36"/>
      <c r="J3853" s="39"/>
      <c r="K3853" s="39"/>
      <c r="AF3853" s="42" t="s">
        <v>6796</v>
      </c>
      <c r="AG3853" s="42" t="s">
        <v>6530</v>
      </c>
    </row>
    <row r="3854" spans="7:33" ht="15.75" customHeight="1">
      <c r="G3854" s="36"/>
      <c r="H3854" s="36"/>
      <c r="I3854" s="36"/>
      <c r="J3854" s="39"/>
      <c r="K3854" s="39"/>
      <c r="AF3854" s="42" t="s">
        <v>4804</v>
      </c>
      <c r="AG3854" s="42" t="s">
        <v>6530</v>
      </c>
    </row>
    <row r="3855" spans="7:33" ht="15.75" customHeight="1">
      <c r="G3855" s="36"/>
      <c r="H3855" s="36"/>
      <c r="I3855" s="36"/>
      <c r="J3855" s="39"/>
      <c r="K3855" s="39"/>
      <c r="AF3855" s="42" t="s">
        <v>1192</v>
      </c>
      <c r="AG3855" s="42" t="s">
        <v>6530</v>
      </c>
    </row>
    <row r="3856" spans="7:33" ht="15.75" customHeight="1">
      <c r="G3856" s="36"/>
      <c r="H3856" s="36"/>
      <c r="I3856" s="36"/>
      <c r="J3856" s="39"/>
      <c r="K3856" s="39"/>
      <c r="AF3856" s="42" t="s">
        <v>4195</v>
      </c>
      <c r="AG3856" s="42" t="s">
        <v>6530</v>
      </c>
    </row>
    <row r="3857" spans="7:33" ht="15.75" customHeight="1">
      <c r="G3857" s="36"/>
      <c r="H3857" s="36"/>
      <c r="I3857" s="36"/>
      <c r="J3857" s="39"/>
      <c r="K3857" s="39"/>
      <c r="AF3857" s="42" t="s">
        <v>3312</v>
      </c>
      <c r="AG3857" s="42" t="s">
        <v>6530</v>
      </c>
    </row>
    <row r="3858" spans="7:33" ht="15.75" customHeight="1">
      <c r="G3858" s="36"/>
      <c r="H3858" s="36"/>
      <c r="I3858" s="36"/>
      <c r="J3858" s="39"/>
      <c r="K3858" s="39"/>
      <c r="AF3858" s="42" t="s">
        <v>4744</v>
      </c>
      <c r="AG3858" s="42" t="s">
        <v>6530</v>
      </c>
    </row>
    <row r="3859" spans="7:33" ht="15.75" customHeight="1">
      <c r="G3859" s="36"/>
      <c r="H3859" s="36"/>
      <c r="I3859" s="36"/>
      <c r="J3859" s="39"/>
      <c r="K3859" s="39"/>
      <c r="AF3859" s="42" t="s">
        <v>5886</v>
      </c>
      <c r="AG3859" s="42" t="s">
        <v>6530</v>
      </c>
    </row>
    <row r="3860" spans="7:33" ht="15.75" customHeight="1">
      <c r="G3860" s="36"/>
      <c r="H3860" s="36"/>
      <c r="I3860" s="36"/>
      <c r="J3860" s="39"/>
      <c r="K3860" s="39"/>
      <c r="AF3860" s="42" t="s">
        <v>5041</v>
      </c>
      <c r="AG3860" s="42" t="s">
        <v>6530</v>
      </c>
    </row>
    <row r="3861" spans="7:33" ht="15.75" customHeight="1">
      <c r="G3861" s="36"/>
      <c r="H3861" s="36"/>
      <c r="I3861" s="36"/>
      <c r="J3861" s="39"/>
      <c r="K3861" s="39"/>
      <c r="AF3861" s="42" t="s">
        <v>6806</v>
      </c>
      <c r="AG3861" s="42" t="s">
        <v>6530</v>
      </c>
    </row>
    <row r="3862" spans="7:33" ht="15.75" customHeight="1">
      <c r="G3862" s="36"/>
      <c r="H3862" s="36"/>
      <c r="I3862" s="36"/>
      <c r="J3862" s="39"/>
      <c r="K3862" s="39"/>
      <c r="AF3862" s="42" t="s">
        <v>6767</v>
      </c>
      <c r="AG3862" s="42" t="s">
        <v>6530</v>
      </c>
    </row>
    <row r="3863" spans="7:33" ht="15.75" customHeight="1">
      <c r="G3863" s="36"/>
      <c r="H3863" s="36"/>
      <c r="I3863" s="36"/>
      <c r="J3863" s="39"/>
      <c r="K3863" s="39"/>
      <c r="AF3863" s="42" t="s">
        <v>3825</v>
      </c>
      <c r="AG3863" s="42" t="s">
        <v>6530</v>
      </c>
    </row>
    <row r="3864" spans="7:33" ht="15.75" customHeight="1">
      <c r="G3864" s="36"/>
      <c r="H3864" s="36"/>
      <c r="I3864" s="36"/>
      <c r="J3864" s="39"/>
      <c r="K3864" s="39"/>
      <c r="AF3864" s="42" t="s">
        <v>6797</v>
      </c>
      <c r="AG3864" s="42" t="s">
        <v>6530</v>
      </c>
    </row>
    <row r="3865" spans="7:33" ht="15.75" customHeight="1">
      <c r="G3865" s="36"/>
      <c r="H3865" s="36"/>
      <c r="I3865" s="36"/>
      <c r="J3865" s="39"/>
      <c r="K3865" s="39"/>
      <c r="AF3865" s="42" t="s">
        <v>3438</v>
      </c>
      <c r="AG3865" s="42" t="s">
        <v>6530</v>
      </c>
    </row>
    <row r="3866" spans="7:33" ht="15.75" customHeight="1">
      <c r="G3866" s="36"/>
      <c r="H3866" s="36"/>
      <c r="I3866" s="36"/>
      <c r="J3866" s="39"/>
      <c r="K3866" s="39"/>
      <c r="AF3866" s="42" t="s">
        <v>6754</v>
      </c>
      <c r="AG3866" s="42" t="s">
        <v>6530</v>
      </c>
    </row>
    <row r="3867" spans="7:33" ht="15.75" customHeight="1">
      <c r="G3867" s="36"/>
      <c r="H3867" s="36"/>
      <c r="I3867" s="36"/>
      <c r="J3867" s="39"/>
      <c r="K3867" s="39"/>
      <c r="AF3867" s="42" t="s">
        <v>3081</v>
      </c>
      <c r="AG3867" s="42" t="s">
        <v>6530</v>
      </c>
    </row>
    <row r="3868" spans="7:33" ht="15.75" customHeight="1">
      <c r="G3868" s="36"/>
      <c r="H3868" s="36"/>
      <c r="I3868" s="36"/>
      <c r="J3868" s="39"/>
      <c r="K3868" s="39"/>
      <c r="AF3868" s="42" t="s">
        <v>6117</v>
      </c>
      <c r="AG3868" s="42" t="s">
        <v>6530</v>
      </c>
    </row>
    <row r="3869" spans="7:33" ht="15.75" customHeight="1">
      <c r="G3869" s="36"/>
      <c r="H3869" s="36"/>
      <c r="I3869" s="36"/>
      <c r="J3869" s="39"/>
      <c r="K3869" s="39"/>
      <c r="AF3869" s="42" t="s">
        <v>1821</v>
      </c>
      <c r="AG3869" s="42" t="s">
        <v>6530</v>
      </c>
    </row>
    <row r="3870" spans="7:33" ht="15.75" customHeight="1">
      <c r="G3870" s="36"/>
      <c r="H3870" s="36"/>
      <c r="I3870" s="36"/>
      <c r="J3870" s="39"/>
      <c r="K3870" s="39"/>
      <c r="AF3870" s="42" t="s">
        <v>6827</v>
      </c>
      <c r="AG3870" s="42" t="s">
        <v>6530</v>
      </c>
    </row>
    <row r="3871" spans="7:33" ht="15.75" customHeight="1">
      <c r="G3871" s="36"/>
      <c r="H3871" s="36"/>
      <c r="I3871" s="36"/>
      <c r="J3871" s="39"/>
      <c r="K3871" s="39"/>
      <c r="AF3871" s="42" t="s">
        <v>6728</v>
      </c>
      <c r="AG3871" s="42" t="s">
        <v>6530</v>
      </c>
    </row>
    <row r="3872" spans="7:33" ht="15.75" customHeight="1">
      <c r="G3872" s="36"/>
      <c r="H3872" s="36"/>
      <c r="I3872" s="36"/>
      <c r="J3872" s="39"/>
      <c r="K3872" s="39"/>
      <c r="AF3872" s="42" t="s">
        <v>2031</v>
      </c>
      <c r="AG3872" s="42" t="s">
        <v>6530</v>
      </c>
    </row>
    <row r="3873" spans="7:33" ht="15.75" customHeight="1">
      <c r="G3873" s="36"/>
      <c r="H3873" s="36"/>
      <c r="I3873" s="36"/>
      <c r="J3873" s="39"/>
      <c r="K3873" s="39"/>
      <c r="AF3873" s="42" t="s">
        <v>5891</v>
      </c>
      <c r="AG3873" s="42" t="s">
        <v>6530</v>
      </c>
    </row>
    <row r="3874" spans="7:33" ht="15.75" customHeight="1">
      <c r="G3874" s="36"/>
      <c r="H3874" s="36"/>
      <c r="I3874" s="36"/>
      <c r="J3874" s="39"/>
      <c r="K3874" s="39"/>
      <c r="AF3874" s="42" t="s">
        <v>3594</v>
      </c>
      <c r="AG3874" s="42" t="s">
        <v>6530</v>
      </c>
    </row>
    <row r="3875" spans="7:33" ht="15.75" customHeight="1">
      <c r="G3875" s="36"/>
      <c r="H3875" s="36"/>
      <c r="I3875" s="36"/>
      <c r="J3875" s="39"/>
      <c r="K3875" s="39"/>
      <c r="AF3875" s="42" t="s">
        <v>3763</v>
      </c>
      <c r="AG3875" s="42" t="s">
        <v>6530</v>
      </c>
    </row>
    <row r="3876" spans="7:33" ht="15.75" customHeight="1">
      <c r="G3876" s="36"/>
      <c r="H3876" s="36"/>
      <c r="I3876" s="36"/>
      <c r="J3876" s="39"/>
      <c r="K3876" s="39"/>
      <c r="AF3876" s="42" t="s">
        <v>3986</v>
      </c>
      <c r="AG3876" s="42" t="s">
        <v>6530</v>
      </c>
    </row>
    <row r="3877" spans="7:33" ht="15.75" customHeight="1">
      <c r="G3877" s="36"/>
      <c r="H3877" s="36"/>
      <c r="I3877" s="36"/>
      <c r="J3877" s="39"/>
      <c r="K3877" s="39"/>
      <c r="AF3877" s="42" t="s">
        <v>2474</v>
      </c>
      <c r="AG3877" s="42" t="s">
        <v>6530</v>
      </c>
    </row>
    <row r="3878" spans="7:33" ht="15.75" customHeight="1">
      <c r="G3878" s="36"/>
      <c r="H3878" s="36"/>
      <c r="I3878" s="36"/>
      <c r="J3878" s="39"/>
      <c r="K3878" s="39"/>
      <c r="AF3878" s="42" t="s">
        <v>1391</v>
      </c>
      <c r="AG3878" s="42" t="s">
        <v>6530</v>
      </c>
    </row>
    <row r="3879" spans="7:33" ht="15.75" customHeight="1">
      <c r="G3879" s="36"/>
      <c r="H3879" s="36"/>
      <c r="I3879" s="36"/>
      <c r="J3879" s="39"/>
      <c r="K3879" s="39"/>
      <c r="AF3879" s="42" t="s">
        <v>3285</v>
      </c>
      <c r="AG3879" s="42" t="s">
        <v>6530</v>
      </c>
    </row>
    <row r="3880" spans="7:33" ht="15.75" customHeight="1">
      <c r="G3880" s="36"/>
      <c r="H3880" s="36"/>
      <c r="I3880" s="36"/>
      <c r="J3880" s="39"/>
      <c r="K3880" s="39"/>
      <c r="AF3880" s="42" t="s">
        <v>3150</v>
      </c>
      <c r="AG3880" s="42" t="s">
        <v>6530</v>
      </c>
    </row>
    <row r="3881" spans="7:33" ht="15.75" customHeight="1">
      <c r="G3881" s="36"/>
      <c r="H3881" s="36"/>
      <c r="I3881" s="36"/>
      <c r="J3881" s="39"/>
      <c r="K3881" s="39"/>
      <c r="AF3881" s="42" t="s">
        <v>6783</v>
      </c>
      <c r="AG3881" s="42" t="s">
        <v>6530</v>
      </c>
    </row>
    <row r="3882" spans="7:33" ht="15.75" customHeight="1">
      <c r="G3882" s="36"/>
      <c r="H3882" s="36"/>
      <c r="I3882" s="36"/>
      <c r="J3882" s="39"/>
      <c r="K3882" s="39"/>
      <c r="AF3882" s="42" t="s">
        <v>2648</v>
      </c>
      <c r="AG3882" s="42" t="s">
        <v>6530</v>
      </c>
    </row>
    <row r="3883" spans="7:33" ht="15.75" customHeight="1">
      <c r="G3883" s="36"/>
      <c r="H3883" s="36"/>
      <c r="I3883" s="36"/>
      <c r="J3883" s="39"/>
      <c r="K3883" s="39"/>
      <c r="AF3883" s="42" t="s">
        <v>3979</v>
      </c>
      <c r="AG3883" s="42" t="s">
        <v>6530</v>
      </c>
    </row>
    <row r="3884" spans="7:33" ht="15.75" customHeight="1">
      <c r="G3884" s="36"/>
      <c r="H3884" s="36"/>
      <c r="I3884" s="36"/>
      <c r="J3884" s="39"/>
      <c r="K3884" s="39"/>
      <c r="AF3884" s="42" t="s">
        <v>1472</v>
      </c>
      <c r="AG3884" s="42" t="s">
        <v>6530</v>
      </c>
    </row>
    <row r="3885" spans="7:33" ht="15.75" customHeight="1">
      <c r="G3885" s="36"/>
      <c r="H3885" s="36"/>
      <c r="I3885" s="36"/>
      <c r="J3885" s="39"/>
      <c r="K3885" s="39"/>
      <c r="AF3885" s="42" t="s">
        <v>6760</v>
      </c>
      <c r="AG3885" s="42" t="s">
        <v>6530</v>
      </c>
    </row>
    <row r="3886" spans="7:33" ht="15.75" customHeight="1">
      <c r="G3886" s="36"/>
      <c r="H3886" s="36"/>
      <c r="I3886" s="36"/>
      <c r="J3886" s="39"/>
      <c r="K3886" s="39"/>
      <c r="AF3886" s="42" t="s">
        <v>6788</v>
      </c>
      <c r="AG3886" s="42" t="s">
        <v>6530</v>
      </c>
    </row>
    <row r="3887" spans="7:33" ht="15.75" customHeight="1">
      <c r="G3887" s="36"/>
      <c r="H3887" s="36"/>
      <c r="I3887" s="36"/>
      <c r="J3887" s="39"/>
      <c r="K3887" s="39"/>
      <c r="AF3887" s="42" t="s">
        <v>5166</v>
      </c>
      <c r="AG3887" s="42" t="s">
        <v>6530</v>
      </c>
    </row>
    <row r="3888" spans="7:33" ht="15.75" customHeight="1">
      <c r="G3888" s="36"/>
      <c r="H3888" s="36"/>
      <c r="I3888" s="36"/>
      <c r="J3888" s="39"/>
      <c r="K3888" s="39"/>
      <c r="AF3888" s="42" t="s">
        <v>3812</v>
      </c>
      <c r="AG3888" s="42" t="s">
        <v>6530</v>
      </c>
    </row>
    <row r="3889" spans="7:33" ht="15.75" customHeight="1">
      <c r="G3889" s="36"/>
      <c r="H3889" s="36"/>
      <c r="I3889" s="36"/>
      <c r="J3889" s="39"/>
      <c r="K3889" s="39"/>
      <c r="AF3889" s="42" t="s">
        <v>3031</v>
      </c>
      <c r="AG3889" s="42" t="s">
        <v>6530</v>
      </c>
    </row>
    <row r="3890" spans="7:33" ht="15.75" customHeight="1">
      <c r="G3890" s="36"/>
      <c r="H3890" s="36"/>
      <c r="I3890" s="36"/>
      <c r="J3890" s="39"/>
      <c r="K3890" s="39"/>
      <c r="AF3890" s="42" t="s">
        <v>3673</v>
      </c>
      <c r="AG3890" s="42" t="s">
        <v>6530</v>
      </c>
    </row>
    <row r="3891" spans="7:33" ht="15.75" customHeight="1">
      <c r="G3891" s="36"/>
      <c r="H3891" s="36"/>
      <c r="I3891" s="36"/>
      <c r="J3891" s="39"/>
      <c r="K3891" s="39"/>
      <c r="AF3891" s="42" t="s">
        <v>1941</v>
      </c>
      <c r="AG3891" s="42" t="s">
        <v>6530</v>
      </c>
    </row>
    <row r="3892" spans="7:33" ht="15.75" customHeight="1">
      <c r="G3892" s="36"/>
      <c r="H3892" s="36"/>
      <c r="I3892" s="36"/>
      <c r="J3892" s="39"/>
      <c r="K3892" s="39"/>
      <c r="AF3892" s="42" t="s">
        <v>5628</v>
      </c>
      <c r="AG3892" s="42" t="s">
        <v>6530</v>
      </c>
    </row>
    <row r="3893" spans="7:33" ht="15.75" customHeight="1">
      <c r="G3893" s="36"/>
      <c r="H3893" s="36"/>
      <c r="I3893" s="36"/>
      <c r="J3893" s="39"/>
      <c r="K3893" s="39"/>
      <c r="AF3893" s="42" t="s">
        <v>3600</v>
      </c>
      <c r="AG3893" s="42" t="s">
        <v>6530</v>
      </c>
    </row>
    <row r="3894" spans="7:33" ht="15.75" customHeight="1">
      <c r="G3894" s="36"/>
      <c r="H3894" s="36"/>
      <c r="I3894" s="36"/>
      <c r="J3894" s="39"/>
      <c r="K3894" s="39"/>
      <c r="AF3894" s="42" t="s">
        <v>2954</v>
      </c>
      <c r="AG3894" s="42" t="s">
        <v>6530</v>
      </c>
    </row>
    <row r="3895" spans="7:33" ht="15.75" customHeight="1">
      <c r="G3895" s="36"/>
      <c r="H3895" s="36"/>
      <c r="I3895" s="36"/>
      <c r="J3895" s="39"/>
      <c r="K3895" s="39"/>
      <c r="AF3895" s="42" t="s">
        <v>2740</v>
      </c>
      <c r="AG3895" s="42" t="s">
        <v>6530</v>
      </c>
    </row>
    <row r="3896" spans="7:33" ht="15.75" customHeight="1">
      <c r="G3896" s="36"/>
      <c r="H3896" s="36"/>
      <c r="I3896" s="36"/>
      <c r="J3896" s="39"/>
      <c r="K3896" s="39"/>
      <c r="AF3896" s="42" t="s">
        <v>6571</v>
      </c>
      <c r="AG3896" s="42" t="s">
        <v>6569</v>
      </c>
    </row>
    <row r="3897" spans="7:33" ht="15.75" customHeight="1">
      <c r="G3897" s="36"/>
      <c r="H3897" s="36"/>
      <c r="I3897" s="36"/>
      <c r="J3897" s="39"/>
      <c r="K3897" s="39"/>
      <c r="AF3897" s="42" t="s">
        <v>4094</v>
      </c>
      <c r="AG3897" s="42" t="s">
        <v>6530</v>
      </c>
    </row>
    <row r="3898" spans="7:33" ht="15.75" customHeight="1">
      <c r="G3898" s="36"/>
      <c r="H3898" s="36"/>
      <c r="I3898" s="36"/>
      <c r="J3898" s="39"/>
      <c r="K3898" s="39"/>
      <c r="AF3898" s="42" t="s">
        <v>6732</v>
      </c>
      <c r="AG3898" s="42" t="s">
        <v>6530</v>
      </c>
    </row>
    <row r="3899" spans="7:33" ht="15.75" customHeight="1">
      <c r="G3899" s="36"/>
      <c r="H3899" s="36"/>
      <c r="I3899" s="36"/>
      <c r="J3899" s="39"/>
      <c r="K3899" s="39"/>
      <c r="AF3899" s="42" t="s">
        <v>6725</v>
      </c>
      <c r="AG3899" s="42" t="s">
        <v>6530</v>
      </c>
    </row>
    <row r="3900" spans="7:33" ht="15.75" customHeight="1">
      <c r="G3900" s="36"/>
      <c r="H3900" s="36"/>
      <c r="I3900" s="36"/>
      <c r="J3900" s="39"/>
      <c r="K3900" s="39"/>
      <c r="AF3900" s="42" t="s">
        <v>2309</v>
      </c>
      <c r="AG3900" s="42" t="s">
        <v>6530</v>
      </c>
    </row>
    <row r="3901" spans="7:33" ht="15.75" customHeight="1">
      <c r="G3901" s="36"/>
      <c r="H3901" s="36"/>
      <c r="I3901" s="36"/>
      <c r="J3901" s="39"/>
      <c r="K3901" s="39"/>
      <c r="AF3901" s="42" t="s">
        <v>5669</v>
      </c>
      <c r="AG3901" s="42" t="s">
        <v>6530</v>
      </c>
    </row>
    <row r="3902" spans="7:33" ht="15.75" customHeight="1">
      <c r="G3902" s="36"/>
      <c r="H3902" s="36"/>
      <c r="I3902" s="36"/>
      <c r="J3902" s="39"/>
      <c r="K3902" s="39"/>
      <c r="AF3902" s="42" t="s">
        <v>4907</v>
      </c>
      <c r="AG3902" s="42" t="s">
        <v>6530</v>
      </c>
    </row>
    <row r="3903" spans="7:33" ht="15.75" customHeight="1">
      <c r="G3903" s="36"/>
      <c r="H3903" s="36"/>
      <c r="I3903" s="36"/>
      <c r="J3903" s="39"/>
      <c r="K3903" s="39"/>
      <c r="AF3903" s="42" t="s">
        <v>6304</v>
      </c>
      <c r="AG3903" s="42" t="s">
        <v>6530</v>
      </c>
    </row>
    <row r="3904" spans="7:33" ht="15.75" customHeight="1">
      <c r="G3904" s="36"/>
      <c r="H3904" s="36"/>
      <c r="I3904" s="36"/>
      <c r="J3904" s="39"/>
      <c r="K3904" s="39"/>
      <c r="AF3904" s="42" t="s">
        <v>4088</v>
      </c>
      <c r="AG3904" s="42" t="s">
        <v>6530</v>
      </c>
    </row>
    <row r="3905" spans="7:33" ht="15.75" customHeight="1">
      <c r="G3905" s="36"/>
      <c r="H3905" s="36"/>
      <c r="I3905" s="36"/>
      <c r="J3905" s="39"/>
      <c r="K3905" s="39"/>
      <c r="AF3905" s="42" t="s">
        <v>4438</v>
      </c>
      <c r="AG3905" s="42" t="s">
        <v>6530</v>
      </c>
    </row>
    <row r="3906" spans="7:33" ht="15.75" customHeight="1">
      <c r="G3906" s="36"/>
      <c r="H3906" s="36"/>
      <c r="I3906" s="36"/>
      <c r="J3906" s="39"/>
      <c r="K3906" s="39"/>
      <c r="AF3906" s="42" t="s">
        <v>6393</v>
      </c>
      <c r="AG3906" s="42" t="s">
        <v>6530</v>
      </c>
    </row>
    <row r="3907" spans="7:33" ht="15.75" customHeight="1">
      <c r="G3907" s="36"/>
      <c r="H3907" s="36"/>
      <c r="I3907" s="36"/>
      <c r="J3907" s="39"/>
      <c r="K3907" s="39"/>
      <c r="AF3907" s="42" t="s">
        <v>3492</v>
      </c>
      <c r="AG3907" s="42" t="s">
        <v>6530</v>
      </c>
    </row>
    <row r="3908" spans="7:33" ht="15.75" customHeight="1">
      <c r="G3908" s="36"/>
      <c r="H3908" s="36"/>
      <c r="I3908" s="36"/>
      <c r="J3908" s="39"/>
      <c r="K3908" s="39"/>
      <c r="AF3908" s="42" t="s">
        <v>3213</v>
      </c>
      <c r="AG3908" s="42" t="s">
        <v>6530</v>
      </c>
    </row>
    <row r="3909" spans="7:33" ht="15.75" customHeight="1">
      <c r="G3909" s="36"/>
      <c r="H3909" s="36"/>
      <c r="I3909" s="36"/>
      <c r="J3909" s="39"/>
      <c r="K3909" s="39"/>
      <c r="AF3909" s="42" t="s">
        <v>6724</v>
      </c>
      <c r="AG3909" s="42" t="s">
        <v>6530</v>
      </c>
    </row>
    <row r="3910" spans="7:33" ht="15.75" customHeight="1">
      <c r="G3910" s="36"/>
      <c r="H3910" s="36"/>
      <c r="I3910" s="36"/>
      <c r="J3910" s="39"/>
      <c r="K3910" s="39"/>
      <c r="AF3910" s="42" t="s">
        <v>1964</v>
      </c>
      <c r="AG3910" s="42" t="s">
        <v>6530</v>
      </c>
    </row>
    <row r="3911" spans="7:33" ht="15.75" customHeight="1">
      <c r="G3911" s="36"/>
      <c r="H3911" s="36"/>
      <c r="I3911" s="36"/>
      <c r="J3911" s="39"/>
      <c r="K3911" s="39"/>
      <c r="AF3911" s="42" t="s">
        <v>6801</v>
      </c>
      <c r="AG3911" s="42" t="s">
        <v>6530</v>
      </c>
    </row>
    <row r="3912" spans="7:33" ht="15.75" customHeight="1">
      <c r="G3912" s="36"/>
      <c r="H3912" s="36"/>
      <c r="I3912" s="36"/>
      <c r="J3912" s="39"/>
      <c r="K3912" s="39"/>
      <c r="AF3912" s="42" t="s">
        <v>4253</v>
      </c>
      <c r="AG3912" s="42" t="s">
        <v>6530</v>
      </c>
    </row>
    <row r="3913" spans="7:33" ht="15.75" customHeight="1">
      <c r="G3913" s="36"/>
      <c r="H3913" s="36"/>
      <c r="I3913" s="36"/>
      <c r="J3913" s="39"/>
      <c r="K3913" s="39"/>
      <c r="AF3913" s="42" t="s">
        <v>4210</v>
      </c>
      <c r="AG3913" s="42" t="s">
        <v>6530</v>
      </c>
    </row>
    <row r="3914" spans="7:33" ht="15.75" customHeight="1">
      <c r="G3914" s="36"/>
      <c r="H3914" s="36"/>
      <c r="I3914" s="36"/>
      <c r="J3914" s="39"/>
      <c r="K3914" s="39"/>
      <c r="AF3914" s="42" t="s">
        <v>5757</v>
      </c>
      <c r="AG3914" s="42" t="s">
        <v>6530</v>
      </c>
    </row>
    <row r="3915" spans="7:33" ht="15.75" customHeight="1">
      <c r="G3915" s="36"/>
      <c r="H3915" s="36"/>
      <c r="I3915" s="36"/>
      <c r="J3915" s="39"/>
      <c r="K3915" s="39"/>
      <c r="AF3915" s="42" t="s">
        <v>2150</v>
      </c>
      <c r="AG3915" s="42" t="s">
        <v>6569</v>
      </c>
    </row>
    <row r="3916" spans="7:33" ht="15.75" customHeight="1">
      <c r="G3916" s="36"/>
      <c r="H3916" s="36"/>
      <c r="I3916" s="36"/>
      <c r="J3916" s="39"/>
      <c r="K3916" s="39"/>
      <c r="AF3916" s="42" t="s">
        <v>2783</v>
      </c>
      <c r="AG3916" s="42" t="s">
        <v>6530</v>
      </c>
    </row>
    <row r="3917" spans="7:33" ht="15.75" customHeight="1">
      <c r="G3917" s="36"/>
      <c r="H3917" s="36"/>
      <c r="I3917" s="36"/>
      <c r="J3917" s="39"/>
      <c r="K3917" s="39"/>
      <c r="AF3917" s="42" t="s">
        <v>6545</v>
      </c>
      <c r="AG3917" s="42" t="s">
        <v>6530</v>
      </c>
    </row>
    <row r="3918" spans="7:33" ht="15.75" customHeight="1">
      <c r="G3918" s="36"/>
      <c r="H3918" s="36"/>
      <c r="I3918" s="36"/>
      <c r="J3918" s="39"/>
      <c r="K3918" s="39"/>
      <c r="AF3918" s="42" t="s">
        <v>3037</v>
      </c>
      <c r="AG3918" s="42" t="s">
        <v>6530</v>
      </c>
    </row>
    <row r="3919" spans="7:33" ht="15.75" customHeight="1">
      <c r="G3919" s="36"/>
      <c r="H3919" s="36"/>
      <c r="I3919" s="36"/>
      <c r="J3919" s="39"/>
      <c r="K3919" s="39"/>
      <c r="AF3919" s="42" t="s">
        <v>2060</v>
      </c>
      <c r="AG3919" s="42" t="s">
        <v>6530</v>
      </c>
    </row>
    <row r="3920" spans="7:33" ht="15.75" customHeight="1">
      <c r="G3920" s="36"/>
      <c r="H3920" s="36"/>
      <c r="I3920" s="36"/>
      <c r="J3920" s="39"/>
      <c r="K3920" s="39"/>
      <c r="AF3920" s="42" t="s">
        <v>4133</v>
      </c>
      <c r="AG3920" s="42" t="s">
        <v>6530</v>
      </c>
    </row>
    <row r="3921" spans="7:33" ht="15.75" customHeight="1">
      <c r="G3921" s="36"/>
      <c r="H3921" s="36"/>
      <c r="I3921" s="36"/>
      <c r="J3921" s="39"/>
      <c r="K3921" s="39"/>
      <c r="AF3921" s="42" t="s">
        <v>4100</v>
      </c>
      <c r="AG3921" s="42" t="s">
        <v>6530</v>
      </c>
    </row>
    <row r="3922" spans="7:33" ht="15.75" customHeight="1">
      <c r="G3922" s="36"/>
      <c r="H3922" s="36"/>
      <c r="I3922" s="36"/>
      <c r="J3922" s="39"/>
      <c r="K3922" s="39"/>
      <c r="AF3922" s="42" t="s">
        <v>2970</v>
      </c>
      <c r="AG3922" s="42" t="s">
        <v>6530</v>
      </c>
    </row>
    <row r="3923" spans="7:33" ht="15.75" customHeight="1">
      <c r="G3923" s="36"/>
      <c r="H3923" s="36"/>
      <c r="I3923" s="36"/>
      <c r="J3923" s="39"/>
      <c r="K3923" s="39"/>
      <c r="AF3923" s="42" t="s">
        <v>6769</v>
      </c>
      <c r="AG3923" s="42" t="s">
        <v>6530</v>
      </c>
    </row>
    <row r="3924" spans="7:33" ht="15.75" customHeight="1">
      <c r="G3924" s="36"/>
      <c r="H3924" s="36"/>
      <c r="I3924" s="36"/>
      <c r="J3924" s="39"/>
      <c r="K3924" s="39"/>
      <c r="AF3924" s="42" t="s">
        <v>3859</v>
      </c>
      <c r="AG3924" s="42" t="s">
        <v>6530</v>
      </c>
    </row>
    <row r="3925" spans="7:33" ht="15.75" customHeight="1">
      <c r="G3925" s="36"/>
      <c r="H3925" s="36"/>
      <c r="I3925" s="36"/>
      <c r="J3925" s="39"/>
      <c r="K3925" s="39"/>
      <c r="AF3925" s="42" t="s">
        <v>1218</v>
      </c>
      <c r="AG3925" s="42" t="s">
        <v>6530</v>
      </c>
    </row>
    <row r="3926" spans="7:33" ht="15.75" customHeight="1">
      <c r="G3926" s="36"/>
      <c r="H3926" s="36"/>
      <c r="I3926" s="36"/>
      <c r="J3926" s="39"/>
      <c r="K3926" s="39"/>
      <c r="AF3926" s="42" t="s">
        <v>6753</v>
      </c>
      <c r="AG3926" s="42" t="s">
        <v>6530</v>
      </c>
    </row>
    <row r="3927" spans="7:33" ht="15.75" customHeight="1">
      <c r="G3927" s="36"/>
      <c r="H3927" s="36"/>
      <c r="I3927" s="36"/>
      <c r="J3927" s="39"/>
      <c r="K3927" s="39"/>
      <c r="AF3927" s="42" t="s">
        <v>2697</v>
      </c>
      <c r="AG3927" s="42" t="s">
        <v>6530</v>
      </c>
    </row>
    <row r="3928" spans="7:33" ht="15.75" customHeight="1">
      <c r="G3928" s="36"/>
      <c r="H3928" s="36"/>
      <c r="I3928" s="36"/>
      <c r="J3928" s="39"/>
      <c r="K3928" s="39"/>
      <c r="AF3928" s="42" t="s">
        <v>6542</v>
      </c>
      <c r="AG3928" s="42" t="s">
        <v>6530</v>
      </c>
    </row>
    <row r="3929" spans="7:33" ht="15.75" customHeight="1">
      <c r="G3929" s="36"/>
      <c r="H3929" s="36"/>
      <c r="I3929" s="36"/>
      <c r="J3929" s="39"/>
      <c r="K3929" s="39"/>
      <c r="AF3929" s="42" t="s">
        <v>5582</v>
      </c>
      <c r="AG3929" s="42" t="s">
        <v>6530</v>
      </c>
    </row>
    <row r="3930" spans="7:33" ht="15.75" customHeight="1">
      <c r="G3930" s="36"/>
      <c r="H3930" s="36"/>
      <c r="I3930" s="36"/>
      <c r="J3930" s="39"/>
      <c r="K3930" s="39"/>
      <c r="AF3930" s="42" t="s">
        <v>6375</v>
      </c>
      <c r="AG3930" s="42" t="s">
        <v>6530</v>
      </c>
    </row>
    <row r="3931" spans="7:33" ht="15.75" customHeight="1">
      <c r="G3931" s="36"/>
      <c r="H3931" s="36"/>
      <c r="I3931" s="36"/>
      <c r="J3931" s="39"/>
      <c r="K3931" s="39"/>
      <c r="AF3931" s="42" t="s">
        <v>6823</v>
      </c>
      <c r="AG3931" s="42" t="s">
        <v>6530</v>
      </c>
    </row>
    <row r="3932" spans="7:33" ht="15.75" customHeight="1">
      <c r="G3932" s="36"/>
      <c r="H3932" s="36"/>
      <c r="I3932" s="36"/>
      <c r="J3932" s="39"/>
      <c r="K3932" s="39"/>
      <c r="AF3932" s="42" t="s">
        <v>3049</v>
      </c>
      <c r="AG3932" s="42" t="s">
        <v>6530</v>
      </c>
    </row>
    <row r="3933" spans="7:33" ht="15.75" customHeight="1">
      <c r="G3933" s="36"/>
      <c r="H3933" s="36"/>
      <c r="I3933" s="36"/>
      <c r="J3933" s="39"/>
      <c r="K3933" s="39"/>
      <c r="AF3933" s="42" t="s">
        <v>5906</v>
      </c>
      <c r="AG3933" s="42" t="s">
        <v>6530</v>
      </c>
    </row>
    <row r="3934" spans="7:33" ht="15.75" customHeight="1">
      <c r="G3934" s="36"/>
      <c r="H3934" s="36"/>
      <c r="I3934" s="36"/>
      <c r="J3934" s="39"/>
      <c r="K3934" s="39"/>
      <c r="AF3934" s="42" t="s">
        <v>3291</v>
      </c>
      <c r="AG3934" s="42" t="s">
        <v>6530</v>
      </c>
    </row>
    <row r="3935" spans="7:33" ht="15.75" customHeight="1">
      <c r="G3935" s="36"/>
      <c r="H3935" s="36"/>
      <c r="I3935" s="36"/>
      <c r="J3935" s="39"/>
      <c r="K3935" s="39"/>
      <c r="AF3935" s="42" t="s">
        <v>1062</v>
      </c>
      <c r="AG3935" s="42" t="s">
        <v>6530</v>
      </c>
    </row>
    <row r="3936" spans="7:33" ht="15.75" customHeight="1">
      <c r="G3936" s="36"/>
      <c r="H3936" s="36"/>
      <c r="I3936" s="36"/>
      <c r="J3936" s="39"/>
      <c r="K3936" s="39"/>
      <c r="AF3936" s="42" t="s">
        <v>3511</v>
      </c>
      <c r="AG3936" s="42" t="s">
        <v>6530</v>
      </c>
    </row>
    <row r="3937" spans="7:33" ht="15.75" customHeight="1">
      <c r="G3937" s="36"/>
      <c r="H3937" s="36"/>
      <c r="I3937" s="36"/>
      <c r="J3937" s="39"/>
      <c r="K3937" s="39"/>
      <c r="AF3937" s="42" t="s">
        <v>2444</v>
      </c>
      <c r="AG3937" s="42" t="s">
        <v>6530</v>
      </c>
    </row>
    <row r="3938" spans="7:33" ht="15.75" customHeight="1">
      <c r="G3938" s="36"/>
      <c r="H3938" s="36"/>
      <c r="I3938" s="36"/>
      <c r="J3938" s="39"/>
      <c r="K3938" s="39"/>
      <c r="AF3938" s="42" t="s">
        <v>3931</v>
      </c>
      <c r="AG3938" s="42" t="s">
        <v>6530</v>
      </c>
    </row>
    <row r="3939" spans="7:33" ht="15.75" customHeight="1">
      <c r="G3939" s="36"/>
      <c r="H3939" s="36"/>
      <c r="I3939" s="36"/>
      <c r="J3939" s="39"/>
      <c r="K3939" s="39"/>
      <c r="AF3939" s="42" t="s">
        <v>6000</v>
      </c>
      <c r="AG3939" s="42" t="s">
        <v>6530</v>
      </c>
    </row>
    <row r="3940" spans="7:33" ht="15.75" customHeight="1">
      <c r="G3940" s="36"/>
      <c r="H3940" s="36"/>
      <c r="I3940" s="36"/>
      <c r="J3940" s="39"/>
      <c r="K3940" s="39"/>
      <c r="AF3940" s="42" t="s">
        <v>6807</v>
      </c>
      <c r="AG3940" s="42" t="s">
        <v>6530</v>
      </c>
    </row>
    <row r="3941" spans="7:33" ht="15.75" customHeight="1">
      <c r="G3941" s="36"/>
      <c r="H3941" s="36"/>
      <c r="I3941" s="36"/>
      <c r="J3941" s="39"/>
      <c r="K3941" s="39"/>
      <c r="AF3941" s="42" t="s">
        <v>5284</v>
      </c>
      <c r="AG3941" s="42" t="s">
        <v>6530</v>
      </c>
    </row>
    <row r="3942" spans="7:33" ht="15.75" customHeight="1">
      <c r="G3942" s="36"/>
      <c r="H3942" s="36"/>
      <c r="I3942" s="36"/>
      <c r="J3942" s="39"/>
      <c r="K3942" s="39"/>
      <c r="AF3942" s="42" t="s">
        <v>3419</v>
      </c>
      <c r="AG3942" s="42" t="s">
        <v>6530</v>
      </c>
    </row>
    <row r="3943" spans="7:33" ht="15.75" customHeight="1">
      <c r="G3943" s="36"/>
      <c r="H3943" s="36"/>
      <c r="I3943" s="36"/>
      <c r="J3943" s="39"/>
      <c r="K3943" s="39"/>
      <c r="AF3943" s="42" t="s">
        <v>6730</v>
      </c>
      <c r="AG3943" s="42" t="s">
        <v>6530</v>
      </c>
    </row>
    <row r="3944" spans="7:33" ht="15.75" customHeight="1">
      <c r="G3944" s="36"/>
      <c r="H3944" s="36"/>
      <c r="I3944" s="36"/>
      <c r="J3944" s="39"/>
      <c r="K3944" s="39"/>
      <c r="AF3944" s="42" t="s">
        <v>6781</v>
      </c>
      <c r="AG3944" s="42" t="s">
        <v>6530</v>
      </c>
    </row>
    <row r="3945" spans="7:33" ht="15.75" customHeight="1">
      <c r="G3945" s="36"/>
      <c r="H3945" s="36"/>
      <c r="I3945" s="36"/>
      <c r="J3945" s="39"/>
      <c r="K3945" s="39"/>
      <c r="AF3945" s="42" t="s">
        <v>1751</v>
      </c>
      <c r="AG3945" s="42" t="s">
        <v>6530</v>
      </c>
    </row>
    <row r="3946" spans="7:33" ht="15.75" customHeight="1">
      <c r="G3946" s="36"/>
      <c r="H3946" s="36"/>
      <c r="I3946" s="36"/>
      <c r="J3946" s="39"/>
      <c r="K3946" s="39"/>
      <c r="AF3946" s="42" t="s">
        <v>3742</v>
      </c>
      <c r="AG3946" s="42" t="s">
        <v>6530</v>
      </c>
    </row>
    <row r="3947" spans="7:33" ht="15.75" customHeight="1">
      <c r="G3947" s="36"/>
      <c r="H3947" s="36"/>
      <c r="I3947" s="36"/>
      <c r="J3947" s="39"/>
      <c r="K3947" s="39"/>
      <c r="AF3947" s="42" t="s">
        <v>6747</v>
      </c>
      <c r="AG3947" s="42" t="s">
        <v>6530</v>
      </c>
    </row>
    <row r="3948" spans="7:33" ht="15.75" customHeight="1">
      <c r="G3948" s="36"/>
      <c r="H3948" s="36"/>
      <c r="I3948" s="36"/>
      <c r="J3948" s="39"/>
      <c r="K3948" s="39"/>
      <c r="AF3948" s="42" t="s">
        <v>3130</v>
      </c>
      <c r="AG3948" s="42" t="s">
        <v>6530</v>
      </c>
    </row>
    <row r="3949" spans="7:33" ht="15.75" customHeight="1">
      <c r="G3949" s="36"/>
      <c r="H3949" s="36"/>
      <c r="I3949" s="36"/>
      <c r="J3949" s="39"/>
      <c r="K3949" s="39"/>
      <c r="AF3949" s="42" t="s">
        <v>5153</v>
      </c>
      <c r="AG3949" s="42" t="s">
        <v>6530</v>
      </c>
    </row>
    <row r="3950" spans="7:33" ht="15.75" customHeight="1">
      <c r="G3950" s="36"/>
      <c r="H3950" s="36"/>
      <c r="I3950" s="36"/>
      <c r="J3950" s="39"/>
      <c r="K3950" s="39"/>
      <c r="AF3950" s="42" t="s">
        <v>3156</v>
      </c>
      <c r="AG3950" s="42" t="s">
        <v>6530</v>
      </c>
    </row>
    <row r="3951" spans="7:33" ht="15.75" customHeight="1">
      <c r="G3951" s="36"/>
      <c r="H3951" s="36"/>
      <c r="I3951" s="36"/>
      <c r="J3951" s="39"/>
      <c r="K3951" s="39"/>
      <c r="AF3951" s="42" t="s">
        <v>3889</v>
      </c>
      <c r="AG3951" s="42" t="s">
        <v>6530</v>
      </c>
    </row>
    <row r="3952" spans="7:33" ht="15.75" customHeight="1">
      <c r="G3952" s="36"/>
      <c r="H3952" s="36"/>
      <c r="I3952" s="36"/>
      <c r="J3952" s="39"/>
      <c r="K3952" s="39"/>
      <c r="AF3952" s="42" t="s">
        <v>3470</v>
      </c>
      <c r="AG3952" s="42" t="s">
        <v>6530</v>
      </c>
    </row>
    <row r="3953" spans="7:33" ht="15.75" customHeight="1">
      <c r="G3953" s="36"/>
      <c r="H3953" s="36"/>
      <c r="I3953" s="36"/>
      <c r="J3953" s="39"/>
      <c r="K3953" s="39"/>
      <c r="AF3953" s="42" t="s">
        <v>6548</v>
      </c>
      <c r="AG3953" s="42" t="s">
        <v>6530</v>
      </c>
    </row>
    <row r="3954" spans="7:33" ht="15.75" customHeight="1">
      <c r="G3954" s="36"/>
      <c r="H3954" s="36"/>
      <c r="I3954" s="36"/>
      <c r="J3954" s="39"/>
      <c r="K3954" s="39"/>
      <c r="AF3954" s="42" t="s">
        <v>3143</v>
      </c>
      <c r="AG3954" s="42" t="s">
        <v>6530</v>
      </c>
    </row>
    <row r="3955" spans="7:33" ht="15.75" customHeight="1">
      <c r="G3955" s="36"/>
      <c r="H3955" s="36"/>
      <c r="I3955" s="36"/>
      <c r="J3955" s="39"/>
      <c r="K3955" s="39"/>
      <c r="AF3955" s="42" t="s">
        <v>4431</v>
      </c>
      <c r="AG3955" s="42" t="s">
        <v>6530</v>
      </c>
    </row>
    <row r="3956" spans="7:33" ht="15.75" customHeight="1">
      <c r="G3956" s="36"/>
      <c r="H3956" s="36"/>
      <c r="I3956" s="36"/>
      <c r="J3956" s="39"/>
      <c r="K3956" s="39"/>
      <c r="AF3956" s="42" t="s">
        <v>6804</v>
      </c>
      <c r="AG3956" s="42" t="s">
        <v>6530</v>
      </c>
    </row>
    <row r="3957" spans="7:33" ht="15.75" customHeight="1">
      <c r="G3957" s="36"/>
      <c r="H3957" s="36"/>
      <c r="I3957" s="36"/>
      <c r="J3957" s="39"/>
      <c r="K3957" s="39"/>
      <c r="AF3957" s="42" t="s">
        <v>5402</v>
      </c>
      <c r="AG3957" s="42" t="s">
        <v>6530</v>
      </c>
    </row>
    <row r="3958" spans="7:33" ht="15.75" customHeight="1">
      <c r="G3958" s="36"/>
      <c r="H3958" s="36"/>
      <c r="I3958" s="36"/>
      <c r="J3958" s="39"/>
      <c r="K3958" s="39"/>
      <c r="AF3958" s="42" t="s">
        <v>5527</v>
      </c>
      <c r="AG3958" s="42" t="s">
        <v>6530</v>
      </c>
    </row>
    <row r="3959" spans="7:33" ht="15.75" customHeight="1">
      <c r="G3959" s="36"/>
      <c r="H3959" s="36"/>
      <c r="I3959" s="36"/>
      <c r="J3959" s="39"/>
      <c r="K3959" s="39"/>
      <c r="AF3959" s="42" t="s">
        <v>2158</v>
      </c>
      <c r="AG3959" s="42" t="s">
        <v>6569</v>
      </c>
    </row>
    <row r="3960" spans="7:33" ht="15.75" customHeight="1">
      <c r="G3960" s="36"/>
      <c r="H3960" s="36"/>
      <c r="I3960" s="36"/>
      <c r="J3960" s="39"/>
      <c r="K3960" s="39"/>
      <c r="AF3960" s="42" t="s">
        <v>2047</v>
      </c>
      <c r="AG3960" s="42" t="s">
        <v>6530</v>
      </c>
    </row>
    <row r="3961" spans="7:33" ht="15.75" customHeight="1">
      <c r="G3961" s="36"/>
      <c r="H3961" s="36"/>
      <c r="I3961" s="36"/>
      <c r="J3961" s="39"/>
      <c r="K3961" s="39"/>
      <c r="AF3961" s="42" t="s">
        <v>4479</v>
      </c>
      <c r="AG3961" s="42" t="s">
        <v>6530</v>
      </c>
    </row>
    <row r="3962" spans="7:33" ht="15.75" customHeight="1">
      <c r="G3962" s="36"/>
      <c r="H3962" s="36"/>
      <c r="I3962" s="36"/>
      <c r="J3962" s="39"/>
      <c r="K3962" s="39"/>
      <c r="AF3962" s="42" t="s">
        <v>3573</v>
      </c>
      <c r="AG3962" s="42" t="s">
        <v>6530</v>
      </c>
    </row>
    <row r="3963" spans="7:33" ht="15.75" customHeight="1">
      <c r="G3963" s="36"/>
      <c r="H3963" s="36"/>
      <c r="I3963" s="36"/>
      <c r="J3963" s="39"/>
      <c r="K3963" s="39"/>
      <c r="AF3963" s="42" t="s">
        <v>6773</v>
      </c>
      <c r="AG3963" s="42" t="s">
        <v>6530</v>
      </c>
    </row>
    <row r="3964" spans="7:33" ht="15.75" customHeight="1">
      <c r="G3964" s="36"/>
      <c r="H3964" s="36"/>
      <c r="I3964" s="36"/>
      <c r="J3964" s="39"/>
      <c r="K3964" s="39"/>
      <c r="AF3964" s="42" t="s">
        <v>4298</v>
      </c>
      <c r="AG3964" s="42" t="s">
        <v>6530</v>
      </c>
    </row>
    <row r="3965" spans="7:33" ht="15.75" customHeight="1">
      <c r="G3965" s="36"/>
      <c r="H3965" s="36"/>
      <c r="I3965" s="36"/>
      <c r="J3965" s="39"/>
      <c r="K3965" s="39"/>
      <c r="AF3965" s="42" t="s">
        <v>1299</v>
      </c>
      <c r="AG3965" s="42" t="s">
        <v>6530</v>
      </c>
    </row>
    <row r="3966" spans="7:33" ht="15.75" customHeight="1">
      <c r="G3966" s="36"/>
      <c r="H3966" s="36"/>
      <c r="I3966" s="36"/>
      <c r="J3966" s="39"/>
      <c r="K3966" s="39"/>
      <c r="AF3966" s="42" t="s">
        <v>1633</v>
      </c>
      <c r="AG3966" s="42" t="s">
        <v>6530</v>
      </c>
    </row>
    <row r="3967" spans="7:33" ht="15.75" customHeight="1">
      <c r="G3967" s="36"/>
      <c r="H3967" s="36"/>
      <c r="I3967" s="36"/>
      <c r="J3967" s="39"/>
      <c r="K3967" s="39"/>
      <c r="AF3967" s="42" t="s">
        <v>4653</v>
      </c>
      <c r="AG3967" s="42" t="s">
        <v>6530</v>
      </c>
    </row>
    <row r="3968" spans="7:33" ht="15.75" customHeight="1">
      <c r="G3968" s="36"/>
      <c r="H3968" s="36"/>
      <c r="I3968" s="36"/>
      <c r="J3968" s="39"/>
      <c r="K3968" s="39"/>
      <c r="AF3968" s="42" t="s">
        <v>4795</v>
      </c>
      <c r="AG3968" s="42" t="s">
        <v>6530</v>
      </c>
    </row>
    <row r="3969" spans="7:33" ht="15.75" customHeight="1">
      <c r="G3969" s="36"/>
      <c r="H3969" s="36"/>
      <c r="I3969" s="36"/>
      <c r="J3969" s="39"/>
      <c r="K3969" s="39"/>
      <c r="AF3969" s="42" t="s">
        <v>6787</v>
      </c>
      <c r="AG3969" s="42" t="s">
        <v>6530</v>
      </c>
    </row>
    <row r="3970" spans="7:33" ht="15.75" customHeight="1">
      <c r="G3970" s="36"/>
      <c r="H3970" s="36"/>
      <c r="I3970" s="36"/>
      <c r="J3970" s="39"/>
      <c r="K3970" s="39"/>
      <c r="AF3970" s="42" t="s">
        <v>6758</v>
      </c>
      <c r="AG3970" s="42" t="s">
        <v>6530</v>
      </c>
    </row>
    <row r="3971" spans="7:33" ht="15.75" customHeight="1">
      <c r="G3971" s="36"/>
      <c r="H3971" s="36"/>
      <c r="I3971" s="36"/>
      <c r="J3971" s="39"/>
      <c r="K3971" s="39"/>
      <c r="AF3971" s="42" t="s">
        <v>4444</v>
      </c>
      <c r="AG3971" s="42" t="s">
        <v>6530</v>
      </c>
    </row>
    <row r="3972" spans="7:33" ht="15.75" customHeight="1">
      <c r="G3972" s="36"/>
      <c r="H3972" s="36"/>
      <c r="I3972" s="36"/>
      <c r="J3972" s="39"/>
      <c r="K3972" s="39"/>
      <c r="AF3972" s="42" t="s">
        <v>4228</v>
      </c>
      <c r="AG3972" s="42" t="s">
        <v>6530</v>
      </c>
    </row>
    <row r="3973" spans="7:33" ht="15.75" customHeight="1">
      <c r="G3973" s="36"/>
      <c r="H3973" s="36"/>
      <c r="I3973" s="36"/>
      <c r="J3973" s="39"/>
      <c r="K3973" s="39"/>
      <c r="AF3973" s="42" t="s">
        <v>5422</v>
      </c>
      <c r="AG3973" s="42" t="s">
        <v>6530</v>
      </c>
    </row>
    <row r="3974" spans="7:33" ht="15.75" customHeight="1">
      <c r="G3974" s="36"/>
      <c r="H3974" s="36"/>
      <c r="I3974" s="36"/>
      <c r="J3974" s="39"/>
      <c r="K3974" s="39"/>
      <c r="AF3974" s="42" t="s">
        <v>1711</v>
      </c>
      <c r="AG3974" s="42" t="s">
        <v>6569</v>
      </c>
    </row>
    <row r="3975" spans="7:33" ht="15.75" customHeight="1">
      <c r="G3975" s="36"/>
      <c r="H3975" s="36"/>
      <c r="I3975" s="36"/>
      <c r="J3975" s="39"/>
      <c r="K3975" s="39"/>
      <c r="AF3975" s="42" t="s">
        <v>6572</v>
      </c>
      <c r="AG3975" s="42" t="s">
        <v>6530</v>
      </c>
    </row>
    <row r="3976" spans="7:33" ht="15.75" customHeight="1">
      <c r="G3976" s="36"/>
      <c r="H3976" s="36"/>
      <c r="I3976" s="36"/>
      <c r="J3976" s="39"/>
      <c r="K3976" s="39"/>
      <c r="AF3976" s="42" t="s">
        <v>955</v>
      </c>
      <c r="AG3976" s="42" t="s">
        <v>6530</v>
      </c>
    </row>
    <row r="3977" spans="7:33" ht="15.75" customHeight="1">
      <c r="G3977" s="36"/>
      <c r="H3977" s="36"/>
      <c r="I3977" s="36"/>
      <c r="J3977" s="39"/>
      <c r="K3977" s="39"/>
      <c r="AF3977" s="42" t="s">
        <v>3806</v>
      </c>
      <c r="AG3977" s="42" t="s">
        <v>6530</v>
      </c>
    </row>
    <row r="3978" spans="7:33" ht="15.75" customHeight="1">
      <c r="G3978" s="36"/>
      <c r="H3978" s="36"/>
      <c r="I3978" s="36"/>
      <c r="J3978" s="39"/>
      <c r="K3978" s="39"/>
      <c r="AF3978" s="42" t="s">
        <v>4045</v>
      </c>
      <c r="AG3978" s="42" t="s">
        <v>6530</v>
      </c>
    </row>
    <row r="3979" spans="7:33" ht="15.75" customHeight="1">
      <c r="G3979" s="36"/>
      <c r="H3979" s="36"/>
      <c r="I3979" s="36"/>
      <c r="J3979" s="39"/>
      <c r="K3979" s="39"/>
      <c r="AF3979" s="42" t="s">
        <v>1791</v>
      </c>
      <c r="AG3979" s="42" t="s">
        <v>6530</v>
      </c>
    </row>
    <row r="3980" spans="7:33" ht="15.75" customHeight="1">
      <c r="G3980" s="36"/>
      <c r="H3980" s="36"/>
      <c r="I3980" s="36"/>
      <c r="J3980" s="39"/>
      <c r="K3980" s="39"/>
      <c r="AF3980" s="42" t="s">
        <v>4304</v>
      </c>
      <c r="AG3980" s="42" t="s">
        <v>6530</v>
      </c>
    </row>
    <row r="3981" spans="7:33" ht="15.75" customHeight="1">
      <c r="G3981" s="36"/>
      <c r="H3981" s="36"/>
      <c r="I3981" s="36"/>
      <c r="J3981" s="39"/>
      <c r="K3981" s="39"/>
      <c r="AF3981" s="42" t="s">
        <v>5838</v>
      </c>
      <c r="AG3981" s="42" t="s">
        <v>6530</v>
      </c>
    </row>
    <row r="3982" spans="7:33" ht="15.75" customHeight="1">
      <c r="G3982" s="36"/>
      <c r="H3982" s="36"/>
      <c r="I3982" s="36"/>
      <c r="J3982" s="39"/>
      <c r="K3982" s="39"/>
      <c r="AF3982" s="42" t="s">
        <v>6766</v>
      </c>
      <c r="AG3982" s="42" t="s">
        <v>6530</v>
      </c>
    </row>
    <row r="3983" spans="7:33" ht="15.75" customHeight="1">
      <c r="G3983" s="36"/>
      <c r="H3983" s="36"/>
      <c r="I3983" s="36"/>
      <c r="J3983" s="39"/>
      <c r="K3983" s="39"/>
      <c r="AF3983" s="42" t="s">
        <v>1109</v>
      </c>
      <c r="AG3983" s="42" t="s">
        <v>6530</v>
      </c>
    </row>
    <row r="3984" spans="7:33" ht="15.75" customHeight="1">
      <c r="G3984" s="36"/>
      <c r="H3984" s="36"/>
      <c r="I3984" s="36"/>
      <c r="J3984" s="39"/>
      <c r="K3984" s="39"/>
      <c r="AF3984" s="42" t="s">
        <v>5496</v>
      </c>
      <c r="AG3984" s="42" t="s">
        <v>6530</v>
      </c>
    </row>
    <row r="3985" spans="7:33" ht="15.75" customHeight="1">
      <c r="G3985" s="36"/>
      <c r="H3985" s="36"/>
      <c r="I3985" s="36"/>
      <c r="J3985" s="39"/>
      <c r="K3985" s="39"/>
      <c r="AF3985" s="42" t="s">
        <v>5308</v>
      </c>
      <c r="AG3985" s="42" t="s">
        <v>6530</v>
      </c>
    </row>
    <row r="3986" spans="7:33" ht="15.75" customHeight="1">
      <c r="G3986" s="36"/>
      <c r="H3986" s="36"/>
      <c r="I3986" s="36"/>
      <c r="J3986" s="39"/>
      <c r="K3986" s="39"/>
      <c r="AF3986" s="42" t="s">
        <v>4064</v>
      </c>
      <c r="AG3986" s="42" t="s">
        <v>6530</v>
      </c>
    </row>
    <row r="3987" spans="7:33" ht="15.75" customHeight="1">
      <c r="G3987" s="36"/>
      <c r="H3987" s="36"/>
      <c r="I3987" s="36"/>
      <c r="J3987" s="39"/>
      <c r="K3987" s="39"/>
      <c r="AF3987" s="42" t="s">
        <v>6790</v>
      </c>
      <c r="AG3987" s="42" t="s">
        <v>6530</v>
      </c>
    </row>
    <row r="3988" spans="7:33" ht="15.75" customHeight="1">
      <c r="G3988" s="36"/>
      <c r="H3988" s="36"/>
      <c r="I3988" s="36"/>
      <c r="J3988" s="39"/>
      <c r="K3988" s="39"/>
      <c r="AF3988" s="42" t="s">
        <v>4646</v>
      </c>
      <c r="AG3988" s="42" t="s">
        <v>6530</v>
      </c>
    </row>
    <row r="3989" spans="7:33" ht="15.75" customHeight="1">
      <c r="G3989" s="36"/>
      <c r="H3989" s="36"/>
      <c r="I3989" s="36"/>
      <c r="J3989" s="39"/>
      <c r="K3989" s="39"/>
      <c r="AF3989" s="42" t="s">
        <v>4707</v>
      </c>
      <c r="AG3989" s="42" t="s">
        <v>6530</v>
      </c>
    </row>
    <row r="3990" spans="7:33" ht="15.75" customHeight="1">
      <c r="G3990" s="36"/>
      <c r="H3990" s="36"/>
      <c r="I3990" s="36"/>
      <c r="J3990" s="39"/>
      <c r="K3990" s="39"/>
      <c r="AF3990" s="42" t="s">
        <v>6800</v>
      </c>
      <c r="AG3990" s="42" t="s">
        <v>6530</v>
      </c>
    </row>
    <row r="3991" spans="7:33" ht="15.75" customHeight="1">
      <c r="G3991" s="36"/>
      <c r="H3991" s="36"/>
      <c r="I3991" s="36"/>
      <c r="J3991" s="39"/>
      <c r="K3991" s="39"/>
      <c r="AF3991" s="42" t="s">
        <v>1003</v>
      </c>
      <c r="AG3991" s="42" t="s">
        <v>6569</v>
      </c>
    </row>
    <row r="3992" spans="7:33" ht="15.75" customHeight="1">
      <c r="G3992" s="36"/>
      <c r="H3992" s="36"/>
      <c r="I3992" s="36"/>
      <c r="J3992" s="39"/>
      <c r="K3992" s="39"/>
      <c r="AF3992" s="42" t="s">
        <v>6738</v>
      </c>
      <c r="AG3992" s="42" t="s">
        <v>6530</v>
      </c>
    </row>
    <row r="3993" spans="7:33" ht="15.75" customHeight="1">
      <c r="G3993" s="36"/>
      <c r="H3993" s="36"/>
      <c r="I3993" s="36"/>
      <c r="J3993" s="39"/>
      <c r="K3993" s="39"/>
      <c r="AF3993" s="42" t="s">
        <v>6567</v>
      </c>
      <c r="AG3993" s="42" t="s">
        <v>6530</v>
      </c>
    </row>
    <row r="3994" spans="7:33" ht="15.75" customHeight="1">
      <c r="G3994" s="36"/>
      <c r="H3994" s="36"/>
      <c r="I3994" s="36"/>
      <c r="J3994" s="39"/>
      <c r="K3994" s="39"/>
      <c r="AF3994" s="42" t="s">
        <v>1144</v>
      </c>
      <c r="AG3994" s="42" t="s">
        <v>6530</v>
      </c>
    </row>
    <row r="3995" spans="7:33" ht="15.75" customHeight="1">
      <c r="G3995" s="36"/>
      <c r="H3995" s="36"/>
      <c r="I3995" s="36"/>
      <c r="J3995" s="39"/>
      <c r="K3995" s="39"/>
      <c r="AF3995" s="42" t="s">
        <v>6777</v>
      </c>
      <c r="AG3995" s="42" t="s">
        <v>6530</v>
      </c>
    </row>
    <row r="3996" spans="7:33" ht="15.75" customHeight="1">
      <c r="G3996" s="36"/>
      <c r="H3996" s="36"/>
      <c r="I3996" s="36"/>
      <c r="J3996" s="39"/>
      <c r="K3996" s="39"/>
      <c r="AF3996" s="42" t="s">
        <v>6062</v>
      </c>
      <c r="AG3996" s="42" t="s">
        <v>6530</v>
      </c>
    </row>
    <row r="3997" spans="7:33" ht="15.75" customHeight="1">
      <c r="G3997" s="36"/>
      <c r="H3997" s="36"/>
      <c r="I3997" s="36"/>
      <c r="J3997" s="39"/>
      <c r="K3997" s="39"/>
      <c r="AF3997" s="42" t="s">
        <v>2824</v>
      </c>
      <c r="AG3997" s="42" t="s">
        <v>6530</v>
      </c>
    </row>
    <row r="3998" spans="7:33" ht="15.75" customHeight="1">
      <c r="G3998" s="36"/>
      <c r="H3998" s="36"/>
      <c r="I3998" s="36"/>
      <c r="J3998" s="39"/>
      <c r="K3998" s="39"/>
      <c r="AF3998" s="42" t="s">
        <v>6335</v>
      </c>
      <c r="AG3998" s="42" t="s">
        <v>6530</v>
      </c>
    </row>
    <row r="3999" spans="7:33" ht="15.75" customHeight="1">
      <c r="G3999" s="36"/>
      <c r="H3999" s="36"/>
      <c r="I3999" s="36"/>
      <c r="J3999" s="39"/>
      <c r="K3999" s="39"/>
      <c r="AF3999" s="42" t="s">
        <v>6537</v>
      </c>
      <c r="AG3999" s="42" t="s">
        <v>6530</v>
      </c>
    </row>
    <row r="4000" spans="7:33" ht="15.75" customHeight="1">
      <c r="G4000" s="36"/>
      <c r="H4000" s="36"/>
      <c r="I4000" s="36"/>
      <c r="J4000" s="39"/>
      <c r="K4000" s="39"/>
      <c r="AF4000" s="42" t="s">
        <v>1480</v>
      </c>
      <c r="AG4000" s="42" t="s">
        <v>6530</v>
      </c>
    </row>
    <row r="4001" spans="7:33" ht="15.75" customHeight="1">
      <c r="G4001" s="36"/>
      <c r="H4001" s="36"/>
      <c r="I4001" s="36"/>
      <c r="J4001" s="39"/>
      <c r="K4001" s="39"/>
      <c r="AF4001" s="42" t="s">
        <v>1329</v>
      </c>
      <c r="AG4001" s="42" t="s">
        <v>6530</v>
      </c>
    </row>
    <row r="4002" spans="7:33" ht="15.75" customHeight="1">
      <c r="G4002" s="36"/>
      <c r="H4002" s="36"/>
      <c r="I4002" s="36"/>
      <c r="J4002" s="39"/>
      <c r="K4002" s="39"/>
      <c r="AF4002" s="42" t="s">
        <v>1655</v>
      </c>
      <c r="AG4002" s="42" t="s">
        <v>6530</v>
      </c>
    </row>
    <row r="4003" spans="7:33" ht="15.75" customHeight="1">
      <c r="G4003" s="36"/>
      <c r="H4003" s="36"/>
      <c r="I4003" s="36"/>
      <c r="J4003" s="39"/>
      <c r="K4003" s="39"/>
      <c r="AF4003" s="42" t="s">
        <v>1526</v>
      </c>
      <c r="AG4003" s="42" t="s">
        <v>6530</v>
      </c>
    </row>
    <row r="4004" spans="7:33" ht="15.75" customHeight="1">
      <c r="G4004" s="36"/>
      <c r="H4004" s="36"/>
      <c r="I4004" s="36"/>
      <c r="J4004" s="39"/>
      <c r="K4004" s="39"/>
      <c r="AF4004" s="42" t="s">
        <v>6031</v>
      </c>
      <c r="AG4004" s="42" t="s">
        <v>6530</v>
      </c>
    </row>
    <row r="4005" spans="7:33" ht="15.75" customHeight="1">
      <c r="G4005" s="36"/>
      <c r="H4005" s="36"/>
      <c r="I4005" s="36"/>
      <c r="J4005" s="39"/>
      <c r="K4005" s="39"/>
      <c r="AF4005" s="42" t="s">
        <v>4950</v>
      </c>
      <c r="AG4005" s="42" t="s">
        <v>6530</v>
      </c>
    </row>
    <row r="4006" spans="7:33" ht="15.75" customHeight="1">
      <c r="G4006" s="36"/>
      <c r="H4006" s="36"/>
      <c r="I4006" s="36"/>
      <c r="J4006" s="39"/>
      <c r="K4006" s="39"/>
      <c r="AF4006" s="42" t="s">
        <v>846</v>
      </c>
      <c r="AG4006" s="42" t="s">
        <v>6530</v>
      </c>
    </row>
    <row r="4007" spans="7:33" ht="15.75" customHeight="1">
      <c r="G4007" s="36"/>
      <c r="H4007" s="36"/>
      <c r="I4007" s="36"/>
      <c r="J4007" s="39"/>
      <c r="K4007" s="39"/>
      <c r="AF4007" s="42" t="s">
        <v>6546</v>
      </c>
      <c r="AG4007" s="42" t="s">
        <v>6530</v>
      </c>
    </row>
    <row r="4008" spans="7:33" ht="15.75" customHeight="1">
      <c r="G4008" s="36"/>
      <c r="H4008" s="36"/>
      <c r="I4008" s="36"/>
      <c r="J4008" s="39"/>
      <c r="K4008" s="39"/>
      <c r="AF4008" s="42" t="s">
        <v>4868</v>
      </c>
      <c r="AG4008" s="42" t="s">
        <v>6530</v>
      </c>
    </row>
    <row r="4009" spans="7:33" ht="15.75" customHeight="1">
      <c r="G4009" s="36"/>
      <c r="H4009" s="36"/>
      <c r="I4009" s="36"/>
      <c r="J4009" s="39"/>
      <c r="K4009" s="39"/>
      <c r="AF4009" s="42" t="s">
        <v>6161</v>
      </c>
      <c r="AG4009" s="42" t="s">
        <v>6530</v>
      </c>
    </row>
    <row r="4010" spans="7:33" ht="15.75" customHeight="1">
      <c r="G4010" s="36"/>
      <c r="H4010" s="36"/>
      <c r="I4010" s="36"/>
      <c r="J4010" s="39"/>
      <c r="K4010" s="39"/>
      <c r="AF4010" s="42" t="s">
        <v>5621</v>
      </c>
      <c r="AG4010" s="42" t="s">
        <v>6530</v>
      </c>
    </row>
    <row r="4011" spans="7:33" ht="15.75" customHeight="1">
      <c r="G4011" s="36"/>
      <c r="H4011" s="36"/>
      <c r="I4011" s="36"/>
      <c r="J4011" s="39"/>
      <c r="K4011" s="39"/>
      <c r="AF4011" s="42" t="s">
        <v>2370</v>
      </c>
      <c r="AG4011" s="42" t="s">
        <v>6530</v>
      </c>
    </row>
    <row r="4012" spans="7:33" ht="15.75" customHeight="1">
      <c r="G4012" s="36"/>
      <c r="H4012" s="36"/>
      <c r="I4012" s="36"/>
      <c r="J4012" s="39"/>
      <c r="K4012" s="39"/>
      <c r="AF4012" s="42" t="s">
        <v>3381</v>
      </c>
      <c r="AG4012" s="42" t="s">
        <v>6530</v>
      </c>
    </row>
    <row r="4013" spans="7:33" ht="15.75" customHeight="1">
      <c r="G4013" s="36"/>
      <c r="H4013" s="36"/>
      <c r="I4013" s="36"/>
      <c r="J4013" s="39"/>
      <c r="K4013" s="39"/>
      <c r="AF4013" s="42" t="s">
        <v>1375</v>
      </c>
      <c r="AG4013" s="42" t="s">
        <v>6530</v>
      </c>
    </row>
    <row r="4014" spans="7:33" ht="15.75" customHeight="1">
      <c r="G4014" s="36"/>
      <c r="H4014" s="36"/>
      <c r="I4014" s="36"/>
      <c r="J4014" s="39"/>
      <c r="K4014" s="39"/>
      <c r="AF4014" s="42" t="s">
        <v>3902</v>
      </c>
      <c r="AG4014" s="42" t="s">
        <v>6530</v>
      </c>
    </row>
    <row r="4015" spans="7:33" ht="15.75" customHeight="1">
      <c r="G4015" s="36"/>
      <c r="H4015" s="36"/>
      <c r="I4015" s="36"/>
      <c r="J4015" s="39"/>
      <c r="K4015" s="39"/>
      <c r="AF4015" s="42" t="s">
        <v>2932</v>
      </c>
      <c r="AG4015" s="42" t="s">
        <v>6530</v>
      </c>
    </row>
    <row r="4016" spans="7:33" ht="15.75" customHeight="1">
      <c r="G4016" s="36"/>
      <c r="H4016" s="36"/>
      <c r="I4016" s="36"/>
      <c r="J4016" s="39"/>
      <c r="K4016" s="39"/>
      <c r="AF4016" s="42" t="s">
        <v>3451</v>
      </c>
      <c r="AG4016" s="42" t="s">
        <v>6530</v>
      </c>
    </row>
    <row r="4017" spans="7:33" ht="15.75" customHeight="1">
      <c r="G4017" s="36"/>
      <c r="H4017" s="36"/>
      <c r="I4017" s="36"/>
      <c r="J4017" s="39"/>
      <c r="K4017" s="39"/>
      <c r="AF4017" s="42" t="s">
        <v>3733</v>
      </c>
      <c r="AG4017" s="42" t="s">
        <v>6530</v>
      </c>
    </row>
    <row r="4018" spans="7:33" ht="15.75" customHeight="1">
      <c r="G4018" s="36"/>
      <c r="H4018" s="36"/>
      <c r="I4018" s="36"/>
      <c r="J4018" s="39"/>
      <c r="K4018" s="39"/>
      <c r="AF4018" s="42" t="s">
        <v>1785</v>
      </c>
      <c r="AG4018" s="42" t="s">
        <v>6530</v>
      </c>
    </row>
    <row r="4019" spans="7:33" ht="15.75" customHeight="1">
      <c r="G4019" s="36"/>
      <c r="H4019" s="36"/>
      <c r="I4019" s="36"/>
      <c r="J4019" s="39"/>
      <c r="K4019" s="39"/>
      <c r="AF4019" s="42" t="s">
        <v>1730</v>
      </c>
      <c r="AG4019" s="42" t="s">
        <v>6530</v>
      </c>
    </row>
    <row r="4020" spans="7:33" ht="15.75" customHeight="1">
      <c r="G4020" s="36"/>
      <c r="H4020" s="36"/>
      <c r="I4020" s="36"/>
      <c r="J4020" s="39"/>
      <c r="K4020" s="39"/>
      <c r="AF4020" s="42" t="s">
        <v>4052</v>
      </c>
      <c r="AG4020" s="42" t="s">
        <v>6530</v>
      </c>
    </row>
    <row r="4021" spans="7:33" ht="15.75" customHeight="1">
      <c r="G4021" s="36"/>
      <c r="H4021" s="36"/>
      <c r="I4021" s="36"/>
      <c r="J4021" s="39"/>
      <c r="K4021" s="39"/>
      <c r="AF4021" s="42" t="s">
        <v>863</v>
      </c>
      <c r="AG4021" s="42" t="s">
        <v>6530</v>
      </c>
    </row>
    <row r="4022" spans="7:33" ht="15.75" customHeight="1">
      <c r="G4022" s="36"/>
      <c r="H4022" s="36"/>
      <c r="I4022" s="36"/>
      <c r="J4022" s="39"/>
      <c r="K4022" s="39"/>
      <c r="AF4022" s="42" t="s">
        <v>4005</v>
      </c>
      <c r="AG4022" s="42" t="s">
        <v>6530</v>
      </c>
    </row>
    <row r="4023" spans="7:33" ht="15.75" customHeight="1">
      <c r="G4023" s="36"/>
      <c r="H4023" s="36"/>
      <c r="I4023" s="36"/>
      <c r="J4023" s="39"/>
      <c r="K4023" s="39"/>
      <c r="AF4023" s="42" t="s">
        <v>6739</v>
      </c>
      <c r="AG4023" s="42" t="s">
        <v>6530</v>
      </c>
    </row>
    <row r="4024" spans="7:33" ht="15.75" customHeight="1">
      <c r="G4024" s="36"/>
      <c r="H4024" s="36"/>
      <c r="I4024" s="36"/>
      <c r="J4024" s="39"/>
      <c r="K4024" s="39"/>
      <c r="AF4024" s="42" t="s">
        <v>1117</v>
      </c>
      <c r="AG4024" s="42" t="s">
        <v>6530</v>
      </c>
    </row>
    <row r="4025" spans="7:33" ht="15.75" customHeight="1">
      <c r="G4025" s="36"/>
      <c r="H4025" s="36"/>
      <c r="I4025" s="36"/>
      <c r="J4025" s="39"/>
      <c r="K4025" s="39"/>
      <c r="AF4025" s="42" t="s">
        <v>5641</v>
      </c>
      <c r="AG4025" s="42" t="s">
        <v>6530</v>
      </c>
    </row>
    <row r="4026" spans="7:33" ht="15.75" customHeight="1">
      <c r="G4026" s="36"/>
      <c r="H4026" s="36"/>
      <c r="I4026" s="36"/>
      <c r="J4026" s="39"/>
      <c r="K4026" s="39"/>
      <c r="AF4026" s="42" t="s">
        <v>4167</v>
      </c>
      <c r="AG4026" s="42" t="s">
        <v>6530</v>
      </c>
    </row>
    <row r="4027" spans="7:33" ht="15.75" customHeight="1">
      <c r="G4027" s="36"/>
      <c r="H4027" s="36"/>
      <c r="I4027" s="36"/>
      <c r="J4027" s="39"/>
      <c r="K4027" s="39"/>
      <c r="AF4027" s="42" t="s">
        <v>6802</v>
      </c>
      <c r="AG4027" s="42" t="s">
        <v>6530</v>
      </c>
    </row>
    <row r="4028" spans="7:33" ht="15.75" customHeight="1">
      <c r="G4028" s="36"/>
      <c r="H4028" s="36"/>
      <c r="I4028" s="36"/>
      <c r="J4028" s="39"/>
      <c r="K4028" s="39"/>
      <c r="AF4028" s="42" t="s">
        <v>1027</v>
      </c>
      <c r="AG4028" s="42" t="s">
        <v>6569</v>
      </c>
    </row>
    <row r="4029" spans="7:33" ht="15.75" customHeight="1">
      <c r="G4029" s="36"/>
      <c r="H4029" s="36"/>
      <c r="I4029" s="36"/>
      <c r="J4029" s="39"/>
      <c r="K4029" s="39"/>
      <c r="AF4029" s="42" t="s">
        <v>6550</v>
      </c>
      <c r="AG4029" s="42" t="s">
        <v>6530</v>
      </c>
    </row>
    <row r="4030" spans="7:33" ht="15.75" customHeight="1">
      <c r="G4030" s="36"/>
      <c r="H4030" s="36"/>
      <c r="I4030" s="36"/>
      <c r="J4030" s="39"/>
      <c r="K4030" s="39"/>
      <c r="AF4030" s="42" t="s">
        <v>4888</v>
      </c>
      <c r="AG4030" s="42" t="s">
        <v>6530</v>
      </c>
    </row>
    <row r="4031" spans="7:33" ht="15.75" customHeight="1">
      <c r="G4031" s="36"/>
      <c r="H4031" s="36"/>
      <c r="I4031" s="36"/>
      <c r="J4031" s="39"/>
      <c r="K4031" s="39"/>
      <c r="AF4031" s="42" t="s">
        <v>1322</v>
      </c>
      <c r="AG4031" s="42" t="s">
        <v>6569</v>
      </c>
    </row>
    <row r="4032" spans="7:33" ht="15.75" customHeight="1">
      <c r="G4032" s="36"/>
      <c r="H4032" s="36"/>
      <c r="I4032" s="36"/>
      <c r="J4032" s="39"/>
      <c r="K4032" s="39"/>
      <c r="AF4032" s="42" t="s">
        <v>1971</v>
      </c>
      <c r="AG4032" s="42" t="s">
        <v>6569</v>
      </c>
    </row>
    <row r="4033" spans="7:33" ht="15.75" customHeight="1">
      <c r="G4033" s="36"/>
      <c r="H4033" s="36"/>
      <c r="I4033" s="36"/>
      <c r="J4033" s="39"/>
      <c r="K4033" s="39"/>
      <c r="AF4033" s="42" t="s">
        <v>948</v>
      </c>
      <c r="AG4033" s="42" t="s">
        <v>6569</v>
      </c>
    </row>
    <row r="4034" spans="7:33" ht="15.75" customHeight="1">
      <c r="G4034" s="36"/>
      <c r="H4034" s="36"/>
      <c r="I4034" s="36"/>
      <c r="J4034" s="39"/>
      <c r="K4034" s="39"/>
      <c r="AF4034" s="42" t="s">
        <v>4333</v>
      </c>
      <c r="AG4034" s="42" t="s">
        <v>6530</v>
      </c>
    </row>
    <row r="4035" spans="7:33" ht="15.75" customHeight="1">
      <c r="G4035" s="36"/>
      <c r="H4035" s="36"/>
      <c r="I4035" s="36"/>
      <c r="J4035" s="39"/>
      <c r="K4035" s="39"/>
      <c r="AF4035" s="42" t="s">
        <v>1771</v>
      </c>
      <c r="AG4035" s="42" t="s">
        <v>6569</v>
      </c>
    </row>
    <row r="4036" spans="7:33" ht="15.75" customHeight="1">
      <c r="G4036" s="36"/>
      <c r="H4036" s="36"/>
      <c r="I4036" s="36"/>
      <c r="J4036" s="39"/>
      <c r="K4036" s="39"/>
      <c r="AF4036" s="42" t="s">
        <v>1582</v>
      </c>
      <c r="AG4036" s="42" t="s">
        <v>6569</v>
      </c>
    </row>
    <row r="4037" spans="7:33" ht="15.75" customHeight="1">
      <c r="G4037" s="36"/>
      <c r="H4037" s="36"/>
      <c r="I4037" s="36"/>
      <c r="J4037" s="39"/>
      <c r="K4037" s="39"/>
      <c r="AF4037" s="42" t="s">
        <v>1649</v>
      </c>
      <c r="AG4037" s="42" t="s">
        <v>6530</v>
      </c>
    </row>
    <row r="4038" spans="7:33" ht="15.75" customHeight="1">
      <c r="G4038" s="36"/>
      <c r="H4038" s="36"/>
      <c r="I4038" s="36"/>
      <c r="J4038" s="39"/>
      <c r="K4038" s="39"/>
      <c r="AF4038" s="42" t="s">
        <v>940</v>
      </c>
      <c r="AG4038" s="42" t="s">
        <v>6569</v>
      </c>
    </row>
    <row r="4039" spans="7:33" ht="15.75" customHeight="1">
      <c r="G4039" s="36"/>
      <c r="H4039" s="36"/>
      <c r="I4039" s="36"/>
      <c r="J4039" s="39"/>
      <c r="K4039" s="39"/>
      <c r="AF4039" s="42" t="s">
        <v>6744</v>
      </c>
      <c r="AG4039" s="42" t="s">
        <v>6530</v>
      </c>
    </row>
    <row r="4040" spans="7:33" ht="15.75" customHeight="1">
      <c r="G4040" s="36"/>
      <c r="H4040" s="36"/>
      <c r="I4040" s="36"/>
      <c r="J4040" s="39"/>
      <c r="K4040" s="39"/>
      <c r="AF4040" s="42" t="s">
        <v>4541</v>
      </c>
      <c r="AG4040" s="42" t="s">
        <v>6530</v>
      </c>
    </row>
    <row r="4041" spans="7:33" ht="15.75" customHeight="1">
      <c r="G4041" s="36"/>
      <c r="H4041" s="36"/>
      <c r="I4041" s="36"/>
      <c r="J4041" s="39"/>
      <c r="K4041" s="39"/>
      <c r="AF4041" s="42" t="s">
        <v>4933</v>
      </c>
      <c r="AG4041" s="42" t="s">
        <v>6530</v>
      </c>
    </row>
    <row r="4042" spans="7:33" ht="15.75" customHeight="1">
      <c r="G4042" s="36"/>
      <c r="H4042" s="36"/>
      <c r="I4042" s="36"/>
      <c r="J4042" s="39"/>
      <c r="K4042" s="39"/>
      <c r="AF4042" s="42" t="s">
        <v>5159</v>
      </c>
      <c r="AG4042" s="42" t="s">
        <v>6530</v>
      </c>
    </row>
    <row r="4043" spans="7:33" ht="15.75" customHeight="1">
      <c r="G4043" s="36"/>
      <c r="H4043" s="36"/>
      <c r="I4043" s="36"/>
      <c r="J4043" s="39"/>
      <c r="K4043" s="39"/>
      <c r="AF4043" s="42" t="s">
        <v>6564</v>
      </c>
      <c r="AG4043" s="42" t="s">
        <v>6530</v>
      </c>
    </row>
    <row r="4044" spans="7:33" ht="15.75" customHeight="1">
      <c r="G4044" s="36"/>
      <c r="H4044" s="36"/>
      <c r="I4044" s="36"/>
      <c r="J4044" s="39"/>
      <c r="K4044" s="39"/>
      <c r="AF4044" s="42" t="s">
        <v>6784</v>
      </c>
      <c r="AG4044" s="42" t="s">
        <v>6530</v>
      </c>
    </row>
    <row r="4045" spans="7:33" ht="15.75" customHeight="1">
      <c r="G4045" s="36"/>
      <c r="H4045" s="36"/>
      <c r="I4045" s="36"/>
      <c r="J4045" s="39"/>
      <c r="K4045" s="39"/>
      <c r="AF4045" s="42" t="s">
        <v>4616</v>
      </c>
      <c r="AG4045" s="42" t="s">
        <v>6530</v>
      </c>
    </row>
    <row r="4046" spans="7:33" ht="15.75" customHeight="1">
      <c r="G4046" s="36"/>
      <c r="H4046" s="36"/>
      <c r="I4046" s="36"/>
      <c r="J4046" s="39"/>
      <c r="K4046" s="39"/>
      <c r="AF4046" s="42" t="s">
        <v>6380</v>
      </c>
      <c r="AG4046" s="42" t="s">
        <v>6530</v>
      </c>
    </row>
    <row r="4047" spans="7:33" ht="15.75" customHeight="1">
      <c r="G4047" s="36"/>
      <c r="H4047" s="36"/>
      <c r="I4047" s="36"/>
      <c r="J4047" s="39"/>
      <c r="K4047" s="39"/>
      <c r="AF4047" s="42" t="s">
        <v>6814</v>
      </c>
      <c r="AG4047" s="42" t="s">
        <v>6530</v>
      </c>
    </row>
    <row r="4048" spans="7:33" ht="15.75" customHeight="1">
      <c r="G4048" s="36"/>
      <c r="H4048" s="36"/>
      <c r="I4048" s="36"/>
      <c r="J4048" s="39"/>
      <c r="K4048" s="39"/>
      <c r="AF4048" s="42" t="s">
        <v>6436</v>
      </c>
      <c r="AG4048" s="42" t="s">
        <v>6530</v>
      </c>
    </row>
    <row r="4049" spans="7:33" ht="15.75" customHeight="1">
      <c r="G4049" s="36"/>
      <c r="H4049" s="36"/>
      <c r="I4049" s="36"/>
      <c r="J4049" s="39"/>
      <c r="K4049" s="39"/>
      <c r="AF4049" s="42" t="s">
        <v>2355</v>
      </c>
      <c r="AG4049" s="42" t="s">
        <v>6530</v>
      </c>
    </row>
    <row r="4050" spans="7:33" ht="15.75" customHeight="1">
      <c r="G4050" s="36"/>
      <c r="H4050" s="36"/>
      <c r="I4050" s="36"/>
      <c r="J4050" s="39"/>
      <c r="K4050" s="39"/>
      <c r="AF4050" s="42" t="s">
        <v>6805</v>
      </c>
      <c r="AG4050" s="42" t="s">
        <v>6530</v>
      </c>
    </row>
    <row r="4051" spans="7:33" ht="15.75" customHeight="1">
      <c r="G4051" s="36"/>
      <c r="H4051" s="36"/>
      <c r="I4051" s="36"/>
      <c r="J4051" s="39"/>
      <c r="K4051" s="39"/>
      <c r="AF4051" s="42" t="s">
        <v>2265</v>
      </c>
      <c r="AG4051" s="42" t="s">
        <v>6530</v>
      </c>
    </row>
    <row r="4052" spans="7:33" ht="15.75" customHeight="1">
      <c r="G4052" s="36"/>
      <c r="H4052" s="36"/>
      <c r="I4052" s="36"/>
      <c r="J4052" s="39"/>
      <c r="K4052" s="39"/>
      <c r="AF4052" s="42" t="s">
        <v>6756</v>
      </c>
      <c r="AG4052" s="42" t="s">
        <v>6530</v>
      </c>
    </row>
    <row r="4053" spans="7:33" ht="15.75" customHeight="1">
      <c r="G4053" s="36"/>
      <c r="H4053" s="36"/>
      <c r="I4053" s="36"/>
      <c r="J4053" s="39"/>
      <c r="K4053" s="39"/>
      <c r="AF4053" s="42" t="s">
        <v>6811</v>
      </c>
      <c r="AG4053" s="42" t="s">
        <v>6530</v>
      </c>
    </row>
    <row r="4054" spans="7:33" ht="15.75" customHeight="1">
      <c r="G4054" s="36"/>
      <c r="H4054" s="36"/>
      <c r="I4054" s="36"/>
      <c r="J4054" s="39"/>
      <c r="K4054" s="39"/>
      <c r="AF4054" s="42" t="s">
        <v>5567</v>
      </c>
      <c r="AG4054" s="42" t="s">
        <v>6530</v>
      </c>
    </row>
    <row r="4055" spans="7:33" ht="15.75" customHeight="1">
      <c r="G4055" s="36"/>
      <c r="H4055" s="36"/>
      <c r="I4055" s="36"/>
      <c r="J4055" s="39"/>
      <c r="K4055" s="39"/>
      <c r="AF4055" s="42" t="s">
        <v>2164</v>
      </c>
      <c r="AG4055" s="42" t="s">
        <v>6530</v>
      </c>
    </row>
    <row r="4056" spans="7:33" ht="15.75" customHeight="1">
      <c r="G4056" s="36"/>
      <c r="H4056" s="36"/>
      <c r="I4056" s="36"/>
      <c r="J4056" s="39"/>
      <c r="K4056" s="39"/>
      <c r="AF4056" s="42" t="s">
        <v>6812</v>
      </c>
      <c r="AG4056" s="42" t="s">
        <v>6530</v>
      </c>
    </row>
    <row r="4057" spans="7:33" ht="15.75" customHeight="1">
      <c r="G4057" s="36"/>
      <c r="H4057" s="36"/>
      <c r="I4057" s="36"/>
      <c r="J4057" s="39"/>
      <c r="K4057" s="39"/>
      <c r="AF4057" s="42" t="s">
        <v>5188</v>
      </c>
      <c r="AG4057" s="42" t="s">
        <v>6530</v>
      </c>
    </row>
    <row r="4058" spans="7:33" ht="15.75" customHeight="1">
      <c r="G4058" s="36"/>
      <c r="H4058" s="36"/>
      <c r="I4058" s="36"/>
      <c r="J4058" s="39"/>
      <c r="K4058" s="39"/>
      <c r="AF4058" s="42" t="s">
        <v>2522</v>
      </c>
      <c r="AG4058" s="42" t="s">
        <v>6530</v>
      </c>
    </row>
    <row r="4059" spans="7:33" ht="15.75" customHeight="1">
      <c r="G4059" s="36"/>
      <c r="H4059" s="36"/>
      <c r="I4059" s="36"/>
      <c r="J4059" s="39"/>
      <c r="K4059" s="39"/>
      <c r="AF4059" s="42" t="s">
        <v>4034</v>
      </c>
      <c r="AG4059" s="42" t="s">
        <v>6530</v>
      </c>
    </row>
    <row r="4060" spans="7:33" ht="15.75" customHeight="1">
      <c r="G4060" s="36"/>
      <c r="H4060" s="36"/>
      <c r="I4060" s="36"/>
      <c r="J4060" s="39"/>
      <c r="K4060" s="39"/>
      <c r="AF4060" s="42" t="s">
        <v>2683</v>
      </c>
      <c r="AG4060" s="42" t="s">
        <v>6530</v>
      </c>
    </row>
    <row r="4061" spans="7:33" ht="15.75" customHeight="1">
      <c r="G4061" s="36"/>
      <c r="H4061" s="36"/>
      <c r="I4061" s="36"/>
      <c r="J4061" s="39"/>
      <c r="K4061" s="39"/>
      <c r="AF4061" s="42" t="s">
        <v>6819</v>
      </c>
      <c r="AG4061" s="42" t="s">
        <v>6530</v>
      </c>
    </row>
    <row r="4062" spans="7:33" ht="15.75" customHeight="1">
      <c r="G4062" s="36"/>
      <c r="H4062" s="36"/>
      <c r="I4062" s="36"/>
      <c r="J4062" s="39"/>
      <c r="K4062" s="39"/>
      <c r="AF4062" s="42" t="s">
        <v>2678</v>
      </c>
      <c r="AG4062" s="42" t="s">
        <v>6530</v>
      </c>
    </row>
    <row r="4063" spans="7:33" ht="15.75" customHeight="1">
      <c r="G4063" s="36"/>
      <c r="H4063" s="36"/>
      <c r="I4063" s="36"/>
      <c r="J4063" s="39"/>
      <c r="K4063" s="39"/>
      <c r="AF4063" s="42" t="s">
        <v>5026</v>
      </c>
      <c r="AG4063" s="42" t="s">
        <v>6530</v>
      </c>
    </row>
    <row r="4064" spans="7:33" ht="15.75" customHeight="1">
      <c r="G4064" s="36"/>
      <c r="H4064" s="36"/>
      <c r="I4064" s="36"/>
      <c r="J4064" s="39"/>
      <c r="K4064" s="39"/>
      <c r="AF4064" s="42" t="s">
        <v>6808</v>
      </c>
      <c r="AG4064" s="42" t="s">
        <v>6530</v>
      </c>
    </row>
    <row r="4065" spans="7:33" ht="15.75" customHeight="1">
      <c r="G4065" s="36"/>
      <c r="H4065" s="36"/>
      <c r="I4065" s="36"/>
      <c r="J4065" s="39"/>
      <c r="K4065" s="39"/>
      <c r="AF4065" s="42" t="s">
        <v>5124</v>
      </c>
      <c r="AG4065" s="42" t="s">
        <v>6530</v>
      </c>
    </row>
    <row r="4066" spans="7:33" ht="15.75" customHeight="1">
      <c r="G4066" s="36"/>
      <c r="H4066" s="36"/>
      <c r="I4066" s="36"/>
      <c r="J4066" s="39"/>
      <c r="K4066" s="39"/>
      <c r="AF4066" s="42" t="s">
        <v>1069</v>
      </c>
      <c r="AG4066" s="42" t="s">
        <v>6530</v>
      </c>
    </row>
    <row r="4067" spans="7:33" ht="15.75" customHeight="1">
      <c r="G4067" s="36"/>
      <c r="H4067" s="36"/>
      <c r="I4067" s="36"/>
      <c r="J4067" s="39"/>
      <c r="K4067" s="39"/>
      <c r="AF4067" s="42" t="s">
        <v>3126</v>
      </c>
      <c r="AG4067" s="42" t="s">
        <v>6530</v>
      </c>
    </row>
    <row r="4068" spans="7:33" ht="15.75" customHeight="1">
      <c r="G4068" s="36"/>
      <c r="H4068" s="36"/>
      <c r="I4068" s="36"/>
      <c r="J4068" s="39"/>
      <c r="K4068" s="39"/>
      <c r="AF4068" s="42" t="s">
        <v>6813</v>
      </c>
      <c r="AG4068" s="42" t="s">
        <v>6530</v>
      </c>
    </row>
    <row r="4069" spans="7:33" ht="15.75" customHeight="1">
      <c r="G4069" s="36"/>
      <c r="H4069" s="36"/>
      <c r="I4069" s="36"/>
      <c r="J4069" s="39"/>
      <c r="K4069" s="39"/>
      <c r="AF4069" s="42" t="s">
        <v>6405</v>
      </c>
      <c r="AG4069" s="42" t="s">
        <v>6530</v>
      </c>
    </row>
    <row r="4070" spans="7:33" ht="15.75" customHeight="1">
      <c r="G4070" s="36"/>
      <c r="H4070" s="36"/>
      <c r="I4070" s="36"/>
      <c r="J4070" s="39"/>
      <c r="K4070" s="39"/>
      <c r="AF4070" s="42" t="s">
        <v>2180</v>
      </c>
      <c r="AG4070" s="42" t="s">
        <v>6530</v>
      </c>
    </row>
    <row r="4071" spans="7:33" ht="15.75" customHeight="1">
      <c r="G4071" s="36"/>
      <c r="H4071" s="36"/>
      <c r="I4071" s="36"/>
      <c r="J4071" s="39"/>
      <c r="K4071" s="39"/>
      <c r="AF4071" s="42" t="s">
        <v>2317</v>
      </c>
      <c r="AG4071" s="42" t="s">
        <v>6530</v>
      </c>
    </row>
    <row r="4072" spans="7:33" ht="15.75" customHeight="1">
      <c r="G4072" s="36"/>
      <c r="H4072" s="36"/>
      <c r="I4072" s="36"/>
      <c r="J4072" s="39"/>
      <c r="K4072" s="39"/>
      <c r="AF4072" s="42" t="s">
        <v>5014</v>
      </c>
      <c r="AG4072" s="42" t="s">
        <v>6530</v>
      </c>
    </row>
    <row r="4073" spans="7:33" ht="15.75" customHeight="1">
      <c r="G4073" s="36"/>
      <c r="H4073" s="36"/>
      <c r="I4073" s="36"/>
      <c r="J4073" s="39"/>
      <c r="K4073" s="39"/>
      <c r="AF4073" s="42" t="s">
        <v>6785</v>
      </c>
      <c r="AG4073" s="42" t="s">
        <v>6530</v>
      </c>
    </row>
    <row r="4074" spans="7:33" ht="15.75" customHeight="1">
      <c r="G4074" s="36"/>
      <c r="H4074" s="36"/>
      <c r="I4074" s="36"/>
      <c r="J4074" s="39"/>
      <c r="K4074" s="39"/>
      <c r="AF4074" s="42" t="s">
        <v>886</v>
      </c>
      <c r="AG4074" s="42" t="s">
        <v>6530</v>
      </c>
    </row>
    <row r="4075" spans="7:33" ht="15.75" customHeight="1">
      <c r="G4075" s="36"/>
      <c r="H4075" s="36"/>
      <c r="I4075" s="36"/>
      <c r="J4075" s="39"/>
      <c r="K4075" s="39"/>
      <c r="AF4075" s="42" t="s">
        <v>6780</v>
      </c>
      <c r="AG4075" s="42" t="s">
        <v>6530</v>
      </c>
    </row>
    <row r="4076" spans="7:33" ht="15.75" customHeight="1">
      <c r="G4076" s="36"/>
      <c r="H4076" s="36"/>
      <c r="I4076" s="36"/>
      <c r="J4076" s="39"/>
      <c r="K4076" s="39"/>
      <c r="AF4076" s="42" t="s">
        <v>5501</v>
      </c>
      <c r="AG4076" s="42" t="s">
        <v>6530</v>
      </c>
    </row>
    <row r="4077" spans="7:33" ht="15.75" customHeight="1">
      <c r="G4077" s="36"/>
      <c r="H4077" s="36"/>
      <c r="I4077" s="36"/>
      <c r="J4077" s="39"/>
      <c r="K4077" s="39"/>
      <c r="AF4077" s="42" t="s">
        <v>1288</v>
      </c>
      <c r="AG4077" s="42" t="s">
        <v>6530</v>
      </c>
    </row>
    <row r="4078" spans="7:33" ht="15.75" customHeight="1">
      <c r="G4078" s="36"/>
      <c r="H4078" s="36"/>
      <c r="I4078" s="36"/>
      <c r="J4078" s="39"/>
      <c r="K4078" s="39"/>
      <c r="AF4078" s="42" t="s">
        <v>5634</v>
      </c>
      <c r="AG4078" s="42" t="s">
        <v>6530</v>
      </c>
    </row>
    <row r="4079" spans="7:33" ht="15.75" customHeight="1">
      <c r="G4079" s="36"/>
      <c r="H4079" s="36"/>
      <c r="I4079" s="36"/>
      <c r="J4079" s="39"/>
      <c r="K4079" s="39"/>
      <c r="AF4079" s="42" t="s">
        <v>4532</v>
      </c>
      <c r="AG4079" s="42" t="s">
        <v>6530</v>
      </c>
    </row>
    <row r="4080" spans="7:33" ht="15.75" customHeight="1">
      <c r="G4080" s="36"/>
      <c r="H4080" s="36"/>
      <c r="I4080" s="36"/>
      <c r="J4080" s="39"/>
      <c r="K4080" s="39"/>
      <c r="AF4080" s="42" t="s">
        <v>2271</v>
      </c>
      <c r="AG4080" s="42" t="s">
        <v>6530</v>
      </c>
    </row>
    <row r="4081" spans="7:33" ht="15.75" customHeight="1">
      <c r="G4081" s="36"/>
      <c r="H4081" s="36"/>
      <c r="I4081" s="36"/>
      <c r="J4081" s="39"/>
      <c r="K4081" s="39"/>
      <c r="AF4081" s="42" t="s">
        <v>2454</v>
      </c>
      <c r="AG4081" s="42" t="s">
        <v>6530</v>
      </c>
    </row>
    <row r="4082" spans="7:33" ht="15.75" customHeight="1">
      <c r="G4082" s="36"/>
      <c r="H4082" s="36"/>
      <c r="I4082" s="36"/>
      <c r="J4082" s="39"/>
      <c r="K4082" s="39"/>
      <c r="AF4082" s="42" t="s">
        <v>2225</v>
      </c>
      <c r="AG4082" s="42" t="s">
        <v>6530</v>
      </c>
    </row>
    <row r="4083" spans="7:33" ht="15.75" customHeight="1">
      <c r="G4083" s="36"/>
      <c r="H4083" s="36"/>
      <c r="I4083" s="36"/>
      <c r="J4083" s="39"/>
      <c r="K4083" s="39"/>
      <c r="AF4083" s="42" t="s">
        <v>6757</v>
      </c>
      <c r="AG4083" s="42" t="s">
        <v>6530</v>
      </c>
    </row>
    <row r="4084" spans="7:33" ht="15.75" customHeight="1">
      <c r="G4084" s="36"/>
      <c r="H4084" s="36"/>
      <c r="I4084" s="36"/>
      <c r="J4084" s="39"/>
      <c r="K4084" s="39"/>
      <c r="AF4084" s="42" t="s">
        <v>5802</v>
      </c>
      <c r="AG4084" s="42" t="s">
        <v>6530</v>
      </c>
    </row>
    <row r="4085" spans="7:33" ht="15.75" customHeight="1">
      <c r="G4085" s="36"/>
      <c r="H4085" s="36"/>
      <c r="I4085" s="36"/>
      <c r="J4085" s="39"/>
      <c r="K4085" s="39"/>
      <c r="AF4085" s="42" t="s">
        <v>5862</v>
      </c>
      <c r="AG4085" s="42" t="s">
        <v>6530</v>
      </c>
    </row>
    <row r="4086" spans="7:33" ht="15.75" customHeight="1">
      <c r="G4086" s="36"/>
      <c r="H4086" s="36"/>
      <c r="I4086" s="36"/>
      <c r="J4086" s="39"/>
      <c r="K4086" s="39"/>
      <c r="AF4086" s="42" t="s">
        <v>3250</v>
      </c>
      <c r="AG4086" s="42" t="s">
        <v>6530</v>
      </c>
    </row>
    <row r="4087" spans="7:33" ht="15.75" customHeight="1">
      <c r="G4087" s="36"/>
      <c r="H4087" s="36"/>
      <c r="I4087" s="36"/>
      <c r="J4087" s="39"/>
      <c r="K4087" s="39"/>
      <c r="AF4087" s="42" t="s">
        <v>1668</v>
      </c>
      <c r="AG4087" s="42" t="s">
        <v>6530</v>
      </c>
    </row>
    <row r="4088" spans="7:33" ht="15.75" customHeight="1">
      <c r="G4088" s="36"/>
      <c r="H4088" s="36"/>
      <c r="I4088" s="36"/>
      <c r="J4088" s="39"/>
      <c r="K4088" s="39"/>
      <c r="AF4088" s="42" t="s">
        <v>6541</v>
      </c>
      <c r="AG4088" s="42" t="s">
        <v>6530</v>
      </c>
    </row>
    <row r="4089" spans="7:33" ht="15.75" customHeight="1">
      <c r="G4089" s="36"/>
      <c r="H4089" s="36"/>
      <c r="I4089" s="36"/>
      <c r="J4089" s="39"/>
      <c r="K4089" s="39"/>
      <c r="AF4089" s="42" t="s">
        <v>4411</v>
      </c>
      <c r="AG4089" s="42" t="s">
        <v>6530</v>
      </c>
    </row>
    <row r="4090" spans="7:33" ht="15.75" customHeight="1">
      <c r="G4090" s="36"/>
      <c r="H4090" s="36"/>
      <c r="I4090" s="36"/>
      <c r="J4090" s="39"/>
      <c r="K4090" s="39"/>
      <c r="AF4090" s="42" t="s">
        <v>1606</v>
      </c>
      <c r="AG4090" s="42" t="s">
        <v>6530</v>
      </c>
    </row>
    <row r="4091" spans="7:33" ht="15.75" customHeight="1">
      <c r="G4091" s="36"/>
      <c r="H4091" s="36"/>
      <c r="I4091" s="36"/>
      <c r="J4091" s="39"/>
      <c r="K4091" s="39"/>
      <c r="AF4091" s="42" t="s">
        <v>6734</v>
      </c>
      <c r="AG4091" s="42" t="s">
        <v>6530</v>
      </c>
    </row>
    <row r="4092" spans="7:33" ht="15.75" customHeight="1">
      <c r="G4092" s="36"/>
      <c r="H4092" s="36"/>
      <c r="I4092" s="36"/>
      <c r="J4092" s="39"/>
      <c r="K4092" s="39"/>
      <c r="AF4092" s="42" t="s">
        <v>6323</v>
      </c>
      <c r="AG4092" s="42" t="s">
        <v>6530</v>
      </c>
    </row>
    <row r="4093" spans="7:33" ht="15.75" customHeight="1">
      <c r="G4093" s="36"/>
      <c r="H4093" s="36"/>
      <c r="I4093" s="36"/>
      <c r="J4093" s="39"/>
      <c r="K4093" s="39"/>
      <c r="AF4093" s="42" t="s">
        <v>2507</v>
      </c>
      <c r="AG4093" s="42" t="s">
        <v>6530</v>
      </c>
    </row>
    <row r="4094" spans="7:33" ht="15.75" customHeight="1">
      <c r="G4094" s="36"/>
      <c r="H4094" s="36"/>
      <c r="I4094" s="36"/>
      <c r="J4094" s="39"/>
      <c r="K4094" s="39"/>
      <c r="AF4094" s="42" t="s">
        <v>4729</v>
      </c>
      <c r="AG4094" s="42" t="s">
        <v>6530</v>
      </c>
    </row>
    <row r="4095" spans="7:33" ht="15.75" customHeight="1">
      <c r="G4095" s="36"/>
      <c r="H4095" s="36"/>
      <c r="I4095" s="36"/>
      <c r="J4095" s="39"/>
      <c r="K4095" s="39"/>
      <c r="AF4095" s="42" t="s">
        <v>1084</v>
      </c>
      <c r="AG4095" s="42" t="s">
        <v>6530</v>
      </c>
    </row>
    <row r="4096" spans="7:33" ht="15.75" customHeight="1">
      <c r="G4096" s="36"/>
      <c r="H4096" s="36"/>
      <c r="I4096" s="36"/>
      <c r="J4096" s="39"/>
      <c r="K4096" s="39"/>
      <c r="AF4096" s="42" t="s">
        <v>3477</v>
      </c>
      <c r="AG4096" s="42" t="s">
        <v>6530</v>
      </c>
    </row>
    <row r="4097" spans="7:33" ht="15.75" customHeight="1">
      <c r="G4097" s="36"/>
      <c r="H4097" s="36"/>
      <c r="I4097" s="36"/>
      <c r="J4097" s="39"/>
      <c r="K4097" s="39"/>
      <c r="AF4097" s="42" t="s">
        <v>2614</v>
      </c>
      <c r="AG4097" s="42" t="s">
        <v>6530</v>
      </c>
    </row>
    <row r="4098" spans="7:33" ht="15.75" customHeight="1">
      <c r="G4098" s="36"/>
      <c r="H4098" s="36"/>
      <c r="I4098" s="36"/>
      <c r="J4098" s="39"/>
      <c r="K4098" s="39"/>
      <c r="AF4098" s="42" t="s">
        <v>1884</v>
      </c>
      <c r="AG4098" s="42" t="s">
        <v>6530</v>
      </c>
    </row>
    <row r="4099" spans="7:33" ht="15.75" customHeight="1">
      <c r="G4099" s="36"/>
      <c r="H4099" s="36"/>
      <c r="I4099" s="36"/>
      <c r="J4099" s="39"/>
      <c r="K4099" s="39"/>
      <c r="AF4099" s="42" t="s">
        <v>6740</v>
      </c>
      <c r="AG4099" s="42" t="s">
        <v>6530</v>
      </c>
    </row>
    <row r="4100" spans="7:33" ht="15.75" customHeight="1">
      <c r="G4100" s="36"/>
      <c r="H4100" s="36"/>
      <c r="I4100" s="36"/>
      <c r="J4100" s="39"/>
      <c r="K4100" s="39"/>
      <c r="AF4100" s="42" t="s">
        <v>6768</v>
      </c>
      <c r="AG4100" s="42" t="s">
        <v>6530</v>
      </c>
    </row>
    <row r="4101" spans="7:33" ht="15.75" customHeight="1">
      <c r="G4101" s="36"/>
      <c r="H4101" s="36"/>
      <c r="I4101" s="36"/>
      <c r="J4101" s="39"/>
      <c r="K4101" s="39"/>
      <c r="AF4101" s="42" t="s">
        <v>6810</v>
      </c>
      <c r="AG4101" s="42" t="s">
        <v>6530</v>
      </c>
    </row>
    <row r="4102" spans="7:33" ht="15.75" customHeight="1">
      <c r="G4102" s="36"/>
      <c r="H4102" s="36"/>
      <c r="I4102" s="36"/>
      <c r="J4102" s="39"/>
      <c r="K4102" s="39"/>
      <c r="AF4102" s="42" t="s">
        <v>6821</v>
      </c>
      <c r="AG4102" s="42" t="s">
        <v>6530</v>
      </c>
    </row>
    <row r="4103" spans="7:33" ht="15.75" customHeight="1">
      <c r="G4103" s="36"/>
      <c r="H4103" s="36"/>
      <c r="I4103" s="36"/>
      <c r="J4103" s="39"/>
      <c r="K4103" s="39"/>
      <c r="AF4103" s="42" t="s">
        <v>5615</v>
      </c>
      <c r="AG4103" s="42" t="s">
        <v>6530</v>
      </c>
    </row>
    <row r="4104" spans="7:33" ht="15.75" customHeight="1">
      <c r="G4104" s="36"/>
      <c r="H4104" s="36"/>
      <c r="I4104" s="36"/>
      <c r="J4104" s="39"/>
      <c r="K4104" s="39"/>
      <c r="AF4104" s="42" t="s">
        <v>6772</v>
      </c>
      <c r="AG4104" s="42" t="s">
        <v>6530</v>
      </c>
    </row>
    <row r="4105" spans="7:33" ht="15.75" customHeight="1">
      <c r="G4105" s="36"/>
      <c r="H4105" s="36"/>
      <c r="I4105" s="36"/>
      <c r="J4105" s="39"/>
      <c r="K4105" s="39"/>
      <c r="AF4105" s="42" t="s">
        <v>6795</v>
      </c>
      <c r="AG4105" s="42" t="s">
        <v>6530</v>
      </c>
    </row>
    <row r="4106" spans="7:33" ht="15.75" customHeight="1">
      <c r="G4106" s="36"/>
      <c r="H4106" s="36"/>
      <c r="I4106" s="36"/>
      <c r="J4106" s="39"/>
      <c r="K4106" s="39"/>
      <c r="AF4106" s="42" t="s">
        <v>3775</v>
      </c>
      <c r="AG4106" s="42" t="s">
        <v>6530</v>
      </c>
    </row>
    <row r="4107" spans="7:33" ht="15.75" customHeight="1">
      <c r="G4107" s="36"/>
      <c r="H4107" s="36"/>
      <c r="I4107" s="36"/>
      <c r="J4107" s="39"/>
      <c r="K4107" s="39"/>
      <c r="AF4107" s="42" t="s">
        <v>6798</v>
      </c>
      <c r="AG4107" s="42" t="s">
        <v>6530</v>
      </c>
    </row>
    <row r="4108" spans="7:33" ht="15.75" customHeight="1">
      <c r="G4108" s="36"/>
      <c r="H4108" s="36"/>
      <c r="I4108" s="36"/>
      <c r="J4108" s="39"/>
      <c r="K4108" s="39"/>
      <c r="AF4108" s="42" t="s">
        <v>6215</v>
      </c>
      <c r="AG4108" s="42" t="s">
        <v>6530</v>
      </c>
    </row>
    <row r="4109" spans="7:33" ht="15.75" customHeight="1">
      <c r="G4109" s="36"/>
      <c r="H4109" s="36"/>
      <c r="I4109" s="36"/>
      <c r="J4109" s="39"/>
      <c r="K4109" s="39"/>
      <c r="AF4109" s="42" t="s">
        <v>6568</v>
      </c>
      <c r="AG4109" s="42" t="s">
        <v>6530</v>
      </c>
    </row>
    <row r="4110" spans="7:33" ht="15.75" customHeight="1">
      <c r="G4110" s="36"/>
      <c r="H4110" s="36"/>
      <c r="I4110" s="36"/>
      <c r="J4110" s="39"/>
      <c r="K4110" s="39"/>
      <c r="AF4110" s="42" t="s">
        <v>6750</v>
      </c>
      <c r="AG4110" s="42" t="s">
        <v>6530</v>
      </c>
    </row>
    <row r="4111" spans="7:33" ht="15.75" customHeight="1">
      <c r="G4111" s="36"/>
      <c r="H4111" s="36"/>
      <c r="I4111" s="36"/>
      <c r="J4111" s="39"/>
      <c r="K4111" s="39"/>
      <c r="AF4111" s="42" t="s">
        <v>5197</v>
      </c>
      <c r="AG4111" s="42" t="s">
        <v>6530</v>
      </c>
    </row>
    <row r="4112" spans="7:33" ht="15.75" customHeight="1">
      <c r="G4112" s="36"/>
      <c r="H4112" s="36"/>
      <c r="I4112" s="36"/>
      <c r="J4112" s="39"/>
      <c r="K4112" s="39"/>
      <c r="AF4112" s="42" t="s">
        <v>895</v>
      </c>
      <c r="AG4112" s="42" t="s">
        <v>6530</v>
      </c>
    </row>
    <row r="4113" spans="7:33" ht="15.75" customHeight="1">
      <c r="G4113" s="36"/>
      <c r="H4113" s="36"/>
      <c r="I4113" s="36"/>
      <c r="J4113" s="39"/>
      <c r="K4113" s="39"/>
      <c r="AF4113" s="42" t="s">
        <v>5489</v>
      </c>
      <c r="AG4113" s="42" t="s">
        <v>6530</v>
      </c>
    </row>
    <row r="4114" spans="7:33" ht="15.75" customHeight="1">
      <c r="G4114" s="36"/>
      <c r="H4114" s="36"/>
      <c r="I4114" s="36"/>
      <c r="J4114" s="39"/>
      <c r="K4114" s="39"/>
      <c r="AF4114" s="42" t="s">
        <v>5069</v>
      </c>
      <c r="AG4114" s="42" t="s">
        <v>6530</v>
      </c>
    </row>
    <row r="4115" spans="7:33" ht="15.75" customHeight="1">
      <c r="G4115" s="36"/>
      <c r="H4115" s="36"/>
      <c r="I4115" s="36"/>
      <c r="J4115" s="39"/>
      <c r="K4115" s="39"/>
      <c r="AF4115" s="42" t="s">
        <v>6791</v>
      </c>
      <c r="AG4115" s="42" t="s">
        <v>6530</v>
      </c>
    </row>
    <row r="4116" spans="7:33" ht="15.75" customHeight="1">
      <c r="G4116" s="36"/>
      <c r="H4116" s="36"/>
      <c r="I4116" s="36"/>
      <c r="J4116" s="39"/>
      <c r="K4116" s="39"/>
      <c r="AF4116" s="42" t="s">
        <v>2777</v>
      </c>
      <c r="AG4116" s="42" t="s">
        <v>6530</v>
      </c>
    </row>
    <row r="4117" spans="7:33" ht="15.75" customHeight="1">
      <c r="G4117" s="36"/>
      <c r="H4117" s="36"/>
      <c r="I4117" s="36"/>
      <c r="J4117" s="39"/>
      <c r="K4117" s="39"/>
      <c r="AF4117" s="42" t="s">
        <v>2627</v>
      </c>
      <c r="AG4117" s="42" t="s">
        <v>6530</v>
      </c>
    </row>
    <row r="4118" spans="7:33" ht="15.75" customHeight="1">
      <c r="G4118" s="36"/>
      <c r="H4118" s="36"/>
      <c r="I4118" s="36"/>
      <c r="J4118" s="39"/>
      <c r="K4118" s="39"/>
      <c r="AF4118" s="42" t="s">
        <v>1342</v>
      </c>
      <c r="AG4118" s="42" t="s">
        <v>6530</v>
      </c>
    </row>
    <row r="4119" spans="7:33" ht="15.75" customHeight="1">
      <c r="G4119" s="36"/>
      <c r="H4119" s="36"/>
      <c r="I4119" s="36"/>
      <c r="J4119" s="39"/>
      <c r="K4119" s="39"/>
      <c r="AF4119" s="42" t="s">
        <v>5103</v>
      </c>
      <c r="AG4119" s="42" t="s">
        <v>6530</v>
      </c>
    </row>
    <row r="4120" spans="7:33" ht="15.75" customHeight="1">
      <c r="G4120" s="36"/>
      <c r="H4120" s="36"/>
      <c r="I4120" s="36"/>
      <c r="J4120" s="39"/>
      <c r="K4120" s="39"/>
      <c r="AF4120" s="42" t="s">
        <v>5538</v>
      </c>
      <c r="AG4120" s="42" t="s">
        <v>6530</v>
      </c>
    </row>
    <row r="4121" spans="7:33" ht="15.75" customHeight="1">
      <c r="G4121" s="36"/>
      <c r="H4121" s="36"/>
      <c r="I4121" s="36"/>
      <c r="J4121" s="39"/>
      <c r="K4121" s="39"/>
      <c r="AF4121" s="42" t="s">
        <v>4058</v>
      </c>
      <c r="AG4121" s="42" t="s">
        <v>6530</v>
      </c>
    </row>
    <row r="4122" spans="7:33" ht="15.75" customHeight="1">
      <c r="G4122" s="36"/>
      <c r="H4122" s="36"/>
      <c r="I4122" s="36"/>
      <c r="J4122" s="39"/>
      <c r="K4122" s="39"/>
      <c r="AF4122" s="42" t="s">
        <v>2418</v>
      </c>
      <c r="AG4122" s="42" t="s">
        <v>6530</v>
      </c>
    </row>
    <row r="4123" spans="7:33" ht="15.75" customHeight="1">
      <c r="G4123" s="36"/>
      <c r="H4123" s="36"/>
      <c r="I4123" s="36"/>
      <c r="J4123" s="39"/>
      <c r="K4123" s="39"/>
      <c r="AF4123" s="42" t="s">
        <v>2459</v>
      </c>
      <c r="AG4123" s="42" t="s">
        <v>6530</v>
      </c>
    </row>
    <row r="4124" spans="7:33" ht="15.75" customHeight="1">
      <c r="G4124" s="36"/>
      <c r="H4124" s="36"/>
      <c r="I4124" s="36"/>
      <c r="J4124" s="39"/>
      <c r="K4124" s="39"/>
      <c r="AF4124" s="42" t="s">
        <v>1231</v>
      </c>
      <c r="AG4124" s="42" t="s">
        <v>6530</v>
      </c>
    </row>
    <row r="4125" spans="7:33" ht="15.75" customHeight="1">
      <c r="G4125" s="36"/>
      <c r="H4125" s="36"/>
      <c r="I4125" s="36"/>
      <c r="J4125" s="39"/>
      <c r="K4125" s="39"/>
      <c r="AF4125" s="42" t="s">
        <v>6087</v>
      </c>
      <c r="AG4125" s="42" t="s">
        <v>6530</v>
      </c>
    </row>
    <row r="4126" spans="7:33" ht="15.75" customHeight="1">
      <c r="G4126" s="36"/>
      <c r="H4126" s="36"/>
      <c r="I4126" s="36"/>
      <c r="J4126" s="39"/>
      <c r="K4126" s="39"/>
      <c r="AF4126" s="42" t="s">
        <v>6737</v>
      </c>
      <c r="AG4126" s="42" t="s">
        <v>6530</v>
      </c>
    </row>
    <row r="4127" spans="7:33" ht="15.75" customHeight="1">
      <c r="G4127" s="36"/>
      <c r="H4127" s="36"/>
      <c r="I4127" s="36"/>
      <c r="J4127" s="39"/>
      <c r="K4127" s="39"/>
      <c r="AF4127" s="42" t="s">
        <v>6822</v>
      </c>
      <c r="AG4127" s="42" t="s">
        <v>6530</v>
      </c>
    </row>
    <row r="4128" spans="7:33" ht="15.75" customHeight="1">
      <c r="G4128" s="36"/>
      <c r="H4128" s="36"/>
      <c r="I4128" s="36"/>
      <c r="J4128" s="39"/>
      <c r="K4128" s="39"/>
      <c r="AF4128" s="42" t="s">
        <v>1433</v>
      </c>
      <c r="AG4128" s="42" t="s">
        <v>6530</v>
      </c>
    </row>
    <row r="4129" spans="7:33" ht="15.75" customHeight="1">
      <c r="G4129" s="36"/>
      <c r="H4129" s="36"/>
      <c r="I4129" s="36"/>
      <c r="J4129" s="39"/>
      <c r="K4129" s="39"/>
      <c r="AF4129" s="42" t="s">
        <v>6816</v>
      </c>
      <c r="AG4129" s="42" t="s">
        <v>6530</v>
      </c>
    </row>
    <row r="4130" spans="7:33" ht="15.75" customHeight="1">
      <c r="G4130" s="36"/>
      <c r="H4130" s="36"/>
      <c r="I4130" s="36"/>
      <c r="J4130" s="39"/>
      <c r="K4130" s="39"/>
      <c r="AF4130" s="42" t="s">
        <v>2411</v>
      </c>
      <c r="AG4130" s="42" t="s">
        <v>6530</v>
      </c>
    </row>
    <row r="4131" spans="7:33" ht="15.75" customHeight="1">
      <c r="G4131" s="36"/>
      <c r="H4131" s="36"/>
      <c r="I4131" s="36"/>
      <c r="J4131" s="39"/>
      <c r="K4131" s="39"/>
      <c r="AF4131" s="42" t="s">
        <v>6539</v>
      </c>
      <c r="AG4131" s="42" t="s">
        <v>6530</v>
      </c>
    </row>
    <row r="4132" spans="7:33" ht="15.75" customHeight="1">
      <c r="G4132" s="36"/>
      <c r="H4132" s="36"/>
      <c r="I4132" s="36"/>
      <c r="J4132" s="39"/>
      <c r="K4132" s="39"/>
      <c r="AF4132" s="42" t="s">
        <v>4271</v>
      </c>
      <c r="AG4132" s="42" t="s">
        <v>6530</v>
      </c>
    </row>
    <row r="4133" spans="7:33" ht="15.75" customHeight="1">
      <c r="G4133" s="36"/>
      <c r="H4133" s="36"/>
      <c r="I4133" s="36"/>
      <c r="J4133" s="39"/>
      <c r="K4133" s="39"/>
      <c r="AF4133" s="42" t="s">
        <v>6774</v>
      </c>
      <c r="AG4133" s="42" t="s">
        <v>6530</v>
      </c>
    </row>
    <row r="4134" spans="7:33" ht="15.75" customHeight="1">
      <c r="G4134" s="36"/>
      <c r="H4134" s="36"/>
      <c r="I4134" s="36"/>
      <c r="J4134" s="39"/>
      <c r="K4134" s="39"/>
      <c r="AF4134" s="42" t="s">
        <v>6251</v>
      </c>
      <c r="AG4134" s="42" t="s">
        <v>6530</v>
      </c>
    </row>
    <row r="4135" spans="7:33" ht="15.75" customHeight="1">
      <c r="G4135" s="36"/>
      <c r="H4135" s="36"/>
      <c r="I4135" s="36"/>
      <c r="J4135" s="39"/>
      <c r="K4135" s="39"/>
      <c r="AF4135" s="42" t="s">
        <v>4355</v>
      </c>
      <c r="AG4135" s="42" t="s">
        <v>6530</v>
      </c>
    </row>
    <row r="4136" spans="7:33" ht="15.75" customHeight="1">
      <c r="G4136" s="36"/>
      <c r="H4136" s="36"/>
      <c r="I4136" s="36"/>
      <c r="J4136" s="39"/>
      <c r="K4136" s="39"/>
      <c r="AF4136" s="42" t="s">
        <v>5705</v>
      </c>
      <c r="AG4136" s="42" t="s">
        <v>6530</v>
      </c>
    </row>
    <row r="4137" spans="7:33" ht="15.75" customHeight="1">
      <c r="G4137" s="36"/>
      <c r="H4137" s="36"/>
      <c r="I4137" s="36"/>
      <c r="J4137" s="39"/>
      <c r="K4137" s="39"/>
      <c r="AF4137" s="42" t="s">
        <v>2435</v>
      </c>
      <c r="AG4137" s="42" t="s">
        <v>6530</v>
      </c>
    </row>
    <row r="4138" spans="7:33" ht="15.75" customHeight="1">
      <c r="G4138" s="36"/>
      <c r="H4138" s="36"/>
      <c r="I4138" s="36"/>
      <c r="J4138" s="39"/>
      <c r="K4138" s="39"/>
      <c r="AF4138" s="42" t="s">
        <v>1516</v>
      </c>
      <c r="AG4138" s="42" t="s">
        <v>6530</v>
      </c>
    </row>
    <row r="4139" spans="7:33" ht="15.75" customHeight="1">
      <c r="G4139" s="36"/>
      <c r="H4139" s="36"/>
      <c r="I4139" s="36"/>
      <c r="J4139" s="39"/>
      <c r="K4139" s="39"/>
      <c r="AF4139" s="42" t="s">
        <v>5470</v>
      </c>
      <c r="AG4139" s="42" t="s">
        <v>6530</v>
      </c>
    </row>
    <row r="4140" spans="7:33" ht="15.75" customHeight="1">
      <c r="G4140" s="36"/>
      <c r="H4140" s="36"/>
      <c r="I4140" s="36"/>
      <c r="J4140" s="39"/>
      <c r="K4140" s="39"/>
      <c r="AF4140" s="42" t="s">
        <v>6820</v>
      </c>
      <c r="AG4140" s="42" t="s">
        <v>6530</v>
      </c>
    </row>
    <row r="4141" spans="7:33" ht="15.75" customHeight="1">
      <c r="G4141" s="36"/>
      <c r="H4141" s="36"/>
      <c r="I4141" s="36"/>
      <c r="J4141" s="39"/>
      <c r="K4141" s="39"/>
      <c r="AF4141" s="42" t="s">
        <v>5177</v>
      </c>
      <c r="AG4141" s="42" t="s">
        <v>6530</v>
      </c>
    </row>
    <row r="4142" spans="7:33" ht="15.75" customHeight="1">
      <c r="G4142" s="36"/>
      <c r="H4142" s="36"/>
      <c r="I4142" s="36"/>
      <c r="J4142" s="39"/>
      <c r="K4142" s="39"/>
      <c r="AF4142" s="42" t="s">
        <v>4471</v>
      </c>
      <c r="AG4142" s="42" t="s">
        <v>6530</v>
      </c>
    </row>
    <row r="4143" spans="7:33" ht="15.75" customHeight="1">
      <c r="G4143" s="36"/>
      <c r="H4143" s="36"/>
      <c r="I4143" s="36"/>
      <c r="J4143" s="39"/>
      <c r="K4143" s="39"/>
      <c r="AF4143" s="42" t="s">
        <v>6714</v>
      </c>
      <c r="AG4143" s="42" t="s">
        <v>6530</v>
      </c>
    </row>
    <row r="4144" spans="7:33" ht="15.75" customHeight="1">
      <c r="G4144" s="36"/>
      <c r="H4144" s="36"/>
      <c r="I4144" s="36"/>
      <c r="J4144" s="39"/>
      <c r="K4144" s="39"/>
      <c r="AF4144" s="42" t="s">
        <v>6789</v>
      </c>
      <c r="AG4144" s="42" t="s">
        <v>6530</v>
      </c>
    </row>
    <row r="4145" spans="7:33" ht="15.75" customHeight="1">
      <c r="G4145" s="36"/>
      <c r="H4145" s="36"/>
      <c r="I4145" s="36"/>
      <c r="J4145" s="39"/>
      <c r="K4145" s="39"/>
      <c r="AF4145" s="42" t="s">
        <v>6761</v>
      </c>
      <c r="AG4145" s="42" t="s">
        <v>6530</v>
      </c>
    </row>
    <row r="4146" spans="7:33" ht="15.75" customHeight="1">
      <c r="G4146" s="36"/>
      <c r="H4146" s="36"/>
      <c r="I4146" s="36"/>
      <c r="J4146" s="39"/>
      <c r="K4146" s="39"/>
      <c r="AF4146" s="42" t="s">
        <v>4039</v>
      </c>
      <c r="AG4146" s="42" t="s">
        <v>6530</v>
      </c>
    </row>
    <row r="4147" spans="7:33" ht="15.75" customHeight="1">
      <c r="G4147" s="36"/>
      <c r="H4147" s="36"/>
      <c r="I4147" s="36"/>
      <c r="J4147" s="39"/>
      <c r="K4147" s="39"/>
      <c r="AF4147" s="42" t="s">
        <v>6824</v>
      </c>
      <c r="AG4147" s="42" t="s">
        <v>6530</v>
      </c>
    </row>
    <row r="4148" spans="7:33" ht="15.75" customHeight="1">
      <c r="G4148" s="36"/>
      <c r="H4148" s="36"/>
      <c r="I4148" s="36"/>
      <c r="J4148" s="39"/>
      <c r="K4148" s="39"/>
      <c r="AF4148" s="42" t="s">
        <v>6741</v>
      </c>
      <c r="AG4148" s="42" t="s">
        <v>6530</v>
      </c>
    </row>
    <row r="4149" spans="7:33" ht="15.75" customHeight="1">
      <c r="G4149" s="36"/>
      <c r="H4149" s="36"/>
      <c r="I4149" s="36"/>
      <c r="J4149" s="39"/>
      <c r="K4149" s="39"/>
      <c r="AF4149" s="42" t="s">
        <v>6241</v>
      </c>
      <c r="AG4149" s="42" t="s">
        <v>6530</v>
      </c>
    </row>
    <row r="4150" spans="7:33" ht="15.75" customHeight="1">
      <c r="G4150" s="36"/>
      <c r="H4150" s="36"/>
      <c r="I4150" s="36"/>
      <c r="J4150" s="39"/>
      <c r="K4150" s="39"/>
      <c r="AF4150" s="42" t="s">
        <v>6809</v>
      </c>
      <c r="AG4150" s="42" t="s">
        <v>6530</v>
      </c>
    </row>
    <row r="4151" spans="7:33" ht="15.75" customHeight="1">
      <c r="G4151" s="36"/>
      <c r="H4151" s="36"/>
      <c r="I4151" s="36"/>
      <c r="J4151" s="39"/>
      <c r="K4151" s="39"/>
      <c r="AF4151" s="42" t="s">
        <v>6360</v>
      </c>
      <c r="AG4151" s="42" t="s">
        <v>6530</v>
      </c>
    </row>
    <row r="4152" spans="7:33" ht="15.75" customHeight="1">
      <c r="G4152" s="36"/>
      <c r="H4152" s="36"/>
      <c r="I4152" s="36"/>
      <c r="J4152" s="39"/>
      <c r="K4152" s="39"/>
      <c r="AF4152" s="42" t="s">
        <v>6764</v>
      </c>
      <c r="AG4152" s="42" t="s">
        <v>6530</v>
      </c>
    </row>
    <row r="4153" spans="7:33" ht="15.75" customHeight="1">
      <c r="G4153" s="36"/>
      <c r="H4153" s="36"/>
      <c r="I4153" s="36"/>
      <c r="J4153" s="39"/>
      <c r="K4153" s="39"/>
      <c r="AF4153" s="42" t="s">
        <v>5789</v>
      </c>
      <c r="AG4153" s="42" t="s">
        <v>6530</v>
      </c>
    </row>
    <row r="4154" spans="7:33" ht="15.75" customHeight="1">
      <c r="G4154" s="36"/>
      <c r="H4154" s="36"/>
      <c r="I4154" s="36"/>
      <c r="J4154" s="39"/>
      <c r="K4154" s="39"/>
      <c r="AF4154" s="42" t="s">
        <v>2634</v>
      </c>
      <c r="AG4154" s="42" t="s">
        <v>6530</v>
      </c>
    </row>
    <row r="4155" spans="7:33" ht="15.75" customHeight="1">
      <c r="G4155" s="36"/>
      <c r="H4155" s="36"/>
      <c r="I4155" s="36"/>
      <c r="J4155" s="39"/>
      <c r="K4155" s="39"/>
      <c r="AF4155" s="42" t="s">
        <v>5545</v>
      </c>
      <c r="AG4155" s="42" t="s">
        <v>6530</v>
      </c>
    </row>
    <row r="4156" spans="7:33" ht="15.75" customHeight="1">
      <c r="G4156" s="36"/>
      <c r="H4156" s="36"/>
      <c r="I4156" s="36"/>
      <c r="J4156" s="39"/>
      <c r="K4156" s="39"/>
      <c r="AF4156" s="42" t="s">
        <v>2292</v>
      </c>
      <c r="AG4156" s="42" t="s">
        <v>6530</v>
      </c>
    </row>
    <row r="4157" spans="7:33" ht="15.75" customHeight="1">
      <c r="G4157" s="36"/>
      <c r="H4157" s="36"/>
      <c r="I4157" s="36"/>
      <c r="J4157" s="39"/>
      <c r="K4157" s="39"/>
      <c r="AF4157" s="42" t="s">
        <v>3907</v>
      </c>
      <c r="AG4157" s="42" t="s">
        <v>6530</v>
      </c>
    </row>
    <row r="4158" spans="7:33" ht="15.75" customHeight="1">
      <c r="G4158" s="36"/>
      <c r="H4158" s="36"/>
      <c r="I4158" s="36"/>
      <c r="J4158" s="39"/>
      <c r="K4158" s="39"/>
      <c r="AF4158" s="42" t="s">
        <v>3327</v>
      </c>
      <c r="AG4158" s="42" t="s">
        <v>6530</v>
      </c>
    </row>
    <row r="4159" spans="7:33" ht="15.75" customHeight="1">
      <c r="G4159" s="36"/>
      <c r="H4159" s="36"/>
      <c r="I4159" s="36"/>
      <c r="J4159" s="39"/>
      <c r="K4159" s="39"/>
      <c r="AF4159" s="42" t="s">
        <v>5344</v>
      </c>
      <c r="AG4159" s="42" t="s">
        <v>6530</v>
      </c>
    </row>
    <row r="4160" spans="7:33" ht="15.75" customHeight="1">
      <c r="G4160" s="36"/>
      <c r="H4160" s="36"/>
      <c r="I4160" s="36"/>
      <c r="J4160" s="39"/>
      <c r="K4160" s="39"/>
      <c r="AF4160" s="42" t="s">
        <v>6793</v>
      </c>
      <c r="AG4160" s="42" t="s">
        <v>6530</v>
      </c>
    </row>
    <row r="4161" spans="7:33" ht="15.75" customHeight="1">
      <c r="G4161" s="36"/>
      <c r="H4161" s="36"/>
      <c r="I4161" s="36"/>
      <c r="J4161" s="39"/>
      <c r="K4161" s="39"/>
      <c r="AF4161" s="42" t="s">
        <v>5298</v>
      </c>
      <c r="AG4161" s="42" t="s">
        <v>6530</v>
      </c>
    </row>
    <row r="4162" spans="7:33" ht="15.75" customHeight="1">
      <c r="G4162" s="36"/>
      <c r="H4162" s="36"/>
      <c r="I4162" s="36"/>
      <c r="J4162" s="39"/>
      <c r="K4162" s="39"/>
      <c r="AF4162" s="42" t="s">
        <v>5252</v>
      </c>
      <c r="AG4162" s="42" t="s">
        <v>6530</v>
      </c>
    </row>
    <row r="4163" spans="7:33" ht="15.75" customHeight="1">
      <c r="G4163" s="36"/>
      <c r="H4163" s="36"/>
      <c r="I4163" s="36"/>
      <c r="J4163" s="39"/>
      <c r="K4163" s="39"/>
      <c r="AF4163" s="42" t="s">
        <v>4114</v>
      </c>
      <c r="AG4163" s="42" t="s">
        <v>6530</v>
      </c>
    </row>
    <row r="4164" spans="7:33" ht="15.75" customHeight="1">
      <c r="G4164" s="36"/>
      <c r="H4164" s="36"/>
      <c r="I4164" s="36"/>
      <c r="J4164" s="39"/>
      <c r="K4164" s="39"/>
      <c r="AF4164" s="42" t="s">
        <v>6449</v>
      </c>
      <c r="AG4164" s="42" t="s">
        <v>6530</v>
      </c>
    </row>
    <row r="4165" spans="7:33" ht="15.75" customHeight="1">
      <c r="G4165" s="36"/>
      <c r="H4165" s="36"/>
      <c r="I4165" s="36"/>
      <c r="J4165" s="39"/>
      <c r="K4165" s="39"/>
      <c r="AF4165" s="42" t="s">
        <v>2240</v>
      </c>
      <c r="AG4165" s="42" t="s">
        <v>6530</v>
      </c>
    </row>
    <row r="4166" spans="7:33" ht="15.75" customHeight="1">
      <c r="G4166" s="36"/>
      <c r="H4166" s="36"/>
      <c r="I4166" s="36"/>
      <c r="J4166" s="39"/>
      <c r="K4166" s="39"/>
      <c r="AF4166" s="42" t="s">
        <v>5182</v>
      </c>
      <c r="AG4166" s="42" t="s">
        <v>6530</v>
      </c>
    </row>
    <row r="4167" spans="7:33" ht="15.75" customHeight="1">
      <c r="G4167" s="36"/>
      <c r="H4167" s="36"/>
      <c r="I4167" s="36"/>
      <c r="J4167" s="39"/>
      <c r="K4167" s="39"/>
      <c r="AF4167" s="42" t="s">
        <v>3305</v>
      </c>
      <c r="AG4167" s="42" t="s">
        <v>6530</v>
      </c>
    </row>
    <row r="4168" spans="7:33" ht="15.75" customHeight="1">
      <c r="G4168" s="36"/>
      <c r="H4168" s="36"/>
      <c r="I4168" s="36"/>
      <c r="J4168" s="39"/>
      <c r="K4168" s="39"/>
      <c r="AF4168" s="42" t="s">
        <v>6742</v>
      </c>
      <c r="AG4168" s="42" t="s">
        <v>6530</v>
      </c>
    </row>
    <row r="4169" spans="7:33" ht="15.75" customHeight="1">
      <c r="G4169" s="36"/>
      <c r="H4169" s="36"/>
      <c r="I4169" s="36"/>
      <c r="J4169" s="39"/>
      <c r="K4169" s="39"/>
      <c r="AF4169" s="42" t="s">
        <v>6818</v>
      </c>
      <c r="AG4169" s="42" t="s">
        <v>6530</v>
      </c>
    </row>
    <row r="4170" spans="7:33" ht="15.75" customHeight="1">
      <c r="G4170" s="36"/>
      <c r="H4170" s="36"/>
      <c r="I4170" s="36"/>
      <c r="J4170" s="39"/>
      <c r="K4170" s="39"/>
      <c r="AF4170" s="42" t="s">
        <v>6098</v>
      </c>
      <c r="AG4170" s="42" t="s">
        <v>6530</v>
      </c>
    </row>
    <row r="4171" spans="7:33" ht="15.75" customHeight="1">
      <c r="G4171" s="36"/>
      <c r="H4171" s="36"/>
      <c r="I4171" s="36"/>
      <c r="J4171" s="39"/>
      <c r="K4171" s="39"/>
      <c r="AF4171" s="42" t="s">
        <v>2619</v>
      </c>
      <c r="AG4171" s="42" t="s">
        <v>6530</v>
      </c>
    </row>
    <row r="4172" spans="7:33" ht="15.75" customHeight="1">
      <c r="G4172" s="36"/>
      <c r="H4172" s="36"/>
      <c r="I4172" s="36"/>
      <c r="J4172" s="39"/>
      <c r="K4172" s="39"/>
      <c r="AF4172" s="42" t="s">
        <v>4978</v>
      </c>
      <c r="AG4172" s="42" t="s">
        <v>6530</v>
      </c>
    </row>
    <row r="4173" spans="7:33" ht="15.75" customHeight="1">
      <c r="G4173" s="36"/>
      <c r="H4173" s="36"/>
      <c r="I4173" s="36"/>
      <c r="J4173" s="39"/>
      <c r="K4173" s="39"/>
      <c r="AF4173" s="42" t="s">
        <v>6329</v>
      </c>
      <c r="AG4173" s="42" t="s">
        <v>6530</v>
      </c>
    </row>
    <row r="4174" spans="7:33" ht="15.75" customHeight="1">
      <c r="G4174" s="36"/>
      <c r="H4174" s="36"/>
      <c r="I4174" s="36"/>
      <c r="J4174" s="39"/>
      <c r="K4174" s="39"/>
      <c r="AF4174" s="42" t="s">
        <v>4236</v>
      </c>
      <c r="AG4174" s="42" t="s">
        <v>6530</v>
      </c>
    </row>
    <row r="4175" spans="7:33" ht="15.75" customHeight="1">
      <c r="G4175" s="36"/>
      <c r="H4175" s="36"/>
      <c r="I4175" s="36"/>
      <c r="J4175" s="39"/>
      <c r="K4175" s="39"/>
      <c r="AF4175" s="42" t="s">
        <v>6794</v>
      </c>
      <c r="AG4175" s="42" t="s">
        <v>6530</v>
      </c>
    </row>
    <row r="4176" spans="7:33" ht="15.75" customHeight="1">
      <c r="G4176" s="36"/>
      <c r="H4176" s="36"/>
      <c r="I4176" s="36"/>
      <c r="J4176" s="39"/>
      <c r="K4176" s="39"/>
      <c r="AF4176" s="42" t="s">
        <v>1046</v>
      </c>
      <c r="AG4176" s="42" t="s">
        <v>6530</v>
      </c>
    </row>
    <row r="4177" spans="7:33" ht="15.75" customHeight="1">
      <c r="G4177" s="36"/>
      <c r="H4177" s="36"/>
      <c r="I4177" s="36"/>
      <c r="J4177" s="39"/>
      <c r="K4177" s="39"/>
      <c r="AF4177" s="42" t="s">
        <v>6536</v>
      </c>
      <c r="AG4177" s="42" t="s">
        <v>6530</v>
      </c>
    </row>
    <row r="4178" spans="7:33" ht="15.75" customHeight="1">
      <c r="G4178" s="36"/>
      <c r="H4178" s="36"/>
      <c r="I4178" s="36"/>
      <c r="J4178" s="39"/>
      <c r="K4178" s="39"/>
      <c r="AF4178" s="42" t="s">
        <v>3427</v>
      </c>
      <c r="AG4178" s="42" t="s">
        <v>6530</v>
      </c>
    </row>
    <row r="4179" spans="7:33" ht="15.75" customHeight="1">
      <c r="G4179" s="36"/>
      <c r="H4179" s="36"/>
      <c r="I4179" s="36"/>
      <c r="J4179" s="39"/>
      <c r="K4179" s="39"/>
      <c r="AF4179" s="42" t="s">
        <v>4122</v>
      </c>
      <c r="AG4179" s="42" t="s">
        <v>6530</v>
      </c>
    </row>
    <row r="4180" spans="7:33" ht="15.75" customHeight="1">
      <c r="G4180" s="36"/>
      <c r="H4180" s="36"/>
      <c r="I4180" s="36"/>
      <c r="J4180" s="39"/>
      <c r="K4180" s="39"/>
      <c r="AF4180" s="42" t="s">
        <v>6565</v>
      </c>
      <c r="AG4180" s="42" t="s">
        <v>6530</v>
      </c>
    </row>
    <row r="4181" spans="7:33" ht="15.75" customHeight="1">
      <c r="G4181" s="36"/>
      <c r="H4181" s="36"/>
      <c r="I4181" s="36"/>
      <c r="J4181" s="39"/>
      <c r="K4181" s="39"/>
      <c r="AF4181" s="42" t="s">
        <v>3413</v>
      </c>
      <c r="AG4181" s="42" t="s">
        <v>6530</v>
      </c>
    </row>
    <row r="4182" spans="7:33" ht="15.75" customHeight="1">
      <c r="G4182" s="36"/>
      <c r="H4182" s="36"/>
      <c r="I4182" s="36"/>
      <c r="J4182" s="39"/>
      <c r="K4182" s="39"/>
      <c r="AF4182" s="42" t="s">
        <v>5239</v>
      </c>
      <c r="AG4182" s="42" t="s">
        <v>6530</v>
      </c>
    </row>
    <row r="4183" spans="7:33" ht="15.75" customHeight="1">
      <c r="G4183" s="36"/>
      <c r="H4183" s="36"/>
      <c r="I4183" s="36"/>
      <c r="J4183" s="39"/>
      <c r="K4183" s="39"/>
      <c r="AF4183" s="42" t="s">
        <v>2021</v>
      </c>
      <c r="AG4183" s="42" t="s">
        <v>6530</v>
      </c>
    </row>
    <row r="4184" spans="7:33" ht="15.75" customHeight="1">
      <c r="G4184" s="36"/>
      <c r="H4184" s="36"/>
      <c r="I4184" s="36"/>
      <c r="J4184" s="39"/>
      <c r="K4184" s="39"/>
      <c r="AF4184" s="42" t="s">
        <v>5396</v>
      </c>
      <c r="AG4184" s="42" t="s">
        <v>6530</v>
      </c>
    </row>
    <row r="4185" spans="7:33" ht="15.75" customHeight="1">
      <c r="G4185" s="36"/>
      <c r="H4185" s="36"/>
      <c r="I4185" s="36"/>
      <c r="J4185" s="39"/>
      <c r="K4185" s="39"/>
      <c r="AF4185" s="42" t="s">
        <v>5262</v>
      </c>
      <c r="AG4185" s="42" t="s">
        <v>6530</v>
      </c>
    </row>
    <row r="4186" spans="7:33" ht="15.75" customHeight="1">
      <c r="G4186" s="36"/>
      <c r="H4186" s="36"/>
      <c r="I4186" s="36"/>
      <c r="J4186" s="39"/>
      <c r="K4186" s="39"/>
      <c r="AF4186" s="42" t="s">
        <v>2120</v>
      </c>
      <c r="AG4186" s="42" t="s">
        <v>6530</v>
      </c>
    </row>
    <row r="4187" spans="7:33" ht="15.75" customHeight="1">
      <c r="G4187" s="36"/>
      <c r="H4187" s="36"/>
      <c r="I4187" s="36"/>
      <c r="J4187" s="39"/>
      <c r="K4187" s="39"/>
      <c r="AF4187" s="42" t="s">
        <v>5654</v>
      </c>
      <c r="AG4187" s="42" t="s">
        <v>6530</v>
      </c>
    </row>
    <row r="4188" spans="7:33" ht="15.75" customHeight="1">
      <c r="G4188" s="36"/>
      <c r="H4188" s="36"/>
      <c r="I4188" s="36"/>
      <c r="J4188" s="39"/>
      <c r="K4188" s="39"/>
      <c r="AF4188" s="42" t="s">
        <v>3088</v>
      </c>
      <c r="AG4188" s="42" t="s">
        <v>6530</v>
      </c>
    </row>
    <row r="4189" spans="7:33" ht="15.75" customHeight="1">
      <c r="G4189" s="36"/>
      <c r="H4189" s="36"/>
      <c r="I4189" s="36"/>
      <c r="J4189" s="39"/>
      <c r="K4189" s="39"/>
      <c r="AF4189" s="42" t="s">
        <v>5372</v>
      </c>
      <c r="AG4189" s="42" t="s">
        <v>6530</v>
      </c>
    </row>
    <row r="4190" spans="7:33" ht="15.75" customHeight="1">
      <c r="G4190" s="36"/>
      <c r="H4190" s="36"/>
      <c r="I4190" s="36"/>
      <c r="J4190" s="39"/>
      <c r="K4190" s="39"/>
      <c r="AF4190" s="42" t="s">
        <v>3992</v>
      </c>
      <c r="AG4190" s="42" t="s">
        <v>6530</v>
      </c>
    </row>
    <row r="4191" spans="7:33" ht="15.75" customHeight="1">
      <c r="G4191" s="36"/>
      <c r="H4191" s="36"/>
      <c r="I4191" s="36"/>
      <c r="J4191" s="39"/>
      <c r="K4191" s="39"/>
      <c r="AF4191" s="42" t="s">
        <v>2322</v>
      </c>
      <c r="AG4191" s="42" t="s">
        <v>6530</v>
      </c>
    </row>
    <row r="4192" spans="7:33" ht="15.75" customHeight="1">
      <c r="G4192" s="36"/>
      <c r="H4192" s="36"/>
      <c r="I4192" s="36"/>
      <c r="J4192" s="39"/>
      <c r="K4192" s="39"/>
      <c r="AF4192" s="42" t="s">
        <v>2582</v>
      </c>
      <c r="AG4192" s="42" t="s">
        <v>6530</v>
      </c>
    </row>
    <row r="4193" spans="7:33" ht="15.75" customHeight="1">
      <c r="G4193" s="36"/>
      <c r="H4193" s="36"/>
      <c r="I4193" s="36"/>
      <c r="J4193" s="39"/>
      <c r="K4193" s="39"/>
      <c r="AF4193" s="42" t="s">
        <v>5873</v>
      </c>
      <c r="AG4193" s="42" t="s">
        <v>6530</v>
      </c>
    </row>
    <row r="4194" spans="7:33" ht="15.75" customHeight="1">
      <c r="G4194" s="36"/>
      <c r="H4194" s="36"/>
      <c r="I4194" s="36"/>
      <c r="J4194" s="39"/>
      <c r="K4194" s="39"/>
      <c r="AF4194" s="42" t="s">
        <v>2543</v>
      </c>
      <c r="AG4194" s="42" t="s">
        <v>6530</v>
      </c>
    </row>
    <row r="4195" spans="7:33" ht="15.75" customHeight="1">
      <c r="G4195" s="36"/>
      <c r="H4195" s="36"/>
      <c r="I4195" s="36"/>
      <c r="J4195" s="39"/>
      <c r="K4195" s="39"/>
      <c r="AF4195" s="42" t="s">
        <v>5194</v>
      </c>
      <c r="AG4195" s="42" t="s">
        <v>6530</v>
      </c>
    </row>
    <row r="4196" spans="7:33" ht="15.75" customHeight="1">
      <c r="G4196" s="36"/>
      <c r="H4196" s="36"/>
      <c r="I4196" s="36"/>
      <c r="J4196" s="39"/>
      <c r="K4196" s="39"/>
      <c r="AF4196" s="42" t="s">
        <v>5447</v>
      </c>
      <c r="AG4196" s="42" t="s">
        <v>6530</v>
      </c>
    </row>
    <row r="4197" spans="7:33" ht="15.75" customHeight="1">
      <c r="G4197" s="36"/>
      <c r="H4197" s="36"/>
      <c r="I4197" s="36"/>
      <c r="J4197" s="39"/>
      <c r="K4197" s="39"/>
      <c r="AF4197" s="42" t="s">
        <v>3875</v>
      </c>
      <c r="AG4197" s="42" t="s">
        <v>6530</v>
      </c>
    </row>
    <row r="4198" spans="7:33" ht="15.75" customHeight="1">
      <c r="G4198" s="36"/>
      <c r="H4198" s="36"/>
      <c r="I4198" s="36"/>
      <c r="J4198" s="39"/>
      <c r="K4198" s="39"/>
      <c r="AF4198" s="42" t="s">
        <v>5711</v>
      </c>
      <c r="AG4198" s="42" t="s">
        <v>6530</v>
      </c>
    </row>
    <row r="4199" spans="7:33" ht="15.75" customHeight="1">
      <c r="G4199" s="36"/>
      <c r="H4199" s="36"/>
      <c r="I4199" s="36"/>
      <c r="J4199" s="39"/>
      <c r="K4199" s="39"/>
      <c r="AF4199" s="42" t="s">
        <v>6782</v>
      </c>
      <c r="AG4199" s="42" t="s">
        <v>6530</v>
      </c>
    </row>
    <row r="4200" spans="7:33" ht="15.75" customHeight="1">
      <c r="G4200" s="36"/>
      <c r="H4200" s="36"/>
      <c r="I4200" s="36"/>
      <c r="J4200" s="39"/>
      <c r="K4200" s="39"/>
      <c r="AF4200" s="42" t="s">
        <v>1778</v>
      </c>
      <c r="AG4200" s="42" t="s">
        <v>6569</v>
      </c>
    </row>
    <row r="4201" spans="7:33" ht="15.75" customHeight="1">
      <c r="G4201" s="36"/>
      <c r="H4201" s="36"/>
      <c r="I4201" s="36"/>
      <c r="J4201" s="39"/>
      <c r="K4201" s="39"/>
      <c r="AF4201" s="42" t="s">
        <v>2565</v>
      </c>
      <c r="AG4201" s="42" t="s">
        <v>6530</v>
      </c>
    </row>
    <row r="4202" spans="7:33" ht="15.75" customHeight="1">
      <c r="G4202" s="36"/>
      <c r="H4202" s="36"/>
      <c r="I4202" s="36"/>
      <c r="J4202" s="39"/>
      <c r="K4202" s="39"/>
      <c r="AF4202" s="42" t="s">
        <v>2384</v>
      </c>
      <c r="AG4202" s="42" t="s">
        <v>6530</v>
      </c>
    </row>
    <row r="4203" spans="7:33" ht="15.75" customHeight="1">
      <c r="G4203" s="36"/>
      <c r="H4203" s="36"/>
      <c r="I4203" s="36"/>
      <c r="J4203" s="39"/>
      <c r="K4203" s="39"/>
      <c r="AF4203" s="42" t="s">
        <v>3840</v>
      </c>
      <c r="AG4203" s="42" t="s">
        <v>6530</v>
      </c>
    </row>
    <row r="4204" spans="7:33" ht="15.75" customHeight="1">
      <c r="G4204" s="36"/>
      <c r="H4204" s="36"/>
      <c r="I4204" s="36"/>
      <c r="J4204" s="39"/>
      <c r="K4204" s="39"/>
      <c r="AF4204" s="42" t="s">
        <v>1349</v>
      </c>
      <c r="AG4204" s="42" t="s">
        <v>6530</v>
      </c>
    </row>
    <row r="4205" spans="7:33" ht="15.75" customHeight="1">
      <c r="G4205" s="36"/>
      <c r="H4205" s="36"/>
      <c r="I4205" s="36"/>
      <c r="J4205" s="39"/>
      <c r="K4205" s="39"/>
      <c r="AF4205" s="42" t="s">
        <v>6538</v>
      </c>
      <c r="AG4205" s="42" t="s">
        <v>6530</v>
      </c>
    </row>
    <row r="4206" spans="7:33" ht="15.75" customHeight="1">
      <c r="G4206" s="36"/>
      <c r="H4206" s="36"/>
      <c r="I4206" s="36"/>
      <c r="J4206" s="39"/>
      <c r="K4206" s="39"/>
      <c r="AF4206" s="42" t="s">
        <v>6831</v>
      </c>
      <c r="AG4206" s="42" t="s">
        <v>6530</v>
      </c>
    </row>
    <row r="4207" spans="7:33" ht="15.75" customHeight="1">
      <c r="G4207" s="36"/>
      <c r="H4207" s="36"/>
      <c r="I4207" s="36"/>
      <c r="J4207" s="39"/>
      <c r="K4207" s="39"/>
      <c r="AF4207" s="42" t="s">
        <v>1575</v>
      </c>
      <c r="AG4207" s="42" t="s">
        <v>6530</v>
      </c>
    </row>
    <row r="4208" spans="7:33" ht="15.75" customHeight="1">
      <c r="G4208" s="36"/>
      <c r="H4208" s="36"/>
      <c r="I4208" s="36"/>
      <c r="J4208" s="39"/>
      <c r="K4208" s="39"/>
      <c r="AF4208" s="42" t="s">
        <v>6830</v>
      </c>
      <c r="AG4208" s="42" t="s">
        <v>6530</v>
      </c>
    </row>
    <row r="4209" spans="7:33" ht="15.75" customHeight="1">
      <c r="G4209" s="36"/>
      <c r="H4209" s="36"/>
      <c r="I4209" s="36"/>
      <c r="J4209" s="39"/>
      <c r="K4209" s="39"/>
      <c r="AF4209" s="42" t="s">
        <v>4596</v>
      </c>
      <c r="AG4209" s="42" t="s">
        <v>6530</v>
      </c>
    </row>
    <row r="4210" spans="7:33" ht="15.75" customHeight="1">
      <c r="G4210" s="36"/>
      <c r="H4210" s="36"/>
      <c r="I4210" s="36"/>
      <c r="J4210" s="39"/>
      <c r="K4210" s="39"/>
      <c r="AF4210" s="42" t="s">
        <v>2514</v>
      </c>
      <c r="AG4210" s="42" t="s">
        <v>6530</v>
      </c>
    </row>
    <row r="4211" spans="7:33" ht="15.75" customHeight="1">
      <c r="G4211" s="36"/>
      <c r="H4211" s="36"/>
      <c r="I4211" s="36"/>
      <c r="J4211" s="39"/>
      <c r="K4211" s="39"/>
      <c r="AF4211" s="42" t="s">
        <v>6829</v>
      </c>
      <c r="AG4211" s="42" t="s">
        <v>6530</v>
      </c>
    </row>
    <row r="4212" spans="7:33" ht="15.75" customHeight="1">
      <c r="G4212" s="36"/>
      <c r="H4212" s="36"/>
      <c r="I4212" s="36"/>
      <c r="J4212" s="39"/>
      <c r="K4212" s="39"/>
      <c r="AF4212" s="42" t="s">
        <v>6533</v>
      </c>
      <c r="AG4212" s="42" t="s">
        <v>6530</v>
      </c>
    </row>
    <row r="4213" spans="7:33" ht="15.75" customHeight="1">
      <c r="G4213" s="36"/>
      <c r="H4213" s="36"/>
      <c r="I4213" s="36"/>
      <c r="J4213" s="39"/>
      <c r="K4213" s="39"/>
      <c r="AF4213" s="42" t="s">
        <v>3953</v>
      </c>
      <c r="AG4213" s="42" t="s">
        <v>6530</v>
      </c>
    </row>
    <row r="4214" spans="7:33" ht="15.75" customHeight="1">
      <c r="G4214" s="36"/>
      <c r="H4214" s="36"/>
      <c r="I4214" s="36"/>
      <c r="J4214" s="39"/>
      <c r="K4214" s="39"/>
      <c r="AF4214" s="42" t="s">
        <v>1614</v>
      </c>
      <c r="AG4214" s="42" t="s">
        <v>6530</v>
      </c>
    </row>
    <row r="4215" spans="7:33" ht="15.75" customHeight="1">
      <c r="G4215" s="36"/>
      <c r="H4215" s="36"/>
      <c r="I4215" s="36"/>
      <c r="J4215" s="39"/>
      <c r="K4215" s="39"/>
      <c r="AF4215" s="42" t="s">
        <v>4811</v>
      </c>
      <c r="AG4215" s="42" t="s">
        <v>6530</v>
      </c>
    </row>
    <row r="4216" spans="7:33" ht="15.75" customHeight="1">
      <c r="G4216" s="36"/>
      <c r="H4216" s="36"/>
      <c r="I4216" s="36"/>
      <c r="J4216" s="39"/>
      <c r="K4216" s="39"/>
      <c r="AF4216" s="42" t="s">
        <v>4605</v>
      </c>
      <c r="AG4216" s="42" t="s">
        <v>6530</v>
      </c>
    </row>
    <row r="4217" spans="7:33" ht="15.75" customHeight="1">
      <c r="G4217" s="36"/>
      <c r="H4217" s="36"/>
      <c r="I4217" s="36"/>
      <c r="J4217" s="39"/>
      <c r="K4217" s="39"/>
      <c r="AF4217" s="42" t="s">
        <v>5273</v>
      </c>
      <c r="AG4217" s="42" t="s">
        <v>6530</v>
      </c>
    </row>
    <row r="4218" spans="7:33" ht="15.75" customHeight="1">
      <c r="G4218" s="36"/>
      <c r="H4218" s="36"/>
      <c r="I4218" s="36"/>
      <c r="J4218" s="39"/>
      <c r="K4218" s="39"/>
      <c r="AF4218" s="42" t="s">
        <v>2173</v>
      </c>
      <c r="AG4218" s="42" t="s">
        <v>6530</v>
      </c>
    </row>
    <row r="4219" spans="7:33" ht="15.75" customHeight="1">
      <c r="G4219" s="36"/>
      <c r="H4219" s="36"/>
      <c r="I4219" s="36"/>
      <c r="J4219" s="39"/>
      <c r="K4219" s="39"/>
      <c r="AF4219" s="42" t="s">
        <v>6155</v>
      </c>
      <c r="AG4219" s="42" t="s">
        <v>6530</v>
      </c>
    </row>
    <row r="4220" spans="7:33" ht="15.75" customHeight="1">
      <c r="G4220" s="36"/>
      <c r="H4220" s="36"/>
      <c r="I4220" s="36"/>
      <c r="J4220" s="39"/>
      <c r="K4220" s="39"/>
      <c r="AF4220" s="42" t="s">
        <v>925</v>
      </c>
      <c r="AG4220" s="42" t="s">
        <v>6530</v>
      </c>
    </row>
    <row r="4221" spans="7:33" ht="15.75" customHeight="1">
      <c r="G4221" s="36"/>
      <c r="H4221" s="36"/>
      <c r="I4221" s="36"/>
      <c r="J4221" s="39"/>
      <c r="K4221" s="39"/>
      <c r="AF4221" s="42" t="s">
        <v>5443</v>
      </c>
      <c r="AG4221" s="42" t="s">
        <v>6530</v>
      </c>
    </row>
    <row r="4222" spans="7:33" ht="15.75" customHeight="1">
      <c r="G4222" s="36"/>
      <c r="H4222" s="36"/>
      <c r="I4222" s="36"/>
      <c r="J4222" s="39"/>
      <c r="K4222" s="39"/>
      <c r="AF4222" s="42" t="s">
        <v>6729</v>
      </c>
      <c r="AG4222" s="42" t="s">
        <v>6530</v>
      </c>
    </row>
    <row r="4223" spans="7:33" ht="15.75" customHeight="1">
      <c r="G4223" s="36"/>
      <c r="H4223" s="36"/>
      <c r="I4223" s="36"/>
      <c r="J4223" s="39"/>
      <c r="K4223" s="39"/>
      <c r="AF4223" s="42" t="s">
        <v>1627</v>
      </c>
      <c r="AG4223" s="42" t="s">
        <v>6530</v>
      </c>
    </row>
    <row r="4224" spans="7:33" ht="15.75" customHeight="1">
      <c r="G4224" s="36"/>
      <c r="H4224" s="36"/>
      <c r="I4224" s="36"/>
      <c r="J4224" s="39"/>
      <c r="K4224" s="39"/>
      <c r="AF4224" s="42" t="s">
        <v>4563</v>
      </c>
      <c r="AG4224" s="42" t="s">
        <v>6530</v>
      </c>
    </row>
    <row r="4225" spans="7:33" ht="15.75" customHeight="1">
      <c r="G4225" s="36"/>
      <c r="H4225" s="36"/>
      <c r="I4225" s="36"/>
      <c r="J4225" s="39"/>
      <c r="K4225" s="39"/>
      <c r="AF4225" s="42" t="s">
        <v>2926</v>
      </c>
      <c r="AG4225" s="42" t="s">
        <v>6530</v>
      </c>
    </row>
    <row r="4226" spans="7:33" ht="15.75" customHeight="1">
      <c r="G4226" s="36"/>
      <c r="H4226" s="36"/>
      <c r="I4226" s="36"/>
      <c r="J4226" s="39"/>
      <c r="K4226" s="39"/>
      <c r="AF4226" s="42" t="s">
        <v>6833</v>
      </c>
      <c r="AG4226" s="42" t="s">
        <v>6530</v>
      </c>
    </row>
    <row r="4227" spans="7:33" ht="15.75" customHeight="1">
      <c r="G4227" s="36"/>
      <c r="H4227" s="36"/>
      <c r="I4227" s="36"/>
      <c r="J4227" s="39"/>
      <c r="K4227" s="39"/>
      <c r="AF4227" s="42" t="s">
        <v>6825</v>
      </c>
      <c r="AG4227" s="42" t="s">
        <v>6530</v>
      </c>
    </row>
    <row r="4228" spans="7:33" ht="15.75" customHeight="1">
      <c r="G4228" s="36"/>
      <c r="H4228" s="36"/>
      <c r="I4228" s="36"/>
      <c r="J4228" s="39"/>
      <c r="K4228" s="39"/>
      <c r="AF4228" s="42" t="s">
        <v>5059</v>
      </c>
      <c r="AG4228" s="42" t="s">
        <v>6530</v>
      </c>
    </row>
    <row r="4229" spans="7:33" ht="15.75" customHeight="1">
      <c r="G4229" s="36"/>
      <c r="H4229" s="36"/>
      <c r="I4229" s="36"/>
      <c r="J4229" s="39"/>
      <c r="K4229" s="39"/>
      <c r="AF4229" s="42" t="s">
        <v>6749</v>
      </c>
      <c r="AG4229" s="42" t="s">
        <v>6530</v>
      </c>
    </row>
    <row r="4230" spans="7:33" ht="15.75" customHeight="1">
      <c r="G4230" s="36"/>
      <c r="H4230" s="36"/>
      <c r="I4230" s="36"/>
      <c r="J4230" s="39"/>
      <c r="K4230" s="39"/>
      <c r="AF4230" s="42" t="s">
        <v>4340</v>
      </c>
      <c r="AG4230" s="42" t="s">
        <v>6530</v>
      </c>
    </row>
    <row r="4231" spans="7:33" ht="15.75" customHeight="1">
      <c r="G4231" s="36"/>
      <c r="H4231" s="36"/>
      <c r="I4231" s="36"/>
      <c r="J4231" s="39"/>
      <c r="K4231" s="39"/>
      <c r="AF4231" s="42" t="s">
        <v>2903</v>
      </c>
      <c r="AG4231" s="42" t="s">
        <v>6530</v>
      </c>
    </row>
    <row r="4232" spans="7:33" ht="15.75" customHeight="1">
      <c r="G4232" s="36"/>
      <c r="H4232" s="36"/>
      <c r="I4232" s="36"/>
      <c r="J4232" s="39"/>
      <c r="K4232" s="39"/>
      <c r="AF4232" s="42" t="s">
        <v>2009</v>
      </c>
      <c r="AG4232" s="42" t="s">
        <v>6530</v>
      </c>
    </row>
    <row r="4233" spans="7:33" ht="15.75" customHeight="1">
      <c r="G4233" s="36"/>
      <c r="H4233" s="36"/>
      <c r="I4233" s="36"/>
      <c r="J4233" s="39"/>
      <c r="K4233" s="39"/>
      <c r="AF4233" s="42" t="s">
        <v>2802</v>
      </c>
      <c r="AG4233" s="42" t="s">
        <v>6530</v>
      </c>
    </row>
    <row r="4234" spans="7:33" ht="15.75" customHeight="1">
      <c r="G4234" s="36"/>
      <c r="H4234" s="36"/>
      <c r="I4234" s="36"/>
      <c r="J4234" s="39"/>
      <c r="K4234" s="39"/>
      <c r="AF4234" s="42" t="s">
        <v>1866</v>
      </c>
      <c r="AG4234" s="42" t="s">
        <v>6530</v>
      </c>
    </row>
    <row r="4235" spans="7:33" ht="15.75" customHeight="1">
      <c r="G4235" s="36"/>
      <c r="H4235" s="36"/>
      <c r="I4235" s="36"/>
      <c r="J4235" s="39"/>
      <c r="K4235" s="39"/>
      <c r="AF4235" s="42" t="s">
        <v>932</v>
      </c>
      <c r="AG4235" s="42" t="s">
        <v>6530</v>
      </c>
    </row>
    <row r="4236" spans="7:33" ht="15.75" customHeight="1">
      <c r="G4236" s="36"/>
      <c r="H4236" s="36"/>
      <c r="I4236" s="36"/>
      <c r="J4236" s="39"/>
      <c r="K4236" s="39"/>
      <c r="AF4236" s="42" t="s">
        <v>4957</v>
      </c>
      <c r="AG4236" s="42" t="s">
        <v>6530</v>
      </c>
    </row>
    <row r="4237" spans="7:33" ht="15.75" customHeight="1">
      <c r="G4237" s="36"/>
      <c r="H4237" s="36"/>
      <c r="I4237" s="36"/>
      <c r="J4237" s="39"/>
      <c r="K4237" s="39"/>
      <c r="AF4237" s="42" t="s">
        <v>4009</v>
      </c>
      <c r="AG4237" s="42" t="s">
        <v>6530</v>
      </c>
    </row>
    <row r="4238" spans="7:33" ht="15.75" customHeight="1">
      <c r="G4238" s="36"/>
      <c r="H4238" s="36"/>
      <c r="I4238" s="36"/>
      <c r="J4238" s="39"/>
      <c r="K4238" s="39"/>
      <c r="AF4238" s="42" t="s">
        <v>2691</v>
      </c>
      <c r="AG4238" s="42" t="s">
        <v>6530</v>
      </c>
    </row>
    <row r="4239" spans="7:33" ht="15.75" customHeight="1">
      <c r="G4239" s="36"/>
      <c r="H4239" s="36"/>
      <c r="I4239" s="36"/>
      <c r="J4239" s="39"/>
      <c r="K4239" s="39"/>
      <c r="AF4239" s="42" t="s">
        <v>1152</v>
      </c>
      <c r="AG4239" s="42" t="s">
        <v>6530</v>
      </c>
    </row>
    <row r="4240" spans="7:33" ht="15.75" customHeight="1">
      <c r="G4240" s="36"/>
      <c r="H4240" s="36"/>
      <c r="I4240" s="36"/>
      <c r="J4240" s="39"/>
      <c r="K4240" s="39"/>
      <c r="AF4240" s="42" t="s">
        <v>2107</v>
      </c>
      <c r="AG4240" s="42" t="s">
        <v>6530</v>
      </c>
    </row>
    <row r="4241" spans="7:33" ht="15.75" customHeight="1">
      <c r="G4241" s="36"/>
      <c r="H4241" s="36"/>
      <c r="I4241" s="36"/>
      <c r="J4241" s="39"/>
      <c r="K4241" s="39"/>
      <c r="AF4241" s="42" t="s">
        <v>5359</v>
      </c>
      <c r="AG4241" s="42" t="s">
        <v>6530</v>
      </c>
    </row>
    <row r="4242" spans="7:33" ht="15.75" customHeight="1">
      <c r="G4242" s="36"/>
      <c r="H4242" s="36"/>
      <c r="I4242" s="36"/>
      <c r="J4242" s="39"/>
      <c r="K4242" s="39"/>
      <c r="AF4242" s="42" t="s">
        <v>2832</v>
      </c>
      <c r="AG4242" s="42" t="s">
        <v>6530</v>
      </c>
    </row>
    <row r="4243" spans="7:33" ht="15.75" customHeight="1">
      <c r="G4243" s="36"/>
      <c r="H4243" s="36"/>
      <c r="I4243" s="36"/>
      <c r="J4243" s="39"/>
      <c r="K4243" s="39"/>
      <c r="AF4243" s="42" t="s">
        <v>1137</v>
      </c>
      <c r="AG4243" s="42" t="s">
        <v>6569</v>
      </c>
    </row>
    <row r="4244" spans="7:33" ht="15.75" customHeight="1">
      <c r="G4244" s="36"/>
      <c r="H4244" s="36"/>
      <c r="I4244" s="36"/>
      <c r="J4244" s="39"/>
      <c r="K4244" s="39"/>
      <c r="AF4244" s="42" t="s">
        <v>5415</v>
      </c>
      <c r="AG4244" s="42" t="s">
        <v>6530</v>
      </c>
    </row>
    <row r="4245" spans="7:33" ht="15.75" customHeight="1">
      <c r="G4245" s="36"/>
      <c r="H4245" s="36"/>
      <c r="I4245" s="36"/>
      <c r="J4245" s="39"/>
      <c r="K4245" s="39"/>
      <c r="AF4245" s="42" t="s">
        <v>4828</v>
      </c>
      <c r="AG4245" s="42" t="s">
        <v>6530</v>
      </c>
    </row>
    <row r="4246" spans="7:33" ht="15.75" customHeight="1">
      <c r="G4246" s="36"/>
      <c r="H4246" s="36"/>
      <c r="I4246" s="36"/>
      <c r="J4246" s="39"/>
      <c r="K4246" s="39"/>
      <c r="AF4246" s="42" t="s">
        <v>3207</v>
      </c>
      <c r="AG4246" s="42" t="s">
        <v>6530</v>
      </c>
    </row>
    <row r="4247" spans="7:33" ht="15.75" customHeight="1">
      <c r="G4247" s="36"/>
      <c r="H4247" s="36"/>
      <c r="I4247" s="36"/>
      <c r="J4247" s="39"/>
      <c r="K4247" s="39"/>
      <c r="AF4247" s="42" t="s">
        <v>4791</v>
      </c>
      <c r="AG4247" s="42" t="s">
        <v>6530</v>
      </c>
    </row>
    <row r="4248" spans="7:33" ht="15.75" customHeight="1">
      <c r="G4248" s="36"/>
      <c r="H4248" s="36"/>
      <c r="I4248" s="36"/>
      <c r="J4248" s="39"/>
      <c r="K4248" s="39"/>
      <c r="AF4248" s="42" t="s">
        <v>4750</v>
      </c>
      <c r="AG4248" s="42" t="s">
        <v>6530</v>
      </c>
    </row>
    <row r="4249" spans="7:33" ht="15.75" customHeight="1">
      <c r="G4249" s="36"/>
      <c r="H4249" s="36"/>
      <c r="I4249" s="36"/>
      <c r="J4249" s="39"/>
      <c r="K4249" s="39"/>
      <c r="AF4249" s="42" t="s">
        <v>3535</v>
      </c>
      <c r="AG4249" s="42" t="s">
        <v>6530</v>
      </c>
    </row>
    <row r="4250" spans="7:33" ht="15.75" customHeight="1">
      <c r="G4250" s="36"/>
      <c r="H4250" s="36"/>
      <c r="I4250" s="36"/>
      <c r="J4250" s="39"/>
      <c r="K4250" s="39"/>
      <c r="AF4250" s="42" t="s">
        <v>2962</v>
      </c>
      <c r="AG4250" s="42" t="s">
        <v>6530</v>
      </c>
    </row>
    <row r="4251" spans="7:33" ht="15.75" customHeight="1">
      <c r="G4251" s="36"/>
      <c r="H4251" s="36"/>
      <c r="I4251" s="36"/>
      <c r="J4251" s="39"/>
      <c r="K4251" s="39"/>
      <c r="AF4251" s="42" t="s">
        <v>6561</v>
      </c>
      <c r="AG4251" s="42" t="s">
        <v>6530</v>
      </c>
    </row>
    <row r="4252" spans="7:33" ht="15.75" customHeight="1">
      <c r="G4252" s="36"/>
      <c r="H4252" s="36"/>
      <c r="I4252" s="36"/>
      <c r="J4252" s="39"/>
      <c r="K4252" s="39"/>
      <c r="AF4252" s="42" t="s">
        <v>6411</v>
      </c>
      <c r="AG4252" s="42" t="s">
        <v>6530</v>
      </c>
    </row>
    <row r="4253" spans="7:33" ht="15.75" customHeight="1">
      <c r="G4253" s="36"/>
      <c r="H4253" s="36"/>
      <c r="I4253" s="36"/>
      <c r="J4253" s="39"/>
      <c r="K4253" s="39"/>
      <c r="AF4253" s="42" t="s">
        <v>6776</v>
      </c>
      <c r="AG4253" s="42" t="s">
        <v>6569</v>
      </c>
    </row>
    <row r="4254" spans="7:33" ht="15.75" customHeight="1">
      <c r="G4254" s="36"/>
      <c r="H4254" s="36"/>
      <c r="I4254" s="36"/>
      <c r="J4254" s="39"/>
      <c r="K4254" s="39"/>
      <c r="AF4254" s="42" t="s">
        <v>4371</v>
      </c>
      <c r="AG4254" s="42" t="s">
        <v>6530</v>
      </c>
    </row>
    <row r="4255" spans="7:33" ht="15.75" customHeight="1">
      <c r="G4255" s="36"/>
      <c r="H4255" s="36"/>
      <c r="I4255" s="36"/>
      <c r="J4255" s="39"/>
      <c r="K4255" s="39"/>
      <c r="AF4255" s="42" t="s">
        <v>4344</v>
      </c>
      <c r="AG4255" s="42" t="s">
        <v>6530</v>
      </c>
    </row>
    <row r="4256" spans="7:33" ht="15.75" customHeight="1">
      <c r="G4256" s="36"/>
      <c r="H4256" s="36"/>
      <c r="I4256" s="36"/>
      <c r="J4256" s="39"/>
      <c r="K4256" s="39"/>
      <c r="AF4256" s="42" t="s">
        <v>3968</v>
      </c>
      <c r="AG4256" s="42" t="s">
        <v>6530</v>
      </c>
    </row>
    <row r="4257" spans="7:33" ht="15.75" customHeight="1">
      <c r="G4257" s="36"/>
      <c r="H4257" s="36"/>
      <c r="I4257" s="36"/>
      <c r="J4257" s="39"/>
      <c r="K4257" s="39"/>
      <c r="AF4257" s="42" t="s">
        <v>3345</v>
      </c>
      <c r="AG4257" s="42" t="s">
        <v>6530</v>
      </c>
    </row>
    <row r="4258" spans="7:33" ht="15.75" customHeight="1">
      <c r="G4258" s="36"/>
      <c r="H4258" s="36"/>
      <c r="I4258" s="36"/>
      <c r="J4258" s="39"/>
      <c r="K4258" s="39"/>
      <c r="AF4258" s="42" t="s">
        <v>871</v>
      </c>
      <c r="AG4258" s="42" t="s">
        <v>6530</v>
      </c>
    </row>
    <row r="4259" spans="7:33" ht="15.75" customHeight="1">
      <c r="G4259" s="36"/>
      <c r="H4259" s="36"/>
      <c r="I4259" s="36"/>
      <c r="J4259" s="39"/>
      <c r="K4259" s="39"/>
      <c r="AF4259" s="42" t="s">
        <v>1360</v>
      </c>
      <c r="AG4259" s="42" t="s">
        <v>6530</v>
      </c>
    </row>
    <row r="4260" spans="7:33" ht="15.75" customHeight="1">
      <c r="G4260" s="36"/>
      <c r="H4260" s="36"/>
      <c r="I4260" s="36"/>
      <c r="J4260" s="39"/>
      <c r="K4260" s="39"/>
      <c r="AF4260" s="42" t="s">
        <v>1662</v>
      </c>
      <c r="AG4260" s="42" t="s">
        <v>6530</v>
      </c>
    </row>
    <row r="4261" spans="7:33" ht="15.75" customHeight="1">
      <c r="G4261" s="36"/>
      <c r="H4261" s="36"/>
      <c r="I4261" s="36"/>
      <c r="J4261" s="39"/>
      <c r="K4261" s="39"/>
      <c r="AF4261" s="42" t="s">
        <v>4589</v>
      </c>
      <c r="AG4261" s="42" t="s">
        <v>6530</v>
      </c>
    </row>
    <row r="4262" spans="7:33" ht="15.75" customHeight="1">
      <c r="G4262" s="36"/>
      <c r="H4262" s="36"/>
      <c r="I4262" s="36"/>
      <c r="J4262" s="39"/>
      <c r="K4262" s="39"/>
      <c r="AF4262" s="42" t="s">
        <v>1308</v>
      </c>
      <c r="AG4262" s="42" t="s">
        <v>6569</v>
      </c>
    </row>
    <row r="4263" spans="7:33" ht="15.75" customHeight="1">
      <c r="G4263" s="36"/>
      <c r="H4263" s="36"/>
      <c r="I4263" s="36"/>
      <c r="J4263" s="39"/>
      <c r="K4263" s="39"/>
      <c r="AF4263" s="42" t="s">
        <v>3540</v>
      </c>
      <c r="AG4263" s="42" t="s">
        <v>6530</v>
      </c>
    </row>
    <row r="4264" spans="7:33" ht="15.75" customHeight="1">
      <c r="G4264" s="36"/>
      <c r="H4264" s="36"/>
      <c r="I4264" s="36"/>
      <c r="J4264" s="39"/>
      <c r="K4264" s="39"/>
      <c r="AF4264" s="42" t="s">
        <v>5533</v>
      </c>
      <c r="AG4264" s="42" t="s">
        <v>6530</v>
      </c>
    </row>
    <row r="4265" spans="7:33" ht="15.75" customHeight="1">
      <c r="G4265" s="36"/>
      <c r="H4265" s="36"/>
      <c r="I4265" s="36"/>
      <c r="J4265" s="39"/>
      <c r="K4265" s="39"/>
      <c r="AF4265" s="42" t="s">
        <v>1758</v>
      </c>
      <c r="AG4265" s="42" t="s">
        <v>6530</v>
      </c>
    </row>
    <row r="4266" spans="7:33" ht="15.75" customHeight="1">
      <c r="G4266" s="36"/>
      <c r="H4266" s="36"/>
      <c r="I4266" s="36"/>
      <c r="J4266" s="39"/>
      <c r="K4266" s="39"/>
      <c r="AF4266" s="42" t="s">
        <v>4574</v>
      </c>
      <c r="AG4266" s="42" t="s">
        <v>6530</v>
      </c>
    </row>
    <row r="4267" spans="7:33" ht="15.75" customHeight="1">
      <c r="G4267" s="36"/>
      <c r="H4267" s="36"/>
      <c r="I4267" s="36"/>
      <c r="J4267" s="39"/>
      <c r="K4267" s="39"/>
      <c r="AF4267" s="42" t="s">
        <v>6731</v>
      </c>
      <c r="AG4267" s="42" t="s">
        <v>6530</v>
      </c>
    </row>
    <row r="4268" spans="7:33" ht="15.75" customHeight="1">
      <c r="G4268" s="36"/>
      <c r="H4268" s="36"/>
      <c r="I4268" s="36"/>
      <c r="J4268" s="39"/>
      <c r="K4268" s="39"/>
      <c r="AF4268" s="42" t="s">
        <v>1442</v>
      </c>
      <c r="AG4268" s="42" t="s">
        <v>6530</v>
      </c>
    </row>
    <row r="4269" spans="7:33" ht="15.75" customHeight="1">
      <c r="G4269" s="36"/>
      <c r="H4269" s="36"/>
      <c r="I4269" s="36"/>
      <c r="J4269" s="39"/>
      <c r="K4269" s="39"/>
      <c r="AF4269" s="42" t="s">
        <v>855</v>
      </c>
      <c r="AG4269" s="42" t="s">
        <v>6530</v>
      </c>
    </row>
    <row r="4270" spans="7:33" ht="15.75" customHeight="1">
      <c r="G4270" s="36"/>
      <c r="H4270" s="36"/>
      <c r="I4270" s="36"/>
      <c r="J4270" s="39"/>
      <c r="K4270" s="39"/>
      <c r="AF4270" s="42" t="s">
        <v>987</v>
      </c>
      <c r="AG4270" s="42" t="s">
        <v>6569</v>
      </c>
    </row>
    <row r="4271" spans="7:33" ht="15.75" customHeight="1">
      <c r="G4271" s="36"/>
      <c r="H4271" s="36"/>
      <c r="I4271" s="36"/>
      <c r="J4271" s="39"/>
      <c r="K4271" s="39"/>
      <c r="AF4271" s="42" t="s">
        <v>6832</v>
      </c>
      <c r="AG4271" s="42" t="s">
        <v>6530</v>
      </c>
    </row>
    <row r="4272" spans="7:33" ht="15.75" customHeight="1">
      <c r="G4272" s="36"/>
      <c r="H4272" s="36"/>
      <c r="I4272" s="36"/>
      <c r="J4272" s="39"/>
      <c r="K4272" s="39"/>
      <c r="AF4272" s="42" t="s">
        <v>5940</v>
      </c>
      <c r="AG4272" s="42" t="s">
        <v>6530</v>
      </c>
    </row>
    <row r="4273" spans="7:33" ht="15.75" customHeight="1">
      <c r="G4273" s="36"/>
      <c r="H4273" s="36"/>
      <c r="I4273" s="36"/>
      <c r="J4273" s="39"/>
      <c r="K4273" s="39"/>
      <c r="AF4273" s="42" t="s">
        <v>6685</v>
      </c>
      <c r="AG4273" s="42" t="s">
        <v>6530</v>
      </c>
    </row>
    <row r="4274" spans="7:33" ht="15.75" customHeight="1">
      <c r="G4274" s="36"/>
      <c r="H4274" s="36"/>
      <c r="I4274" s="36"/>
      <c r="J4274" s="39"/>
      <c r="K4274" s="39"/>
      <c r="AF4274" s="42" t="s">
        <v>1171</v>
      </c>
      <c r="AG4274" s="42" t="s">
        <v>6530</v>
      </c>
    </row>
    <row r="4275" spans="7:33" ht="15.75" customHeight="1">
      <c r="G4275" s="36"/>
      <c r="H4275" s="36"/>
      <c r="I4275" s="36"/>
      <c r="J4275" s="39"/>
      <c r="K4275" s="39"/>
      <c r="AF4275" s="42" t="s">
        <v>6349</v>
      </c>
      <c r="AG4275" s="42" t="s">
        <v>6530</v>
      </c>
    </row>
    <row r="4276" spans="7:33" ht="15.75" customHeight="1">
      <c r="G4276" s="36"/>
      <c r="H4276" s="36"/>
      <c r="I4276" s="36"/>
      <c r="J4276" s="39"/>
      <c r="K4276" s="39"/>
      <c r="AF4276" s="42" t="s">
        <v>1187</v>
      </c>
      <c r="AG4276" s="42" t="s">
        <v>6530</v>
      </c>
    </row>
    <row r="4277" spans="7:33" ht="15.75" customHeight="1">
      <c r="G4277" s="36"/>
      <c r="H4277" s="36"/>
      <c r="I4277" s="36"/>
      <c r="J4277" s="39"/>
      <c r="K4277" s="39"/>
      <c r="AF4277" s="42" t="s">
        <v>6736</v>
      </c>
      <c r="AG4277" s="42" t="s">
        <v>6530</v>
      </c>
    </row>
    <row r="4278" spans="7:33" ht="15.75" customHeight="1">
      <c r="G4278" s="36"/>
      <c r="H4278" s="36"/>
      <c r="I4278" s="36"/>
      <c r="J4278" s="39"/>
      <c r="K4278" s="39"/>
      <c r="AF4278" s="42" t="s">
        <v>6311</v>
      </c>
      <c r="AG4278" s="42" t="s">
        <v>6530</v>
      </c>
    </row>
    <row r="4279" spans="7:33" ht="15.75" customHeight="1">
      <c r="G4279" s="36"/>
      <c r="H4279" s="36"/>
      <c r="I4279" s="36"/>
      <c r="J4279" s="39"/>
      <c r="K4279" s="39"/>
      <c r="AF4279" s="42" t="s">
        <v>6751</v>
      </c>
      <c r="AG4279" s="42" t="s">
        <v>6530</v>
      </c>
    </row>
    <row r="4280" spans="7:33" ht="15.75" customHeight="1">
      <c r="G4280" s="36"/>
      <c r="H4280" s="36"/>
      <c r="I4280" s="36"/>
      <c r="J4280" s="39"/>
      <c r="K4280" s="39"/>
      <c r="AF4280" s="42" t="s">
        <v>6815</v>
      </c>
      <c r="AG4280" s="42" t="s">
        <v>6530</v>
      </c>
    </row>
    <row r="4281" spans="7:33" ht="15.75" customHeight="1">
      <c r="G4281" s="36"/>
      <c r="H4281" s="36"/>
      <c r="I4281" s="36"/>
      <c r="J4281" s="39"/>
      <c r="K4281" s="39"/>
      <c r="AF4281" s="42" t="s">
        <v>4696</v>
      </c>
      <c r="AG4281" s="42" t="s">
        <v>6530</v>
      </c>
    </row>
    <row r="4282" spans="7:33" ht="15.75" customHeight="1">
      <c r="G4282" s="36"/>
      <c r="H4282" s="36"/>
      <c r="I4282" s="36"/>
      <c r="J4282" s="39"/>
      <c r="K4282" s="39"/>
      <c r="AF4282" s="42" t="s">
        <v>5269</v>
      </c>
      <c r="AG4282" s="42" t="s">
        <v>6530</v>
      </c>
    </row>
    <row r="4283" spans="7:33" ht="15.75" customHeight="1">
      <c r="G4283" s="36"/>
      <c r="H4283" s="36"/>
      <c r="I4283" s="36"/>
      <c r="J4283" s="39"/>
      <c r="K4283" s="39"/>
      <c r="AF4283" s="42" t="s">
        <v>2769</v>
      </c>
      <c r="AG4283" s="42" t="s">
        <v>6530</v>
      </c>
    </row>
    <row r="4284" spans="7:33" ht="15.75" customHeight="1">
      <c r="G4284" s="36"/>
      <c r="H4284" s="36"/>
      <c r="I4284" s="36"/>
      <c r="J4284" s="39"/>
      <c r="K4284" s="39"/>
      <c r="AF4284" s="42" t="s">
        <v>1539</v>
      </c>
      <c r="AG4284" s="42" t="s">
        <v>6569</v>
      </c>
    </row>
    <row r="4285" spans="7:33" ht="15.75" customHeight="1">
      <c r="G4285" s="36"/>
      <c r="H4285" s="36"/>
      <c r="I4285" s="36"/>
      <c r="J4285" s="39"/>
      <c r="K4285" s="39"/>
      <c r="AF4285" s="42" t="s">
        <v>1830</v>
      </c>
      <c r="AG4285" s="42" t="s">
        <v>6530</v>
      </c>
    </row>
    <row r="4286" spans="7:33" ht="15.75" customHeight="1">
      <c r="G4286" s="36"/>
      <c r="H4286" s="36"/>
      <c r="I4286" s="36"/>
      <c r="J4286" s="39"/>
      <c r="K4286" s="39"/>
      <c r="AF4286" s="42" t="s">
        <v>1544</v>
      </c>
      <c r="AG4286" s="42" t="s">
        <v>6530</v>
      </c>
    </row>
    <row r="4287" spans="7:33" ht="15.75" customHeight="1">
      <c r="G4287" s="36"/>
      <c r="H4287" s="36"/>
      <c r="I4287" s="36"/>
      <c r="J4287" s="39"/>
      <c r="K4287" s="39"/>
      <c r="AF4287" s="42" t="s">
        <v>1272</v>
      </c>
      <c r="AG4287" s="42" t="s">
        <v>6530</v>
      </c>
    </row>
    <row r="4288" spans="7:33" ht="15.75" customHeight="1">
      <c r="G4288" s="36"/>
      <c r="H4288" s="36"/>
      <c r="I4288" s="36"/>
      <c r="J4288" s="39"/>
      <c r="K4288" s="39"/>
      <c r="AF4288" s="42" t="s">
        <v>4601</v>
      </c>
      <c r="AG4288" s="42" t="s">
        <v>6530</v>
      </c>
    </row>
    <row r="4289" spans="7:33" ht="15.75" customHeight="1">
      <c r="G4289" s="36"/>
      <c r="H4289" s="36"/>
      <c r="I4289" s="36"/>
      <c r="J4289" s="39"/>
      <c r="K4289" s="39"/>
      <c r="AF4289" s="42" t="s">
        <v>5915</v>
      </c>
      <c r="AG4289" s="42" t="s">
        <v>6530</v>
      </c>
    </row>
    <row r="4290" spans="7:33" ht="15.75" customHeight="1">
      <c r="G4290" s="36"/>
      <c r="H4290" s="36"/>
      <c r="I4290" s="36"/>
      <c r="J4290" s="39"/>
      <c r="K4290" s="39"/>
      <c r="AF4290" s="42" t="s">
        <v>2593</v>
      </c>
      <c r="AG4290" s="42" t="s">
        <v>6530</v>
      </c>
    </row>
    <row r="4291" spans="7:33" ht="15.75" customHeight="1">
      <c r="G4291" s="36"/>
      <c r="H4291" s="36"/>
      <c r="I4291" s="36"/>
      <c r="J4291" s="39"/>
      <c r="K4291" s="39"/>
      <c r="AF4291" s="42" t="s">
        <v>4738</v>
      </c>
      <c r="AG4291" s="42" t="s">
        <v>6530</v>
      </c>
    </row>
    <row r="4292" spans="7:33" ht="15.75" customHeight="1">
      <c r="G4292" s="36"/>
      <c r="H4292" s="36"/>
      <c r="I4292" s="36"/>
      <c r="J4292" s="39"/>
      <c r="K4292" s="39"/>
      <c r="AF4292" s="42" t="s">
        <v>5247</v>
      </c>
      <c r="AG4292" s="42" t="s">
        <v>6530</v>
      </c>
    </row>
    <row r="4293" spans="7:33" ht="15.75" customHeight="1">
      <c r="G4293" s="36"/>
      <c r="H4293" s="36"/>
      <c r="I4293" s="36"/>
      <c r="J4293" s="39"/>
      <c r="K4293" s="39"/>
      <c r="AF4293" s="42" t="s">
        <v>3458</v>
      </c>
      <c r="AG4293" s="42" t="s">
        <v>6530</v>
      </c>
    </row>
    <row r="4294" spans="7:33" ht="15.75" customHeight="1">
      <c r="G4294" s="36"/>
      <c r="H4294" s="36"/>
      <c r="I4294" s="36"/>
      <c r="J4294" s="39"/>
      <c r="K4294" s="39"/>
      <c r="AF4294" s="42" t="s">
        <v>5696</v>
      </c>
      <c r="AG4294" s="42" t="s">
        <v>6530</v>
      </c>
    </row>
    <row r="4295" spans="7:33" ht="15.75" customHeight="1">
      <c r="G4295" s="36"/>
      <c r="H4295" s="36"/>
      <c r="I4295" s="36"/>
      <c r="J4295" s="39"/>
      <c r="K4295" s="39"/>
      <c r="AF4295" s="42" t="s">
        <v>3973</v>
      </c>
      <c r="AG4295" s="42" t="s">
        <v>6530</v>
      </c>
    </row>
    <row r="4296" spans="7:33" ht="15.75" customHeight="1">
      <c r="G4296" s="36"/>
      <c r="H4296" s="36"/>
      <c r="I4296" s="36"/>
      <c r="J4296" s="39"/>
      <c r="K4296" s="39"/>
      <c r="AF4296" s="42" t="s">
        <v>5608</v>
      </c>
      <c r="AG4296" s="42" t="s">
        <v>6530</v>
      </c>
    </row>
    <row r="4297" spans="7:33" ht="15.75" customHeight="1">
      <c r="G4297" s="36"/>
      <c r="H4297" s="36"/>
      <c r="I4297" s="36"/>
      <c r="J4297" s="39"/>
      <c r="K4297" s="39"/>
      <c r="AF4297" s="42" t="s">
        <v>2537</v>
      </c>
      <c r="AG4297" s="42" t="s">
        <v>6530</v>
      </c>
    </row>
    <row r="4298" spans="7:33" ht="15.75" customHeight="1">
      <c r="G4298" s="36"/>
      <c r="H4298" s="36"/>
      <c r="I4298" s="36"/>
      <c r="J4298" s="39"/>
      <c r="K4298" s="39"/>
      <c r="AF4298" s="42" t="s">
        <v>2401</v>
      </c>
      <c r="AG4298" s="42" t="s">
        <v>6530</v>
      </c>
    </row>
    <row r="4299" spans="7:33" ht="15.75" customHeight="1">
      <c r="G4299" s="36"/>
      <c r="H4299" s="36"/>
      <c r="I4299" s="36"/>
      <c r="J4299" s="39"/>
      <c r="K4299" s="39"/>
      <c r="AF4299" s="42" t="s">
        <v>4162</v>
      </c>
      <c r="AG4299" s="42" t="s">
        <v>6530</v>
      </c>
    </row>
    <row r="4300" spans="7:33" ht="15.75" customHeight="1">
      <c r="G4300" s="36"/>
      <c r="H4300" s="36"/>
      <c r="I4300" s="36"/>
      <c r="J4300" s="39"/>
      <c r="K4300" s="39"/>
      <c r="AF4300" s="42" t="s">
        <v>4549</v>
      </c>
      <c r="AG4300" s="42" t="s">
        <v>6530</v>
      </c>
    </row>
    <row r="4301" spans="7:33" ht="15.75" customHeight="1">
      <c r="G4301" s="36"/>
      <c r="H4301" s="36"/>
      <c r="I4301" s="36"/>
      <c r="J4301" s="39"/>
      <c r="K4301" s="39"/>
      <c r="AF4301" s="42" t="s">
        <v>1718</v>
      </c>
      <c r="AG4301" s="42" t="s">
        <v>6530</v>
      </c>
    </row>
    <row r="4302" spans="7:33" ht="15.75" customHeight="1">
      <c r="G4302" s="36"/>
      <c r="H4302" s="36"/>
      <c r="I4302" s="36"/>
      <c r="J4302" s="39"/>
      <c r="K4302" s="39"/>
      <c r="AF4302" s="42" t="s">
        <v>4625</v>
      </c>
      <c r="AG4302" s="42" t="s">
        <v>6530</v>
      </c>
    </row>
    <row r="4303" spans="7:33" ht="15.75" customHeight="1">
      <c r="G4303" s="36"/>
      <c r="H4303" s="36"/>
      <c r="I4303" s="36"/>
      <c r="J4303" s="39"/>
      <c r="K4303" s="39"/>
      <c r="AF4303" s="42" t="s">
        <v>3561</v>
      </c>
      <c r="AG4303" s="42" t="s">
        <v>6530</v>
      </c>
    </row>
    <row r="4304" spans="7:33" ht="15.75" customHeight="1">
      <c r="G4304" s="36"/>
      <c r="H4304" s="36"/>
      <c r="I4304" s="36"/>
      <c r="J4304" s="39"/>
      <c r="K4304" s="39"/>
      <c r="AF4304" s="42" t="s">
        <v>3069</v>
      </c>
      <c r="AG4304" s="42" t="s">
        <v>6530</v>
      </c>
    </row>
    <row r="4305" spans="32:33" ht="15.75" customHeight="1">
      <c r="AF4305" s="42" t="s">
        <v>2247</v>
      </c>
      <c r="AG4305" s="42" t="s">
        <v>6530</v>
      </c>
    </row>
    <row r="4306" spans="32:33" ht="15.75" customHeight="1">
      <c r="AF4306" s="42" t="s">
        <v>1225</v>
      </c>
      <c r="AG4306" s="42" t="s">
        <v>6530</v>
      </c>
    </row>
    <row r="4307" spans="32:33" ht="15.75" customHeight="1">
      <c r="AF4307" s="42" t="s">
        <v>1240</v>
      </c>
      <c r="AG4307" s="42" t="s">
        <v>6530</v>
      </c>
    </row>
    <row r="4308" spans="32:33" ht="15.75" customHeight="1">
      <c r="AF4308" s="42" t="s">
        <v>5339</v>
      </c>
      <c r="AG4308" s="42" t="s">
        <v>6530</v>
      </c>
    </row>
    <row r="4309" spans="32:33" ht="15.75" customHeight="1">
      <c r="AF4309" s="42" t="s">
        <v>6566</v>
      </c>
      <c r="AG4309" s="42" t="s">
        <v>6530</v>
      </c>
    </row>
    <row r="4310" spans="32:33" ht="15.75" customHeight="1">
      <c r="AF4310" s="42" t="s">
        <v>6297</v>
      </c>
      <c r="AG4310" s="42" t="s">
        <v>6530</v>
      </c>
    </row>
    <row r="4311" spans="32:33" ht="15.75" customHeight="1">
      <c r="AF4311" s="42" t="s">
        <v>3390</v>
      </c>
      <c r="AG4311" s="42" t="s">
        <v>6530</v>
      </c>
    </row>
    <row r="4312" spans="32:33" ht="15.75" customHeight="1">
      <c r="AF4312" s="42" t="s">
        <v>3095</v>
      </c>
      <c r="AG4312" s="42" t="s">
        <v>6530</v>
      </c>
    </row>
    <row r="4313" spans="32:33" ht="15.75" customHeight="1">
      <c r="AF4313" s="42" t="s">
        <v>4070</v>
      </c>
      <c r="AG4313" s="42" t="s">
        <v>6530</v>
      </c>
    </row>
    <row r="4314" spans="32:33" ht="15.75" customHeight="1">
      <c r="AF4314" s="42" t="s">
        <v>3104</v>
      </c>
      <c r="AG4314" s="42" t="s">
        <v>6530</v>
      </c>
    </row>
    <row r="4315" spans="32:33" ht="15.75" customHeight="1">
      <c r="AF4315" s="42" t="s">
        <v>2855</v>
      </c>
      <c r="AG4315" s="42" t="s">
        <v>6530</v>
      </c>
    </row>
    <row r="4316" spans="32:33" ht="15.75" customHeight="1">
      <c r="AF4316" s="42" t="s">
        <v>2790</v>
      </c>
      <c r="AG4316" s="42" t="s">
        <v>6530</v>
      </c>
    </row>
    <row r="4317" spans="32:33" ht="15.75" customHeight="1">
      <c r="AF4317" s="42" t="s">
        <v>5007</v>
      </c>
      <c r="AG4317" s="42" t="s">
        <v>6530</v>
      </c>
    </row>
    <row r="4318" spans="32:33" ht="15.75" customHeight="1">
      <c r="AF4318" s="42" t="s">
        <v>979</v>
      </c>
      <c r="AG4318" s="42" t="s">
        <v>6569</v>
      </c>
    </row>
    <row r="4319" spans="32:33" ht="15.75" customHeight="1">
      <c r="AF4319" s="42" t="s">
        <v>3896</v>
      </c>
      <c r="AG4319" s="42" t="s">
        <v>6530</v>
      </c>
    </row>
    <row r="4320" spans="32:33" ht="15.75" customHeight="1">
      <c r="AF4320" s="42" t="s">
        <v>5053</v>
      </c>
      <c r="AG4320" s="42" t="s">
        <v>6530</v>
      </c>
    </row>
    <row r="4321" spans="32:33" ht="15.75" customHeight="1">
      <c r="AF4321" s="42" t="s">
        <v>6684</v>
      </c>
      <c r="AG4321" s="42" t="s">
        <v>6530</v>
      </c>
    </row>
    <row r="4322" spans="32:33" ht="15.75" customHeight="1">
      <c r="AF4322" s="42" t="s">
        <v>5690</v>
      </c>
      <c r="AG4322" s="42" t="s">
        <v>6530</v>
      </c>
    </row>
    <row r="4323" spans="32:33" ht="15.75" customHeight="1">
      <c r="AF4323" s="42" t="s">
        <v>2128</v>
      </c>
      <c r="AG4323" s="42" t="s">
        <v>6530</v>
      </c>
    </row>
    <row r="4324" spans="32:33" ht="15.75" customHeight="1">
      <c r="AF4324" s="42" t="s">
        <v>5132</v>
      </c>
      <c r="AG4324" s="42" t="s">
        <v>6530</v>
      </c>
    </row>
    <row r="4325" spans="32:33" ht="15.75" customHeight="1">
      <c r="AF4325" s="42" t="s">
        <v>3519</v>
      </c>
      <c r="AG4325" s="42" t="s">
        <v>6530</v>
      </c>
    </row>
    <row r="4326" spans="32:33" ht="15.75" customHeight="1">
      <c r="AF4326" s="42" t="s">
        <v>2393</v>
      </c>
      <c r="AG4326" s="42" t="s">
        <v>6530</v>
      </c>
    </row>
    <row r="4327" spans="32:33" ht="15.75" customHeight="1">
      <c r="AF4327" s="42" t="s">
        <v>2885</v>
      </c>
      <c r="AG4327" s="42" t="s">
        <v>6530</v>
      </c>
    </row>
    <row r="4328" spans="32:33" ht="15.75" customHeight="1">
      <c r="AF4328" s="42" t="s">
        <v>3636</v>
      </c>
      <c r="AG4328" s="42" t="s">
        <v>6530</v>
      </c>
    </row>
    <row r="4329" spans="32:33" ht="15.75" customHeight="1">
      <c r="AF4329" s="42" t="s">
        <v>3769</v>
      </c>
      <c r="AG4329" s="42" t="s">
        <v>6530</v>
      </c>
    </row>
    <row r="4330" spans="32:33" ht="15.75" customHeight="1">
      <c r="AF4330" s="42" t="s">
        <v>7240</v>
      </c>
      <c r="AG4330" s="42" t="s">
        <v>6530</v>
      </c>
    </row>
    <row r="4331" spans="32:33" ht="15.75" customHeight="1">
      <c r="AF4331" s="42" t="s">
        <v>4082</v>
      </c>
      <c r="AG4331" s="42" t="s">
        <v>6530</v>
      </c>
    </row>
    <row r="4332" spans="32:33" ht="15.75" customHeight="1">
      <c r="AF4332" s="42" t="s">
        <v>3756</v>
      </c>
      <c r="AG4332" s="42" t="s">
        <v>6530</v>
      </c>
    </row>
    <row r="4333" spans="32:33" ht="15.75" customHeight="1">
      <c r="AF4333" s="42" t="s">
        <v>7282</v>
      </c>
      <c r="AG4333" s="42" t="s">
        <v>6530</v>
      </c>
    </row>
    <row r="4334" spans="32:33" ht="15.75" customHeight="1">
      <c r="AF4334" s="42" t="s">
        <v>2429</v>
      </c>
      <c r="AG4334" s="42" t="s">
        <v>6530</v>
      </c>
    </row>
    <row r="4335" spans="32:33" ht="15.75" customHeight="1">
      <c r="AF4335" s="42" t="s">
        <v>2600</v>
      </c>
      <c r="AG4335" s="42" t="s">
        <v>6530</v>
      </c>
    </row>
    <row r="4336" spans="32:33" ht="15.75" customHeight="1">
      <c r="AF4336" s="42" t="s">
        <v>6553</v>
      </c>
      <c r="AG4336" s="42" t="s">
        <v>6530</v>
      </c>
    </row>
    <row r="4337" spans="32:33" ht="15.75" customHeight="1">
      <c r="AF4337" s="42" t="s">
        <v>1643</v>
      </c>
      <c r="AG4337" s="42" t="s">
        <v>6530</v>
      </c>
    </row>
    <row r="4338" spans="32:33" ht="15.75" customHeight="1">
      <c r="AF4338" s="42" t="s">
        <v>2377</v>
      </c>
      <c r="AG4338" s="42" t="s">
        <v>6530</v>
      </c>
    </row>
    <row r="4339" spans="32:33" ht="15.75" customHeight="1">
      <c r="AF4339" s="42" t="s">
        <v>6555</v>
      </c>
      <c r="AG4339" s="42" t="s">
        <v>6530</v>
      </c>
    </row>
    <row r="4340" spans="32:33" ht="15.75" customHeight="1">
      <c r="AF4340" s="42" t="s">
        <v>7278</v>
      </c>
      <c r="AG4340" s="42" t="s">
        <v>6530</v>
      </c>
    </row>
    <row r="4341" spans="32:33" ht="15.75" customHeight="1">
      <c r="AF4341" s="42" t="s">
        <v>6558</v>
      </c>
      <c r="AG4341" s="42" t="s">
        <v>6530</v>
      </c>
    </row>
    <row r="4342" spans="32:33" ht="15.75" customHeight="1">
      <c r="AF4342" s="42" t="s">
        <v>6835</v>
      </c>
      <c r="AG4342" s="42" t="s">
        <v>6530</v>
      </c>
    </row>
    <row r="4343" spans="32:33" ht="15.75" customHeight="1">
      <c r="AF4343" s="42" t="s">
        <v>6554</v>
      </c>
      <c r="AG4343" s="42" t="s">
        <v>6530</v>
      </c>
    </row>
    <row r="4344" spans="32:33" ht="15.75" customHeight="1">
      <c r="AF4344" s="42" t="s">
        <v>6288</v>
      </c>
      <c r="AG4344" s="42" t="s">
        <v>6530</v>
      </c>
    </row>
    <row r="4345" spans="32:33" ht="15.75" customHeight="1">
      <c r="AF4345" s="42" t="s">
        <v>6687</v>
      </c>
      <c r="AG4345" s="42" t="s">
        <v>6530</v>
      </c>
    </row>
    <row r="4346" spans="32:33" ht="15.75" customHeight="1">
      <c r="AF4346" s="42" t="s">
        <v>6556</v>
      </c>
      <c r="AG4346" s="42" t="s">
        <v>6530</v>
      </c>
    </row>
    <row r="4347" spans="32:33" ht="15.75" customHeight="1">
      <c r="AF4347" s="42" t="s">
        <v>6838</v>
      </c>
      <c r="AG4347" s="42" t="s">
        <v>6530</v>
      </c>
    </row>
    <row r="4348" spans="32:33" ht="15.75" customHeight="1">
      <c r="AF4348" s="42" t="s">
        <v>6559</v>
      </c>
      <c r="AG4348" s="42" t="s">
        <v>6530</v>
      </c>
    </row>
    <row r="4349" spans="32:33" ht="15.75" customHeight="1">
      <c r="AF4349" s="42" t="s">
        <v>6557</v>
      </c>
      <c r="AG4349" s="42" t="s">
        <v>6530</v>
      </c>
    </row>
    <row r="4350" spans="32:33" ht="15.75" customHeight="1">
      <c r="AF4350" s="42" t="s">
        <v>7242</v>
      </c>
      <c r="AG4350" s="42" t="s">
        <v>6530</v>
      </c>
    </row>
    <row r="4351" spans="32:33" ht="15.75" customHeight="1">
      <c r="AF4351" s="42" t="s">
        <v>6686</v>
      </c>
      <c r="AG4351" s="42" t="s">
        <v>6530</v>
      </c>
    </row>
    <row r="4352" spans="32:33" ht="15.75" customHeight="1">
      <c r="AF4352" s="42" t="s">
        <v>7300</v>
      </c>
      <c r="AG4352" s="42" t="s">
        <v>6530</v>
      </c>
    </row>
    <row r="4353" spans="32:33" ht="15.75" customHeight="1">
      <c r="AF4353" s="42" t="s">
        <v>5331</v>
      </c>
      <c r="AG4353" s="42" t="s">
        <v>6530</v>
      </c>
    </row>
    <row r="4354" spans="32:33" ht="15.75" customHeight="1">
      <c r="AF4354" s="42" t="s">
        <v>7290</v>
      </c>
      <c r="AG4354" s="42" t="s">
        <v>6530</v>
      </c>
    </row>
    <row r="4355" spans="32:33" ht="15.75" customHeight="1">
      <c r="AF4355" s="42" t="s">
        <v>6551</v>
      </c>
      <c r="AG4355" s="42" t="s">
        <v>6530</v>
      </c>
    </row>
    <row r="4356" spans="32:33" ht="15.75" customHeight="1">
      <c r="AF4356" s="42" t="s">
        <v>6834</v>
      </c>
      <c r="AG4356" s="42" t="s">
        <v>6530</v>
      </c>
    </row>
    <row r="4357" spans="32:33" ht="15.75" customHeight="1">
      <c r="AF4357" s="42" t="s">
        <v>6552</v>
      </c>
      <c r="AG4357" s="42" t="s">
        <v>6530</v>
      </c>
    </row>
    <row r="4358" spans="32:33" ht="15.75" customHeight="1">
      <c r="AF4358" s="42" t="s">
        <v>6688</v>
      </c>
      <c r="AG4358" s="42" t="s">
        <v>6530</v>
      </c>
    </row>
    <row r="4359" spans="32:33" ht="15.75" customHeight="1">
      <c r="AF4359" s="42" t="s">
        <v>6560</v>
      </c>
      <c r="AG4359" s="42" t="s">
        <v>6530</v>
      </c>
    </row>
    <row r="4360" spans="32:33" ht="15.75" customHeight="1">
      <c r="AF4360" s="42" t="s">
        <v>7064</v>
      </c>
      <c r="AG4360" s="42" t="s">
        <v>6530</v>
      </c>
    </row>
    <row r="4361" spans="32:33" ht="15.75" customHeight="1">
      <c r="AF4361" s="42" t="s">
        <v>7287</v>
      </c>
      <c r="AG4361" s="42" t="s">
        <v>6530</v>
      </c>
    </row>
    <row r="4362" spans="32:33" ht="15.75" customHeight="1">
      <c r="AF4362" s="42" t="s">
        <v>7065</v>
      </c>
      <c r="AG4362" s="42" t="s">
        <v>6530</v>
      </c>
    </row>
    <row r="4363" spans="32:33" ht="15.75" customHeight="1">
      <c r="AF4363" s="42" t="s">
        <v>7288</v>
      </c>
      <c r="AG4363" s="42" t="s">
        <v>6530</v>
      </c>
    </row>
    <row r="4364" spans="32:33" ht="15.75" customHeight="1">
      <c r="AF4364" s="42" t="s">
        <v>7068</v>
      </c>
      <c r="AG4364" s="42" t="s">
        <v>6530</v>
      </c>
    </row>
    <row r="4365" spans="32:33" ht="15.75" customHeight="1">
      <c r="AF4365" s="42" t="s">
        <v>7286</v>
      </c>
      <c r="AG4365" s="42" t="s">
        <v>6530</v>
      </c>
    </row>
    <row r="4366" spans="32:33" ht="15.75" customHeight="1">
      <c r="AF4366" s="42" t="s">
        <v>7283</v>
      </c>
      <c r="AG4366" s="42" t="s">
        <v>6530</v>
      </c>
    </row>
    <row r="4367" spans="32:33" ht="15.75" customHeight="1">
      <c r="AF4367" s="42" t="s">
        <v>7070</v>
      </c>
      <c r="AG4367" s="42" t="s">
        <v>6530</v>
      </c>
    </row>
    <row r="4368" spans="32:33" ht="15.75" customHeight="1">
      <c r="AF4368" s="42" t="s">
        <v>4503</v>
      </c>
      <c r="AG4368" s="42" t="s">
        <v>6530</v>
      </c>
    </row>
    <row r="4369" spans="32:33" ht="15.75" customHeight="1">
      <c r="AF4369" s="42" t="s">
        <v>3227</v>
      </c>
      <c r="AG4369" s="42" t="s">
        <v>6530</v>
      </c>
    </row>
    <row r="4370" spans="32:33" ht="15.75" customHeight="1">
      <c r="AF4370" s="42" t="s">
        <v>7292</v>
      </c>
      <c r="AG4370" s="42" t="s">
        <v>6530</v>
      </c>
    </row>
    <row r="4371" spans="32:33" ht="15.75" customHeight="1">
      <c r="AF4371" s="42" t="s">
        <v>7077</v>
      </c>
      <c r="AG4371" s="42" t="s">
        <v>6530</v>
      </c>
    </row>
    <row r="4372" spans="32:33" ht="15.75" customHeight="1">
      <c r="AF4372" s="42" t="s">
        <v>6755</v>
      </c>
      <c r="AG4372" s="42" t="s">
        <v>6530</v>
      </c>
    </row>
    <row r="4373" spans="32:33" ht="15.75" customHeight="1">
      <c r="AF4373" s="42" t="s">
        <v>7082</v>
      </c>
      <c r="AG4373" s="42" t="s">
        <v>6530</v>
      </c>
    </row>
    <row r="4374" spans="32:33" ht="15.75" customHeight="1">
      <c r="AF4374" s="42" t="s">
        <v>7080</v>
      </c>
      <c r="AG4374" s="42" t="s">
        <v>6530</v>
      </c>
    </row>
    <row r="4375" spans="32:33" ht="15.75" customHeight="1">
      <c r="AF4375" s="42" t="s">
        <v>6237</v>
      </c>
      <c r="AG4375" s="42" t="s">
        <v>6530</v>
      </c>
    </row>
    <row r="4376" spans="32:33" ht="15.75" customHeight="1">
      <c r="AF4376" s="42" t="s">
        <v>7284</v>
      </c>
      <c r="AG4376" s="42" t="s">
        <v>6530</v>
      </c>
    </row>
    <row r="4377" spans="32:33" ht="15.75" customHeight="1">
      <c r="AF4377" s="42" t="s">
        <v>920</v>
      </c>
      <c r="AG4377" s="42" t="s">
        <v>6530</v>
      </c>
    </row>
    <row r="4378" spans="32:33" ht="15.75" customHeight="1">
      <c r="AF4378" s="42" t="s">
        <v>4377</v>
      </c>
      <c r="AG4378" s="42" t="s">
        <v>6530</v>
      </c>
    </row>
    <row r="4379" spans="32:33" ht="15.75" customHeight="1">
      <c r="AF4379" s="42" t="s">
        <v>7293</v>
      </c>
      <c r="AG4379" s="42" t="s">
        <v>6530</v>
      </c>
    </row>
    <row r="4380" spans="32:33" ht="15.75" customHeight="1">
      <c r="AF4380" s="42" t="s">
        <v>7291</v>
      </c>
      <c r="AG4380" s="42" t="s">
        <v>6530</v>
      </c>
    </row>
    <row r="4381" spans="32:33" ht="15.75" customHeight="1">
      <c r="AF4381" s="42" t="s">
        <v>4266</v>
      </c>
      <c r="AG4381" s="42" t="s">
        <v>6530</v>
      </c>
    </row>
    <row r="4382" spans="32:33" ht="15.75" customHeight="1">
      <c r="AF4382" s="42" t="s">
        <v>7281</v>
      </c>
      <c r="AG4382" s="42" t="s">
        <v>6530</v>
      </c>
    </row>
    <row r="4383" spans="32:33" ht="15.75" customHeight="1">
      <c r="AF4383" s="42" t="s">
        <v>7075</v>
      </c>
      <c r="AG4383" s="42" t="s">
        <v>6530</v>
      </c>
    </row>
    <row r="4384" spans="32:33" ht="15.75" customHeight="1">
      <c r="AF4384" s="42" t="s">
        <v>7081</v>
      </c>
      <c r="AG4384" s="42" t="s">
        <v>6530</v>
      </c>
    </row>
    <row r="4385" spans="32:33" ht="15.75" customHeight="1">
      <c r="AF4385" s="42" t="s">
        <v>7074</v>
      </c>
      <c r="AG4385" s="42" t="s">
        <v>6530</v>
      </c>
    </row>
    <row r="4386" spans="32:33" ht="15.75" customHeight="1">
      <c r="AF4386" s="42" t="s">
        <v>6229</v>
      </c>
      <c r="AG4386" s="42" t="s">
        <v>6530</v>
      </c>
    </row>
    <row r="4387" spans="32:33" ht="15.75" customHeight="1">
      <c r="AF4387" s="42" t="s">
        <v>7079</v>
      </c>
      <c r="AG4387" s="42" t="s">
        <v>6530</v>
      </c>
    </row>
    <row r="4388" spans="32:33" ht="15.75" customHeight="1">
      <c r="AF4388" s="42" t="s">
        <v>7279</v>
      </c>
      <c r="AG4388" s="42" t="s">
        <v>6530</v>
      </c>
    </row>
    <row r="4389" spans="32:33" ht="15.75" customHeight="1">
      <c r="AF4389" s="42" t="s">
        <v>7576</v>
      </c>
      <c r="AG4389" s="42" t="s">
        <v>6530</v>
      </c>
    </row>
    <row r="4390" spans="32:33" ht="15.75" customHeight="1">
      <c r="AF4390" s="42" t="s">
        <v>7317</v>
      </c>
      <c r="AG4390" s="42" t="s">
        <v>6530</v>
      </c>
    </row>
    <row r="4391" spans="32:33" ht="15.75" customHeight="1">
      <c r="AF4391" s="42" t="s">
        <v>7581</v>
      </c>
      <c r="AG4391" s="42" t="s">
        <v>6530</v>
      </c>
    </row>
    <row r="4392" spans="32:33" ht="15.75" customHeight="1">
      <c r="AF4392" s="42" t="s">
        <v>7305</v>
      </c>
      <c r="AG4392" s="42" t="s">
        <v>6530</v>
      </c>
    </row>
    <row r="4393" spans="32:33" ht="15.75" customHeight="1">
      <c r="AF4393" s="42" t="s">
        <v>7285</v>
      </c>
      <c r="AG4393" s="42" t="s">
        <v>6530</v>
      </c>
    </row>
    <row r="4394" spans="32:33" ht="15.75" customHeight="1">
      <c r="AF4394" s="42" t="s">
        <v>7349</v>
      </c>
      <c r="AG4394" s="42" t="s">
        <v>6569</v>
      </c>
    </row>
    <row r="4395" spans="32:33" ht="15.75" customHeight="1">
      <c r="AF4395" s="42" t="s">
        <v>7312</v>
      </c>
      <c r="AG4395" s="42" t="s">
        <v>6530</v>
      </c>
    </row>
    <row r="4396" spans="32:33" ht="15.75" customHeight="1">
      <c r="AF4396" s="42" t="s">
        <v>7582</v>
      </c>
      <c r="AG4396" s="42" t="s">
        <v>6530</v>
      </c>
    </row>
    <row r="4397" spans="32:33" ht="15.75" customHeight="1">
      <c r="AF4397" s="42" t="s">
        <v>7569</v>
      </c>
      <c r="AG4397" s="42" t="s">
        <v>6530</v>
      </c>
    </row>
    <row r="4398" spans="32:33" ht="15.75" customHeight="1">
      <c r="AF4398" s="42" t="s">
        <v>7579</v>
      </c>
      <c r="AG4398" s="42" t="s">
        <v>6530</v>
      </c>
    </row>
    <row r="4399" spans="32:33" ht="15.75" customHeight="1">
      <c r="AF4399" s="42" t="s">
        <v>7308</v>
      </c>
      <c r="AG4399" s="42" t="s">
        <v>6530</v>
      </c>
    </row>
    <row r="4400" spans="32:33" ht="15.75" customHeight="1">
      <c r="AF4400" s="42" t="s">
        <v>7306</v>
      </c>
      <c r="AG4400" s="42" t="s">
        <v>6530</v>
      </c>
    </row>
    <row r="4401" spans="32:33" ht="15.75" customHeight="1">
      <c r="AF4401" s="42" t="s">
        <v>7565</v>
      </c>
      <c r="AG4401" s="42" t="s">
        <v>6530</v>
      </c>
    </row>
    <row r="4402" spans="32:33" ht="15.75" customHeight="1">
      <c r="AF4402" s="42" t="s">
        <v>7241</v>
      </c>
      <c r="AG4402" s="42" t="s">
        <v>6530</v>
      </c>
    </row>
    <row r="4403" spans="32:33" ht="15.75" customHeight="1">
      <c r="AF4403" s="42" t="s">
        <v>7302</v>
      </c>
      <c r="AG4403" s="42" t="s">
        <v>6530</v>
      </c>
    </row>
    <row r="4404" spans="32:33" ht="15.75" customHeight="1">
      <c r="AF4404" s="42" t="s">
        <v>7299</v>
      </c>
      <c r="AG4404" s="42" t="s">
        <v>6530</v>
      </c>
    </row>
    <row r="4405" spans="32:33" ht="15.75" customHeight="1">
      <c r="AF4405" s="42" t="s">
        <v>7561</v>
      </c>
      <c r="AG4405" s="42" t="s">
        <v>6530</v>
      </c>
    </row>
    <row r="4406" spans="32:33" ht="15.75" customHeight="1">
      <c r="AF4406" s="42" t="s">
        <v>7304</v>
      </c>
      <c r="AG4406" s="42" t="s">
        <v>6530</v>
      </c>
    </row>
    <row r="4407" spans="32:33" ht="15.75" customHeight="1">
      <c r="AF4407" s="42" t="s">
        <v>7566</v>
      </c>
      <c r="AG4407" s="42" t="s">
        <v>6530</v>
      </c>
    </row>
    <row r="4408" spans="32:33" ht="15.75" customHeight="1">
      <c r="AF4408" s="42" t="s">
        <v>7319</v>
      </c>
      <c r="AG4408" s="42" t="s">
        <v>6530</v>
      </c>
    </row>
    <row r="4409" spans="32:33" ht="15.75" customHeight="1">
      <c r="AF4409" s="42" t="s">
        <v>7313</v>
      </c>
      <c r="AG4409" s="42" t="s">
        <v>6530</v>
      </c>
    </row>
    <row r="4410" spans="32:33" ht="15.75" customHeight="1">
      <c r="AF4410" s="42" t="s">
        <v>7563</v>
      </c>
      <c r="AG4410" s="42" t="s">
        <v>6530</v>
      </c>
    </row>
    <row r="4411" spans="32:33" ht="15.75" customHeight="1">
      <c r="AF4411" s="42" t="s">
        <v>7587</v>
      </c>
      <c r="AG4411" s="42" t="s">
        <v>6530</v>
      </c>
    </row>
    <row r="4412" spans="32:33" ht="15.75" customHeight="1">
      <c r="AF4412" s="42" t="s">
        <v>7564</v>
      </c>
      <c r="AG4412" s="42" t="s">
        <v>6530</v>
      </c>
    </row>
    <row r="4413" spans="32:33" ht="15.75" customHeight="1">
      <c r="AF4413" s="42" t="s">
        <v>7567</v>
      </c>
      <c r="AG4413" s="42" t="s">
        <v>6530</v>
      </c>
    </row>
    <row r="4414" spans="32:33" ht="15.75" customHeight="1">
      <c r="AF4414" s="42" t="s">
        <v>7589</v>
      </c>
      <c r="AG4414" s="42" t="s">
        <v>6530</v>
      </c>
    </row>
    <row r="4415" spans="32:33" ht="15.75" customHeight="1">
      <c r="AF4415" s="42" t="s">
        <v>7351</v>
      </c>
      <c r="AG4415" s="42" t="s">
        <v>6569</v>
      </c>
    </row>
    <row r="4416" spans="32:33" ht="15.75" customHeight="1">
      <c r="AF4416" s="42" t="s">
        <v>7562</v>
      </c>
      <c r="AG4416" s="42" t="s">
        <v>6530</v>
      </c>
    </row>
    <row r="4417" spans="32:33" ht="15.75" customHeight="1">
      <c r="AF4417" s="42" t="s">
        <v>7309</v>
      </c>
      <c r="AG4417" s="42" t="s">
        <v>6530</v>
      </c>
    </row>
    <row r="4418" spans="32:33" ht="15.75" customHeight="1">
      <c r="AF4418" s="42" t="s">
        <v>7316</v>
      </c>
      <c r="AG4418" s="42" t="s">
        <v>6530</v>
      </c>
    </row>
    <row r="4419" spans="32:33" ht="15.75" customHeight="1">
      <c r="AF4419" s="42" t="s">
        <v>7303</v>
      </c>
      <c r="AG4419" s="42" t="s">
        <v>6530</v>
      </c>
    </row>
    <row r="4420" spans="32:33" ht="15.75" customHeight="1">
      <c r="AF4420" s="42" t="s">
        <v>7307</v>
      </c>
      <c r="AG4420" s="42" t="s">
        <v>6530</v>
      </c>
    </row>
    <row r="4421" spans="32:33" ht="15.75" customHeight="1">
      <c r="AF4421" s="42" t="s">
        <v>7571</v>
      </c>
      <c r="AG4421" s="42" t="s">
        <v>6530</v>
      </c>
    </row>
    <row r="4422" spans="32:33" ht="15.75" customHeight="1">
      <c r="AF4422" s="42" t="s">
        <v>7584</v>
      </c>
      <c r="AG4422" s="42" t="s">
        <v>6530</v>
      </c>
    </row>
    <row r="4423" spans="32:33" ht="15.75" customHeight="1">
      <c r="AF4423" s="42" t="s">
        <v>7314</v>
      </c>
      <c r="AG4423" s="42" t="s">
        <v>6530</v>
      </c>
    </row>
    <row r="4424" spans="32:33" ht="15.75" customHeight="1">
      <c r="AF4424" s="42" t="s">
        <v>7301</v>
      </c>
      <c r="AG4424" s="42" t="s">
        <v>6530</v>
      </c>
    </row>
    <row r="4425" spans="32:33" ht="15.75" customHeight="1">
      <c r="AF4425" s="42" t="s">
        <v>7280</v>
      </c>
      <c r="AG4425" s="42" t="s">
        <v>6530</v>
      </c>
    </row>
    <row r="4426" spans="32:33" ht="15.75" customHeight="1">
      <c r="AF4426" s="42" t="s">
        <v>7580</v>
      </c>
      <c r="AG4426" s="42" t="s">
        <v>6530</v>
      </c>
    </row>
    <row r="4427" spans="32:33" ht="15.75" customHeight="1">
      <c r="AF4427" s="42" t="s">
        <v>7076</v>
      </c>
      <c r="AG4427" s="42" t="s">
        <v>6530</v>
      </c>
    </row>
    <row r="4428" spans="32:33" ht="15.75" customHeight="1">
      <c r="AF4428" s="42" t="s">
        <v>7066</v>
      </c>
      <c r="AG4428" s="42" t="s">
        <v>6530</v>
      </c>
    </row>
    <row r="4429" spans="32:33" ht="15.75" customHeight="1">
      <c r="AF4429" s="42" t="s">
        <v>7078</v>
      </c>
      <c r="AG4429" s="42" t="s">
        <v>6530</v>
      </c>
    </row>
    <row r="4430" spans="32:33" ht="15.75" customHeight="1">
      <c r="AF4430" s="42" t="s">
        <v>7585</v>
      </c>
      <c r="AG4430" s="42" t="s">
        <v>6569</v>
      </c>
    </row>
    <row r="4431" spans="32:33" ht="15.75" customHeight="1">
      <c r="AF4431" s="42" t="s">
        <v>7311</v>
      </c>
      <c r="AG4431" s="42" t="s">
        <v>6530</v>
      </c>
    </row>
    <row r="4432" spans="32:33" ht="15.75" customHeight="1">
      <c r="AF4432" s="42" t="s">
        <v>7583</v>
      </c>
      <c r="AG4432" s="42" t="s">
        <v>6530</v>
      </c>
    </row>
    <row r="4433" spans="32:33" ht="15.75" customHeight="1">
      <c r="AF4433" s="42" t="s">
        <v>7578</v>
      </c>
      <c r="AG4433" s="42" t="s">
        <v>6530</v>
      </c>
    </row>
    <row r="4434" spans="32:33" ht="15.75" customHeight="1">
      <c r="AF4434" s="42" t="s">
        <v>7072</v>
      </c>
      <c r="AG4434" s="42" t="s">
        <v>6530</v>
      </c>
    </row>
    <row r="4435" spans="32:33" ht="15.75" customHeight="1">
      <c r="AF4435" s="42" t="s">
        <v>7069</v>
      </c>
      <c r="AG4435" s="42" t="s">
        <v>6530</v>
      </c>
    </row>
    <row r="4436" spans="32:33" ht="15.75" customHeight="1">
      <c r="AF4436" s="42" t="s">
        <v>7310</v>
      </c>
      <c r="AG4436" s="42" t="s">
        <v>6530</v>
      </c>
    </row>
    <row r="4437" spans="32:33" ht="15.75" customHeight="1">
      <c r="AF4437" s="42" t="s">
        <v>7083</v>
      </c>
      <c r="AG4437" s="42" t="s">
        <v>6530</v>
      </c>
    </row>
    <row r="4438" spans="32:33" ht="15.75" customHeight="1">
      <c r="AF4438" s="42" t="s">
        <v>7570</v>
      </c>
      <c r="AG4438" s="42" t="s">
        <v>6530</v>
      </c>
    </row>
    <row r="4439" spans="32:33" ht="15.75" customHeight="1">
      <c r="AF4439" s="42" t="s">
        <v>7315</v>
      </c>
      <c r="AG4439" s="42" t="s">
        <v>6530</v>
      </c>
    </row>
    <row r="4440" spans="32:33" ht="15.75" customHeight="1">
      <c r="AF4440" s="42" t="s">
        <v>7289</v>
      </c>
      <c r="AG4440" s="42" t="s">
        <v>6530</v>
      </c>
    </row>
    <row r="4441" spans="32:33" ht="15.75" customHeight="1">
      <c r="AF4441" s="42" t="s">
        <v>7073</v>
      </c>
      <c r="AG4441" s="42" t="s">
        <v>6530</v>
      </c>
    </row>
    <row r="4442" spans="32:33" ht="15.75" customHeight="1">
      <c r="AF4442" s="42" t="s">
        <v>7320</v>
      </c>
      <c r="AG4442" s="42" t="s">
        <v>6569</v>
      </c>
    </row>
    <row r="4443" spans="32:33" ht="15.75" customHeight="1">
      <c r="AF4443" s="42" t="s">
        <v>7318</v>
      </c>
      <c r="AG4443" s="42" t="s">
        <v>6530</v>
      </c>
    </row>
    <row r="4444" spans="32:33" ht="15.75" customHeight="1">
      <c r="AF4444" s="42" t="s">
        <v>7067</v>
      </c>
      <c r="AG4444" s="42" t="s">
        <v>6530</v>
      </c>
    </row>
    <row r="4445" spans="32:33" ht="15.75" customHeight="1">
      <c r="AF4445" s="42" t="s">
        <v>7071</v>
      </c>
      <c r="AG4445" s="42" t="s">
        <v>6530</v>
      </c>
    </row>
    <row r="4446" spans="32:33" ht="15.75" customHeight="1">
      <c r="AF4446" s="42" t="s">
        <v>8155</v>
      </c>
      <c r="AG4446" s="42" t="s">
        <v>6530</v>
      </c>
    </row>
    <row r="4447" spans="32:33" ht="15.75" customHeight="1">
      <c r="AF4447" s="42" t="s">
        <v>8145</v>
      </c>
      <c r="AG4447" s="42" t="s">
        <v>6530</v>
      </c>
    </row>
    <row r="4448" spans="32:33" ht="15.75" customHeight="1">
      <c r="AF4448" s="42" t="s">
        <v>8209</v>
      </c>
      <c r="AG4448" s="42" t="s">
        <v>6530</v>
      </c>
    </row>
    <row r="4449" spans="32:33" ht="15.75" customHeight="1">
      <c r="AF4449" s="42" t="s">
        <v>8150</v>
      </c>
      <c r="AG4449" s="42" t="s">
        <v>6530</v>
      </c>
    </row>
    <row r="4450" spans="32:33" ht="15.75" customHeight="1">
      <c r="AF4450" s="42" t="s">
        <v>8148</v>
      </c>
      <c r="AG4450" s="42" t="s">
        <v>6530</v>
      </c>
    </row>
    <row r="4451" spans="32:33" ht="15.75" customHeight="1">
      <c r="AF4451" s="42" t="s">
        <v>8152</v>
      </c>
      <c r="AG4451" s="42" t="s">
        <v>6530</v>
      </c>
    </row>
    <row r="4452" spans="32:33" ht="15.75" customHeight="1">
      <c r="AF4452" s="42" t="s">
        <v>7603</v>
      </c>
      <c r="AG4452" s="42" t="s">
        <v>6530</v>
      </c>
    </row>
    <row r="4453" spans="32:33" ht="15.75" customHeight="1">
      <c r="AF4453" s="42" t="s">
        <v>7604</v>
      </c>
      <c r="AG4453" s="42" t="s">
        <v>6530</v>
      </c>
    </row>
    <row r="4454" spans="32:33" ht="15.75" customHeight="1">
      <c r="AF4454" s="42" t="s">
        <v>7605</v>
      </c>
      <c r="AG4454" s="42" t="s">
        <v>6530</v>
      </c>
    </row>
    <row r="4455" spans="32:33" ht="15.75" customHeight="1">
      <c r="AF4455" s="42" t="s">
        <v>7577</v>
      </c>
      <c r="AG4455" s="42" t="s">
        <v>6530</v>
      </c>
    </row>
    <row r="4456" spans="32:33" ht="15.75" customHeight="1">
      <c r="AF4456" s="42" t="s">
        <v>7606</v>
      </c>
      <c r="AG4456" s="42" t="s">
        <v>6530</v>
      </c>
    </row>
    <row r="4457" spans="32:33" ht="15.75" customHeight="1">
      <c r="AF4457" s="42" t="s">
        <v>7568</v>
      </c>
      <c r="AG4457" s="42" t="s">
        <v>6530</v>
      </c>
    </row>
    <row r="4458" spans="32:33" ht="15.75" customHeight="1">
      <c r="AF4458" s="42" t="s">
        <v>7575</v>
      </c>
      <c r="AG4458" s="42" t="s">
        <v>6530</v>
      </c>
    </row>
    <row r="4459" spans="32:33" ht="15.75" customHeight="1">
      <c r="AF4459" s="42" t="s">
        <v>7588</v>
      </c>
      <c r="AG4459" s="42" t="s">
        <v>6530</v>
      </c>
    </row>
    <row r="4460" spans="32:33" ht="15.75" customHeight="1">
      <c r="AF4460" s="42" t="s">
        <v>8157</v>
      </c>
      <c r="AG4460" s="42" t="s">
        <v>6530</v>
      </c>
    </row>
    <row r="4461" spans="32:33" ht="15.75" customHeight="1">
      <c r="AF4461" s="42" t="s">
        <v>7574</v>
      </c>
      <c r="AG4461" s="42" t="s">
        <v>6530</v>
      </c>
    </row>
    <row r="4462" spans="32:33" ht="15.75" customHeight="1">
      <c r="AF4462" s="42" t="s">
        <v>7607</v>
      </c>
      <c r="AG4462" s="42" t="s">
        <v>6530</v>
      </c>
    </row>
    <row r="4463" spans="32:33" ht="15.75" customHeight="1">
      <c r="AF4463" s="42" t="s">
        <v>8149</v>
      </c>
      <c r="AG4463" s="42" t="s">
        <v>6530</v>
      </c>
    </row>
    <row r="4464" spans="32:33" ht="15.75" customHeight="1">
      <c r="AF4464" s="42" t="s">
        <v>8210</v>
      </c>
      <c r="AG4464" s="42" t="s">
        <v>6530</v>
      </c>
    </row>
    <row r="4465" spans="32:33" ht="15.75" customHeight="1">
      <c r="AF4465" s="42" t="s">
        <v>7586</v>
      </c>
      <c r="AG4465" s="42" t="s">
        <v>6530</v>
      </c>
    </row>
    <row r="4466" spans="32:33" ht="15.75" customHeight="1">
      <c r="AF4466" s="42" t="s">
        <v>7608</v>
      </c>
      <c r="AG4466" s="42" t="s">
        <v>6530</v>
      </c>
    </row>
    <row r="4467" spans="32:33" ht="15.75" customHeight="1">
      <c r="AF4467" s="42" t="s">
        <v>7609</v>
      </c>
      <c r="AG4467" s="42" t="s">
        <v>6530</v>
      </c>
    </row>
    <row r="4468" spans="32:33" ht="15.75" customHeight="1">
      <c r="AF4468" s="42" t="s">
        <v>7573</v>
      </c>
      <c r="AG4468" s="42" t="s">
        <v>6530</v>
      </c>
    </row>
    <row r="4469" spans="32:33" ht="15.75" customHeight="1">
      <c r="AF4469" s="42" t="s">
        <v>7610</v>
      </c>
      <c r="AG4469" s="42" t="s">
        <v>6530</v>
      </c>
    </row>
    <row r="4470" spans="32:33" ht="15.75" customHeight="1">
      <c r="AF4470" s="42" t="s">
        <v>7611</v>
      </c>
      <c r="AG4470" s="42" t="s">
        <v>6530</v>
      </c>
    </row>
    <row r="4471" spans="32:33" ht="15.75" customHeight="1">
      <c r="AF4471" s="42" t="s">
        <v>8211</v>
      </c>
      <c r="AG4471" s="42" t="s">
        <v>6530</v>
      </c>
    </row>
    <row r="4472" spans="32:33" ht="15.75" customHeight="1">
      <c r="AF4472" s="42" t="s">
        <v>8161</v>
      </c>
      <c r="AG4472" s="42" t="s">
        <v>6569</v>
      </c>
    </row>
    <row r="4473" spans="32:33" ht="15.75" customHeight="1">
      <c r="AF4473" s="42" t="s">
        <v>8212</v>
      </c>
      <c r="AG4473" s="42" t="s">
        <v>6530</v>
      </c>
    </row>
    <row r="4474" spans="32:33" ht="15.75" customHeight="1">
      <c r="AF4474" s="42" t="s">
        <v>8213</v>
      </c>
      <c r="AG4474" s="42" t="s">
        <v>6530</v>
      </c>
    </row>
    <row r="4475" spans="32:33" ht="15.75" customHeight="1">
      <c r="AF4475" s="42" t="s">
        <v>8404</v>
      </c>
      <c r="AG4475" s="42" t="s">
        <v>6530</v>
      </c>
    </row>
    <row r="4476" spans="32:33" ht="15.75" customHeight="1">
      <c r="AF4476" s="42" t="s">
        <v>8214</v>
      </c>
      <c r="AG4476" s="42" t="s">
        <v>6530</v>
      </c>
    </row>
    <row r="4477" spans="32:33" ht="15.75" customHeight="1">
      <c r="AF4477" s="42" t="s">
        <v>8147</v>
      </c>
      <c r="AG4477" s="42" t="s">
        <v>6569</v>
      </c>
    </row>
    <row r="4478" spans="32:33" ht="15.75" customHeight="1">
      <c r="AF4478" s="42" t="s">
        <v>8405</v>
      </c>
      <c r="AG4478" s="42" t="s">
        <v>6530</v>
      </c>
    </row>
    <row r="4479" spans="32:33" ht="15.75" customHeight="1">
      <c r="AF4479" s="42" t="s">
        <v>8334</v>
      </c>
      <c r="AG4479" s="42" t="s">
        <v>6530</v>
      </c>
    </row>
    <row r="4480" spans="32:33" ht="15.75" customHeight="1">
      <c r="AF4480" s="42" t="s">
        <v>8151</v>
      </c>
      <c r="AG4480" s="42" t="s">
        <v>6530</v>
      </c>
    </row>
    <row r="4481" spans="32:33" ht="15.75" customHeight="1">
      <c r="AF4481" s="42" t="s">
        <v>8215</v>
      </c>
      <c r="AG4481" s="42" t="s">
        <v>6530</v>
      </c>
    </row>
    <row r="4482" spans="32:33" ht="15.75" customHeight="1">
      <c r="AF4482" s="42" t="s">
        <v>8154</v>
      </c>
      <c r="AG4482" s="42" t="s">
        <v>6569</v>
      </c>
    </row>
    <row r="4483" spans="32:33" ht="15.75" customHeight="1">
      <c r="AF4483" s="42" t="s">
        <v>8400</v>
      </c>
      <c r="AG4483" s="42" t="s">
        <v>6530</v>
      </c>
    </row>
    <row r="4484" spans="32:33" ht="15.75" customHeight="1">
      <c r="AF4484" s="42" t="s">
        <v>7612</v>
      </c>
      <c r="AG4484" s="42" t="s">
        <v>6530</v>
      </c>
    </row>
    <row r="4485" spans="32:33" ht="15.75" customHeight="1">
      <c r="AF4485" s="42" t="s">
        <v>8158</v>
      </c>
      <c r="AG4485" s="42" t="s">
        <v>6530</v>
      </c>
    </row>
    <row r="4486" spans="32:33" ht="15.75" customHeight="1">
      <c r="AF4486" s="42" t="s">
        <v>8216</v>
      </c>
      <c r="AG4486" s="42" t="s">
        <v>6530</v>
      </c>
    </row>
    <row r="4487" spans="32:33" ht="15.75" customHeight="1">
      <c r="AF4487" s="42" t="s">
        <v>8167</v>
      </c>
      <c r="AG4487" s="42" t="s">
        <v>6530</v>
      </c>
    </row>
    <row r="4488" spans="32:33" ht="15.75" customHeight="1">
      <c r="AF4488" s="42" t="s">
        <v>8144</v>
      </c>
      <c r="AG4488" s="42" t="s">
        <v>6569</v>
      </c>
    </row>
    <row r="4489" spans="32:33" ht="15.75" customHeight="1">
      <c r="AF4489" s="42" t="s">
        <v>8217</v>
      </c>
      <c r="AG4489" s="42" t="s">
        <v>6569</v>
      </c>
    </row>
    <row r="4490" spans="32:33" ht="15.75" customHeight="1">
      <c r="AF4490" s="42" t="s">
        <v>8218</v>
      </c>
      <c r="AG4490" s="42" t="s">
        <v>6530</v>
      </c>
    </row>
    <row r="4491" spans="32:33" ht="15.75" customHeight="1">
      <c r="AF4491" s="42" t="s">
        <v>8398</v>
      </c>
      <c r="AG4491" s="42" t="s">
        <v>6530</v>
      </c>
    </row>
    <row r="4492" spans="32:33" ht="15.75" customHeight="1">
      <c r="AF4492" s="42" t="s">
        <v>7572</v>
      </c>
      <c r="AG4492" s="42" t="s">
        <v>6530</v>
      </c>
    </row>
    <row r="4493" spans="32:33" ht="15.75" customHeight="1">
      <c r="AF4493" s="42" t="s">
        <v>8160</v>
      </c>
      <c r="AG4493" s="42" t="s">
        <v>6530</v>
      </c>
    </row>
    <row r="4494" spans="32:33" ht="15.75" customHeight="1">
      <c r="AF4494" s="42" t="s">
        <v>8219</v>
      </c>
      <c r="AG4494" s="42" t="s">
        <v>6530</v>
      </c>
    </row>
    <row r="4495" spans="32:33" ht="15.75" customHeight="1">
      <c r="AF4495" s="42" t="s">
        <v>8397</v>
      </c>
      <c r="AG4495" s="42" t="s">
        <v>6530</v>
      </c>
    </row>
    <row r="4496" spans="32:33" ht="15.75" customHeight="1">
      <c r="AF4496" s="42" t="s">
        <v>8220</v>
      </c>
      <c r="AG4496" s="42" t="s">
        <v>6569</v>
      </c>
    </row>
    <row r="4497" spans="32:33" ht="15.75" customHeight="1">
      <c r="AF4497" s="42" t="s">
        <v>8221</v>
      </c>
      <c r="AG4497" s="42" t="s">
        <v>6530</v>
      </c>
    </row>
    <row r="4498" spans="32:33" ht="15.75" customHeight="1">
      <c r="AF4498" s="42" t="s">
        <v>8222</v>
      </c>
      <c r="AG4498" s="42" t="s">
        <v>6569</v>
      </c>
    </row>
    <row r="4499" spans="32:33" ht="15.75" customHeight="1">
      <c r="AF4499" s="42" t="s">
        <v>8402</v>
      </c>
      <c r="AG4499" s="42" t="s">
        <v>6530</v>
      </c>
    </row>
    <row r="4500" spans="32:33" ht="15.75" customHeight="1">
      <c r="AF4500" s="42" t="s">
        <v>8223</v>
      </c>
      <c r="AG4500" s="42" t="s">
        <v>6530</v>
      </c>
    </row>
    <row r="4501" spans="32:33" ht="15.75" customHeight="1">
      <c r="AF4501" s="42" t="s">
        <v>8156</v>
      </c>
      <c r="AG4501" s="42" t="s">
        <v>6530</v>
      </c>
    </row>
    <row r="4502" spans="32:33" ht="15.75" customHeight="1">
      <c r="AF4502" s="42" t="s">
        <v>8163</v>
      </c>
      <c r="AG4502" s="42" t="s">
        <v>6530</v>
      </c>
    </row>
    <row r="4503" spans="32:33" ht="15.75" customHeight="1">
      <c r="AF4503" s="42" t="s">
        <v>7434</v>
      </c>
      <c r="AG4503" s="42" t="s">
        <v>6530</v>
      </c>
    </row>
    <row r="4504" spans="32:33" ht="15.75" customHeight="1">
      <c r="AF4504" s="42" t="s">
        <v>7613</v>
      </c>
      <c r="AG4504" s="42" t="s">
        <v>6530</v>
      </c>
    </row>
    <row r="4505" spans="32:33" ht="15.75" customHeight="1">
      <c r="AF4505" s="42" t="s">
        <v>8224</v>
      </c>
      <c r="AG4505" s="42" t="s">
        <v>6530</v>
      </c>
    </row>
    <row r="4506" spans="32:33" ht="15.75" customHeight="1">
      <c r="AF4506" s="42" t="s">
        <v>8225</v>
      </c>
      <c r="AG4506" s="42" t="s">
        <v>6530</v>
      </c>
    </row>
    <row r="4507" spans="32:33" ht="15.75" customHeight="1">
      <c r="AF4507" s="42" t="s">
        <v>8159</v>
      </c>
      <c r="AG4507" s="42" t="s">
        <v>6530</v>
      </c>
    </row>
    <row r="4508" spans="32:33" ht="15.75" customHeight="1">
      <c r="AF4508" s="42" t="s">
        <v>8153</v>
      </c>
      <c r="AG4508" s="42" t="s">
        <v>6569</v>
      </c>
    </row>
    <row r="4509" spans="32:33" ht="15.75" customHeight="1">
      <c r="AF4509" s="42" t="s">
        <v>8165</v>
      </c>
      <c r="AG4509" s="42" t="s">
        <v>6569</v>
      </c>
    </row>
    <row r="4510" spans="32:33" ht="15.75" customHeight="1">
      <c r="AF4510" s="42" t="s">
        <v>8168</v>
      </c>
      <c r="AG4510" s="42" t="s">
        <v>6530</v>
      </c>
    </row>
    <row r="4511" spans="32:33" ht="15.75" customHeight="1">
      <c r="AF4511" s="42" t="s">
        <v>8226</v>
      </c>
      <c r="AG4511" s="42" t="s">
        <v>6569</v>
      </c>
    </row>
    <row r="4512" spans="32:33" ht="15.75" customHeight="1">
      <c r="AF4512" s="42" t="s">
        <v>8166</v>
      </c>
      <c r="AG4512" s="42" t="s">
        <v>6530</v>
      </c>
    </row>
    <row r="4513" spans="32:33" ht="15.75" customHeight="1">
      <c r="AF4513" s="42" t="s">
        <v>8227</v>
      </c>
      <c r="AG4513" s="42" t="s">
        <v>6530</v>
      </c>
    </row>
    <row r="4514" spans="32:33" ht="15.75" customHeight="1">
      <c r="AF4514" s="42" t="s">
        <v>8228</v>
      </c>
      <c r="AG4514" s="42" t="s">
        <v>6569</v>
      </c>
    </row>
    <row r="4515" spans="32:33" ht="15.75" customHeight="1">
      <c r="AF4515" s="42" t="s">
        <v>8164</v>
      </c>
      <c r="AG4515" s="42" t="s">
        <v>6530</v>
      </c>
    </row>
    <row r="4516" spans="32:33" ht="15.75" customHeight="1">
      <c r="AF4516" s="42" t="s">
        <v>8229</v>
      </c>
      <c r="AG4516" s="42" t="s">
        <v>6569</v>
      </c>
    </row>
    <row r="4517" spans="32:33" ht="15.75" customHeight="1">
      <c r="AF4517" s="42" t="s">
        <v>8146</v>
      </c>
      <c r="AG4517" s="42" t="s">
        <v>6530</v>
      </c>
    </row>
    <row r="4518" spans="32:33" ht="15.75" customHeight="1">
      <c r="AF4518" s="42" t="s">
        <v>8162</v>
      </c>
      <c r="AG4518" s="42" t="s">
        <v>6530</v>
      </c>
    </row>
    <row r="4519" spans="32:33" ht="15.75" customHeight="1">
      <c r="AF4519" s="42" t="s">
        <v>8403</v>
      </c>
      <c r="AG4519" s="42" t="s">
        <v>6530</v>
      </c>
    </row>
    <row r="4520" spans="32:33" ht="15.75" customHeight="1">
      <c r="AF4520" s="42" t="s">
        <v>8230</v>
      </c>
      <c r="AG4520" s="42" t="s">
        <v>6569</v>
      </c>
    </row>
    <row r="4521" spans="32:33" ht="15.75" customHeight="1">
      <c r="AF4521" s="42" t="s">
        <v>8399</v>
      </c>
      <c r="AG4521" s="42" t="s">
        <v>6530</v>
      </c>
    </row>
    <row r="4522" spans="32:33" ht="15.75" customHeight="1">
      <c r="AF4522" s="42" t="s">
        <v>8231</v>
      </c>
      <c r="AG4522" s="42" t="s">
        <v>6530</v>
      </c>
    </row>
    <row r="4523" spans="32:33" ht="15.75" customHeight="1">
      <c r="AF4523" s="42" t="s">
        <v>8591</v>
      </c>
      <c r="AG4523" s="42" t="s">
        <v>6569</v>
      </c>
    </row>
    <row r="4524" spans="32:33" ht="15.75" customHeight="1">
      <c r="AF4524" s="42" t="s">
        <v>8599</v>
      </c>
      <c r="AG4524" s="42" t="s">
        <v>6530</v>
      </c>
    </row>
    <row r="4525" spans="32:33" ht="15.75" customHeight="1">
      <c r="AF4525" s="42" t="s">
        <v>8581</v>
      </c>
      <c r="AG4525" s="42" t="s">
        <v>6530</v>
      </c>
    </row>
    <row r="4526" spans="32:33" ht="15.75" customHeight="1">
      <c r="AF4526" s="42" t="s">
        <v>8582</v>
      </c>
      <c r="AG4526" s="42" t="s">
        <v>6530</v>
      </c>
    </row>
    <row r="4527" spans="32:33" ht="15.75" customHeight="1">
      <c r="AF4527" s="42" t="s">
        <v>8598</v>
      </c>
      <c r="AG4527" s="42" t="s">
        <v>6530</v>
      </c>
    </row>
    <row r="4528" spans="32:33" ht="15.75" customHeight="1">
      <c r="AF4528" s="42" t="s">
        <v>8592</v>
      </c>
      <c r="AG4528" s="42" t="s">
        <v>6530</v>
      </c>
    </row>
    <row r="4529" spans="32:33" ht="15.75" customHeight="1">
      <c r="AF4529" s="42" t="s">
        <v>8600</v>
      </c>
      <c r="AG4529" s="42" t="s">
        <v>6530</v>
      </c>
    </row>
    <row r="4530" spans="32:33" ht="15.75" customHeight="1">
      <c r="AF4530" s="42" t="s">
        <v>8583</v>
      </c>
      <c r="AG4530" s="42" t="s">
        <v>6569</v>
      </c>
    </row>
    <row r="4531" spans="32:33" ht="15.75" customHeight="1">
      <c r="AF4531" s="42" t="s">
        <v>8601</v>
      </c>
      <c r="AG4531" s="42" t="s">
        <v>6530</v>
      </c>
    </row>
    <row r="4532" spans="32:33" ht="15.75" customHeight="1">
      <c r="AF4532" s="42" t="s">
        <v>8595</v>
      </c>
      <c r="AG4532" s="42" t="s">
        <v>6530</v>
      </c>
    </row>
    <row r="4533" spans="32:33" ht="15.75" customHeight="1">
      <c r="AF4533" s="42" t="s">
        <v>8609</v>
      </c>
      <c r="AG4533" s="42" t="s">
        <v>6530</v>
      </c>
    </row>
    <row r="4534" spans="32:33" ht="15.75" customHeight="1">
      <c r="AF4534" s="42" t="s">
        <v>8597</v>
      </c>
      <c r="AG4534" s="42" t="s">
        <v>6530</v>
      </c>
    </row>
    <row r="4535" spans="32:33" ht="15.75" customHeight="1">
      <c r="AF4535" s="42" t="s">
        <v>8593</v>
      </c>
      <c r="AG4535" s="42" t="s">
        <v>6530</v>
      </c>
    </row>
    <row r="4536" spans="32:33" ht="15.75" customHeight="1">
      <c r="AF4536" s="42" t="s">
        <v>8594</v>
      </c>
      <c r="AG4536" s="42" t="s">
        <v>6530</v>
      </c>
    </row>
    <row r="4537" spans="32:33" ht="15.75" customHeight="1">
      <c r="AF4537" s="42" t="s">
        <v>8610</v>
      </c>
      <c r="AG4537" s="42" t="s">
        <v>6569</v>
      </c>
    </row>
    <row r="4538" spans="32:33" ht="15.75" customHeight="1">
      <c r="AF4538" s="42" t="s">
        <v>8603</v>
      </c>
      <c r="AG4538" s="42" t="s">
        <v>6530</v>
      </c>
    </row>
    <row r="4539" spans="32:33" ht="15.75" customHeight="1">
      <c r="AF4539" s="42" t="s">
        <v>8611</v>
      </c>
      <c r="AG4539" s="42" t="s">
        <v>6530</v>
      </c>
    </row>
    <row r="4540" spans="32:33" ht="15.75" customHeight="1">
      <c r="AF4540" s="42" t="s">
        <v>8588</v>
      </c>
      <c r="AG4540" s="42" t="s">
        <v>6530</v>
      </c>
    </row>
    <row r="4541" spans="32:33" ht="15.75" customHeight="1">
      <c r="AF4541" s="42" t="s">
        <v>8596</v>
      </c>
      <c r="AG4541" s="42" t="s">
        <v>6530</v>
      </c>
    </row>
    <row r="4542" spans="32:33" ht="15.75" customHeight="1">
      <c r="AF4542" s="42" t="s">
        <v>8602</v>
      </c>
      <c r="AG4542" s="42" t="s">
        <v>6530</v>
      </c>
    </row>
    <row r="4543" spans="32:33" ht="15.75" customHeight="1">
      <c r="AF4543" s="42" t="s">
        <v>8587</v>
      </c>
      <c r="AG4543" s="42" t="s">
        <v>6569</v>
      </c>
    </row>
    <row r="4544" spans="32:33" ht="15.75" customHeight="1">
      <c r="AF4544" s="42" t="s">
        <v>8584</v>
      </c>
      <c r="AG4544" s="42" t="s">
        <v>6530</v>
      </c>
    </row>
    <row r="4545" spans="32:33" ht="15.75" customHeight="1">
      <c r="AF4545" s="42" t="s">
        <v>8585</v>
      </c>
      <c r="AG4545" s="42" t="s">
        <v>6530</v>
      </c>
    </row>
    <row r="4546" spans="32:33" ht="15.75" customHeight="1">
      <c r="AF4546" s="42" t="s">
        <v>8586</v>
      </c>
      <c r="AG4546" s="42" t="s">
        <v>6530</v>
      </c>
    </row>
    <row r="4547" spans="32:33" ht="15.75" customHeight="1">
      <c r="AF4547" s="42" t="s">
        <v>8590</v>
      </c>
      <c r="AG4547" s="42" t="s">
        <v>6530</v>
      </c>
    </row>
    <row r="4548" spans="32:33" ht="15.75" customHeight="1">
      <c r="AF4548" s="42" t="s">
        <v>8612</v>
      </c>
      <c r="AG4548" s="42" t="s">
        <v>6569</v>
      </c>
    </row>
    <row r="4549" spans="32:33" ht="15.75" customHeight="1">
      <c r="AF4549" s="42" t="s">
        <v>8524</v>
      </c>
      <c r="AG4549" s="42" t="s">
        <v>6642</v>
      </c>
    </row>
    <row r="4550" spans="32:33" ht="15.75" customHeight="1">
      <c r="AF4550" s="42" t="s">
        <v>8391</v>
      </c>
      <c r="AG4550" s="42" t="s">
        <v>6642</v>
      </c>
    </row>
    <row r="4551" spans="32:33" ht="15.75" customHeight="1">
      <c r="AF4551" s="42" t="s">
        <v>8552</v>
      </c>
      <c r="AG4551" s="42" t="s">
        <v>6642</v>
      </c>
    </row>
    <row r="4552" spans="32:33" ht="15.75" customHeight="1">
      <c r="AF4552" s="42" t="s">
        <v>8382</v>
      </c>
      <c r="AG4552" s="42" t="s">
        <v>6642</v>
      </c>
    </row>
    <row r="4553" spans="32:33" ht="15.75" customHeight="1">
      <c r="AF4553" s="42" t="s">
        <v>8392</v>
      </c>
      <c r="AG4553" s="42" t="s">
        <v>6642</v>
      </c>
    </row>
    <row r="4554" spans="32:33" ht="15.75" customHeight="1">
      <c r="AF4554" s="42" t="s">
        <v>8333</v>
      </c>
      <c r="AG4554" s="42" t="s">
        <v>6642</v>
      </c>
    </row>
    <row r="4555" spans="32:33" ht="15.75" customHeight="1">
      <c r="AF4555" s="42" t="s">
        <v>8384</v>
      </c>
      <c r="AG4555" s="42" t="s">
        <v>6642</v>
      </c>
    </row>
    <row r="4556" spans="32:33" ht="15.75" customHeight="1">
      <c r="AF4556" s="42" t="s">
        <v>7543</v>
      </c>
      <c r="AG4556" s="42" t="s">
        <v>7639</v>
      </c>
    </row>
    <row r="4557" spans="32:33" ht="15.75" customHeight="1">
      <c r="AF4557" s="42" t="s">
        <v>7614</v>
      </c>
      <c r="AG4557" s="42" t="s">
        <v>7639</v>
      </c>
    </row>
    <row r="4558" spans="32:33" ht="15.75" customHeight="1">
      <c r="AF4558" s="42" t="s">
        <v>7533</v>
      </c>
      <c r="AG4558" s="42" t="s">
        <v>7639</v>
      </c>
    </row>
    <row r="4559" spans="32:33" ht="15.75" customHeight="1">
      <c r="AF4559" s="42" t="s">
        <v>7615</v>
      </c>
      <c r="AG4559" s="42" t="s">
        <v>7639</v>
      </c>
    </row>
    <row r="4560" spans="32:33" ht="15.75" customHeight="1">
      <c r="AF4560" s="42" t="s">
        <v>7526</v>
      </c>
      <c r="AG4560" s="42" t="s">
        <v>7639</v>
      </c>
    </row>
    <row r="4561" spans="32:33" ht="15.75" customHeight="1">
      <c r="AF4561" s="42" t="s">
        <v>7518</v>
      </c>
      <c r="AG4561" s="42" t="s">
        <v>7639</v>
      </c>
    </row>
    <row r="4562" spans="32:33" ht="15.75" customHeight="1">
      <c r="AF4562" s="42" t="s">
        <v>7555</v>
      </c>
      <c r="AG4562" s="42" t="s">
        <v>7639</v>
      </c>
    </row>
    <row r="4563" spans="32:33" ht="15.75" customHeight="1">
      <c r="AF4563" s="42" t="s">
        <v>7522</v>
      </c>
      <c r="AG4563" s="42" t="s">
        <v>7639</v>
      </c>
    </row>
    <row r="4564" spans="32:33" ht="15.75" customHeight="1">
      <c r="AF4564" s="42" t="s">
        <v>7535</v>
      </c>
      <c r="AG4564" s="42" t="s">
        <v>7639</v>
      </c>
    </row>
    <row r="4565" spans="32:33" ht="15.75" customHeight="1">
      <c r="AF4565" s="42" t="s">
        <v>7517</v>
      </c>
      <c r="AG4565" s="42" t="s">
        <v>7639</v>
      </c>
    </row>
    <row r="4566" spans="32:33" ht="15.75" customHeight="1">
      <c r="AF4566" s="42" t="s">
        <v>7616</v>
      </c>
      <c r="AG4566" s="42" t="s">
        <v>7639</v>
      </c>
    </row>
    <row r="4567" spans="32:33" ht="15.75" customHeight="1">
      <c r="AF4567" s="42" t="s">
        <v>7532</v>
      </c>
      <c r="AG4567" s="42" t="s">
        <v>7639</v>
      </c>
    </row>
    <row r="4568" spans="32:33" ht="15.75" customHeight="1">
      <c r="AF4568" s="42" t="s">
        <v>7547</v>
      </c>
      <c r="AG4568" s="42" t="s">
        <v>7639</v>
      </c>
    </row>
    <row r="4569" spans="32:33" ht="15.75" customHeight="1">
      <c r="AF4569" s="42" t="s">
        <v>7550</v>
      </c>
      <c r="AG4569" s="42" t="s">
        <v>7639</v>
      </c>
    </row>
    <row r="4570" spans="32:33" ht="15.75" customHeight="1">
      <c r="AF4570" s="42" t="s">
        <v>7538</v>
      </c>
      <c r="AG4570" s="42" t="s">
        <v>7639</v>
      </c>
    </row>
    <row r="4571" spans="32:33" ht="15.75" customHeight="1">
      <c r="AF4571" s="42" t="s">
        <v>7553</v>
      </c>
      <c r="AG4571" s="42" t="s">
        <v>7639</v>
      </c>
    </row>
    <row r="4572" spans="32:33" ht="15.75" customHeight="1">
      <c r="AF4572" s="42" t="s">
        <v>7531</v>
      </c>
      <c r="AG4572" s="42" t="s">
        <v>7639</v>
      </c>
    </row>
    <row r="4573" spans="32:33" ht="15.75" customHeight="1">
      <c r="AF4573" s="42" t="s">
        <v>7536</v>
      </c>
      <c r="AG4573" s="42" t="s">
        <v>7639</v>
      </c>
    </row>
    <row r="4574" spans="32:33" ht="15.75" customHeight="1">
      <c r="AF4574" s="42" t="s">
        <v>7551</v>
      </c>
      <c r="AG4574" s="42" t="s">
        <v>7639</v>
      </c>
    </row>
    <row r="4575" spans="32:33" ht="15.75" customHeight="1">
      <c r="AF4575" s="42" t="s">
        <v>7617</v>
      </c>
      <c r="AG4575" s="42" t="s">
        <v>7639</v>
      </c>
    </row>
    <row r="4576" spans="32:33" ht="15.75" customHeight="1">
      <c r="AF4576" s="42" t="s">
        <v>7433</v>
      </c>
      <c r="AG4576" s="42" t="s">
        <v>7639</v>
      </c>
    </row>
    <row r="4577" spans="32:33" ht="15.75" customHeight="1">
      <c r="AF4577" s="42" t="s">
        <v>7209</v>
      </c>
      <c r="AG4577" s="42" t="s">
        <v>6642</v>
      </c>
    </row>
    <row r="4578" spans="32:33" ht="15.75" customHeight="1">
      <c r="AF4578" s="42" t="s">
        <v>7521</v>
      </c>
      <c r="AG4578" s="42" t="s">
        <v>7639</v>
      </c>
    </row>
    <row r="4579" spans="32:33" ht="15.75" customHeight="1">
      <c r="AF4579" s="42" t="s">
        <v>7558</v>
      </c>
      <c r="AG4579" s="42" t="s">
        <v>7639</v>
      </c>
    </row>
    <row r="4580" spans="32:33" ht="15.75" customHeight="1">
      <c r="AF4580" s="42" t="s">
        <v>8094</v>
      </c>
      <c r="AG4580" s="42" t="s">
        <v>6642</v>
      </c>
    </row>
    <row r="4581" spans="32:33" ht="15.75" customHeight="1">
      <c r="AF4581" s="42" t="s">
        <v>8536</v>
      </c>
      <c r="AG4581" s="42" t="s">
        <v>6642</v>
      </c>
    </row>
    <row r="4582" spans="32:33" ht="15.75" customHeight="1">
      <c r="AF4582" s="42" t="s">
        <v>8553</v>
      </c>
      <c r="AG4582" s="42" t="s">
        <v>6642</v>
      </c>
    </row>
    <row r="4583" spans="32:33" ht="15.75" customHeight="1">
      <c r="AF4583" s="42" t="s">
        <v>8540</v>
      </c>
      <c r="AG4583" s="42" t="s">
        <v>6642</v>
      </c>
    </row>
    <row r="4584" spans="32:33" ht="15.75" customHeight="1">
      <c r="AF4584" s="42" t="s">
        <v>8232</v>
      </c>
      <c r="AG4584" s="42" t="s">
        <v>6642</v>
      </c>
    </row>
    <row r="4585" spans="32:33" ht="15.75" customHeight="1">
      <c r="AF4585" s="42" t="s">
        <v>8569</v>
      </c>
      <c r="AG4585" s="42" t="s">
        <v>6642</v>
      </c>
    </row>
    <row r="4586" spans="32:33" ht="15.75" customHeight="1">
      <c r="AF4586" s="42" t="s">
        <v>7228</v>
      </c>
      <c r="AG4586" s="42" t="s">
        <v>6642</v>
      </c>
    </row>
    <row r="4587" spans="32:33" ht="15.75" customHeight="1">
      <c r="AF4587" s="42" t="s">
        <v>7227</v>
      </c>
      <c r="AG4587" s="42" t="s">
        <v>6642</v>
      </c>
    </row>
    <row r="4588" spans="32:33" ht="15.75" customHeight="1">
      <c r="AF4588" s="42" t="s">
        <v>7201</v>
      </c>
      <c r="AG4588" s="42" t="s">
        <v>6642</v>
      </c>
    </row>
    <row r="4589" spans="32:33" ht="15.75" customHeight="1">
      <c r="AF4589" s="42" t="s">
        <v>7618</v>
      </c>
      <c r="AG4589" s="42" t="s">
        <v>7639</v>
      </c>
    </row>
    <row r="4590" spans="32:33" ht="15.75" customHeight="1">
      <c r="AF4590" s="42" t="s">
        <v>7557</v>
      </c>
      <c r="AG4590" s="42" t="s">
        <v>7639</v>
      </c>
    </row>
    <row r="4591" spans="32:33" ht="15.75" customHeight="1">
      <c r="AF4591" s="42" t="s">
        <v>7212</v>
      </c>
      <c r="AG4591" s="42" t="s">
        <v>6642</v>
      </c>
    </row>
    <row r="4592" spans="32:33" ht="15.75" customHeight="1">
      <c r="AF4592" s="42" t="s">
        <v>7216</v>
      </c>
      <c r="AG4592" s="42" t="s">
        <v>6642</v>
      </c>
    </row>
    <row r="4593" spans="32:33" ht="15.75" customHeight="1">
      <c r="AF4593" s="42" t="s">
        <v>7198</v>
      </c>
      <c r="AG4593" s="42" t="s">
        <v>6642</v>
      </c>
    </row>
    <row r="4594" spans="32:33" ht="15.75" customHeight="1">
      <c r="AF4594" s="42" t="s">
        <v>7194</v>
      </c>
      <c r="AG4594" s="42" t="s">
        <v>6642</v>
      </c>
    </row>
    <row r="4595" spans="32:33" ht="15.75" customHeight="1">
      <c r="AF4595" s="42" t="s">
        <v>7218</v>
      </c>
      <c r="AG4595" s="42" t="s">
        <v>6642</v>
      </c>
    </row>
    <row r="4596" spans="32:33" ht="15.75" customHeight="1">
      <c r="AF4596" s="42" t="s">
        <v>7199</v>
      </c>
      <c r="AG4596" s="42" t="s">
        <v>6642</v>
      </c>
    </row>
    <row r="4597" spans="32:33" ht="15.75" customHeight="1">
      <c r="AF4597" s="42" t="s">
        <v>7217</v>
      </c>
      <c r="AG4597" s="42" t="s">
        <v>6642</v>
      </c>
    </row>
    <row r="4598" spans="32:33" ht="15.75" customHeight="1">
      <c r="AF4598" s="42" t="s">
        <v>7619</v>
      </c>
      <c r="AG4598" s="42" t="s">
        <v>7639</v>
      </c>
    </row>
    <row r="4599" spans="32:33" ht="15.75" customHeight="1">
      <c r="AF4599" s="42" t="s">
        <v>7516</v>
      </c>
      <c r="AG4599" s="42" t="s">
        <v>7639</v>
      </c>
    </row>
    <row r="4600" spans="32:33" ht="15.75" customHeight="1">
      <c r="AF4600" s="42" t="s">
        <v>7546</v>
      </c>
      <c r="AG4600" s="42" t="s">
        <v>7639</v>
      </c>
    </row>
    <row r="4601" spans="32:33" ht="15.75" customHeight="1">
      <c r="AF4601" s="42" t="s">
        <v>7197</v>
      </c>
      <c r="AG4601" s="42" t="s">
        <v>6642</v>
      </c>
    </row>
    <row r="4602" spans="32:33" ht="15.75" customHeight="1">
      <c r="AF4602" s="42" t="s">
        <v>7205</v>
      </c>
      <c r="AG4602" s="42" t="s">
        <v>6642</v>
      </c>
    </row>
    <row r="4603" spans="32:33" ht="15.75" customHeight="1">
      <c r="AF4603" s="42" t="s">
        <v>7211</v>
      </c>
      <c r="AG4603" s="42" t="s">
        <v>6642</v>
      </c>
    </row>
    <row r="4604" spans="32:33" ht="15.75" customHeight="1">
      <c r="AF4604" s="42" t="s">
        <v>7195</v>
      </c>
      <c r="AG4604" s="42" t="s">
        <v>6642</v>
      </c>
    </row>
    <row r="4605" spans="32:33" ht="15.75" customHeight="1">
      <c r="AF4605" s="42" t="s">
        <v>7221</v>
      </c>
      <c r="AG4605" s="42" t="s">
        <v>6642</v>
      </c>
    </row>
    <row r="4606" spans="32:33" ht="15.75" customHeight="1">
      <c r="AF4606" s="42" t="s">
        <v>7219</v>
      </c>
      <c r="AG4606" s="42" t="s">
        <v>6642</v>
      </c>
    </row>
    <row r="4607" spans="32:33" ht="15.75" customHeight="1">
      <c r="AF4607" s="42" t="s">
        <v>7220</v>
      </c>
      <c r="AG4607" s="42" t="s">
        <v>6642</v>
      </c>
    </row>
    <row r="4608" spans="32:33" ht="15.75" customHeight="1">
      <c r="AF4608" s="42" t="s">
        <v>7226</v>
      </c>
      <c r="AG4608" s="42" t="s">
        <v>6642</v>
      </c>
    </row>
    <row r="4609" spans="32:33" ht="15.75" customHeight="1">
      <c r="AF4609" s="42" t="s">
        <v>7225</v>
      </c>
      <c r="AG4609" s="42" t="s">
        <v>6642</v>
      </c>
    </row>
    <row r="4610" spans="32:33" ht="15.75" customHeight="1">
      <c r="AF4610" s="42" t="s">
        <v>7545</v>
      </c>
      <c r="AG4610" s="42" t="s">
        <v>7639</v>
      </c>
    </row>
    <row r="4611" spans="32:33" ht="15.75" customHeight="1">
      <c r="AF4611" s="42" t="s">
        <v>8233</v>
      </c>
      <c r="AG4611" s="42" t="s">
        <v>6642</v>
      </c>
    </row>
    <row r="4612" spans="32:33" ht="15.75" customHeight="1">
      <c r="AF4612" s="42" t="s">
        <v>8234</v>
      </c>
      <c r="AG4612" s="42" t="s">
        <v>6642</v>
      </c>
    </row>
    <row r="4613" spans="32:33" ht="15.75" customHeight="1">
      <c r="AF4613" s="42" t="s">
        <v>8235</v>
      </c>
      <c r="AG4613" s="42" t="s">
        <v>6642</v>
      </c>
    </row>
    <row r="4614" spans="32:33" ht="15.75" customHeight="1">
      <c r="AF4614" s="42" t="s">
        <v>8236</v>
      </c>
      <c r="AG4614" s="42" t="s">
        <v>6642</v>
      </c>
    </row>
    <row r="4615" spans="32:33" ht="15.75" customHeight="1">
      <c r="AF4615" s="42" t="s">
        <v>8237</v>
      </c>
      <c r="AG4615" s="42" t="s">
        <v>6642</v>
      </c>
    </row>
    <row r="4616" spans="32:33" ht="15.75" customHeight="1">
      <c r="AF4616" s="42" t="s">
        <v>8238</v>
      </c>
      <c r="AG4616" s="42" t="s">
        <v>6642</v>
      </c>
    </row>
    <row r="4617" spans="32:33" ht="15.75" customHeight="1">
      <c r="AF4617" s="42" t="s">
        <v>8239</v>
      </c>
      <c r="AG4617" s="42" t="s">
        <v>6642</v>
      </c>
    </row>
    <row r="4618" spans="32:33" ht="15.75" customHeight="1">
      <c r="AF4618" s="42" t="s">
        <v>7210</v>
      </c>
      <c r="AG4618" s="42" t="s">
        <v>6642</v>
      </c>
    </row>
    <row r="4619" spans="32:33" ht="15.75" customHeight="1">
      <c r="AF4619" s="42" t="s">
        <v>7202</v>
      </c>
      <c r="AG4619" s="42" t="s">
        <v>6642</v>
      </c>
    </row>
    <row r="4620" spans="32:33" ht="15.75" customHeight="1">
      <c r="AF4620" s="42" t="s">
        <v>8240</v>
      </c>
      <c r="AG4620" s="42" t="s">
        <v>6642</v>
      </c>
    </row>
    <row r="4621" spans="32:33" ht="15.75" customHeight="1">
      <c r="AF4621" s="42" t="s">
        <v>8017</v>
      </c>
      <c r="AG4621" s="42" t="s">
        <v>6642</v>
      </c>
    </row>
    <row r="4622" spans="32:33" ht="15.75" customHeight="1">
      <c r="AF4622" s="42" t="s">
        <v>8241</v>
      </c>
      <c r="AG4622" s="42" t="s">
        <v>6642</v>
      </c>
    </row>
    <row r="4623" spans="32:33" ht="15.75" customHeight="1">
      <c r="AF4623" s="42" t="s">
        <v>8242</v>
      </c>
      <c r="AG4623" s="42" t="s">
        <v>6642</v>
      </c>
    </row>
    <row r="4624" spans="32:33" ht="15.75" customHeight="1">
      <c r="AF4624" s="42" t="s">
        <v>8010</v>
      </c>
      <c r="AG4624" s="42" t="s">
        <v>6642</v>
      </c>
    </row>
    <row r="4625" spans="32:33" ht="15.75" customHeight="1">
      <c r="AF4625" s="42" t="s">
        <v>8088</v>
      </c>
      <c r="AG4625" s="42" t="s">
        <v>6642</v>
      </c>
    </row>
    <row r="4626" spans="32:33" ht="15.75" customHeight="1">
      <c r="AF4626" s="42" t="s">
        <v>8135</v>
      </c>
      <c r="AG4626" s="42" t="s">
        <v>6642</v>
      </c>
    </row>
    <row r="4627" spans="32:33" ht="15.75" customHeight="1">
      <c r="AF4627" s="42" t="s">
        <v>8013</v>
      </c>
      <c r="AG4627" s="42" t="s">
        <v>6642</v>
      </c>
    </row>
    <row r="4628" spans="32:33" ht="15.75" customHeight="1">
      <c r="AF4628" s="42" t="s">
        <v>8112</v>
      </c>
      <c r="AG4628" s="42" t="s">
        <v>6642</v>
      </c>
    </row>
    <row r="4629" spans="32:33" ht="15.75" customHeight="1">
      <c r="AF4629" s="42" t="s">
        <v>8014</v>
      </c>
      <c r="AG4629" s="42" t="s">
        <v>6642</v>
      </c>
    </row>
    <row r="4630" spans="32:33" ht="15.75" customHeight="1">
      <c r="AF4630" s="42" t="s">
        <v>8061</v>
      </c>
      <c r="AG4630" s="42" t="s">
        <v>6642</v>
      </c>
    </row>
    <row r="4631" spans="32:33" ht="15.75" customHeight="1">
      <c r="AF4631" s="42" t="s">
        <v>8113</v>
      </c>
      <c r="AG4631" s="42" t="s">
        <v>6642</v>
      </c>
    </row>
    <row r="4632" spans="32:33" ht="15.75" customHeight="1">
      <c r="AF4632" s="42" t="s">
        <v>8243</v>
      </c>
      <c r="AG4632" s="42" t="s">
        <v>6642</v>
      </c>
    </row>
    <row r="4633" spans="32:33" ht="15.75" customHeight="1">
      <c r="AF4633" s="42" t="s">
        <v>8028</v>
      </c>
      <c r="AG4633" s="42" t="s">
        <v>6642</v>
      </c>
    </row>
    <row r="4634" spans="32:33" ht="15.75" customHeight="1">
      <c r="AF4634" s="42" t="s">
        <v>8116</v>
      </c>
      <c r="AG4634" s="42" t="s">
        <v>6642</v>
      </c>
    </row>
    <row r="4635" spans="32:33" ht="15.75" customHeight="1">
      <c r="AF4635" s="42" t="s">
        <v>7997</v>
      </c>
      <c r="AG4635" s="42" t="s">
        <v>6645</v>
      </c>
    </row>
    <row r="4636" spans="32:33" ht="15.75" customHeight="1">
      <c r="AF4636" s="42" t="s">
        <v>7620</v>
      </c>
      <c r="AG4636" s="42" t="s">
        <v>7639</v>
      </c>
    </row>
    <row r="4637" spans="32:33" ht="15.75" customHeight="1">
      <c r="AF4637" s="42" t="s">
        <v>7520</v>
      </c>
      <c r="AG4637" s="42" t="s">
        <v>7639</v>
      </c>
    </row>
    <row r="4638" spans="32:33" ht="15.75" customHeight="1">
      <c r="AF4638" s="42" t="s">
        <v>7621</v>
      </c>
      <c r="AG4638" s="42" t="s">
        <v>7639</v>
      </c>
    </row>
    <row r="4639" spans="32:33" ht="15.75" customHeight="1">
      <c r="AF4639" s="42" t="s">
        <v>1306</v>
      </c>
      <c r="AG4639" s="42" t="s">
        <v>6642</v>
      </c>
    </row>
    <row r="4640" spans="32:33" ht="15.75" customHeight="1">
      <c r="AF4640" s="42" t="s">
        <v>1307</v>
      </c>
      <c r="AG4640" s="42" t="s">
        <v>6645</v>
      </c>
    </row>
    <row r="4641" spans="32:33" ht="15.75" customHeight="1">
      <c r="AF4641" s="42" t="s">
        <v>1710</v>
      </c>
      <c r="AG4641" s="42" t="s">
        <v>6645</v>
      </c>
    </row>
    <row r="4642" spans="32:33" ht="15.75" customHeight="1">
      <c r="AF4642" s="42" t="s">
        <v>1908</v>
      </c>
      <c r="AG4642" s="42" t="s">
        <v>6645</v>
      </c>
    </row>
    <row r="4643" spans="32:33" ht="15.75" customHeight="1">
      <c r="AF4643" s="42" t="s">
        <v>968</v>
      </c>
      <c r="AG4643" s="42" t="s">
        <v>6645</v>
      </c>
    </row>
    <row r="4644" spans="32:33" ht="15.75" customHeight="1">
      <c r="AF4644" s="42" t="s">
        <v>910</v>
      </c>
      <c r="AG4644" s="42" t="s">
        <v>6645</v>
      </c>
    </row>
    <row r="4645" spans="32:33" ht="15.75" customHeight="1">
      <c r="AF4645" s="42" t="s">
        <v>1743</v>
      </c>
      <c r="AG4645" s="42" t="s">
        <v>6645</v>
      </c>
    </row>
    <row r="4646" spans="32:33" ht="15.75" customHeight="1">
      <c r="AF4646" s="42" t="s">
        <v>1955</v>
      </c>
      <c r="AG4646" s="42" t="s">
        <v>6645</v>
      </c>
    </row>
    <row r="4647" spans="32:33" ht="15.75" customHeight="1">
      <c r="AF4647" s="42" t="s">
        <v>8006</v>
      </c>
      <c r="AG4647" s="42" t="s">
        <v>6642</v>
      </c>
    </row>
    <row r="4648" spans="32:33" ht="15.75" customHeight="1">
      <c r="AF4648" s="42" t="s">
        <v>7988</v>
      </c>
      <c r="AG4648" s="42" t="s">
        <v>6642</v>
      </c>
    </row>
    <row r="4649" spans="32:33" ht="15.75" customHeight="1">
      <c r="AF4649" s="42" t="s">
        <v>8122</v>
      </c>
      <c r="AG4649" s="42" t="s">
        <v>6642</v>
      </c>
    </row>
    <row r="4650" spans="32:33" ht="15.75" customHeight="1">
      <c r="AF4650" s="42" t="s">
        <v>8123</v>
      </c>
      <c r="AG4650" s="42" t="s">
        <v>6642</v>
      </c>
    </row>
    <row r="4651" spans="32:33" ht="15.75" customHeight="1">
      <c r="AF4651" s="42" t="s">
        <v>8137</v>
      </c>
      <c r="AG4651" s="42" t="s">
        <v>6642</v>
      </c>
    </row>
    <row r="4652" spans="32:33" ht="15.75" customHeight="1">
      <c r="AF4652" s="42" t="s">
        <v>8138</v>
      </c>
      <c r="AG4652" s="42" t="s">
        <v>6642</v>
      </c>
    </row>
    <row r="4653" spans="32:33" ht="15.75" customHeight="1">
      <c r="AF4653" s="42" t="s">
        <v>8057</v>
      </c>
      <c r="AG4653" s="42" t="s">
        <v>6642</v>
      </c>
    </row>
    <row r="4654" spans="32:33" ht="15.75" customHeight="1">
      <c r="AF4654" s="42" t="s">
        <v>8058</v>
      </c>
      <c r="AG4654" s="42" t="s">
        <v>6642</v>
      </c>
    </row>
    <row r="4655" spans="32:33" ht="15.75" customHeight="1">
      <c r="AF4655" s="42" t="s">
        <v>8139</v>
      </c>
      <c r="AG4655" s="42" t="s">
        <v>6642</v>
      </c>
    </row>
    <row r="4656" spans="32:33" ht="15.75" customHeight="1">
      <c r="AF4656" s="42" t="s">
        <v>8140</v>
      </c>
      <c r="AG4656" s="42" t="s">
        <v>6642</v>
      </c>
    </row>
    <row r="4657" spans="32:33" ht="15.75" customHeight="1">
      <c r="AF4657" s="42" t="s">
        <v>7981</v>
      </c>
      <c r="AG4657" s="42" t="s">
        <v>6642</v>
      </c>
    </row>
    <row r="4658" spans="32:33" ht="15.75" customHeight="1">
      <c r="AF4658" s="42" t="s">
        <v>8095</v>
      </c>
      <c r="AG4658" s="42" t="s">
        <v>6642</v>
      </c>
    </row>
    <row r="4659" spans="32:33" ht="15.75" customHeight="1">
      <c r="AF4659" s="42" t="s">
        <v>8092</v>
      </c>
      <c r="AG4659" s="42" t="s">
        <v>6642</v>
      </c>
    </row>
    <row r="4660" spans="32:33" ht="15.75" customHeight="1">
      <c r="AF4660" s="42" t="s">
        <v>8093</v>
      </c>
      <c r="AG4660" s="42" t="s">
        <v>6642</v>
      </c>
    </row>
    <row r="4661" spans="32:33" ht="15.75" customHeight="1">
      <c r="AF4661" s="42" t="s">
        <v>7979</v>
      </c>
      <c r="AG4661" s="42" t="s">
        <v>6642</v>
      </c>
    </row>
    <row r="4662" spans="32:33" ht="15.75" customHeight="1">
      <c r="AF4662" s="42" t="s">
        <v>8103</v>
      </c>
      <c r="AG4662" s="42" t="s">
        <v>6642</v>
      </c>
    </row>
    <row r="4663" spans="32:33" ht="15.75" customHeight="1">
      <c r="AF4663" s="42" t="s">
        <v>8244</v>
      </c>
      <c r="AG4663" s="42" t="s">
        <v>6642</v>
      </c>
    </row>
    <row r="4664" spans="32:33" ht="15.75" customHeight="1">
      <c r="AF4664" s="42" t="s">
        <v>8132</v>
      </c>
      <c r="AG4664" s="42" t="s">
        <v>6642</v>
      </c>
    </row>
    <row r="4665" spans="32:33" ht="15.75" customHeight="1">
      <c r="AF4665" s="42" t="s">
        <v>8133</v>
      </c>
      <c r="AG4665" s="42" t="s">
        <v>6642</v>
      </c>
    </row>
    <row r="4666" spans="32:33" ht="15.75" customHeight="1">
      <c r="AF4666" s="42" t="s">
        <v>8125</v>
      </c>
      <c r="AG4666" s="42" t="s">
        <v>6642</v>
      </c>
    </row>
    <row r="4667" spans="32:33" ht="15.75" customHeight="1">
      <c r="AF4667" s="42" t="s">
        <v>8048</v>
      </c>
      <c r="AG4667" s="42" t="s">
        <v>6642</v>
      </c>
    </row>
    <row r="4668" spans="32:33" ht="15.75" customHeight="1">
      <c r="AF4668" s="42" t="s">
        <v>8004</v>
      </c>
      <c r="AG4668" s="42" t="s">
        <v>6642</v>
      </c>
    </row>
    <row r="4669" spans="32:33" ht="15.75" customHeight="1">
      <c r="AF4669" s="42" t="s">
        <v>8111</v>
      </c>
      <c r="AG4669" s="42" t="s">
        <v>6642</v>
      </c>
    </row>
    <row r="4670" spans="32:33" ht="15.75" customHeight="1">
      <c r="AF4670" s="42" t="s">
        <v>8046</v>
      </c>
      <c r="AG4670" s="42" t="s">
        <v>6642</v>
      </c>
    </row>
    <row r="4671" spans="32:33" ht="15.75" customHeight="1">
      <c r="AF4671" s="42" t="s">
        <v>8047</v>
      </c>
      <c r="AG4671" s="42" t="s">
        <v>6642</v>
      </c>
    </row>
    <row r="4672" spans="32:33" ht="15.75" customHeight="1">
      <c r="AF4672" s="42" t="s">
        <v>8036</v>
      </c>
      <c r="AG4672" s="42" t="s">
        <v>6642</v>
      </c>
    </row>
    <row r="4673" spans="32:33" ht="15.75" customHeight="1">
      <c r="AF4673" s="42" t="s">
        <v>8037</v>
      </c>
      <c r="AG4673" s="42" t="s">
        <v>6642</v>
      </c>
    </row>
    <row r="4674" spans="32:33" ht="15.75" customHeight="1">
      <c r="AF4674" s="42" t="s">
        <v>1820</v>
      </c>
      <c r="AG4674" s="42" t="s">
        <v>6642</v>
      </c>
    </row>
    <row r="4675" spans="32:33" ht="15.75" customHeight="1">
      <c r="AF4675" s="42" t="s">
        <v>8538</v>
      </c>
      <c r="AG4675" s="42" t="s">
        <v>6642</v>
      </c>
    </row>
    <row r="4676" spans="32:33" ht="15.75" customHeight="1">
      <c r="AF4676" s="42" t="s">
        <v>7206</v>
      </c>
      <c r="AG4676" s="42" t="s">
        <v>6642</v>
      </c>
    </row>
    <row r="4677" spans="32:33" ht="15.75" customHeight="1">
      <c r="AF4677" s="42" t="s">
        <v>7222</v>
      </c>
      <c r="AG4677" s="42" t="s">
        <v>6642</v>
      </c>
    </row>
    <row r="4678" spans="32:33" ht="15.75" customHeight="1">
      <c r="AF4678" s="42" t="s">
        <v>7223</v>
      </c>
      <c r="AG4678" s="42" t="s">
        <v>6642</v>
      </c>
    </row>
    <row r="4679" spans="32:33" ht="15.75" customHeight="1">
      <c r="AF4679" s="42" t="s">
        <v>7224</v>
      </c>
      <c r="AG4679" s="42" t="s">
        <v>6642</v>
      </c>
    </row>
    <row r="4680" spans="32:33" ht="15.75" customHeight="1">
      <c r="AF4680" s="42" t="s">
        <v>7235</v>
      </c>
      <c r="AG4680" s="42" t="s">
        <v>6642</v>
      </c>
    </row>
    <row r="4681" spans="32:33" ht="15.75" customHeight="1">
      <c r="AF4681" s="42" t="s">
        <v>7229</v>
      </c>
      <c r="AG4681" s="42" t="s">
        <v>6642</v>
      </c>
    </row>
    <row r="4682" spans="32:33" ht="15.75" customHeight="1">
      <c r="AF4682" s="42" t="s">
        <v>7230</v>
      </c>
      <c r="AG4682" s="42" t="s">
        <v>6642</v>
      </c>
    </row>
    <row r="4683" spans="32:33" ht="15.75" customHeight="1">
      <c r="AF4683" s="42" t="s">
        <v>7232</v>
      </c>
      <c r="AG4683" s="42" t="s">
        <v>6642</v>
      </c>
    </row>
    <row r="4684" spans="32:33" ht="15.75" customHeight="1">
      <c r="AF4684" s="42" t="s">
        <v>7233</v>
      </c>
      <c r="AG4684" s="42" t="s">
        <v>6642</v>
      </c>
    </row>
    <row r="4685" spans="32:33" ht="15.75" customHeight="1">
      <c r="AF4685" s="42" t="s">
        <v>7200</v>
      </c>
      <c r="AG4685" s="42" t="s">
        <v>6642</v>
      </c>
    </row>
    <row r="4686" spans="32:33" ht="15.75" customHeight="1">
      <c r="AF4686" s="42" t="s">
        <v>7196</v>
      </c>
      <c r="AG4686" s="42" t="s">
        <v>6642</v>
      </c>
    </row>
    <row r="4687" spans="32:33" ht="15.75" customHeight="1">
      <c r="AF4687" s="42" t="s">
        <v>7231</v>
      </c>
      <c r="AG4687" s="42" t="s">
        <v>6642</v>
      </c>
    </row>
    <row r="4688" spans="32:33" ht="15.75" customHeight="1">
      <c r="AF4688" s="42" t="s">
        <v>7203</v>
      </c>
      <c r="AG4688" s="42" t="s">
        <v>6642</v>
      </c>
    </row>
    <row r="4689" spans="32:33" ht="15.75" customHeight="1">
      <c r="AF4689" s="42" t="s">
        <v>7204</v>
      </c>
      <c r="AG4689" s="42" t="s">
        <v>6642</v>
      </c>
    </row>
    <row r="4690" spans="32:33" ht="15.75" customHeight="1">
      <c r="AF4690" s="42" t="s">
        <v>7234</v>
      </c>
      <c r="AG4690" s="42" t="s">
        <v>6642</v>
      </c>
    </row>
    <row r="4691" spans="32:33" ht="15.75" customHeight="1">
      <c r="AF4691" s="42" t="s">
        <v>1907</v>
      </c>
      <c r="AG4691" s="42" t="s">
        <v>6642</v>
      </c>
    </row>
    <row r="4692" spans="32:33" ht="15.75" customHeight="1">
      <c r="AF4692" s="42" t="s">
        <v>5743</v>
      </c>
      <c r="AG4692" s="42" t="s">
        <v>6645</v>
      </c>
    </row>
    <row r="4693" spans="32:33" ht="15.75" customHeight="1">
      <c r="AF4693" s="42" t="s">
        <v>5755</v>
      </c>
      <c r="AG4693" s="42" t="s">
        <v>6645</v>
      </c>
    </row>
    <row r="4694" spans="32:33" ht="15.75" customHeight="1">
      <c r="AF4694" s="42" t="s">
        <v>6654</v>
      </c>
      <c r="AG4694" s="42" t="s">
        <v>6645</v>
      </c>
    </row>
    <row r="4695" spans="32:33" ht="15.75" customHeight="1">
      <c r="AF4695" s="42" t="s">
        <v>3697</v>
      </c>
      <c r="AG4695" s="42" t="s">
        <v>6645</v>
      </c>
    </row>
    <row r="4696" spans="32:33" ht="15.75" customHeight="1">
      <c r="AF4696" s="42" t="s">
        <v>5872</v>
      </c>
      <c r="AG4696" s="42" t="s">
        <v>6645</v>
      </c>
    </row>
    <row r="4697" spans="32:33" ht="15.75" customHeight="1">
      <c r="AF4697" s="42" t="s">
        <v>4153</v>
      </c>
      <c r="AG4697" s="42" t="s">
        <v>6645</v>
      </c>
    </row>
    <row r="4698" spans="32:33" ht="15.75" customHeight="1">
      <c r="AF4698" s="42" t="s">
        <v>6723</v>
      </c>
      <c r="AG4698" s="42" t="s">
        <v>6645</v>
      </c>
    </row>
    <row r="4699" spans="32:33" ht="15.75" customHeight="1">
      <c r="AF4699" s="42" t="s">
        <v>5775</v>
      </c>
      <c r="AG4699" s="42" t="s">
        <v>6645</v>
      </c>
    </row>
    <row r="4700" spans="32:33" ht="15.75" customHeight="1">
      <c r="AF4700" s="42" t="s">
        <v>2775</v>
      </c>
      <c r="AG4700" s="42" t="s">
        <v>6642</v>
      </c>
    </row>
    <row r="4701" spans="32:33" ht="15.75" customHeight="1">
      <c r="AF4701" s="42" t="s">
        <v>2434</v>
      </c>
      <c r="AG4701" s="42" t="s">
        <v>6642</v>
      </c>
    </row>
    <row r="4702" spans="32:33" ht="15.75" customHeight="1">
      <c r="AF4702" s="42" t="s">
        <v>4235</v>
      </c>
      <c r="AG4702" s="42" t="s">
        <v>6642</v>
      </c>
    </row>
    <row r="4703" spans="32:33" ht="15.75" customHeight="1">
      <c r="AF4703" s="42" t="s">
        <v>2556</v>
      </c>
      <c r="AG4703" s="42" t="s">
        <v>6642</v>
      </c>
    </row>
    <row r="4704" spans="32:33" ht="15.75" customHeight="1">
      <c r="AF4704" s="42" t="s">
        <v>2453</v>
      </c>
      <c r="AG4704" s="42" t="s">
        <v>6642</v>
      </c>
    </row>
    <row r="4705" spans="32:33" ht="15.75" customHeight="1">
      <c r="AF4705" s="42" t="s">
        <v>2458</v>
      </c>
      <c r="AG4705" s="42" t="s">
        <v>6642</v>
      </c>
    </row>
    <row r="4706" spans="32:33" ht="15.75" customHeight="1">
      <c r="AF4706" s="42" t="s">
        <v>2214</v>
      </c>
      <c r="AG4706" s="42" t="s">
        <v>6642</v>
      </c>
    </row>
    <row r="4707" spans="32:33" ht="15.75" customHeight="1">
      <c r="AF4707" s="42" t="s">
        <v>6342</v>
      </c>
      <c r="AG4707" s="42" t="s">
        <v>6642</v>
      </c>
    </row>
    <row r="4708" spans="32:33" ht="15.75" customHeight="1">
      <c r="AF4708" s="42" t="s">
        <v>2612</v>
      </c>
      <c r="AG4708" s="42" t="s">
        <v>6642</v>
      </c>
    </row>
    <row r="4709" spans="32:33" ht="15.75" customHeight="1">
      <c r="AF4709" s="42" t="s">
        <v>2613</v>
      </c>
      <c r="AG4709" s="42" t="s">
        <v>6642</v>
      </c>
    </row>
    <row r="4710" spans="32:33" ht="15.75" customHeight="1">
      <c r="AF4710" s="42" t="s">
        <v>4991</v>
      </c>
      <c r="AG4710" s="42" t="s">
        <v>6642</v>
      </c>
    </row>
    <row r="4711" spans="32:33" ht="15.75" customHeight="1">
      <c r="AF4711" s="42" t="s">
        <v>2704</v>
      </c>
      <c r="AG4711" s="42" t="s">
        <v>6642</v>
      </c>
    </row>
    <row r="4712" spans="32:33" ht="15.75" customHeight="1">
      <c r="AF4712" s="42" t="s">
        <v>970</v>
      </c>
      <c r="AG4712" s="42" t="s">
        <v>6642</v>
      </c>
    </row>
    <row r="4713" spans="32:33" ht="15.75" customHeight="1">
      <c r="AF4713" s="42" t="s">
        <v>2681</v>
      </c>
      <c r="AG4713" s="42" t="s">
        <v>6642</v>
      </c>
    </row>
    <row r="4714" spans="32:33" ht="15.75" customHeight="1">
      <c r="AF4714" s="42" t="s">
        <v>6030</v>
      </c>
      <c r="AG4714" s="42" t="s">
        <v>6642</v>
      </c>
    </row>
    <row r="4715" spans="32:33" ht="15.75" customHeight="1">
      <c r="AF4715" s="42" t="s">
        <v>2626</v>
      </c>
      <c r="AG4715" s="42" t="s">
        <v>6642</v>
      </c>
    </row>
    <row r="4716" spans="32:33" ht="15.75" customHeight="1">
      <c r="AF4716" s="42" t="s">
        <v>903</v>
      </c>
      <c r="AG4716" s="42" t="s">
        <v>6642</v>
      </c>
    </row>
    <row r="4717" spans="32:33" ht="15.75" customHeight="1">
      <c r="AF4717" s="42" t="s">
        <v>911</v>
      </c>
      <c r="AG4717" s="42" t="s">
        <v>6642</v>
      </c>
    </row>
    <row r="4718" spans="32:33" ht="15.75" customHeight="1">
      <c r="AF4718" s="42" t="s">
        <v>1978</v>
      </c>
      <c r="AG4718" s="42" t="s">
        <v>6642</v>
      </c>
    </row>
    <row r="4719" spans="32:33" ht="15.75" customHeight="1">
      <c r="AF4719" s="42" t="s">
        <v>1744</v>
      </c>
      <c r="AG4719" s="42" t="s">
        <v>6642</v>
      </c>
    </row>
    <row r="4720" spans="32:33" ht="15.75" customHeight="1">
      <c r="AF4720" s="42" t="s">
        <v>8066</v>
      </c>
      <c r="AG4720" s="42" t="s">
        <v>6642</v>
      </c>
    </row>
    <row r="4721" spans="32:33" ht="15.75" customHeight="1">
      <c r="AF4721" s="42" t="s">
        <v>8071</v>
      </c>
      <c r="AG4721" s="42" t="s">
        <v>6642</v>
      </c>
    </row>
    <row r="4722" spans="32:33" ht="15.75" customHeight="1">
      <c r="AF4722" s="42" t="s">
        <v>8134</v>
      </c>
      <c r="AG4722" s="42" t="s">
        <v>6642</v>
      </c>
    </row>
    <row r="4723" spans="32:33" ht="15.75" customHeight="1">
      <c r="AF4723" s="42" t="s">
        <v>8053</v>
      </c>
      <c r="AG4723" s="42" t="s">
        <v>6642</v>
      </c>
    </row>
    <row r="4724" spans="32:33" ht="15.75" customHeight="1">
      <c r="AF4724" s="42" t="s">
        <v>8101</v>
      </c>
      <c r="AG4724" s="42" t="s">
        <v>6642</v>
      </c>
    </row>
    <row r="4725" spans="32:33" ht="15.75" customHeight="1">
      <c r="AF4725" s="42" t="s">
        <v>8067</v>
      </c>
      <c r="AG4725" s="42" t="s">
        <v>6642</v>
      </c>
    </row>
    <row r="4726" spans="32:33" ht="15.75" customHeight="1">
      <c r="AF4726" s="42" t="s">
        <v>8124</v>
      </c>
      <c r="AG4726" s="42" t="s">
        <v>6642</v>
      </c>
    </row>
    <row r="4727" spans="32:33" ht="15.75" customHeight="1">
      <c r="AF4727" s="42" t="s">
        <v>8054</v>
      </c>
      <c r="AG4727" s="42" t="s">
        <v>6642</v>
      </c>
    </row>
    <row r="4728" spans="32:33" ht="15.75" customHeight="1">
      <c r="AF4728" s="42" t="s">
        <v>8001</v>
      </c>
      <c r="AG4728" s="42" t="s">
        <v>6642</v>
      </c>
    </row>
    <row r="4729" spans="32:33" ht="15.75" customHeight="1">
      <c r="AF4729" s="42" t="s">
        <v>8143</v>
      </c>
      <c r="AG4729" s="42" t="s">
        <v>6642</v>
      </c>
    </row>
    <row r="4730" spans="32:33" ht="15.75" customHeight="1">
      <c r="AF4730" s="42" t="s">
        <v>8105</v>
      </c>
      <c r="AG4730" s="42" t="s">
        <v>6642</v>
      </c>
    </row>
    <row r="4731" spans="32:33" ht="15.75" customHeight="1">
      <c r="AF4731" s="42" t="s">
        <v>7971</v>
      </c>
      <c r="AG4731" s="42" t="s">
        <v>6642</v>
      </c>
    </row>
    <row r="4732" spans="32:33" ht="15.75" customHeight="1">
      <c r="AF4732" s="42" t="s">
        <v>8245</v>
      </c>
      <c r="AG4732" s="42" t="s">
        <v>6642</v>
      </c>
    </row>
    <row r="4733" spans="32:33" ht="15.75" customHeight="1">
      <c r="AF4733" s="42" t="s">
        <v>8079</v>
      </c>
      <c r="AG4733" s="42" t="s">
        <v>6642</v>
      </c>
    </row>
    <row r="4734" spans="32:33" ht="15.75" customHeight="1">
      <c r="AF4734" s="42" t="s">
        <v>8081</v>
      </c>
      <c r="AG4734" s="42" t="s">
        <v>6642</v>
      </c>
    </row>
    <row r="4735" spans="32:33" ht="15.75" customHeight="1">
      <c r="AF4735" s="42" t="s">
        <v>8016</v>
      </c>
      <c r="AG4735" s="42" t="s">
        <v>6642</v>
      </c>
    </row>
    <row r="4736" spans="32:33" ht="15.75" customHeight="1">
      <c r="AF4736" s="42" t="s">
        <v>8118</v>
      </c>
      <c r="AG4736" s="42" t="s">
        <v>6642</v>
      </c>
    </row>
    <row r="4737" spans="32:33" ht="15.75" customHeight="1">
      <c r="AF4737" s="42" t="s">
        <v>8024</v>
      </c>
      <c r="AG4737" s="42" t="s">
        <v>6642</v>
      </c>
    </row>
    <row r="4738" spans="32:33" ht="15.75" customHeight="1">
      <c r="AF4738" s="42" t="s">
        <v>8060</v>
      </c>
      <c r="AG4738" s="42" t="s">
        <v>6642</v>
      </c>
    </row>
    <row r="4739" spans="32:33" ht="15.75" customHeight="1">
      <c r="AF4739" s="42" t="s">
        <v>8050</v>
      </c>
      <c r="AG4739" s="42" t="s">
        <v>6642</v>
      </c>
    </row>
    <row r="4740" spans="32:33" ht="15.75" customHeight="1">
      <c r="AF4740" s="42" t="s">
        <v>8246</v>
      </c>
      <c r="AG4740" s="42" t="s">
        <v>6642</v>
      </c>
    </row>
    <row r="4741" spans="32:33" ht="15.75" customHeight="1">
      <c r="AF4741" s="42" t="s">
        <v>7642</v>
      </c>
      <c r="AG4741" s="42" t="s">
        <v>6642</v>
      </c>
    </row>
    <row r="4742" spans="32:33" ht="15.75" customHeight="1">
      <c r="AF4742" s="42" t="s">
        <v>7977</v>
      </c>
      <c r="AG4742" s="42" t="s">
        <v>6642</v>
      </c>
    </row>
    <row r="4743" spans="32:33" ht="15.75" customHeight="1">
      <c r="AF4743" s="42" t="s">
        <v>8059</v>
      </c>
      <c r="AG4743" s="42" t="s">
        <v>6642</v>
      </c>
    </row>
    <row r="4744" spans="32:33" ht="15.75" customHeight="1">
      <c r="AF4744" s="42" t="s">
        <v>7991</v>
      </c>
      <c r="AG4744" s="42" t="s">
        <v>6642</v>
      </c>
    </row>
    <row r="4745" spans="32:33" ht="15.75" customHeight="1">
      <c r="AF4745" s="42" t="s">
        <v>8034</v>
      </c>
      <c r="AG4745" s="42" t="s">
        <v>6642</v>
      </c>
    </row>
    <row r="4746" spans="32:33" ht="15.75" customHeight="1">
      <c r="AF4746" s="42" t="s">
        <v>8074</v>
      </c>
      <c r="AG4746" s="42" t="s">
        <v>6642</v>
      </c>
    </row>
    <row r="4747" spans="32:33" ht="15.75" customHeight="1">
      <c r="AF4747" s="42" t="s">
        <v>8035</v>
      </c>
      <c r="AG4747" s="42" t="s">
        <v>6642</v>
      </c>
    </row>
    <row r="4748" spans="32:33" ht="15.75" customHeight="1">
      <c r="AF4748" s="42" t="s">
        <v>8114</v>
      </c>
      <c r="AG4748" s="42" t="s">
        <v>6642</v>
      </c>
    </row>
    <row r="4749" spans="32:33" ht="15.75" customHeight="1">
      <c r="AF4749" s="42" t="s">
        <v>8025</v>
      </c>
      <c r="AG4749" s="42" t="s">
        <v>6642</v>
      </c>
    </row>
    <row r="4750" spans="32:33" ht="15.75" customHeight="1">
      <c r="AF4750" s="42" t="s">
        <v>7990</v>
      </c>
      <c r="AG4750" s="42" t="s">
        <v>6642</v>
      </c>
    </row>
    <row r="4751" spans="32:33" ht="15.75" customHeight="1">
      <c r="AF4751" s="42" t="s">
        <v>8091</v>
      </c>
      <c r="AG4751" s="42" t="s">
        <v>6642</v>
      </c>
    </row>
    <row r="4752" spans="32:33" ht="15.75" customHeight="1">
      <c r="AF4752" s="42" t="s">
        <v>7985</v>
      </c>
      <c r="AG4752" s="42" t="s">
        <v>6642</v>
      </c>
    </row>
    <row r="4753" spans="32:33" ht="15.75" customHeight="1">
      <c r="AF4753" s="42" t="s">
        <v>8049</v>
      </c>
      <c r="AG4753" s="42" t="s">
        <v>6642</v>
      </c>
    </row>
    <row r="4754" spans="32:33" ht="15.75" customHeight="1">
      <c r="AF4754" s="42" t="s">
        <v>8056</v>
      </c>
      <c r="AG4754" s="42" t="s">
        <v>6642</v>
      </c>
    </row>
    <row r="4755" spans="32:33" ht="15.75" customHeight="1">
      <c r="AF4755" s="42" t="s">
        <v>8029</v>
      </c>
      <c r="AG4755" s="42" t="s">
        <v>6642</v>
      </c>
    </row>
    <row r="4756" spans="32:33" ht="15.75" customHeight="1">
      <c r="AF4756" s="42" t="s">
        <v>8042</v>
      </c>
      <c r="AG4756" s="42" t="s">
        <v>6642</v>
      </c>
    </row>
    <row r="4757" spans="32:33" ht="15.75" customHeight="1">
      <c r="AF4757" s="42" t="s">
        <v>7995</v>
      </c>
      <c r="AG4757" s="42" t="s">
        <v>6642</v>
      </c>
    </row>
    <row r="4758" spans="32:33" ht="15.75" customHeight="1">
      <c r="AF4758" s="42" t="s">
        <v>8117</v>
      </c>
      <c r="AG4758" s="42" t="s">
        <v>6642</v>
      </c>
    </row>
    <row r="4759" spans="32:33" ht="15.75" customHeight="1">
      <c r="AF4759" s="42" t="s">
        <v>8096</v>
      </c>
      <c r="AG4759" s="42" t="s">
        <v>6642</v>
      </c>
    </row>
    <row r="4760" spans="32:33" ht="15.75" customHeight="1">
      <c r="AF4760" s="42" t="s">
        <v>8099</v>
      </c>
      <c r="AG4760" s="42" t="s">
        <v>6642</v>
      </c>
    </row>
    <row r="4761" spans="32:33" ht="15.75" customHeight="1">
      <c r="AF4761" s="42" t="s">
        <v>8077</v>
      </c>
      <c r="AG4761" s="42" t="s">
        <v>6642</v>
      </c>
    </row>
    <row r="4762" spans="32:33" ht="15.75" customHeight="1">
      <c r="AF4762" s="42" t="s">
        <v>8131</v>
      </c>
      <c r="AG4762" s="42" t="s">
        <v>6642</v>
      </c>
    </row>
    <row r="4763" spans="32:33" ht="15.75" customHeight="1">
      <c r="AF4763" s="42" t="s">
        <v>7976</v>
      </c>
      <c r="AG4763" s="42" t="s">
        <v>6642</v>
      </c>
    </row>
    <row r="4764" spans="32:33" ht="15.75" customHeight="1">
      <c r="AF4764" s="42" t="s">
        <v>8027</v>
      </c>
      <c r="AG4764" s="42" t="s">
        <v>6642</v>
      </c>
    </row>
    <row r="4765" spans="32:33" ht="15.75" customHeight="1">
      <c r="AF4765" s="42" t="s">
        <v>8119</v>
      </c>
      <c r="AG4765" s="42" t="s">
        <v>6642</v>
      </c>
    </row>
    <row r="4766" spans="32:33" ht="15.75" customHeight="1">
      <c r="AF4766" s="42" t="s">
        <v>7994</v>
      </c>
      <c r="AG4766" s="42" t="s">
        <v>6642</v>
      </c>
    </row>
    <row r="4767" spans="32:33" ht="15.75" customHeight="1">
      <c r="AF4767" s="42" t="s">
        <v>7970</v>
      </c>
      <c r="AG4767" s="42" t="s">
        <v>6642</v>
      </c>
    </row>
    <row r="4768" spans="32:33" ht="15.75" customHeight="1">
      <c r="AF4768" s="42" t="s">
        <v>8120</v>
      </c>
      <c r="AG4768" s="42" t="s">
        <v>6642</v>
      </c>
    </row>
    <row r="4769" spans="32:33" ht="15.75" customHeight="1">
      <c r="AF4769" s="42" t="s">
        <v>8030</v>
      </c>
      <c r="AG4769" s="42" t="s">
        <v>6642</v>
      </c>
    </row>
    <row r="4770" spans="32:33" ht="15.75" customHeight="1">
      <c r="AF4770" s="42" t="s">
        <v>8039</v>
      </c>
      <c r="AG4770" s="42" t="s">
        <v>6642</v>
      </c>
    </row>
    <row r="4771" spans="32:33" ht="15.75" customHeight="1">
      <c r="AF4771" s="42" t="s">
        <v>8098</v>
      </c>
      <c r="AG4771" s="42" t="s">
        <v>6642</v>
      </c>
    </row>
    <row r="4772" spans="32:33" ht="15.75" customHeight="1">
      <c r="AF4772" s="42" t="s">
        <v>8026</v>
      </c>
      <c r="AG4772" s="42" t="s">
        <v>6642</v>
      </c>
    </row>
    <row r="4773" spans="32:33" ht="15.75" customHeight="1">
      <c r="AF4773" s="42" t="s">
        <v>7992</v>
      </c>
      <c r="AG4773" s="42" t="s">
        <v>6642</v>
      </c>
    </row>
    <row r="4774" spans="32:33" ht="15.75" customHeight="1">
      <c r="AF4774" s="42" t="s">
        <v>8100</v>
      </c>
      <c r="AG4774" s="42" t="s">
        <v>6642</v>
      </c>
    </row>
    <row r="4775" spans="32:33" ht="15.75" customHeight="1">
      <c r="AF4775" s="42" t="s">
        <v>8064</v>
      </c>
      <c r="AG4775" s="42" t="s">
        <v>6642</v>
      </c>
    </row>
    <row r="4776" spans="32:33" ht="15.75" customHeight="1">
      <c r="AF4776" s="42" t="s">
        <v>8130</v>
      </c>
      <c r="AG4776" s="42" t="s">
        <v>6642</v>
      </c>
    </row>
    <row r="4777" spans="32:33" ht="15.75" customHeight="1">
      <c r="AF4777" s="42" t="s">
        <v>8108</v>
      </c>
      <c r="AG4777" s="42" t="s">
        <v>6642</v>
      </c>
    </row>
    <row r="4778" spans="32:33" ht="15.75" customHeight="1">
      <c r="AF4778" s="42" t="s">
        <v>8076</v>
      </c>
      <c r="AG4778" s="42" t="s">
        <v>6642</v>
      </c>
    </row>
    <row r="4779" spans="32:33" ht="15.75" customHeight="1">
      <c r="AF4779" s="42" t="s">
        <v>8107</v>
      </c>
      <c r="AG4779" s="42" t="s">
        <v>6642</v>
      </c>
    </row>
    <row r="4780" spans="32:33" ht="15.75" customHeight="1">
      <c r="AF4780" s="42" t="s">
        <v>8019</v>
      </c>
      <c r="AG4780" s="42" t="s">
        <v>6642</v>
      </c>
    </row>
    <row r="4781" spans="32:33" ht="15.75" customHeight="1">
      <c r="AF4781" s="42" t="s">
        <v>8040</v>
      </c>
      <c r="AG4781" s="42" t="s">
        <v>6642</v>
      </c>
    </row>
    <row r="4782" spans="32:33" ht="15.75" customHeight="1">
      <c r="AF4782" s="42" t="s">
        <v>8121</v>
      </c>
      <c r="AG4782" s="42" t="s">
        <v>6642</v>
      </c>
    </row>
    <row r="4783" spans="32:33" ht="15.75" customHeight="1">
      <c r="AF4783" s="42" t="s">
        <v>8247</v>
      </c>
      <c r="AG4783" s="42" t="s">
        <v>6645</v>
      </c>
    </row>
    <row r="4784" spans="32:33" ht="15.75" customHeight="1">
      <c r="AF4784" s="42" t="s">
        <v>1366</v>
      </c>
      <c r="AG4784" s="42" t="s">
        <v>6645</v>
      </c>
    </row>
    <row r="4785" spans="32:33" ht="15.75" customHeight="1">
      <c r="AF4785" s="42" t="s">
        <v>2284</v>
      </c>
      <c r="AG4785" s="42" t="s">
        <v>6645</v>
      </c>
    </row>
    <row r="4786" spans="32:33" ht="15.75" customHeight="1">
      <c r="AF4786" s="42" t="s">
        <v>5729</v>
      </c>
      <c r="AG4786" s="42" t="s">
        <v>6642</v>
      </c>
    </row>
    <row r="4787" spans="32:33" ht="15.75" customHeight="1">
      <c r="AF4787" s="42" t="s">
        <v>1008</v>
      </c>
      <c r="AG4787" s="42" t="s">
        <v>6642</v>
      </c>
    </row>
    <row r="4788" spans="32:33" ht="15.75" customHeight="1">
      <c r="AF4788" s="42" t="s">
        <v>3698</v>
      </c>
      <c r="AG4788" s="42" t="s">
        <v>6642</v>
      </c>
    </row>
    <row r="4789" spans="32:33" ht="15.75" customHeight="1">
      <c r="AF4789" s="42" t="s">
        <v>4695</v>
      </c>
      <c r="AG4789" s="42" t="s">
        <v>6642</v>
      </c>
    </row>
    <row r="4790" spans="32:33" ht="15.75" customHeight="1">
      <c r="AF4790" s="42" t="s">
        <v>3544</v>
      </c>
      <c r="AG4790" s="42" t="s">
        <v>6642</v>
      </c>
    </row>
    <row r="4791" spans="32:33" ht="15.75" customHeight="1">
      <c r="AF4791" s="42" t="s">
        <v>3678</v>
      </c>
      <c r="AG4791" s="42" t="s">
        <v>6642</v>
      </c>
    </row>
    <row r="4792" spans="32:33" ht="15.75" customHeight="1">
      <c r="AF4792" s="42" t="s">
        <v>3880</v>
      </c>
      <c r="AG4792" s="42" t="s">
        <v>6642</v>
      </c>
    </row>
    <row r="4793" spans="32:33" ht="15.75" customHeight="1">
      <c r="AF4793" s="42" t="s">
        <v>3161</v>
      </c>
      <c r="AG4793" s="42" t="s">
        <v>6642</v>
      </c>
    </row>
    <row r="4794" spans="32:33" ht="15.75" customHeight="1">
      <c r="AF4794" s="42" t="s">
        <v>3115</v>
      </c>
      <c r="AG4794" s="42" t="s">
        <v>6642</v>
      </c>
    </row>
    <row r="4795" spans="32:33" ht="15.75" customHeight="1">
      <c r="AF4795" s="42" t="s">
        <v>5776</v>
      </c>
      <c r="AG4795" s="42" t="s">
        <v>6642</v>
      </c>
    </row>
    <row r="4796" spans="32:33" ht="15.75" customHeight="1">
      <c r="AF4796" s="42" t="s">
        <v>3618</v>
      </c>
      <c r="AG4796" s="42" t="s">
        <v>6642</v>
      </c>
    </row>
    <row r="4797" spans="32:33" ht="15.75" customHeight="1">
      <c r="AF4797" s="42" t="s">
        <v>5774</v>
      </c>
      <c r="AG4797" s="42" t="s">
        <v>6642</v>
      </c>
    </row>
    <row r="4798" spans="32:33" ht="15.75" customHeight="1">
      <c r="AF4798" s="42" t="s">
        <v>5756</v>
      </c>
      <c r="AG4798" s="42" t="s">
        <v>6642</v>
      </c>
    </row>
    <row r="4799" spans="32:33" ht="15.75" customHeight="1">
      <c r="AF4799" s="42" t="s">
        <v>4409</v>
      </c>
      <c r="AG4799" s="42" t="s">
        <v>6642</v>
      </c>
    </row>
    <row r="4800" spans="32:33" ht="15.75" customHeight="1">
      <c r="AF4800" s="42" t="s">
        <v>2304</v>
      </c>
      <c r="AG4800" s="42" t="s">
        <v>6642</v>
      </c>
    </row>
    <row r="4801" spans="32:33" ht="15.75" customHeight="1">
      <c r="AF4801" s="42" t="s">
        <v>3029</v>
      </c>
      <c r="AG4801" s="42" t="s">
        <v>6642</v>
      </c>
    </row>
    <row r="4802" spans="32:33" ht="15.75" customHeight="1">
      <c r="AF4802" s="42" t="s">
        <v>3297</v>
      </c>
      <c r="AG4802" s="42" t="s">
        <v>6642</v>
      </c>
    </row>
    <row r="4803" spans="32:33" ht="15.75" customHeight="1">
      <c r="AF4803" s="42" t="s">
        <v>5742</v>
      </c>
      <c r="AG4803" s="42" t="s">
        <v>6642</v>
      </c>
    </row>
    <row r="4804" spans="32:33" ht="15.75" customHeight="1">
      <c r="AF4804" s="42" t="s">
        <v>4743</v>
      </c>
      <c r="AG4804" s="42" t="s">
        <v>6642</v>
      </c>
    </row>
    <row r="4805" spans="32:33" ht="15.75" customHeight="1">
      <c r="AF4805" s="42" t="s">
        <v>5754</v>
      </c>
      <c r="AG4805" s="42" t="s">
        <v>6642</v>
      </c>
    </row>
    <row r="4806" spans="32:33" ht="15.75" customHeight="1">
      <c r="AF4806" s="42" t="s">
        <v>5728</v>
      </c>
      <c r="AG4806" s="42" t="s">
        <v>6642</v>
      </c>
    </row>
    <row r="4807" spans="32:33" ht="15.75" customHeight="1">
      <c r="AF4807" s="42" t="s">
        <v>3952</v>
      </c>
      <c r="AG4807" s="42" t="s">
        <v>6642</v>
      </c>
    </row>
    <row r="4808" spans="32:33" ht="15.75" customHeight="1">
      <c r="AF4808" s="42" t="s">
        <v>6291</v>
      </c>
      <c r="AG4808" s="42" t="s">
        <v>6642</v>
      </c>
    </row>
    <row r="4809" spans="32:33" ht="15.75" customHeight="1">
      <c r="AF4809" s="42" t="s">
        <v>1251</v>
      </c>
      <c r="AG4809" s="42" t="s">
        <v>6642</v>
      </c>
    </row>
    <row r="4810" spans="32:33" ht="15.75" customHeight="1">
      <c r="AF4810" s="42" t="s">
        <v>5171</v>
      </c>
      <c r="AG4810" s="42" t="s">
        <v>6642</v>
      </c>
    </row>
    <row r="4811" spans="32:33" ht="15.75" customHeight="1">
      <c r="AF4811" s="42" t="s">
        <v>2139</v>
      </c>
      <c r="AG4811" s="42" t="s">
        <v>6642</v>
      </c>
    </row>
    <row r="4812" spans="32:33" ht="15.75" customHeight="1">
      <c r="AF4812" s="42" t="s">
        <v>5519</v>
      </c>
      <c r="AG4812" s="42" t="s">
        <v>6642</v>
      </c>
    </row>
    <row r="4813" spans="32:33" ht="15.75" customHeight="1">
      <c r="AF4813" s="42" t="s">
        <v>4874</v>
      </c>
      <c r="AG4813" s="42" t="s">
        <v>6642</v>
      </c>
    </row>
    <row r="4814" spans="32:33" ht="15.75" customHeight="1">
      <c r="AF4814" s="42" t="s">
        <v>4875</v>
      </c>
      <c r="AG4814" s="42" t="s">
        <v>6642</v>
      </c>
    </row>
    <row r="4815" spans="32:33" ht="15.75" customHeight="1">
      <c r="AF4815" s="42" t="s">
        <v>5518</v>
      </c>
      <c r="AG4815" s="42" t="s">
        <v>6642</v>
      </c>
    </row>
    <row r="4816" spans="32:33" ht="15.75" customHeight="1">
      <c r="AF4816" s="42" t="s">
        <v>1253</v>
      </c>
      <c r="AG4816" s="42" t="s">
        <v>6645</v>
      </c>
    </row>
    <row r="4817" spans="32:33" ht="15.75" customHeight="1">
      <c r="AF4817" s="42" t="s">
        <v>993</v>
      </c>
      <c r="AG4817" s="42" t="s">
        <v>6645</v>
      </c>
    </row>
    <row r="4818" spans="32:33" ht="15.75" customHeight="1">
      <c r="AF4818" s="42" t="s">
        <v>1877</v>
      </c>
      <c r="AG4818" s="42" t="s">
        <v>6645</v>
      </c>
    </row>
    <row r="4819" spans="32:33" ht="15.75" customHeight="1">
      <c r="AF4819" s="42" t="s">
        <v>4410</v>
      </c>
      <c r="AG4819" s="42" t="s">
        <v>6645</v>
      </c>
    </row>
    <row r="4820" spans="32:33" ht="15.75" customHeight="1">
      <c r="AF4820" s="42" t="s">
        <v>7622</v>
      </c>
      <c r="AG4820" s="42" t="s">
        <v>7639</v>
      </c>
    </row>
    <row r="4821" spans="32:33" ht="15.75" customHeight="1">
      <c r="AF4821" s="42" t="s">
        <v>7537</v>
      </c>
      <c r="AG4821" s="42" t="s">
        <v>7639</v>
      </c>
    </row>
    <row r="4822" spans="32:33" ht="15.75" customHeight="1">
      <c r="AF4822" s="42" t="s">
        <v>7539</v>
      </c>
      <c r="AG4822" s="42" t="s">
        <v>7639</v>
      </c>
    </row>
    <row r="4823" spans="32:33" ht="15.75" customHeight="1">
      <c r="AF4823" s="42" t="s">
        <v>7623</v>
      </c>
      <c r="AG4823" s="42" t="s">
        <v>7639</v>
      </c>
    </row>
    <row r="4824" spans="32:33" ht="15.75" customHeight="1">
      <c r="AF4824" s="42" t="s">
        <v>7519</v>
      </c>
      <c r="AG4824" s="42" t="s">
        <v>7639</v>
      </c>
    </row>
    <row r="4825" spans="32:33" ht="15.75" customHeight="1">
      <c r="AF4825" s="42" t="s">
        <v>7540</v>
      </c>
      <c r="AG4825" s="42" t="s">
        <v>7639</v>
      </c>
    </row>
    <row r="4826" spans="32:33" ht="15.75" customHeight="1">
      <c r="AF4826" s="42" t="s">
        <v>7624</v>
      </c>
      <c r="AG4826" s="42" t="s">
        <v>7639</v>
      </c>
    </row>
    <row r="4827" spans="32:33" ht="15.75" customHeight="1">
      <c r="AF4827" s="42" t="s">
        <v>7542</v>
      </c>
      <c r="AG4827" s="42" t="s">
        <v>7639</v>
      </c>
    </row>
    <row r="4828" spans="32:33" ht="15.75" customHeight="1">
      <c r="AF4828" s="42" t="s">
        <v>7214</v>
      </c>
      <c r="AG4828" s="42" t="s">
        <v>6642</v>
      </c>
    </row>
    <row r="4829" spans="32:33" ht="15.75" customHeight="1">
      <c r="AF4829" s="42" t="s">
        <v>7215</v>
      </c>
      <c r="AG4829" s="42" t="s">
        <v>6642</v>
      </c>
    </row>
    <row r="4830" spans="32:33" ht="15.75" customHeight="1">
      <c r="AF4830" s="42" t="s">
        <v>4451</v>
      </c>
      <c r="AG4830" s="42" t="s">
        <v>6642</v>
      </c>
    </row>
    <row r="4831" spans="32:33" ht="15.75" customHeight="1">
      <c r="AF4831" s="42" t="s">
        <v>4452</v>
      </c>
      <c r="AG4831" s="42" t="s">
        <v>6642</v>
      </c>
    </row>
    <row r="4832" spans="32:33" ht="15.75" customHeight="1">
      <c r="AF4832" s="42" t="s">
        <v>2625</v>
      </c>
      <c r="AG4832" s="42" t="s">
        <v>6642</v>
      </c>
    </row>
    <row r="4833" spans="32:33" ht="15.75" customHeight="1">
      <c r="AF4833" s="42" t="s">
        <v>2633</v>
      </c>
      <c r="AG4833" s="42" t="s">
        <v>6642</v>
      </c>
    </row>
    <row r="4834" spans="32:33" ht="15.75" customHeight="1">
      <c r="AF4834" s="42" t="s">
        <v>2724</v>
      </c>
      <c r="AG4834" s="42" t="s">
        <v>6642</v>
      </c>
    </row>
    <row r="4835" spans="32:33" ht="15.75" customHeight="1">
      <c r="AF4835" s="42" t="s">
        <v>5795</v>
      </c>
      <c r="AG4835" s="42" t="s">
        <v>6642</v>
      </c>
    </row>
    <row r="4836" spans="32:33" ht="15.75" customHeight="1">
      <c r="AF4836" s="42" t="s">
        <v>3612</v>
      </c>
      <c r="AG4836" s="42" t="s">
        <v>6642</v>
      </c>
    </row>
    <row r="4837" spans="32:33" ht="15.75" customHeight="1">
      <c r="AF4837" s="42" t="s">
        <v>1695</v>
      </c>
      <c r="AG4837" s="42" t="s">
        <v>6642</v>
      </c>
    </row>
    <row r="4838" spans="32:33" ht="15.75" customHeight="1">
      <c r="AF4838" s="42" t="s">
        <v>1352</v>
      </c>
      <c r="AG4838" s="42" t="s">
        <v>6642</v>
      </c>
    </row>
    <row r="4839" spans="32:33" ht="15.75" customHeight="1">
      <c r="AF4839" s="42" t="s">
        <v>2976</v>
      </c>
      <c r="AG4839" s="42" t="s">
        <v>6642</v>
      </c>
    </row>
    <row r="4840" spans="32:33" ht="15.75" customHeight="1">
      <c r="AF4840" s="42" t="s">
        <v>2253</v>
      </c>
      <c r="AG4840" s="42" t="s">
        <v>6642</v>
      </c>
    </row>
    <row r="4841" spans="32:33" ht="15.75" customHeight="1">
      <c r="AF4841" s="42" t="s">
        <v>5861</v>
      </c>
      <c r="AG4841" s="42" t="s">
        <v>6642</v>
      </c>
    </row>
    <row r="4842" spans="32:33" ht="15.75" customHeight="1">
      <c r="AF4842" s="42" t="s">
        <v>2814</v>
      </c>
      <c r="AG4842" s="42" t="s">
        <v>6642</v>
      </c>
    </row>
    <row r="4843" spans="32:33" ht="15.75" customHeight="1">
      <c r="AF4843" s="42" t="s">
        <v>1926</v>
      </c>
      <c r="AG4843" s="42" t="s">
        <v>6642</v>
      </c>
    </row>
    <row r="4844" spans="32:33" ht="15.75" customHeight="1">
      <c r="AF4844" s="42" t="s">
        <v>1898</v>
      </c>
      <c r="AG4844" s="42" t="s">
        <v>6642</v>
      </c>
    </row>
    <row r="4845" spans="32:33" ht="15.75" customHeight="1">
      <c r="AF4845" s="42" t="s">
        <v>3613</v>
      </c>
      <c r="AG4845" s="42" t="s">
        <v>6642</v>
      </c>
    </row>
    <row r="4846" spans="32:33" ht="15.75" customHeight="1">
      <c r="AF4846" s="42" t="s">
        <v>1702</v>
      </c>
      <c r="AG4846" s="42" t="s">
        <v>6642</v>
      </c>
    </row>
    <row r="4847" spans="32:33" ht="15.75" customHeight="1">
      <c r="AF4847" s="42" t="s">
        <v>6441</v>
      </c>
      <c r="AG4847" s="42" t="s">
        <v>6642</v>
      </c>
    </row>
    <row r="4848" spans="32:33" ht="15.75" customHeight="1">
      <c r="AF4848" s="42" t="s">
        <v>3094</v>
      </c>
      <c r="AG4848" s="42" t="s">
        <v>6642</v>
      </c>
    </row>
    <row r="4849" spans="32:33" ht="15.75" customHeight="1">
      <c r="AF4849" s="42" t="s">
        <v>6473</v>
      </c>
      <c r="AG4849" s="42" t="s">
        <v>6642</v>
      </c>
    </row>
    <row r="4850" spans="32:33" ht="15.75" customHeight="1">
      <c r="AF4850" s="42" t="s">
        <v>2865</v>
      </c>
      <c r="AG4850" s="42" t="s">
        <v>6642</v>
      </c>
    </row>
    <row r="4851" spans="32:33" ht="15.75" customHeight="1">
      <c r="AF4851" s="42" t="s">
        <v>2001</v>
      </c>
      <c r="AG4851" s="42" t="s">
        <v>6642</v>
      </c>
    </row>
    <row r="4852" spans="32:33" ht="15.75" customHeight="1">
      <c r="AF4852" s="42" t="s">
        <v>4938</v>
      </c>
      <c r="AG4852" s="42" t="s">
        <v>6642</v>
      </c>
    </row>
    <row r="4853" spans="32:33" ht="15.75" customHeight="1">
      <c r="AF4853" s="42" t="s">
        <v>2815</v>
      </c>
      <c r="AG4853" s="42" t="s">
        <v>6642</v>
      </c>
    </row>
    <row r="4854" spans="32:33" ht="15.75" customHeight="1">
      <c r="AF4854" s="42" t="s">
        <v>3338</v>
      </c>
      <c r="AG4854" s="42" t="s">
        <v>6642</v>
      </c>
    </row>
    <row r="4855" spans="32:33" ht="15.75" customHeight="1">
      <c r="AF4855" s="42" t="s">
        <v>5796</v>
      </c>
      <c r="AG4855" s="42" t="s">
        <v>6642</v>
      </c>
    </row>
    <row r="4856" spans="32:33" ht="15.75" customHeight="1">
      <c r="AF4856" s="42" t="s">
        <v>6359</v>
      </c>
      <c r="AG4856" s="42" t="s">
        <v>6642</v>
      </c>
    </row>
    <row r="4857" spans="32:33" ht="15.75" customHeight="1">
      <c r="AF4857" s="42" t="s">
        <v>1123</v>
      </c>
      <c r="AG4857" s="42" t="s">
        <v>6642</v>
      </c>
    </row>
    <row r="4858" spans="32:33" ht="15.75" customHeight="1">
      <c r="AF4858" s="42" t="s">
        <v>1404</v>
      </c>
      <c r="AG4858" s="42" t="s">
        <v>6642</v>
      </c>
    </row>
    <row r="4859" spans="32:33" ht="15.75" customHeight="1">
      <c r="AF4859" s="42" t="s">
        <v>2172</v>
      </c>
      <c r="AG4859" s="42" t="s">
        <v>6642</v>
      </c>
    </row>
    <row r="4860" spans="32:33" ht="15.75" customHeight="1">
      <c r="AF4860" s="42" t="s">
        <v>3270</v>
      </c>
      <c r="AG4860" s="42" t="s">
        <v>6642</v>
      </c>
    </row>
    <row r="4861" spans="32:33" ht="15.75" customHeight="1">
      <c r="AF4861" s="42" t="s">
        <v>5013</v>
      </c>
      <c r="AG4861" s="42" t="s">
        <v>6642</v>
      </c>
    </row>
    <row r="4862" spans="32:33" ht="15.75" customHeight="1">
      <c r="AF4862" s="42" t="s">
        <v>5176</v>
      </c>
      <c r="AG4862" s="42" t="s">
        <v>6642</v>
      </c>
    </row>
    <row r="4863" spans="32:33" ht="15.75" customHeight="1">
      <c r="AF4863" s="42" t="s">
        <v>2869</v>
      </c>
      <c r="AG4863" s="42" t="s">
        <v>6642</v>
      </c>
    </row>
    <row r="4864" spans="32:33" ht="15.75" customHeight="1">
      <c r="AF4864" s="42" t="s">
        <v>5322</v>
      </c>
      <c r="AG4864" s="42" t="s">
        <v>6642</v>
      </c>
    </row>
    <row r="4865" spans="32:33" ht="15.75" customHeight="1">
      <c r="AF4865" s="42" t="s">
        <v>1101</v>
      </c>
      <c r="AG4865" s="42" t="s">
        <v>6642</v>
      </c>
    </row>
    <row r="4866" spans="32:33" ht="15.75" customHeight="1">
      <c r="AF4866" s="42" t="s">
        <v>4632</v>
      </c>
      <c r="AG4866" s="42" t="s">
        <v>6642</v>
      </c>
    </row>
    <row r="4867" spans="32:33" ht="15.75" customHeight="1">
      <c r="AF4867" s="42" t="s">
        <v>6727</v>
      </c>
      <c r="AG4867" s="42" t="s">
        <v>6642</v>
      </c>
    </row>
    <row r="4868" spans="32:33" ht="15.75" customHeight="1">
      <c r="AF4868" s="42" t="s">
        <v>2977</v>
      </c>
      <c r="AG4868" s="42" t="s">
        <v>6642</v>
      </c>
    </row>
    <row r="4869" spans="32:33" ht="15.75" customHeight="1">
      <c r="AF4869" s="42" t="s">
        <v>4284</v>
      </c>
      <c r="AG4869" s="42" t="s">
        <v>6642</v>
      </c>
    </row>
    <row r="4870" spans="32:33" ht="15.75" customHeight="1">
      <c r="AF4870" s="42" t="s">
        <v>3184</v>
      </c>
      <c r="AG4870" s="42" t="s">
        <v>6642</v>
      </c>
    </row>
    <row r="4871" spans="32:33" ht="15.75" customHeight="1">
      <c r="AF4871" s="42" t="s">
        <v>3269</v>
      </c>
      <c r="AG4871" s="42" t="s">
        <v>6642</v>
      </c>
    </row>
    <row r="4872" spans="32:33" ht="15.75" customHeight="1">
      <c r="AF4872" s="42" t="s">
        <v>3004</v>
      </c>
      <c r="AG4872" s="42" t="s">
        <v>6642</v>
      </c>
    </row>
    <row r="4873" spans="32:33" ht="15.75" customHeight="1">
      <c r="AF4873" s="42" t="s">
        <v>4997</v>
      </c>
      <c r="AG4873" s="42" t="s">
        <v>6642</v>
      </c>
    </row>
    <row r="4874" spans="32:33" ht="15.75" customHeight="1">
      <c r="AF4874" s="42" t="s">
        <v>6398</v>
      </c>
      <c r="AG4874" s="42" t="s">
        <v>6642</v>
      </c>
    </row>
    <row r="4875" spans="32:33" ht="15.75" customHeight="1">
      <c r="AF4875" s="42" t="s">
        <v>1198</v>
      </c>
      <c r="AG4875" s="42" t="s">
        <v>6645</v>
      </c>
    </row>
    <row r="4876" spans="32:33" ht="15.75" customHeight="1">
      <c r="AF4876" s="42" t="s">
        <v>3895</v>
      </c>
      <c r="AG4876" s="42" t="s">
        <v>6645</v>
      </c>
    </row>
    <row r="4877" spans="32:33" ht="15.75" customHeight="1">
      <c r="AF4877" s="42" t="s">
        <v>5689</v>
      </c>
      <c r="AG4877" s="42" t="s">
        <v>6645</v>
      </c>
    </row>
    <row r="4878" spans="32:33" ht="15.75" customHeight="1">
      <c r="AF4878" s="42" t="s">
        <v>1899</v>
      </c>
      <c r="AG4878" s="42" t="s">
        <v>6645</v>
      </c>
    </row>
    <row r="4879" spans="32:33" ht="15.75" customHeight="1">
      <c r="AF4879" s="42" t="s">
        <v>4099</v>
      </c>
      <c r="AG4879" s="42" t="s">
        <v>6645</v>
      </c>
    </row>
    <row r="4880" spans="32:33" ht="15.75" customHeight="1">
      <c r="AF4880" s="42" t="s">
        <v>4381</v>
      </c>
      <c r="AG4880" s="42" t="s">
        <v>6645</v>
      </c>
    </row>
    <row r="4881" spans="32:33" ht="15.75" customHeight="1">
      <c r="AF4881" s="42" t="s">
        <v>2000</v>
      </c>
      <c r="AG4881" s="42" t="s">
        <v>6645</v>
      </c>
    </row>
    <row r="4882" spans="32:33" ht="15.75" customHeight="1">
      <c r="AF4882" s="42" t="s">
        <v>5782</v>
      </c>
      <c r="AG4882" s="42" t="s">
        <v>6645</v>
      </c>
    </row>
    <row r="4883" spans="32:33" ht="15.75" customHeight="1">
      <c r="AF4883" s="42" t="s">
        <v>2696</v>
      </c>
      <c r="AG4883" s="42" t="s">
        <v>6645</v>
      </c>
    </row>
    <row r="4884" spans="32:33" ht="15.75" customHeight="1">
      <c r="AF4884" s="42" t="s">
        <v>4033</v>
      </c>
      <c r="AG4884" s="42" t="s">
        <v>6645</v>
      </c>
    </row>
    <row r="4885" spans="32:33" ht="15.75" customHeight="1">
      <c r="AF4885" s="42" t="s">
        <v>2640</v>
      </c>
      <c r="AG4885" s="42" t="s">
        <v>6642</v>
      </c>
    </row>
    <row r="4886" spans="32:33" ht="15.75" customHeight="1">
      <c r="AF4886" s="42" t="s">
        <v>3317</v>
      </c>
      <c r="AG4886" s="42" t="s">
        <v>6642</v>
      </c>
    </row>
    <row r="4887" spans="32:33" ht="15.75" customHeight="1">
      <c r="AF4887" s="42" t="s">
        <v>5244</v>
      </c>
      <c r="AG4887" s="42" t="s">
        <v>6642</v>
      </c>
    </row>
    <row r="4888" spans="32:33" ht="15.75" customHeight="1">
      <c r="AF4888" s="42" t="s">
        <v>3476</v>
      </c>
      <c r="AG4888" s="42" t="s">
        <v>6642</v>
      </c>
    </row>
    <row r="4889" spans="32:33" ht="15.75" customHeight="1">
      <c r="AF4889" s="42" t="s">
        <v>1956</v>
      </c>
      <c r="AG4889" s="42" t="s">
        <v>6642</v>
      </c>
    </row>
    <row r="4890" spans="32:33" ht="15.75" customHeight="1">
      <c r="AF4890" s="42" t="s">
        <v>894</v>
      </c>
      <c r="AG4890" s="42" t="s">
        <v>6642</v>
      </c>
    </row>
    <row r="4891" spans="32:33" ht="15.75" customHeight="1">
      <c r="AF4891" s="42" t="s">
        <v>6019</v>
      </c>
      <c r="AG4891" s="42" t="s">
        <v>6642</v>
      </c>
    </row>
    <row r="4892" spans="32:33" ht="15.75" customHeight="1">
      <c r="AF4892" s="42" t="s">
        <v>5365</v>
      </c>
      <c r="AG4892" s="42" t="s">
        <v>6642</v>
      </c>
    </row>
    <row r="4893" spans="32:33" ht="15.75" customHeight="1">
      <c r="AF4893" s="42" t="s">
        <v>5688</v>
      </c>
      <c r="AG4893" s="42" t="s">
        <v>6642</v>
      </c>
    </row>
    <row r="4894" spans="32:33" ht="15.75" customHeight="1">
      <c r="AF4894" s="42" t="s">
        <v>4139</v>
      </c>
      <c r="AG4894" s="42" t="s">
        <v>6642</v>
      </c>
    </row>
    <row r="4895" spans="32:33" ht="15.75" customHeight="1">
      <c r="AF4895" s="42" t="s">
        <v>1977</v>
      </c>
      <c r="AG4895" s="42" t="s">
        <v>6645</v>
      </c>
    </row>
    <row r="4896" spans="32:33" ht="15.75" customHeight="1">
      <c r="AF4896" s="42" t="s">
        <v>8083</v>
      </c>
      <c r="AG4896" s="42" t="s">
        <v>6642</v>
      </c>
    </row>
    <row r="4897" spans="32:33" ht="15.75" customHeight="1">
      <c r="AF4897" s="42" t="s">
        <v>8127</v>
      </c>
      <c r="AG4897" s="42" t="s">
        <v>6642</v>
      </c>
    </row>
    <row r="4898" spans="32:33" ht="15.75" customHeight="1">
      <c r="AF4898" s="42" t="s">
        <v>7968</v>
      </c>
      <c r="AG4898" s="42" t="s">
        <v>6642</v>
      </c>
    </row>
    <row r="4899" spans="32:33" ht="15.75" customHeight="1">
      <c r="AF4899" s="42" t="s">
        <v>7967</v>
      </c>
      <c r="AG4899" s="42" t="s">
        <v>6642</v>
      </c>
    </row>
    <row r="4900" spans="32:33" ht="15.75" customHeight="1">
      <c r="AF4900" s="42" t="s">
        <v>8248</v>
      </c>
      <c r="AG4900" s="42" t="s">
        <v>6642</v>
      </c>
    </row>
    <row r="4901" spans="32:33" ht="15.75" customHeight="1">
      <c r="AF4901" s="42" t="s">
        <v>8128</v>
      </c>
      <c r="AG4901" s="42" t="s">
        <v>6642</v>
      </c>
    </row>
    <row r="4902" spans="32:33" ht="15.75" customHeight="1">
      <c r="AF4902" s="42" t="s">
        <v>8110</v>
      </c>
      <c r="AG4902" s="42" t="s">
        <v>6642</v>
      </c>
    </row>
    <row r="4903" spans="32:33" ht="15.75" customHeight="1">
      <c r="AF4903" s="42" t="s">
        <v>4667</v>
      </c>
      <c r="AG4903" s="42" t="s">
        <v>6642</v>
      </c>
    </row>
    <row r="4904" spans="32:33" ht="15.75" customHeight="1">
      <c r="AF4904" s="42" t="s">
        <v>5223</v>
      </c>
      <c r="AG4904" s="42" t="s">
        <v>6642</v>
      </c>
    </row>
    <row r="4905" spans="32:33" ht="15.75" customHeight="1">
      <c r="AF4905" s="42" t="s">
        <v>5459</v>
      </c>
      <c r="AG4905" s="42" t="s">
        <v>6642</v>
      </c>
    </row>
    <row r="4906" spans="32:33" ht="15.75" customHeight="1">
      <c r="AF4906" s="42" t="s">
        <v>4757</v>
      </c>
      <c r="AG4906" s="42" t="s">
        <v>6642</v>
      </c>
    </row>
    <row r="4907" spans="32:33" ht="15.75" customHeight="1">
      <c r="AF4907" s="42" t="s">
        <v>4506</v>
      </c>
      <c r="AG4907" s="42" t="s">
        <v>6642</v>
      </c>
    </row>
    <row r="4908" spans="32:33" ht="15.75" customHeight="1">
      <c r="AF4908" s="42" t="s">
        <v>4507</v>
      </c>
      <c r="AG4908" s="42" t="s">
        <v>6642</v>
      </c>
    </row>
    <row r="4909" spans="32:33" ht="15.75" customHeight="1">
      <c r="AF4909" s="42" t="s">
        <v>6250</v>
      </c>
      <c r="AG4909" s="42" t="s">
        <v>6642</v>
      </c>
    </row>
    <row r="4910" spans="32:33" ht="15.75" customHeight="1">
      <c r="AF4910" s="42" t="s">
        <v>2925</v>
      </c>
      <c r="AG4910" s="42" t="s">
        <v>6642</v>
      </c>
    </row>
    <row r="4911" spans="32:33" ht="15.75" customHeight="1">
      <c r="AF4911" s="42" t="s">
        <v>4138</v>
      </c>
      <c r="AG4911" s="42" t="s">
        <v>6642</v>
      </c>
    </row>
    <row r="4912" spans="32:33" ht="15.75" customHeight="1">
      <c r="AF4912" s="42" t="s">
        <v>4668</v>
      </c>
      <c r="AG4912" s="42" t="s">
        <v>6642</v>
      </c>
    </row>
    <row r="4913" spans="32:33" ht="15.75" customHeight="1">
      <c r="AF4913" s="42" t="s">
        <v>5052</v>
      </c>
      <c r="AG4913" s="42" t="s">
        <v>6642</v>
      </c>
    </row>
    <row r="4914" spans="32:33" ht="15.75" customHeight="1">
      <c r="AF4914" s="42" t="s">
        <v>5395</v>
      </c>
      <c r="AG4914" s="42" t="s">
        <v>6642</v>
      </c>
    </row>
    <row r="4915" spans="32:33" ht="15.75" customHeight="1">
      <c r="AF4915" s="42" t="s">
        <v>4915</v>
      </c>
      <c r="AG4915" s="42" t="s">
        <v>6642</v>
      </c>
    </row>
    <row r="4916" spans="32:33" ht="15.75" customHeight="1">
      <c r="AF4916" s="42" t="s">
        <v>5614</v>
      </c>
      <c r="AG4916" s="42" t="s">
        <v>6642</v>
      </c>
    </row>
    <row r="4917" spans="32:33" ht="15.75" customHeight="1">
      <c r="AF4917" s="42" t="s">
        <v>3707</v>
      </c>
      <c r="AG4917" s="42" t="s">
        <v>6642</v>
      </c>
    </row>
    <row r="4918" spans="32:33" ht="15.75" customHeight="1">
      <c r="AF4918" s="42" t="s">
        <v>4923</v>
      </c>
      <c r="AG4918" s="42" t="s">
        <v>6642</v>
      </c>
    </row>
    <row r="4919" spans="32:33" ht="15.75" customHeight="1">
      <c r="AF4919" s="42" t="s">
        <v>4924</v>
      </c>
      <c r="AG4919" s="42" t="s">
        <v>6642</v>
      </c>
    </row>
    <row r="4920" spans="32:33" ht="15.75" customHeight="1">
      <c r="AF4920" s="42" t="s">
        <v>4925</v>
      </c>
      <c r="AG4920" s="42" t="s">
        <v>6642</v>
      </c>
    </row>
    <row r="4921" spans="32:33" ht="15.75" customHeight="1">
      <c r="AF4921" s="42" t="s">
        <v>1002</v>
      </c>
      <c r="AG4921" s="42" t="s">
        <v>6645</v>
      </c>
    </row>
    <row r="4922" spans="32:33" ht="15.75" customHeight="1">
      <c r="AF4922" s="42" t="s">
        <v>5506</v>
      </c>
      <c r="AG4922" s="42" t="s">
        <v>6642</v>
      </c>
    </row>
    <row r="4923" spans="32:33" ht="15.75" customHeight="1">
      <c r="AF4923" s="42" t="s">
        <v>5203</v>
      </c>
      <c r="AG4923" s="42" t="s">
        <v>6642</v>
      </c>
    </row>
    <row r="4924" spans="32:33" ht="15.75" customHeight="1">
      <c r="AF4924" s="42" t="s">
        <v>5442</v>
      </c>
      <c r="AG4924" s="42" t="s">
        <v>6642</v>
      </c>
    </row>
    <row r="4925" spans="32:33" ht="15.75" customHeight="1">
      <c r="AF4925" s="42" t="s">
        <v>4737</v>
      </c>
      <c r="AG4925" s="42" t="s">
        <v>6642</v>
      </c>
    </row>
    <row r="4926" spans="32:33" ht="15.75" customHeight="1">
      <c r="AF4926" s="42" t="s">
        <v>5768</v>
      </c>
      <c r="AG4926" s="42" t="s">
        <v>6642</v>
      </c>
    </row>
    <row r="4927" spans="32:33" ht="15.75" customHeight="1">
      <c r="AF4927" s="42" t="s">
        <v>5769</v>
      </c>
      <c r="AG4927" s="42" t="s">
        <v>6642</v>
      </c>
    </row>
    <row r="4928" spans="32:33" ht="15.75" customHeight="1">
      <c r="AF4928" s="42" t="s">
        <v>5653</v>
      </c>
      <c r="AG4928" s="42" t="s">
        <v>6642</v>
      </c>
    </row>
    <row r="4929" spans="32:33" ht="15.75" customHeight="1">
      <c r="AF4929" s="42" t="s">
        <v>5809</v>
      </c>
      <c r="AG4929" s="42" t="s">
        <v>6642</v>
      </c>
    </row>
    <row r="4930" spans="32:33" ht="15.75" customHeight="1">
      <c r="AF4930" s="42" t="s">
        <v>4404</v>
      </c>
      <c r="AG4930" s="42" t="s">
        <v>6642</v>
      </c>
    </row>
    <row r="4931" spans="32:33" ht="15.75" customHeight="1">
      <c r="AF4931" s="42" t="s">
        <v>2838</v>
      </c>
      <c r="AG4931" s="42" t="s">
        <v>6642</v>
      </c>
    </row>
    <row r="4932" spans="32:33" ht="15.75" customHeight="1">
      <c r="AF4932" s="42" t="s">
        <v>3653</v>
      </c>
      <c r="AG4932" s="42" t="s">
        <v>6642</v>
      </c>
    </row>
    <row r="4933" spans="32:33" ht="15.75" customHeight="1">
      <c r="AF4933" s="42" t="s">
        <v>4518</v>
      </c>
      <c r="AG4933" s="42" t="s">
        <v>6642</v>
      </c>
    </row>
    <row r="4934" spans="32:33" ht="15.75" customHeight="1">
      <c r="AF4934" s="42" t="s">
        <v>4519</v>
      </c>
      <c r="AG4934" s="42" t="s">
        <v>6642</v>
      </c>
    </row>
    <row r="4935" spans="32:33" ht="15.75" customHeight="1">
      <c r="AF4935" s="42" t="s">
        <v>4396</v>
      </c>
      <c r="AG4935" s="42" t="s">
        <v>6642</v>
      </c>
    </row>
    <row r="4936" spans="32:33" ht="15.75" customHeight="1">
      <c r="AF4936" s="42" t="s">
        <v>5033</v>
      </c>
      <c r="AG4936" s="42" t="s">
        <v>6642</v>
      </c>
    </row>
    <row r="4937" spans="32:33" ht="15.75" customHeight="1">
      <c r="AF4937" s="42" t="s">
        <v>2467</v>
      </c>
      <c r="AG4937" s="42" t="s">
        <v>6642</v>
      </c>
    </row>
    <row r="4938" spans="32:33" ht="15.75" customHeight="1">
      <c r="AF4938" s="42" t="s">
        <v>6348</v>
      </c>
      <c r="AG4938" s="42" t="s">
        <v>6642</v>
      </c>
    </row>
    <row r="4939" spans="32:33" ht="15.75" customHeight="1">
      <c r="AF4939" s="42" t="s">
        <v>2498</v>
      </c>
      <c r="AG4939" s="42" t="s">
        <v>6642</v>
      </c>
    </row>
    <row r="4940" spans="32:33" ht="15.75" customHeight="1">
      <c r="AF4940" s="42" t="s">
        <v>2264</v>
      </c>
      <c r="AG4940" s="42" t="s">
        <v>6642</v>
      </c>
    </row>
    <row r="4941" spans="32:33" ht="15.75" customHeight="1">
      <c r="AF4941" s="42" t="s">
        <v>1281</v>
      </c>
      <c r="AG4941" s="42" t="s">
        <v>6642</v>
      </c>
    </row>
    <row r="4942" spans="32:33" ht="15.75" customHeight="1">
      <c r="AF4942" s="42" t="s">
        <v>3641</v>
      </c>
      <c r="AG4942" s="42" t="s">
        <v>6642</v>
      </c>
    </row>
    <row r="4943" spans="32:33" ht="15.75" customHeight="1">
      <c r="AF4943" s="42" t="s">
        <v>2801</v>
      </c>
      <c r="AG4943" s="42" t="s">
        <v>6642</v>
      </c>
    </row>
    <row r="4944" spans="32:33" ht="15.75" customHeight="1">
      <c r="AF4944" s="42" t="s">
        <v>5414</v>
      </c>
      <c r="AG4944" s="42" t="s">
        <v>6642</v>
      </c>
    </row>
    <row r="4945" spans="32:33" ht="15.75" customHeight="1">
      <c r="AF4945" s="42" t="s">
        <v>2937</v>
      </c>
      <c r="AG4945" s="42" t="s">
        <v>6642</v>
      </c>
    </row>
    <row r="4946" spans="32:33" ht="15.75" customHeight="1">
      <c r="AF4946" s="42" t="s">
        <v>3048</v>
      </c>
      <c r="AG4946" s="42" t="s">
        <v>6642</v>
      </c>
    </row>
    <row r="4947" spans="32:33" ht="15.75" customHeight="1">
      <c r="AF4947" s="42" t="s">
        <v>3887</v>
      </c>
      <c r="AG4947" s="42" t="s">
        <v>6642</v>
      </c>
    </row>
    <row r="4948" spans="32:33" ht="15.75" customHeight="1">
      <c r="AF4948" s="42" t="s">
        <v>1060</v>
      </c>
      <c r="AG4948" s="42" t="s">
        <v>6642</v>
      </c>
    </row>
    <row r="4949" spans="32:33" ht="15.75" customHeight="1">
      <c r="AF4949" s="42" t="s">
        <v>5483</v>
      </c>
      <c r="AG4949" s="42" t="s">
        <v>6642</v>
      </c>
    </row>
    <row r="4950" spans="32:33" ht="15.75" customHeight="1">
      <c r="AF4950" s="42" t="s">
        <v>3888</v>
      </c>
      <c r="AG4950" s="42" t="s">
        <v>6642</v>
      </c>
    </row>
    <row r="4951" spans="32:33" ht="15.75" customHeight="1">
      <c r="AF4951" s="42" t="s">
        <v>4257</v>
      </c>
      <c r="AG4951" s="42" t="s">
        <v>6642</v>
      </c>
    </row>
    <row r="4952" spans="32:33" ht="15.75" customHeight="1">
      <c r="AF4952" s="42" t="s">
        <v>3304</v>
      </c>
      <c r="AG4952" s="42" t="s">
        <v>6642</v>
      </c>
    </row>
    <row r="4953" spans="32:33" ht="15.75" customHeight="1">
      <c r="AF4953" s="42" t="s">
        <v>6116</v>
      </c>
      <c r="AG4953" s="42" t="s">
        <v>6642</v>
      </c>
    </row>
    <row r="4954" spans="32:33" ht="15.75" customHeight="1">
      <c r="AF4954" s="42" t="s">
        <v>4403</v>
      </c>
      <c r="AG4954" s="42" t="s">
        <v>6642</v>
      </c>
    </row>
    <row r="4955" spans="32:33" ht="15.75" customHeight="1">
      <c r="AF4955" s="42" t="s">
        <v>2535</v>
      </c>
      <c r="AG4955" s="42" t="s">
        <v>6642</v>
      </c>
    </row>
    <row r="4956" spans="32:33" ht="15.75" customHeight="1">
      <c r="AF4956" s="42" t="s">
        <v>992</v>
      </c>
      <c r="AG4956" s="42" t="s">
        <v>6642</v>
      </c>
    </row>
    <row r="4957" spans="32:33" ht="15.75" customHeight="1">
      <c r="AF4957" s="42" t="s">
        <v>4765</v>
      </c>
      <c r="AG4957" s="42" t="s">
        <v>6642</v>
      </c>
    </row>
    <row r="4958" spans="32:33" ht="15.75" customHeight="1">
      <c r="AF4958" s="42" t="s">
        <v>5438</v>
      </c>
      <c r="AG4958" s="42" t="s">
        <v>6642</v>
      </c>
    </row>
    <row r="4959" spans="32:33" ht="15.75" customHeight="1">
      <c r="AF4959" s="42" t="s">
        <v>4880</v>
      </c>
      <c r="AG4959" s="42" t="s">
        <v>6642</v>
      </c>
    </row>
    <row r="4960" spans="32:33" ht="15.75" customHeight="1">
      <c r="AF4960" s="42" t="s">
        <v>5537</v>
      </c>
      <c r="AG4960" s="42" t="s">
        <v>6642</v>
      </c>
    </row>
    <row r="4961" spans="32:33" ht="15.75" customHeight="1">
      <c r="AF4961" s="42" t="s">
        <v>5561</v>
      </c>
      <c r="AG4961" s="42" t="s">
        <v>6642</v>
      </c>
    </row>
    <row r="4962" spans="32:33" ht="15.75" customHeight="1">
      <c r="AF4962" s="42" t="s">
        <v>6644</v>
      </c>
      <c r="AG4962" s="42" t="s">
        <v>6642</v>
      </c>
    </row>
    <row r="4963" spans="32:33" ht="15.75" customHeight="1">
      <c r="AF4963" s="42" t="s">
        <v>1252</v>
      </c>
      <c r="AG4963" s="42" t="s">
        <v>6642</v>
      </c>
    </row>
    <row r="4964" spans="32:33" ht="15.75" customHeight="1">
      <c r="AF4964" s="42" t="s">
        <v>3212</v>
      </c>
      <c r="AG4964" s="42" t="s">
        <v>6642</v>
      </c>
    </row>
    <row r="4965" spans="32:33" ht="15.75" customHeight="1">
      <c r="AF4965" s="42" t="s">
        <v>6086</v>
      </c>
      <c r="AG4965" s="42" t="s">
        <v>6642</v>
      </c>
    </row>
    <row r="4966" spans="32:33" ht="15.75" customHeight="1">
      <c r="AF4966" s="42" t="s">
        <v>4069</v>
      </c>
      <c r="AG4966" s="42" t="s">
        <v>6642</v>
      </c>
    </row>
    <row r="4967" spans="32:33" ht="15.75" customHeight="1">
      <c r="AF4967" s="42" t="s">
        <v>5854</v>
      </c>
      <c r="AG4967" s="42" t="s">
        <v>6642</v>
      </c>
    </row>
    <row r="4968" spans="32:33" ht="15.75" customHeight="1">
      <c r="AF4968" s="42" t="s">
        <v>5432</v>
      </c>
      <c r="AG4968" s="42" t="s">
        <v>6642</v>
      </c>
    </row>
    <row r="4969" spans="32:33" ht="15.75" customHeight="1">
      <c r="AF4969" s="42" t="s">
        <v>6139</v>
      </c>
      <c r="AG4969" s="42" t="s">
        <v>6642</v>
      </c>
    </row>
    <row r="4970" spans="32:33" ht="15.75" customHeight="1">
      <c r="AF4970" s="42" t="s">
        <v>5855</v>
      </c>
      <c r="AG4970" s="42" t="s">
        <v>6642</v>
      </c>
    </row>
    <row r="4971" spans="32:33" ht="15.75" customHeight="1">
      <c r="AF4971" s="42" t="s">
        <v>6103</v>
      </c>
      <c r="AG4971" s="42" t="s">
        <v>6642</v>
      </c>
    </row>
    <row r="4972" spans="32:33" ht="15.75" customHeight="1">
      <c r="AF4972" s="42" t="s">
        <v>6262</v>
      </c>
      <c r="AG4972" s="42" t="s">
        <v>6642</v>
      </c>
    </row>
    <row r="4973" spans="32:33" ht="15.75" customHeight="1">
      <c r="AF4973" s="42" t="s">
        <v>6093</v>
      </c>
      <c r="AG4973" s="42" t="s">
        <v>6642</v>
      </c>
    </row>
    <row r="4974" spans="32:33" ht="15.75" customHeight="1">
      <c r="AF4974" s="42" t="s">
        <v>6067</v>
      </c>
      <c r="AG4974" s="42" t="s">
        <v>6642</v>
      </c>
    </row>
    <row r="4975" spans="32:33" ht="15.75" customHeight="1">
      <c r="AF4975" s="42" t="s">
        <v>5920</v>
      </c>
      <c r="AG4975" s="42" t="s">
        <v>6642</v>
      </c>
    </row>
    <row r="4976" spans="32:33" ht="15.75" customHeight="1">
      <c r="AF4976" s="42" t="s">
        <v>6256</v>
      </c>
      <c r="AG4976" s="42" t="s">
        <v>6642</v>
      </c>
    </row>
    <row r="4977" spans="32:33" ht="15.75" customHeight="1">
      <c r="AF4977" s="42" t="s">
        <v>4531</v>
      </c>
      <c r="AG4977" s="42" t="s">
        <v>6642</v>
      </c>
    </row>
    <row r="4978" spans="32:33" ht="15.75" customHeight="1">
      <c r="AF4978" s="42" t="s">
        <v>4728</v>
      </c>
      <c r="AG4978" s="42" t="s">
        <v>6642</v>
      </c>
    </row>
    <row r="4979" spans="32:33" ht="15.75" customHeight="1">
      <c r="AF4979" s="42" t="s">
        <v>4727</v>
      </c>
      <c r="AG4979" s="42" t="s">
        <v>6642</v>
      </c>
    </row>
    <row r="4980" spans="32:33" ht="15.75" customHeight="1">
      <c r="AF4980" s="42" t="s">
        <v>6322</v>
      </c>
      <c r="AG4980" s="42" t="s">
        <v>6642</v>
      </c>
    </row>
    <row r="4981" spans="32:33" ht="15.75" customHeight="1">
      <c r="AF4981" s="42" t="s">
        <v>4784</v>
      </c>
      <c r="AG4981" s="42" t="s">
        <v>6642</v>
      </c>
    </row>
    <row r="4982" spans="32:33" ht="15.75" customHeight="1">
      <c r="AF4982" s="42" t="s">
        <v>1045</v>
      </c>
      <c r="AG4982" s="42" t="s">
        <v>6642</v>
      </c>
    </row>
    <row r="4983" spans="32:33" ht="15.75" customHeight="1">
      <c r="AF4983" s="42" t="s">
        <v>4530</v>
      </c>
      <c r="AG4983" s="42" t="s">
        <v>6642</v>
      </c>
    </row>
    <row r="4984" spans="32:33" ht="15.75" customHeight="1">
      <c r="AF4984" s="42" t="s">
        <v>5695</v>
      </c>
      <c r="AG4984" s="42" t="s">
        <v>6642</v>
      </c>
    </row>
    <row r="4985" spans="32:33" ht="15.75" customHeight="1">
      <c r="AF4985" s="42" t="s">
        <v>4803</v>
      </c>
      <c r="AG4985" s="42" t="s">
        <v>6642</v>
      </c>
    </row>
    <row r="4986" spans="32:33" ht="15.75" customHeight="1">
      <c r="AF4986" s="42" t="s">
        <v>1365</v>
      </c>
      <c r="AG4986" s="42" t="s">
        <v>6642</v>
      </c>
    </row>
    <row r="4987" spans="32:33" ht="15.75" customHeight="1">
      <c r="AF4987" s="42" t="s">
        <v>2391</v>
      </c>
      <c r="AG4987" s="42" t="s">
        <v>6642</v>
      </c>
    </row>
    <row r="4988" spans="32:33" ht="15.75" customHeight="1">
      <c r="AF4988" s="42" t="s">
        <v>5829</v>
      </c>
      <c r="AG4988" s="42" t="s">
        <v>6642</v>
      </c>
    </row>
    <row r="4989" spans="32:33" ht="15.75" customHeight="1">
      <c r="AF4989" s="42" t="s">
        <v>4962</v>
      </c>
      <c r="AG4989" s="42" t="s">
        <v>6642</v>
      </c>
    </row>
    <row r="4990" spans="32:33" ht="15.75" customHeight="1">
      <c r="AF4990" s="42" t="s">
        <v>4397</v>
      </c>
      <c r="AG4990" s="42" t="s">
        <v>6642</v>
      </c>
    </row>
    <row r="4991" spans="32:33" ht="15.75" customHeight="1">
      <c r="AF4991" s="42" t="s">
        <v>4240</v>
      </c>
      <c r="AG4991" s="42" t="s">
        <v>6642</v>
      </c>
    </row>
    <row r="4992" spans="32:33" ht="15.75" customHeight="1">
      <c r="AF4992" s="42" t="s">
        <v>4961</v>
      </c>
      <c r="AG4992" s="42" t="s">
        <v>6642</v>
      </c>
    </row>
    <row r="4993" spans="32:33" ht="15.75" customHeight="1">
      <c r="AF4993" s="42" t="s">
        <v>6718</v>
      </c>
      <c r="AG4993" s="42" t="s">
        <v>6642</v>
      </c>
    </row>
    <row r="4994" spans="32:33" ht="15.75" customHeight="1">
      <c r="AF4994" s="42" t="s">
        <v>4713</v>
      </c>
      <c r="AG4994" s="42" t="s">
        <v>6642</v>
      </c>
    </row>
    <row r="4995" spans="32:33" ht="15.75" customHeight="1">
      <c r="AF4995" s="42" t="s">
        <v>1675</v>
      </c>
      <c r="AG4995" s="42" t="s">
        <v>6642</v>
      </c>
    </row>
    <row r="4996" spans="32:33" ht="15.75" customHeight="1">
      <c r="AF4996" s="42" t="s">
        <v>4783</v>
      </c>
      <c r="AG4996" s="42" t="s">
        <v>6642</v>
      </c>
    </row>
    <row r="4997" spans="32:33" ht="15.75" customHeight="1">
      <c r="AF4997" s="42" t="s">
        <v>3664</v>
      </c>
      <c r="AG4997" s="42" t="s">
        <v>6642</v>
      </c>
    </row>
    <row r="4998" spans="32:33" ht="15.75" customHeight="1">
      <c r="AF4998" s="42" t="s">
        <v>6037</v>
      </c>
      <c r="AG4998" s="42" t="s">
        <v>6642</v>
      </c>
    </row>
    <row r="4999" spans="32:33" ht="15.75" customHeight="1">
      <c r="AF4999" s="42" t="s">
        <v>2283</v>
      </c>
      <c r="AG4999" s="42" t="s">
        <v>6642</v>
      </c>
    </row>
    <row r="5000" spans="32:33" ht="15.75" customHeight="1">
      <c r="AF5000" s="42" t="s">
        <v>5117</v>
      </c>
      <c r="AG5000" s="42" t="s">
        <v>6642</v>
      </c>
    </row>
    <row r="5001" spans="32:33" ht="15.75" customHeight="1">
      <c r="AF5001" s="42" t="s">
        <v>1163</v>
      </c>
      <c r="AG5001" s="42" t="s">
        <v>6642</v>
      </c>
    </row>
    <row r="5002" spans="32:33" ht="15.75" customHeight="1">
      <c r="AF5002" s="42" t="s">
        <v>1632</v>
      </c>
      <c r="AG5002" s="42" t="s">
        <v>6645</v>
      </c>
    </row>
    <row r="5003" spans="32:33" ht="15.75" customHeight="1">
      <c r="AF5003" s="42" t="s">
        <v>2321</v>
      </c>
      <c r="AG5003" s="42" t="s">
        <v>6645</v>
      </c>
    </row>
    <row r="5004" spans="32:33" ht="15.75" customHeight="1">
      <c r="AF5004" s="42" t="s">
        <v>1102</v>
      </c>
      <c r="AG5004" s="42" t="s">
        <v>6645</v>
      </c>
    </row>
    <row r="5005" spans="32:33" ht="15.75" customHeight="1">
      <c r="AF5005" s="42" t="s">
        <v>3913</v>
      </c>
      <c r="AG5005" s="42" t="s">
        <v>6645</v>
      </c>
    </row>
    <row r="5006" spans="32:33" ht="15.75" customHeight="1">
      <c r="AF5006" s="42" t="s">
        <v>1061</v>
      </c>
      <c r="AG5006" s="42" t="s">
        <v>6645</v>
      </c>
    </row>
    <row r="5007" spans="32:33" ht="15.75" customHeight="1">
      <c r="AF5007" s="42" t="s">
        <v>5282</v>
      </c>
      <c r="AG5007" s="42" t="s">
        <v>6645</v>
      </c>
    </row>
    <row r="5008" spans="32:33" ht="15.75" customHeight="1">
      <c r="AF5008" s="42" t="s">
        <v>4819</v>
      </c>
      <c r="AG5008" s="42" t="s">
        <v>6645</v>
      </c>
    </row>
    <row r="5009" spans="32:33" ht="15.75" customHeight="1">
      <c r="AF5009" s="42" t="s">
        <v>5116</v>
      </c>
      <c r="AG5009" s="42" t="s">
        <v>6645</v>
      </c>
    </row>
    <row r="5010" spans="32:33" ht="15.75" customHeight="1">
      <c r="AF5010" s="42" t="s">
        <v>1381</v>
      </c>
      <c r="AG5010" s="42" t="s">
        <v>6645</v>
      </c>
    </row>
    <row r="5011" spans="32:33" ht="15.75" customHeight="1">
      <c r="AF5011" s="42" t="s">
        <v>5433</v>
      </c>
      <c r="AG5011" s="42" t="s">
        <v>6645</v>
      </c>
    </row>
    <row r="5012" spans="32:33" ht="15.75" customHeight="1">
      <c r="AF5012" s="42" t="s">
        <v>3767</v>
      </c>
      <c r="AG5012" s="42" t="s">
        <v>6642</v>
      </c>
    </row>
    <row r="5013" spans="32:33" ht="15.75" customHeight="1">
      <c r="AF5013" s="42" t="s">
        <v>6240</v>
      </c>
      <c r="AG5013" s="42" t="s">
        <v>6642</v>
      </c>
    </row>
    <row r="5014" spans="32:33" ht="15.75" customHeight="1">
      <c r="AF5014" s="42" t="s">
        <v>6404</v>
      </c>
      <c r="AG5014" s="42" t="s">
        <v>6642</v>
      </c>
    </row>
    <row r="5015" spans="32:33" ht="15.75" customHeight="1">
      <c r="AF5015" s="42" t="s">
        <v>3278</v>
      </c>
      <c r="AG5015" s="42" t="s">
        <v>6642</v>
      </c>
    </row>
    <row r="5016" spans="32:33" ht="15.75" customHeight="1">
      <c r="AF5016" s="42" t="s">
        <v>5788</v>
      </c>
      <c r="AG5016" s="42" t="s">
        <v>6642</v>
      </c>
    </row>
    <row r="5017" spans="32:33" ht="15.75" customHeight="1">
      <c r="AF5017" s="42" t="s">
        <v>5550</v>
      </c>
      <c r="AG5017" s="42" t="s">
        <v>6642</v>
      </c>
    </row>
    <row r="5018" spans="32:33" ht="15.75" customHeight="1">
      <c r="AF5018" s="42" t="s">
        <v>1411</v>
      </c>
      <c r="AG5018" s="42" t="s">
        <v>6642</v>
      </c>
    </row>
    <row r="5019" spans="32:33" ht="15.75" customHeight="1">
      <c r="AF5019" s="42" t="s">
        <v>5801</v>
      </c>
      <c r="AG5019" s="42" t="s">
        <v>6642</v>
      </c>
    </row>
    <row r="5020" spans="32:33" ht="15.75" customHeight="1">
      <c r="AF5020" s="42" t="s">
        <v>4675</v>
      </c>
      <c r="AG5020" s="42" t="s">
        <v>6642</v>
      </c>
    </row>
    <row r="5021" spans="32:33" ht="15.75" customHeight="1">
      <c r="AF5021" s="42" t="s">
        <v>5005</v>
      </c>
      <c r="AG5021" s="42" t="s">
        <v>6642</v>
      </c>
    </row>
    <row r="5022" spans="32:33" ht="15.75" customHeight="1">
      <c r="AF5022" s="42" t="s">
        <v>5408</v>
      </c>
      <c r="AG5022" s="42" t="s">
        <v>6642</v>
      </c>
    </row>
    <row r="5023" spans="32:33" ht="15.75" customHeight="1">
      <c r="AF5023" s="42" t="s">
        <v>1574</v>
      </c>
      <c r="AG5023" s="42" t="s">
        <v>6642</v>
      </c>
    </row>
    <row r="5024" spans="32:33" ht="15.75" customHeight="1">
      <c r="AF5024" s="42" t="s">
        <v>3086</v>
      </c>
      <c r="AG5024" s="42" t="s">
        <v>6642</v>
      </c>
    </row>
    <row r="5025" spans="32:33" ht="15.75" customHeight="1">
      <c r="AF5025" s="42" t="s">
        <v>930</v>
      </c>
      <c r="AG5025" s="42" t="s">
        <v>6642</v>
      </c>
    </row>
    <row r="5026" spans="32:33" ht="15.75" customHeight="1">
      <c r="AF5026" s="42" t="s">
        <v>961</v>
      </c>
      <c r="AG5026" s="42" t="s">
        <v>6642</v>
      </c>
    </row>
    <row r="5027" spans="32:33" ht="15.75" customHeight="1">
      <c r="AF5027" s="42" t="s">
        <v>6643</v>
      </c>
      <c r="AG5027" s="42" t="s">
        <v>6642</v>
      </c>
    </row>
    <row r="5028" spans="32:33" ht="15.75" customHeight="1">
      <c r="AF5028" s="42" t="s">
        <v>3136</v>
      </c>
      <c r="AG5028" s="42" t="s">
        <v>6642</v>
      </c>
    </row>
    <row r="5029" spans="32:33" ht="15.75" customHeight="1">
      <c r="AF5029" s="42" t="s">
        <v>2853</v>
      </c>
      <c r="AG5029" s="42" t="s">
        <v>6642</v>
      </c>
    </row>
    <row r="5030" spans="32:33" ht="15.75" customHeight="1">
      <c r="AF5030" s="42" t="s">
        <v>5358</v>
      </c>
      <c r="AG5030" s="42" t="s">
        <v>6642</v>
      </c>
    </row>
    <row r="5031" spans="32:33" ht="15.75" customHeight="1">
      <c r="AF5031" s="42" t="s">
        <v>5710</v>
      </c>
      <c r="AG5031" s="42" t="s">
        <v>6642</v>
      </c>
    </row>
    <row r="5032" spans="32:33" ht="15.75" customHeight="1">
      <c r="AF5032" s="42" t="s">
        <v>2362</v>
      </c>
      <c r="AG5032" s="42" t="s">
        <v>6642</v>
      </c>
    </row>
    <row r="5033" spans="32:33" ht="15.75" customHeight="1">
      <c r="AF5033" s="42" t="s">
        <v>2489</v>
      </c>
      <c r="AG5033" s="42" t="s">
        <v>6642</v>
      </c>
    </row>
    <row r="5034" spans="32:33" ht="15.75" customHeight="1">
      <c r="AF5034" s="42" t="s">
        <v>6181</v>
      </c>
      <c r="AG5034" s="42" t="s">
        <v>6642</v>
      </c>
    </row>
    <row r="5035" spans="32:33" ht="15.75" customHeight="1">
      <c r="AF5035" s="42" t="s">
        <v>5966</v>
      </c>
      <c r="AG5035" s="42" t="s">
        <v>6642</v>
      </c>
    </row>
    <row r="5036" spans="32:33" ht="15.75" customHeight="1">
      <c r="AF5036" s="42" t="s">
        <v>5231</v>
      </c>
      <c r="AG5036" s="42" t="s">
        <v>6642</v>
      </c>
    </row>
    <row r="5037" spans="32:33" ht="15.75" customHeight="1">
      <c r="AF5037" s="42" t="s">
        <v>3792</v>
      </c>
      <c r="AG5037" s="42" t="s">
        <v>6642</v>
      </c>
    </row>
    <row r="5038" spans="32:33" ht="15.75" customHeight="1">
      <c r="AF5038" s="42" t="s">
        <v>5905</v>
      </c>
      <c r="AG5038" s="42" t="s">
        <v>6642</v>
      </c>
    </row>
    <row r="5039" spans="32:33" ht="15.75" customHeight="1">
      <c r="AF5039" s="42" t="s">
        <v>3080</v>
      </c>
      <c r="AG5039" s="42" t="s">
        <v>6642</v>
      </c>
    </row>
    <row r="5040" spans="32:33" ht="15.75" customHeight="1">
      <c r="AF5040" s="42" t="s">
        <v>4706</v>
      </c>
      <c r="AG5040" s="42" t="s">
        <v>6642</v>
      </c>
    </row>
    <row r="5041" spans="32:33" ht="15.75" customHeight="1">
      <c r="AF5041" s="42" t="s">
        <v>3042</v>
      </c>
      <c r="AG5041" s="42" t="s">
        <v>6642</v>
      </c>
    </row>
    <row r="5042" spans="32:33" ht="15.75" customHeight="1">
      <c r="AF5042" s="42" t="s">
        <v>4562</v>
      </c>
      <c r="AG5042" s="42" t="s">
        <v>6642</v>
      </c>
    </row>
    <row r="5043" spans="32:33" ht="15.75" customHeight="1">
      <c r="AF5043" s="42" t="s">
        <v>2725</v>
      </c>
      <c r="AG5043" s="42" t="s">
        <v>6642</v>
      </c>
    </row>
    <row r="5044" spans="32:33" ht="15.75" customHeight="1">
      <c r="AF5044" s="42" t="s">
        <v>5607</v>
      </c>
      <c r="AG5044" s="42" t="s">
        <v>6642</v>
      </c>
    </row>
    <row r="5045" spans="32:33" ht="15.75" customHeight="1">
      <c r="AF5045" s="42" t="s">
        <v>8045</v>
      </c>
      <c r="AG5045" s="42" t="s">
        <v>6642</v>
      </c>
    </row>
    <row r="5046" spans="32:33" ht="15.75" customHeight="1">
      <c r="AF5046" s="42" t="s">
        <v>8031</v>
      </c>
      <c r="AG5046" s="42" t="s">
        <v>6642</v>
      </c>
    </row>
    <row r="5047" spans="32:33" ht="15.75" customHeight="1">
      <c r="AF5047" s="42" t="s">
        <v>8011</v>
      </c>
      <c r="AG5047" s="42" t="s">
        <v>6642</v>
      </c>
    </row>
    <row r="5048" spans="32:33" ht="15.75" customHeight="1">
      <c r="AF5048" s="42" t="s">
        <v>8018</v>
      </c>
      <c r="AG5048" s="42" t="s">
        <v>6642</v>
      </c>
    </row>
    <row r="5049" spans="32:33" ht="15.75" customHeight="1">
      <c r="AF5049" s="42" t="s">
        <v>8249</v>
      </c>
      <c r="AG5049" s="42" t="s">
        <v>6642</v>
      </c>
    </row>
    <row r="5050" spans="32:33" ht="15.75" customHeight="1">
      <c r="AF5050" s="42" t="s">
        <v>5476</v>
      </c>
      <c r="AG5050" s="42" t="s">
        <v>6645</v>
      </c>
    </row>
    <row r="5051" spans="32:33" ht="15.75" customHeight="1">
      <c r="AF5051" s="42" t="s">
        <v>4688</v>
      </c>
      <c r="AG5051" s="42" t="s">
        <v>6645</v>
      </c>
    </row>
    <row r="5052" spans="32:33" ht="15.75" customHeight="1">
      <c r="AF5052" s="42" t="s">
        <v>2224</v>
      </c>
      <c r="AG5052" s="42" t="s">
        <v>6645</v>
      </c>
    </row>
    <row r="5053" spans="32:33" ht="15.75" customHeight="1">
      <c r="AF5053" s="42" t="s">
        <v>1798</v>
      </c>
      <c r="AG5053" s="42" t="s">
        <v>6645</v>
      </c>
    </row>
    <row r="5054" spans="32:33" ht="15.75" customHeight="1">
      <c r="AF5054" s="42" t="s">
        <v>1568</v>
      </c>
      <c r="AG5054" s="42" t="s">
        <v>6645</v>
      </c>
    </row>
    <row r="5055" spans="32:33" ht="15.75" customHeight="1">
      <c r="AF5055" s="42" t="s">
        <v>4835</v>
      </c>
      <c r="AG5055" s="42" t="s">
        <v>6645</v>
      </c>
    </row>
    <row r="5056" spans="32:33" ht="15.75" customHeight="1">
      <c r="AF5056" s="42" t="s">
        <v>6799</v>
      </c>
      <c r="AG5056" s="42" t="s">
        <v>6645</v>
      </c>
    </row>
    <row r="5057" spans="32:33" ht="15.75" customHeight="1">
      <c r="AF5057" s="42" t="s">
        <v>6189</v>
      </c>
      <c r="AG5057" s="42" t="s">
        <v>6645</v>
      </c>
    </row>
    <row r="5058" spans="32:33" ht="15.75" customHeight="1">
      <c r="AF5058" s="42" t="s">
        <v>3832</v>
      </c>
      <c r="AG5058" s="42" t="s">
        <v>6645</v>
      </c>
    </row>
    <row r="5059" spans="32:33" ht="15.75" customHeight="1">
      <c r="AF5059" s="42" t="s">
        <v>5993</v>
      </c>
      <c r="AG5059" s="42" t="s">
        <v>6645</v>
      </c>
    </row>
    <row r="5060" spans="32:33" ht="15.75" customHeight="1">
      <c r="AF5060" s="42" t="s">
        <v>6207</v>
      </c>
      <c r="AG5060" s="42" t="s">
        <v>6645</v>
      </c>
    </row>
    <row r="5061" spans="32:33" ht="15.75" customHeight="1">
      <c r="AF5061" s="42" t="s">
        <v>1592</v>
      </c>
      <c r="AG5061" s="42" t="s">
        <v>6645</v>
      </c>
    </row>
    <row r="5062" spans="32:33" ht="15.75" customHeight="1">
      <c r="AF5062" s="42" t="s">
        <v>1519</v>
      </c>
      <c r="AG5062" s="42" t="s">
        <v>6645</v>
      </c>
    </row>
    <row r="5063" spans="32:33" ht="15.75" customHeight="1">
      <c r="AF5063" s="42" t="s">
        <v>4459</v>
      </c>
      <c r="AG5063" s="42" t="s">
        <v>6645</v>
      </c>
    </row>
    <row r="5064" spans="32:33" ht="15.75" customHeight="1">
      <c r="AF5064" s="42" t="s">
        <v>1032</v>
      </c>
      <c r="AG5064" s="42" t="s">
        <v>6645</v>
      </c>
    </row>
    <row r="5065" spans="32:33" ht="15.75" customHeight="1">
      <c r="AF5065" s="42" t="s">
        <v>2776</v>
      </c>
      <c r="AG5065" s="42" t="s">
        <v>6645</v>
      </c>
    </row>
    <row r="5066" spans="32:33" ht="15.75" customHeight="1">
      <c r="AF5066" s="42" t="s">
        <v>2757</v>
      </c>
      <c r="AG5066" s="42" t="s">
        <v>6645</v>
      </c>
    </row>
    <row r="5067" spans="32:33" ht="15.75" customHeight="1">
      <c r="AF5067" s="42" t="s">
        <v>1494</v>
      </c>
      <c r="AG5067" s="42" t="s">
        <v>6645</v>
      </c>
    </row>
    <row r="5068" spans="32:33" ht="15.75" customHeight="1">
      <c r="AF5068" s="42" t="s">
        <v>1598</v>
      </c>
      <c r="AG5068" s="42" t="s">
        <v>6645</v>
      </c>
    </row>
    <row r="5069" spans="32:33" ht="15.75" customHeight="1">
      <c r="AF5069" s="42" t="s">
        <v>1919</v>
      </c>
      <c r="AG5069" s="42" t="s">
        <v>6645</v>
      </c>
    </row>
    <row r="5070" spans="32:33" ht="15.75" customHeight="1">
      <c r="AF5070" s="42" t="s">
        <v>1852</v>
      </c>
      <c r="AG5070" s="42" t="s">
        <v>6645</v>
      </c>
    </row>
    <row r="5071" spans="32:33" ht="15.75" customHeight="1">
      <c r="AF5071" s="42" t="s">
        <v>3866</v>
      </c>
      <c r="AG5071" s="42" t="s">
        <v>6645</v>
      </c>
    </row>
    <row r="5072" spans="32:33" ht="15.75" customHeight="1">
      <c r="AF5072" s="42" t="s">
        <v>3865</v>
      </c>
      <c r="AG5072" s="42" t="s">
        <v>6645</v>
      </c>
    </row>
    <row r="5073" spans="32:33" ht="15.75" customHeight="1">
      <c r="AF5073" s="42" t="s">
        <v>5544</v>
      </c>
      <c r="AG5073" s="42" t="s">
        <v>6645</v>
      </c>
    </row>
    <row r="5074" spans="32:33" ht="15.75" customHeight="1">
      <c r="AF5074" s="42" t="s">
        <v>5315</v>
      </c>
      <c r="AG5074" s="42" t="s">
        <v>6645</v>
      </c>
    </row>
    <row r="5075" spans="32:33" ht="15.75" customHeight="1">
      <c r="AF5075" s="42" t="s">
        <v>6826</v>
      </c>
      <c r="AG5075" s="42" t="s">
        <v>6645</v>
      </c>
    </row>
    <row r="5076" spans="32:33" ht="15.75" customHeight="1">
      <c r="AF5076" s="42" t="s">
        <v>5314</v>
      </c>
      <c r="AG5076" s="42" t="s">
        <v>6645</v>
      </c>
    </row>
    <row r="5077" spans="32:33" ht="15.75" customHeight="1">
      <c r="AF5077" s="42" t="s">
        <v>5082</v>
      </c>
      <c r="AG5077" s="42" t="s">
        <v>6645</v>
      </c>
    </row>
    <row r="5078" spans="32:33" ht="15.75" customHeight="1">
      <c r="AF5078" s="42" t="s">
        <v>2369</v>
      </c>
      <c r="AG5078" s="42" t="s">
        <v>6645</v>
      </c>
    </row>
    <row r="5079" spans="32:33" ht="15.75" customHeight="1">
      <c r="AF5079" s="42" t="s">
        <v>5044</v>
      </c>
      <c r="AG5079" s="42" t="s">
        <v>6645</v>
      </c>
    </row>
    <row r="5080" spans="32:33" ht="15.75" customHeight="1">
      <c r="AF5080" s="42" t="s">
        <v>2513</v>
      </c>
      <c r="AG5080" s="42" t="s">
        <v>6645</v>
      </c>
    </row>
    <row r="5081" spans="32:33" ht="15.75" customHeight="1">
      <c r="AF5081" s="42" t="s">
        <v>3997</v>
      </c>
      <c r="AG5081" s="42" t="s">
        <v>6645</v>
      </c>
    </row>
    <row r="5082" spans="32:33" ht="15.75" customHeight="1">
      <c r="AF5082" s="42" t="s">
        <v>4200</v>
      </c>
      <c r="AG5082" s="42" t="s">
        <v>6645</v>
      </c>
    </row>
    <row r="5083" spans="32:33" ht="15.75" customHeight="1">
      <c r="AF5083" s="42" t="s">
        <v>4106</v>
      </c>
      <c r="AG5083" s="42" t="s">
        <v>6645</v>
      </c>
    </row>
    <row r="5084" spans="32:33" ht="15.75" customHeight="1">
      <c r="AF5084" s="42" t="s">
        <v>3218</v>
      </c>
      <c r="AG5084" s="42" t="s">
        <v>6645</v>
      </c>
    </row>
    <row r="5085" spans="32:33" ht="15.75" customHeight="1">
      <c r="AF5085" s="42" t="s">
        <v>2427</v>
      </c>
      <c r="AG5085" s="42" t="s">
        <v>6645</v>
      </c>
    </row>
    <row r="5086" spans="32:33" ht="15.75" customHeight="1">
      <c r="AF5086" s="42" t="s">
        <v>6366</v>
      </c>
      <c r="AG5086" s="42" t="s">
        <v>6645</v>
      </c>
    </row>
    <row r="5087" spans="32:33" ht="15.75" customHeight="1">
      <c r="AF5087" s="42" t="s">
        <v>2690</v>
      </c>
      <c r="AG5087" s="42" t="s">
        <v>6645</v>
      </c>
    </row>
    <row r="5088" spans="32:33" ht="15.75" customHeight="1">
      <c r="AF5088" s="42" t="s">
        <v>6152</v>
      </c>
      <c r="AG5088" s="42" t="s">
        <v>6645</v>
      </c>
    </row>
    <row r="5089" spans="32:33" ht="15.75" customHeight="1">
      <c r="AF5089" s="42" t="s">
        <v>3525</v>
      </c>
      <c r="AG5089" s="42" t="s">
        <v>6645</v>
      </c>
    </row>
    <row r="5090" spans="32:33" ht="15.75" customHeight="1">
      <c r="AF5090" s="42" t="s">
        <v>2332</v>
      </c>
      <c r="AG5090" s="42" t="s">
        <v>6645</v>
      </c>
    </row>
    <row r="5091" spans="32:33" ht="15.75" customHeight="1">
      <c r="AF5091" s="42" t="s">
        <v>6746</v>
      </c>
      <c r="AG5091" s="42" t="s">
        <v>6645</v>
      </c>
    </row>
    <row r="5092" spans="32:33" ht="15.75" customHeight="1">
      <c r="AF5092" s="42" t="s">
        <v>5945</v>
      </c>
      <c r="AG5092" s="42" t="s">
        <v>6645</v>
      </c>
    </row>
    <row r="5093" spans="32:33" ht="15.75" customHeight="1">
      <c r="AF5093" s="42" t="s">
        <v>6647</v>
      </c>
      <c r="AG5093" s="42" t="s">
        <v>6645</v>
      </c>
    </row>
    <row r="5094" spans="32:33" ht="15.75" customHeight="1">
      <c r="AF5094" s="42" t="s">
        <v>5972</v>
      </c>
      <c r="AG5094" s="42" t="s">
        <v>6645</v>
      </c>
    </row>
    <row r="5095" spans="32:33" ht="15.75" customHeight="1">
      <c r="AF5095" s="42" t="s">
        <v>6044</v>
      </c>
      <c r="AG5095" s="42" t="s">
        <v>6645</v>
      </c>
    </row>
    <row r="5096" spans="32:33" ht="15.75" customHeight="1">
      <c r="AF5096" s="42" t="s">
        <v>4712</v>
      </c>
      <c r="AG5096" s="42" t="s">
        <v>6645</v>
      </c>
    </row>
    <row r="5097" spans="32:33" ht="15.75" customHeight="1">
      <c r="AF5097" s="42" t="s">
        <v>4777</v>
      </c>
      <c r="AG5097" s="42" t="s">
        <v>6645</v>
      </c>
    </row>
    <row r="5098" spans="32:33" ht="15.75" customHeight="1">
      <c r="AF5098" s="42" t="s">
        <v>3684</v>
      </c>
      <c r="AG5098" s="42" t="s">
        <v>6645</v>
      </c>
    </row>
    <row r="5099" spans="32:33" ht="15.75" customHeight="1">
      <c r="AF5099" s="42" t="s">
        <v>3405</v>
      </c>
      <c r="AG5099" s="42" t="s">
        <v>6645</v>
      </c>
    </row>
    <row r="5100" spans="32:33" ht="15.75" customHeight="1">
      <c r="AF5100" s="42" t="s">
        <v>3798</v>
      </c>
      <c r="AG5100" s="42" t="s">
        <v>6645</v>
      </c>
    </row>
    <row r="5101" spans="32:33" ht="15.75" customHeight="1">
      <c r="AF5101" s="42" t="s">
        <v>2528</v>
      </c>
      <c r="AG5101" s="42" t="s">
        <v>6645</v>
      </c>
    </row>
    <row r="5102" spans="32:33" ht="15.75" customHeight="1">
      <c r="AF5102" s="42" t="s">
        <v>6005</v>
      </c>
      <c r="AG5102" s="42" t="s">
        <v>6645</v>
      </c>
    </row>
    <row r="5103" spans="32:33" ht="15.75" customHeight="1">
      <c r="AF5103" s="42" t="s">
        <v>2111</v>
      </c>
      <c r="AG5103" s="42" t="s">
        <v>6645</v>
      </c>
    </row>
    <row r="5104" spans="32:33" ht="15.75" customHeight="1">
      <c r="AF5104" s="42" t="s">
        <v>6752</v>
      </c>
      <c r="AG5104" s="42" t="s">
        <v>6645</v>
      </c>
    </row>
    <row r="5105" spans="32:33" ht="15.75" customHeight="1">
      <c r="AF5105" s="42" t="s">
        <v>3437</v>
      </c>
      <c r="AG5105" s="42" t="s">
        <v>6645</v>
      </c>
    </row>
    <row r="5106" spans="32:33" ht="15.75" customHeight="1">
      <c r="AF5106" s="42" t="s">
        <v>6006</v>
      </c>
      <c r="AG5106" s="42" t="s">
        <v>6645</v>
      </c>
    </row>
    <row r="5107" spans="32:33" ht="15.75" customHeight="1">
      <c r="AF5107" s="42" t="s">
        <v>877</v>
      </c>
      <c r="AG5107" s="42" t="s">
        <v>6645</v>
      </c>
    </row>
    <row r="5108" spans="32:33" ht="15.75" customHeight="1">
      <c r="AF5108" s="42" t="s">
        <v>1985</v>
      </c>
      <c r="AG5108" s="42" t="s">
        <v>6645</v>
      </c>
    </row>
    <row r="5109" spans="32:33" ht="15.75" customHeight="1">
      <c r="AF5109" s="42" t="s">
        <v>1674</v>
      </c>
      <c r="AG5109" s="42" t="s">
        <v>6645</v>
      </c>
    </row>
    <row r="5110" spans="32:33" ht="15.75" customHeight="1">
      <c r="AF5110" s="42" t="s">
        <v>3963</v>
      </c>
      <c r="AG5110" s="42" t="s">
        <v>6645</v>
      </c>
    </row>
    <row r="5111" spans="32:33" ht="15.75" customHeight="1">
      <c r="AF5111" s="42" t="s">
        <v>6651</v>
      </c>
      <c r="AG5111" s="42" t="s">
        <v>6645</v>
      </c>
    </row>
    <row r="5112" spans="32:33" ht="15.75" customHeight="1">
      <c r="AF5112" s="42" t="s">
        <v>6245</v>
      </c>
      <c r="AG5112" s="42" t="s">
        <v>6645</v>
      </c>
    </row>
    <row r="5113" spans="32:33" ht="15.75" customHeight="1">
      <c r="AF5113" s="42" t="s">
        <v>2605</v>
      </c>
      <c r="AG5113" s="42" t="s">
        <v>6645</v>
      </c>
    </row>
    <row r="5114" spans="32:33" ht="15.75" customHeight="1">
      <c r="AF5114" s="42" t="s">
        <v>2795</v>
      </c>
      <c r="AG5114" s="42" t="s">
        <v>6645</v>
      </c>
    </row>
    <row r="5115" spans="32:33" ht="15.75" customHeight="1">
      <c r="AF5115" s="42" t="s">
        <v>2481</v>
      </c>
      <c r="AG5115" s="42" t="s">
        <v>6645</v>
      </c>
    </row>
    <row r="5116" spans="32:33" ht="15.75" customHeight="1">
      <c r="AF5116" s="42" t="s">
        <v>6133</v>
      </c>
      <c r="AG5116" s="42" t="s">
        <v>6645</v>
      </c>
    </row>
    <row r="5117" spans="32:33" ht="15.75" customHeight="1">
      <c r="AF5117" s="42" t="s">
        <v>2148</v>
      </c>
      <c r="AG5117" s="42" t="s">
        <v>6642</v>
      </c>
    </row>
    <row r="5118" spans="32:33" ht="15.75" customHeight="1">
      <c r="AF5118" s="42" t="s">
        <v>8012</v>
      </c>
      <c r="AG5118" s="42" t="s">
        <v>6642</v>
      </c>
    </row>
    <row r="5119" spans="32:33" ht="15.75" customHeight="1">
      <c r="AF5119" s="42" t="s">
        <v>938</v>
      </c>
      <c r="AG5119" s="42" t="s">
        <v>6645</v>
      </c>
    </row>
    <row r="5120" spans="32:33" ht="15.75" customHeight="1">
      <c r="AF5120" s="42" t="s">
        <v>1581</v>
      </c>
      <c r="AG5120" s="42" t="s">
        <v>6645</v>
      </c>
    </row>
    <row r="5121" spans="32:33" ht="15.75" customHeight="1">
      <c r="AF5121" s="42" t="s">
        <v>6656</v>
      </c>
      <c r="AG5121" s="42" t="s">
        <v>6645</v>
      </c>
    </row>
    <row r="5122" spans="32:33" ht="15.75" customHeight="1">
      <c r="AF5122" s="42" t="s">
        <v>931</v>
      </c>
      <c r="AG5122" s="42" t="s">
        <v>6645</v>
      </c>
    </row>
    <row r="5123" spans="32:33" ht="15.75" customHeight="1">
      <c r="AF5123" s="42" t="s">
        <v>962</v>
      </c>
      <c r="AG5123" s="42" t="s">
        <v>6645</v>
      </c>
    </row>
    <row r="5124" spans="32:33" ht="15.75" customHeight="1">
      <c r="AF5124" s="42" t="s">
        <v>2149</v>
      </c>
      <c r="AG5124" s="42" t="s">
        <v>6645</v>
      </c>
    </row>
    <row r="5125" spans="32:33" ht="15.75" customHeight="1">
      <c r="AF5125" s="42" t="s">
        <v>4081</v>
      </c>
      <c r="AG5125" s="42" t="s">
        <v>6645</v>
      </c>
    </row>
    <row r="5126" spans="32:33" ht="15.75" customHeight="1">
      <c r="AF5126" s="42" t="s">
        <v>4790</v>
      </c>
      <c r="AG5126" s="42" t="s">
        <v>6642</v>
      </c>
    </row>
    <row r="5127" spans="32:33" ht="15.75" customHeight="1">
      <c r="AF5127" s="42" t="s">
        <v>4477</v>
      </c>
      <c r="AG5127" s="42" t="s">
        <v>6642</v>
      </c>
    </row>
    <row r="5128" spans="32:33" ht="15.75" customHeight="1">
      <c r="AF5128" s="42" t="s">
        <v>1238</v>
      </c>
      <c r="AG5128" s="42" t="s">
        <v>6642</v>
      </c>
    </row>
    <row r="5129" spans="32:33" ht="15.75" customHeight="1">
      <c r="AF5129" s="42" t="s">
        <v>1667</v>
      </c>
      <c r="AG5129" s="42" t="s">
        <v>6642</v>
      </c>
    </row>
    <row r="5130" spans="32:33" ht="15.75" customHeight="1">
      <c r="AF5130" s="42" t="s">
        <v>2677</v>
      </c>
      <c r="AG5130" s="42" t="s">
        <v>6642</v>
      </c>
    </row>
    <row r="5131" spans="32:33" ht="15.75" customHeight="1">
      <c r="AF5131" s="42" t="s">
        <v>2417</v>
      </c>
      <c r="AG5131" s="42" t="s">
        <v>6642</v>
      </c>
    </row>
    <row r="5132" spans="32:33" ht="15.75" customHeight="1">
      <c r="AF5132" s="42" t="s">
        <v>4862</v>
      </c>
      <c r="AG5132" s="42" t="s">
        <v>6642</v>
      </c>
    </row>
    <row r="5133" spans="32:33" ht="15.75" customHeight="1">
      <c r="AF5133" s="42" t="s">
        <v>5343</v>
      </c>
      <c r="AG5133" s="42" t="s">
        <v>6642</v>
      </c>
    </row>
    <row r="5134" spans="32:33" ht="15.75" customHeight="1">
      <c r="AF5134" s="42" t="s">
        <v>4470</v>
      </c>
      <c r="AG5134" s="42" t="s">
        <v>6642</v>
      </c>
    </row>
    <row r="5135" spans="32:33" ht="15.75" customHeight="1">
      <c r="AF5135" s="42" t="s">
        <v>2647</v>
      </c>
      <c r="AG5135" s="42" t="s">
        <v>6642</v>
      </c>
    </row>
    <row r="5136" spans="32:33" ht="15.75" customHeight="1">
      <c r="AF5136" s="42" t="s">
        <v>1722</v>
      </c>
      <c r="AG5136" s="42" t="s">
        <v>6642</v>
      </c>
    </row>
    <row r="5137" spans="32:33" ht="15.75" customHeight="1">
      <c r="AF5137" s="42" t="s">
        <v>4270</v>
      </c>
      <c r="AG5137" s="42" t="s">
        <v>6642</v>
      </c>
    </row>
    <row r="5138" spans="32:33" ht="15.75" customHeight="1">
      <c r="AF5138" s="42" t="s">
        <v>6153</v>
      </c>
      <c r="AG5138" s="42" t="s">
        <v>6642</v>
      </c>
    </row>
    <row r="5139" spans="32:33" ht="15.75" customHeight="1">
      <c r="AF5139" s="42" t="s">
        <v>5144</v>
      </c>
      <c r="AG5139" s="42" t="s">
        <v>6642</v>
      </c>
    </row>
    <row r="5140" spans="32:33" ht="15.75" customHeight="1">
      <c r="AF5140" s="42" t="s">
        <v>4893</v>
      </c>
      <c r="AG5140" s="42" t="s">
        <v>6645</v>
      </c>
    </row>
    <row r="5141" spans="32:33" ht="15.75" customHeight="1">
      <c r="AF5141" s="42" t="s">
        <v>4555</v>
      </c>
      <c r="AG5141" s="42" t="s">
        <v>6645</v>
      </c>
    </row>
    <row r="5142" spans="32:33" ht="15.75" customHeight="1">
      <c r="AF5142" s="42" t="s">
        <v>1764</v>
      </c>
      <c r="AG5142" s="42" t="s">
        <v>6645</v>
      </c>
    </row>
    <row r="5143" spans="32:33" ht="15.75" customHeight="1">
      <c r="AF5143" s="42" t="s">
        <v>5111</v>
      </c>
      <c r="AG5143" s="42" t="s">
        <v>6645</v>
      </c>
    </row>
    <row r="5144" spans="32:33" ht="15.75" customHeight="1">
      <c r="AF5144" s="42" t="s">
        <v>4659</v>
      </c>
      <c r="AG5144" s="42" t="s">
        <v>6645</v>
      </c>
    </row>
    <row r="5145" spans="32:33" ht="15.75" customHeight="1">
      <c r="AF5145" s="42" t="s">
        <v>1994</v>
      </c>
      <c r="AG5145" s="42" t="s">
        <v>6645</v>
      </c>
    </row>
    <row r="5146" spans="32:33" ht="15.75" customHeight="1">
      <c r="AF5146" s="42" t="s">
        <v>1261</v>
      </c>
      <c r="AG5146" s="42" t="s">
        <v>6645</v>
      </c>
    </row>
    <row r="5147" spans="32:33" ht="15.75" customHeight="1">
      <c r="AF5147" s="42" t="s">
        <v>4843</v>
      </c>
      <c r="AG5147" s="42" t="s">
        <v>6645</v>
      </c>
    </row>
    <row r="5148" spans="32:33" ht="15.75" customHeight="1">
      <c r="AF5148" s="42" t="s">
        <v>5216</v>
      </c>
      <c r="AG5148" s="42" t="s">
        <v>6645</v>
      </c>
    </row>
    <row r="5149" spans="32:33" ht="15.75" customHeight="1">
      <c r="AF5149" s="42" t="s">
        <v>4700</v>
      </c>
      <c r="AG5149" s="42" t="s">
        <v>6645</v>
      </c>
    </row>
    <row r="5150" spans="32:33" ht="15.75" customHeight="1">
      <c r="AF5150" s="42" t="s">
        <v>5290</v>
      </c>
      <c r="AG5150" s="42" t="s">
        <v>6645</v>
      </c>
    </row>
    <row r="5151" spans="32:33" ht="15.75" customHeight="1">
      <c r="AF5151" s="42" t="s">
        <v>4145</v>
      </c>
      <c r="AG5151" s="42" t="s">
        <v>6645</v>
      </c>
    </row>
    <row r="5152" spans="32:33" ht="15.75" customHeight="1">
      <c r="AF5152" s="42" t="s">
        <v>2346</v>
      </c>
      <c r="AG5152" s="42" t="s">
        <v>6645</v>
      </c>
    </row>
    <row r="5153" spans="32:33" ht="15.75" customHeight="1">
      <c r="AF5153" s="42" t="s">
        <v>4682</v>
      </c>
      <c r="AG5153" s="42" t="s">
        <v>6645</v>
      </c>
    </row>
    <row r="5154" spans="32:33" ht="15.75" customHeight="1">
      <c r="AF5154" s="42" t="s">
        <v>1870</v>
      </c>
      <c r="AG5154" s="42" t="s">
        <v>6645</v>
      </c>
    </row>
    <row r="5155" spans="32:33" ht="15.75" customHeight="1">
      <c r="AF5155" s="42" t="s">
        <v>3167</v>
      </c>
      <c r="AG5155" s="42" t="s">
        <v>6645</v>
      </c>
    </row>
    <row r="5156" spans="32:33" ht="15.75" customHeight="1">
      <c r="AF5156" s="42" t="s">
        <v>2246</v>
      </c>
      <c r="AG5156" s="42" t="s">
        <v>6645</v>
      </c>
    </row>
    <row r="5157" spans="32:33" ht="15.75" customHeight="1">
      <c r="AF5157" s="42" t="s">
        <v>1419</v>
      </c>
      <c r="AG5157" s="42" t="s">
        <v>6645</v>
      </c>
    </row>
    <row r="5158" spans="32:33" ht="15.75" customHeight="1">
      <c r="AF5158" s="42" t="s">
        <v>1810</v>
      </c>
      <c r="AG5158" s="42" t="s">
        <v>6645</v>
      </c>
    </row>
    <row r="5159" spans="32:33" ht="15.75" customHeight="1">
      <c r="AF5159" s="42" t="s">
        <v>4736</v>
      </c>
      <c r="AG5159" s="42" t="s">
        <v>6645</v>
      </c>
    </row>
    <row r="5160" spans="32:33" ht="15.75" customHeight="1">
      <c r="AF5160" s="42" t="s">
        <v>1210</v>
      </c>
      <c r="AG5160" s="42" t="s">
        <v>6645</v>
      </c>
    </row>
    <row r="5161" spans="32:33" ht="15.75" customHeight="1">
      <c r="AF5161" s="42" t="s">
        <v>1709</v>
      </c>
      <c r="AG5161" s="42" t="s">
        <v>6642</v>
      </c>
    </row>
    <row r="5162" spans="32:33" ht="15.75" customHeight="1">
      <c r="AF5162" s="42" t="s">
        <v>3205</v>
      </c>
      <c r="AG5162" s="42" t="s">
        <v>6642</v>
      </c>
    </row>
    <row r="5163" spans="32:33" ht="15.75" customHeight="1">
      <c r="AF5163" s="42" t="s">
        <v>8136</v>
      </c>
      <c r="AG5163" s="42" t="s">
        <v>6642</v>
      </c>
    </row>
    <row r="5164" spans="32:33" ht="15.75" customHeight="1">
      <c r="AF5164" s="42" t="s">
        <v>8085</v>
      </c>
      <c r="AG5164" s="42" t="s">
        <v>6642</v>
      </c>
    </row>
    <row r="5165" spans="32:33" ht="15.75" customHeight="1">
      <c r="AF5165" s="42" t="s">
        <v>7978</v>
      </c>
      <c r="AG5165" s="42" t="s">
        <v>6642</v>
      </c>
    </row>
    <row r="5166" spans="32:33" ht="15.75" customHeight="1">
      <c r="AF5166" s="42" t="s">
        <v>8008</v>
      </c>
      <c r="AG5166" s="42" t="s">
        <v>6642</v>
      </c>
    </row>
    <row r="5167" spans="32:33" ht="15.75" customHeight="1">
      <c r="AF5167" s="42" t="s">
        <v>5823</v>
      </c>
      <c r="AG5167" s="42" t="s">
        <v>6645</v>
      </c>
    </row>
    <row r="5168" spans="32:33" ht="15.75" customHeight="1">
      <c r="AF5168" s="42" t="s">
        <v>4132</v>
      </c>
      <c r="AG5168" s="42" t="s">
        <v>6645</v>
      </c>
    </row>
    <row r="5169" spans="32:33" ht="15.75" customHeight="1">
      <c r="AF5169" s="42" t="s">
        <v>4361</v>
      </c>
      <c r="AG5169" s="42" t="s">
        <v>6645</v>
      </c>
    </row>
    <row r="5170" spans="32:33" ht="15.75" customHeight="1">
      <c r="AF5170" s="42" t="s">
        <v>4539</v>
      </c>
      <c r="AG5170" s="42" t="s">
        <v>6645</v>
      </c>
    </row>
    <row r="5171" spans="32:33" ht="15.75" customHeight="1">
      <c r="AF5171" s="42" t="s">
        <v>2661</v>
      </c>
      <c r="AG5171" s="42" t="s">
        <v>6645</v>
      </c>
    </row>
    <row r="5172" spans="32:33" ht="15.75" customHeight="1">
      <c r="AF5172" s="42" t="s">
        <v>4057</v>
      </c>
      <c r="AG5172" s="42" t="s">
        <v>6645</v>
      </c>
    </row>
    <row r="5173" spans="32:33" ht="15.75" customHeight="1">
      <c r="AF5173" s="42" t="s">
        <v>6273</v>
      </c>
      <c r="AG5173" s="42" t="s">
        <v>6645</v>
      </c>
    </row>
    <row r="5174" spans="32:33" ht="15.75" customHeight="1">
      <c r="AF5174" s="42" t="s">
        <v>5985</v>
      </c>
      <c r="AG5174" s="42" t="s">
        <v>6645</v>
      </c>
    </row>
    <row r="5175" spans="32:33" ht="15.75" customHeight="1">
      <c r="AF5175" s="42" t="s">
        <v>4906</v>
      </c>
      <c r="AG5175" s="42" t="s">
        <v>6645</v>
      </c>
    </row>
    <row r="5176" spans="32:33" ht="15.75" customHeight="1">
      <c r="AF5176" s="42" t="s">
        <v>4595</v>
      </c>
      <c r="AG5176" s="42" t="s">
        <v>6645</v>
      </c>
    </row>
    <row r="5177" spans="32:33" ht="15.75" customHeight="1">
      <c r="AF5177" s="42" t="s">
        <v>2730</v>
      </c>
      <c r="AG5177" s="42" t="s">
        <v>6645</v>
      </c>
    </row>
    <row r="5178" spans="32:33" ht="15.75" customHeight="1">
      <c r="AF5178" s="42" t="s">
        <v>3283</v>
      </c>
      <c r="AG5178" s="42" t="s">
        <v>6645</v>
      </c>
    </row>
    <row r="5179" spans="32:33" ht="15.75" customHeight="1">
      <c r="AF5179" s="42" t="s">
        <v>2548</v>
      </c>
      <c r="AG5179" s="42" t="s">
        <v>6645</v>
      </c>
    </row>
    <row r="5180" spans="32:33" ht="15.75" customHeight="1">
      <c r="AF5180" s="42" t="s">
        <v>4375</v>
      </c>
      <c r="AG5180" s="42" t="s">
        <v>6645</v>
      </c>
    </row>
    <row r="5181" spans="32:33" ht="15.75" customHeight="1">
      <c r="AF5181" s="42" t="s">
        <v>6374</v>
      </c>
      <c r="AG5181" s="42" t="s">
        <v>6645</v>
      </c>
    </row>
    <row r="5182" spans="32:33" ht="15.75" customHeight="1">
      <c r="AF5182" s="42" t="s">
        <v>5068</v>
      </c>
      <c r="AG5182" s="42" t="s">
        <v>6645</v>
      </c>
    </row>
    <row r="5183" spans="32:33" ht="15.75" customHeight="1">
      <c r="AF5183" s="42" t="s">
        <v>5152</v>
      </c>
      <c r="AG5183" s="42" t="s">
        <v>6645</v>
      </c>
    </row>
    <row r="5184" spans="32:33" ht="15.75" customHeight="1">
      <c r="AF5184" s="42" t="s">
        <v>3311</v>
      </c>
      <c r="AG5184" s="42" t="s">
        <v>6645</v>
      </c>
    </row>
    <row r="5185" spans="32:33" ht="15.75" customHeight="1">
      <c r="AF5185" s="42" t="s">
        <v>5105</v>
      </c>
      <c r="AG5185" s="42" t="s">
        <v>6645</v>
      </c>
    </row>
    <row r="5186" spans="32:33" ht="15.75" customHeight="1">
      <c r="AF5186" s="42" t="s">
        <v>5330</v>
      </c>
      <c r="AG5186" s="42" t="s">
        <v>6645</v>
      </c>
    </row>
    <row r="5187" spans="32:33" ht="15.75" customHeight="1">
      <c r="AF5187" s="42" t="s">
        <v>4028</v>
      </c>
      <c r="AG5187" s="42" t="s">
        <v>6645</v>
      </c>
    </row>
    <row r="5188" spans="32:33" ht="15.75" customHeight="1">
      <c r="AF5188" s="42" t="s">
        <v>3262</v>
      </c>
      <c r="AG5188" s="42" t="s">
        <v>6645</v>
      </c>
    </row>
    <row r="5189" spans="32:33" ht="15.75" customHeight="1">
      <c r="AF5189" s="42" t="s">
        <v>5075</v>
      </c>
      <c r="AG5189" s="42" t="s">
        <v>6645</v>
      </c>
    </row>
    <row r="5190" spans="32:33" ht="15.75" customHeight="1">
      <c r="AF5190" s="42" t="s">
        <v>6174</v>
      </c>
      <c r="AG5190" s="42" t="s">
        <v>6645</v>
      </c>
    </row>
    <row r="5191" spans="32:33" ht="15.75" customHeight="1">
      <c r="AF5191" s="42" t="s">
        <v>2807</v>
      </c>
      <c r="AG5191" s="42" t="s">
        <v>6645</v>
      </c>
    </row>
    <row r="5192" spans="32:33" ht="15.75" customHeight="1">
      <c r="AF5192" s="42" t="s">
        <v>2653</v>
      </c>
      <c r="AG5192" s="42" t="s">
        <v>6645</v>
      </c>
    </row>
    <row r="5193" spans="32:33" ht="15.75" customHeight="1">
      <c r="AF5193" s="42" t="s">
        <v>2968</v>
      </c>
      <c r="AG5193" s="42" t="s">
        <v>6645</v>
      </c>
    </row>
    <row r="5194" spans="32:33" ht="15.75" customHeight="1">
      <c r="AF5194" s="42" t="s">
        <v>2782</v>
      </c>
      <c r="AG5194" s="42" t="s">
        <v>6645</v>
      </c>
    </row>
    <row r="5195" spans="32:33" ht="15.75" customHeight="1">
      <c r="AF5195" s="42" t="s">
        <v>4512</v>
      </c>
      <c r="AG5195" s="42" t="s">
        <v>6645</v>
      </c>
    </row>
    <row r="5196" spans="32:33" ht="15.75" customHeight="1">
      <c r="AF5196" s="42" t="s">
        <v>2716</v>
      </c>
      <c r="AG5196" s="42" t="s">
        <v>6645</v>
      </c>
    </row>
    <row r="5197" spans="32:33" ht="15.75" customHeight="1">
      <c r="AF5197" s="42" t="s">
        <v>2039</v>
      </c>
      <c r="AG5197" s="42" t="s">
        <v>6645</v>
      </c>
    </row>
    <row r="5198" spans="32:33" ht="15.75" customHeight="1">
      <c r="AF5198" s="42" t="s">
        <v>3713</v>
      </c>
      <c r="AG5198" s="42" t="s">
        <v>6645</v>
      </c>
    </row>
    <row r="5199" spans="32:33" ht="15.75" customHeight="1">
      <c r="AF5199" s="42" t="s">
        <v>845</v>
      </c>
      <c r="AG5199" s="42" t="s">
        <v>6645</v>
      </c>
    </row>
    <row r="5200" spans="32:33" ht="15.75" customHeight="1">
      <c r="AF5200" s="42" t="s">
        <v>4317</v>
      </c>
      <c r="AG5200" s="42" t="s">
        <v>6645</v>
      </c>
    </row>
    <row r="5201" spans="32:33" ht="15.75" customHeight="1">
      <c r="AF5201" s="42" t="s">
        <v>2024</v>
      </c>
      <c r="AG5201" s="42" t="s">
        <v>6645</v>
      </c>
    </row>
    <row r="5202" spans="32:33" ht="15.75" customHeight="1">
      <c r="AF5202" s="42" t="s">
        <v>1532</v>
      </c>
      <c r="AG5202" s="42" t="s">
        <v>6645</v>
      </c>
    </row>
    <row r="5203" spans="32:33" ht="15.75" customHeight="1">
      <c r="AF5203" s="42" t="s">
        <v>2326</v>
      </c>
      <c r="AG5203" s="42" t="s">
        <v>6645</v>
      </c>
    </row>
    <row r="5204" spans="32:33" ht="15.75" customHeight="1">
      <c r="AF5204" s="42" t="s">
        <v>3463</v>
      </c>
      <c r="AG5204" s="42" t="s">
        <v>6645</v>
      </c>
    </row>
    <row r="5205" spans="32:33" ht="15.75" customHeight="1">
      <c r="AF5205" s="42" t="s">
        <v>1116</v>
      </c>
      <c r="AG5205" s="42" t="s">
        <v>6645</v>
      </c>
    </row>
    <row r="5206" spans="32:33" ht="15.75" customHeight="1">
      <c r="AF5206" s="42" t="s">
        <v>1374</v>
      </c>
      <c r="AG5206" s="42" t="s">
        <v>6645</v>
      </c>
    </row>
    <row r="5207" spans="32:33" ht="15.75" customHeight="1">
      <c r="AF5207" s="42" t="s">
        <v>3811</v>
      </c>
      <c r="AG5207" s="42" t="s">
        <v>6645</v>
      </c>
    </row>
    <row r="5208" spans="32:33" ht="15.75" customHeight="1">
      <c r="AF5208" s="42" t="s">
        <v>3589</v>
      </c>
      <c r="AG5208" s="42" t="s">
        <v>6645</v>
      </c>
    </row>
    <row r="5209" spans="32:33" ht="15.75" customHeight="1">
      <c r="AF5209" s="42" t="s">
        <v>820</v>
      </c>
      <c r="AG5209" s="42" t="s">
        <v>6645</v>
      </c>
    </row>
    <row r="5210" spans="32:33" ht="15.75" customHeight="1">
      <c r="AF5210" s="42" t="s">
        <v>2192</v>
      </c>
      <c r="AG5210" s="42" t="s">
        <v>6645</v>
      </c>
    </row>
    <row r="5211" spans="32:33" ht="15.75" customHeight="1">
      <c r="AF5211" s="42" t="s">
        <v>3432</v>
      </c>
      <c r="AG5211" s="42" t="s">
        <v>6645</v>
      </c>
    </row>
    <row r="5212" spans="32:33" ht="15.75" customHeight="1">
      <c r="AF5212" s="42" t="s">
        <v>2465</v>
      </c>
      <c r="AG5212" s="42" t="s">
        <v>6645</v>
      </c>
    </row>
    <row r="5213" spans="32:33" ht="15.75" customHeight="1">
      <c r="AF5213" s="42" t="s">
        <v>1224</v>
      </c>
      <c r="AG5213" s="42" t="s">
        <v>6645</v>
      </c>
    </row>
    <row r="5214" spans="32:33" ht="15.75" customHeight="1">
      <c r="AF5214" s="42" t="s">
        <v>3572</v>
      </c>
      <c r="AG5214" s="42" t="s">
        <v>6645</v>
      </c>
    </row>
    <row r="5215" spans="32:33" ht="15.75" customHeight="1">
      <c r="AF5215" s="42" t="s">
        <v>2205</v>
      </c>
      <c r="AG5215" s="42" t="s">
        <v>6645</v>
      </c>
    </row>
    <row r="5216" spans="32:33" ht="15.75" customHeight="1">
      <c r="AF5216" s="42" t="s">
        <v>4310</v>
      </c>
      <c r="AG5216" s="42" t="s">
        <v>6645</v>
      </c>
    </row>
    <row r="5217" spans="32:33" ht="15.75" customHeight="1">
      <c r="AF5217" s="42" t="s">
        <v>4063</v>
      </c>
      <c r="AG5217" s="42" t="s">
        <v>6645</v>
      </c>
    </row>
    <row r="5218" spans="32:33" ht="15.75" customHeight="1">
      <c r="AF5218" s="42" t="s">
        <v>1842</v>
      </c>
      <c r="AG5218" s="42" t="s">
        <v>6645</v>
      </c>
    </row>
    <row r="5219" spans="32:33" ht="15.75" customHeight="1">
      <c r="AF5219" s="42" t="s">
        <v>4430</v>
      </c>
      <c r="AG5219" s="42" t="s">
        <v>6645</v>
      </c>
    </row>
    <row r="5220" spans="32:33" ht="15.75" customHeight="1">
      <c r="AF5220" s="42" t="s">
        <v>1682</v>
      </c>
      <c r="AG5220" s="42" t="s">
        <v>6645</v>
      </c>
    </row>
    <row r="5221" spans="32:33" ht="15.75" customHeight="1">
      <c r="AF5221" s="42" t="s">
        <v>5210</v>
      </c>
      <c r="AG5221" s="42" t="s">
        <v>6645</v>
      </c>
    </row>
    <row r="5222" spans="32:33" ht="15.75" customHeight="1">
      <c r="AF5222" s="42" t="s">
        <v>4297</v>
      </c>
      <c r="AG5222" s="42" t="s">
        <v>6645</v>
      </c>
    </row>
    <row r="5223" spans="32:33" ht="15.75" customHeight="1">
      <c r="AF5223" s="42" t="s">
        <v>3805</v>
      </c>
      <c r="AG5223" s="42" t="s">
        <v>6645</v>
      </c>
    </row>
    <row r="5224" spans="32:33" ht="15.75" customHeight="1">
      <c r="AF5224" s="42" t="s">
        <v>2072</v>
      </c>
      <c r="AG5224" s="42" t="s">
        <v>6645</v>
      </c>
    </row>
    <row r="5225" spans="32:33" ht="15.75" customHeight="1">
      <c r="AF5225" s="42" t="s">
        <v>1784</v>
      </c>
      <c r="AG5225" s="42" t="s">
        <v>6645</v>
      </c>
    </row>
    <row r="5226" spans="32:33" ht="15.75" customHeight="1">
      <c r="AF5226" s="42" t="s">
        <v>3450</v>
      </c>
      <c r="AG5226" s="42" t="s">
        <v>6645</v>
      </c>
    </row>
    <row r="5227" spans="32:33" ht="15.75" customHeight="1">
      <c r="AF5227" s="42" t="s">
        <v>6054</v>
      </c>
      <c r="AG5227" s="42" t="s">
        <v>6645</v>
      </c>
    </row>
    <row r="5228" spans="32:33" ht="15.75" customHeight="1">
      <c r="AF5228" s="42" t="s">
        <v>2822</v>
      </c>
      <c r="AG5228" s="42" t="s">
        <v>6645</v>
      </c>
    </row>
    <row r="5229" spans="32:33" ht="15.75" customHeight="1">
      <c r="AF5229" s="42" t="s">
        <v>3780</v>
      </c>
      <c r="AG5229" s="42" t="s">
        <v>6645</v>
      </c>
    </row>
    <row r="5230" spans="32:33" ht="15.75" customHeight="1">
      <c r="AF5230" s="42" t="s">
        <v>1108</v>
      </c>
      <c r="AG5230" s="42" t="s">
        <v>6645</v>
      </c>
    </row>
    <row r="5231" spans="32:33" ht="15.75" customHeight="1">
      <c r="AF5231" s="42" t="s">
        <v>5123</v>
      </c>
      <c r="AG5231" s="42" t="s">
        <v>6645</v>
      </c>
    </row>
    <row r="5232" spans="32:33" ht="15.75" customHeight="1">
      <c r="AF5232" s="42" t="s">
        <v>1613</v>
      </c>
      <c r="AG5232" s="42" t="s">
        <v>6645</v>
      </c>
    </row>
    <row r="5233" spans="32:33" ht="15.75" customHeight="1">
      <c r="AF5233" s="42" t="s">
        <v>1561</v>
      </c>
      <c r="AG5233" s="42" t="s">
        <v>6645</v>
      </c>
    </row>
    <row r="5234" spans="32:33" ht="15.75" customHeight="1">
      <c r="AF5234" s="42" t="s">
        <v>6653</v>
      </c>
      <c r="AG5234" s="42" t="s">
        <v>6645</v>
      </c>
    </row>
    <row r="5235" spans="32:33" ht="15.75" customHeight="1">
      <c r="AF5235" s="42" t="s">
        <v>6655</v>
      </c>
      <c r="AG5235" s="42" t="s">
        <v>6645</v>
      </c>
    </row>
    <row r="5236" spans="32:33" ht="15.75" customHeight="1">
      <c r="AF5236" s="42" t="s">
        <v>2443</v>
      </c>
      <c r="AG5236" s="42" t="s">
        <v>6645</v>
      </c>
    </row>
    <row r="5237" spans="32:33" ht="15.75" customHeight="1">
      <c r="AF5237" s="42" t="s">
        <v>2996</v>
      </c>
      <c r="AG5237" s="42" t="s">
        <v>6645</v>
      </c>
    </row>
    <row r="5238" spans="32:33" ht="15.75" customHeight="1">
      <c r="AF5238" s="42" t="s">
        <v>1509</v>
      </c>
      <c r="AG5238" s="42" t="s">
        <v>6645</v>
      </c>
    </row>
    <row r="5239" spans="32:33" ht="15.75" customHeight="1">
      <c r="AF5239" s="42" t="s">
        <v>2045</v>
      </c>
      <c r="AG5239" s="42" t="s">
        <v>6645</v>
      </c>
    </row>
    <row r="5240" spans="32:33" ht="15.75" customHeight="1">
      <c r="AF5240" s="42" t="s">
        <v>4944</v>
      </c>
      <c r="AG5240" s="42" t="s">
        <v>6645</v>
      </c>
    </row>
    <row r="5241" spans="32:33" ht="15.75" customHeight="1">
      <c r="AF5241" s="42" t="s">
        <v>2059</v>
      </c>
      <c r="AG5241" s="42" t="s">
        <v>6645</v>
      </c>
    </row>
    <row r="5242" spans="32:33" ht="15.75" customHeight="1">
      <c r="AF5242" s="42" t="s">
        <v>3015</v>
      </c>
      <c r="AG5242" s="42" t="s">
        <v>6645</v>
      </c>
    </row>
    <row r="5243" spans="32:33" ht="15.75" customHeight="1">
      <c r="AF5243" s="42" t="s">
        <v>2239</v>
      </c>
      <c r="AG5243" s="42" t="s">
        <v>6645</v>
      </c>
    </row>
    <row r="5244" spans="32:33" ht="15.75" customHeight="1">
      <c r="AF5244" s="42" t="s">
        <v>3110</v>
      </c>
      <c r="AG5244" s="42" t="s">
        <v>6645</v>
      </c>
    </row>
    <row r="5245" spans="32:33" ht="15.75" customHeight="1">
      <c r="AF5245" s="42" t="s">
        <v>5659</v>
      </c>
      <c r="AG5245" s="42" t="s">
        <v>6645</v>
      </c>
    </row>
    <row r="5246" spans="32:33" ht="15.75" customHeight="1">
      <c r="AF5246" s="42" t="s">
        <v>2982</v>
      </c>
      <c r="AG5246" s="42" t="s">
        <v>6645</v>
      </c>
    </row>
    <row r="5247" spans="32:33" ht="15.75" customHeight="1">
      <c r="AF5247" s="42" t="s">
        <v>3718</v>
      </c>
      <c r="AG5247" s="42" t="s">
        <v>6645</v>
      </c>
    </row>
    <row r="5248" spans="32:33" ht="15.75" customHeight="1">
      <c r="AF5248" s="42" t="s">
        <v>2739</v>
      </c>
      <c r="AG5248" s="42" t="s">
        <v>6645</v>
      </c>
    </row>
    <row r="5249" spans="32:33" ht="15.75" customHeight="1">
      <c r="AF5249" s="42" t="s">
        <v>1827</v>
      </c>
      <c r="AG5249" s="42" t="s">
        <v>6645</v>
      </c>
    </row>
    <row r="5250" spans="32:33" ht="15.75" customHeight="1">
      <c r="AF5250" s="42" t="s">
        <v>1836</v>
      </c>
      <c r="AG5250" s="42" t="s">
        <v>6645</v>
      </c>
    </row>
    <row r="5251" spans="32:33" ht="15.75" customHeight="1">
      <c r="AF5251" s="42" t="s">
        <v>1809</v>
      </c>
      <c r="AG5251" s="42" t="s">
        <v>6645</v>
      </c>
    </row>
    <row r="5252" spans="32:33" ht="15.75" customHeight="1">
      <c r="AF5252" s="42" t="s">
        <v>3605</v>
      </c>
      <c r="AG5252" s="42" t="s">
        <v>6645</v>
      </c>
    </row>
    <row r="5253" spans="32:33" ht="15.75" customHeight="1">
      <c r="AF5253" s="42" t="s">
        <v>4609</v>
      </c>
      <c r="AG5253" s="42" t="s">
        <v>6645</v>
      </c>
    </row>
    <row r="5254" spans="32:33" ht="15.75" customHeight="1">
      <c r="AF5254" s="42" t="s">
        <v>1750</v>
      </c>
      <c r="AG5254" s="42" t="s">
        <v>6645</v>
      </c>
    </row>
    <row r="5255" spans="32:33" ht="15.75" customHeight="1">
      <c r="AF5255" s="42" t="s">
        <v>6279</v>
      </c>
      <c r="AG5255" s="42" t="s">
        <v>6645</v>
      </c>
    </row>
    <row r="5256" spans="32:33" ht="15.75" customHeight="1">
      <c r="AF5256" s="42" t="s">
        <v>2339</v>
      </c>
      <c r="AG5256" s="42" t="s">
        <v>6645</v>
      </c>
    </row>
    <row r="5257" spans="32:33" ht="15.75" customHeight="1">
      <c r="AF5257" s="42" t="s">
        <v>6145</v>
      </c>
      <c r="AG5257" s="42" t="s">
        <v>6645</v>
      </c>
    </row>
    <row r="5258" spans="32:33" ht="15.75" customHeight="1">
      <c r="AF5258" s="42" t="s">
        <v>2210</v>
      </c>
      <c r="AG5258" s="42" t="s">
        <v>6645</v>
      </c>
    </row>
    <row r="5259" spans="32:33" ht="15.75" customHeight="1">
      <c r="AF5259" s="42" t="s">
        <v>6415</v>
      </c>
      <c r="AG5259" s="42" t="s">
        <v>6645</v>
      </c>
    </row>
    <row r="5260" spans="32:33" ht="15.75" customHeight="1">
      <c r="AF5260" s="42" t="s">
        <v>3517</v>
      </c>
      <c r="AG5260" s="42" t="s">
        <v>6645</v>
      </c>
    </row>
    <row r="5261" spans="32:33" ht="15.75" customHeight="1">
      <c r="AF5261" s="42" t="s">
        <v>4215</v>
      </c>
      <c r="AG5261" s="42" t="s">
        <v>6645</v>
      </c>
    </row>
    <row r="5262" spans="32:33" ht="15.75" customHeight="1">
      <c r="AF5262" s="42" t="s">
        <v>1932</v>
      </c>
      <c r="AG5262" s="42" t="s">
        <v>6645</v>
      </c>
    </row>
    <row r="5263" spans="32:33" ht="15.75" customHeight="1">
      <c r="AF5263" s="42" t="s">
        <v>2008</v>
      </c>
      <c r="AG5263" s="42" t="s">
        <v>6645</v>
      </c>
    </row>
    <row r="5264" spans="32:33" ht="15.75" customHeight="1">
      <c r="AF5264" s="42" t="s">
        <v>1075</v>
      </c>
      <c r="AG5264" s="42" t="s">
        <v>6645</v>
      </c>
    </row>
    <row r="5265" spans="32:33" ht="15.75" customHeight="1">
      <c r="AF5265" s="42" t="s">
        <v>1016</v>
      </c>
      <c r="AG5265" s="42" t="s">
        <v>6645</v>
      </c>
    </row>
    <row r="5266" spans="32:33" ht="15.75" customHeight="1">
      <c r="AF5266" s="42" t="s">
        <v>7213</v>
      </c>
      <c r="AG5266" s="42" t="s">
        <v>6642</v>
      </c>
    </row>
    <row r="5267" spans="32:33" ht="15.75" customHeight="1">
      <c r="AF5267" s="42" t="s">
        <v>8084</v>
      </c>
      <c r="AG5267" s="42" t="s">
        <v>6642</v>
      </c>
    </row>
    <row r="5268" spans="32:33" ht="15.75" customHeight="1">
      <c r="AF5268" s="42" t="s">
        <v>6460</v>
      </c>
      <c r="AG5268" s="42" t="s">
        <v>6645</v>
      </c>
    </row>
    <row r="5269" spans="32:33" ht="15.75" customHeight="1">
      <c r="AF5269" s="42" t="s">
        <v>6466</v>
      </c>
      <c r="AG5269" s="42" t="s">
        <v>6645</v>
      </c>
    </row>
    <row r="5270" spans="32:33" ht="15.75" customHeight="1">
      <c r="AF5270" s="42" t="s">
        <v>1465</v>
      </c>
      <c r="AG5270" s="42" t="s">
        <v>6645</v>
      </c>
    </row>
    <row r="5271" spans="32:33" ht="15.75" customHeight="1">
      <c r="AF5271" s="42" t="s">
        <v>1142</v>
      </c>
      <c r="AG5271" s="42" t="s">
        <v>6645</v>
      </c>
    </row>
    <row r="5272" spans="32:33" ht="15.75" customHeight="1">
      <c r="AF5272" s="42" t="s">
        <v>3425</v>
      </c>
      <c r="AG5272" s="42" t="s">
        <v>6645</v>
      </c>
    </row>
    <row r="5273" spans="32:33" ht="15.75" customHeight="1">
      <c r="AF5273" s="42" t="s">
        <v>2066</v>
      </c>
      <c r="AG5273" s="42" t="s">
        <v>6645</v>
      </c>
    </row>
    <row r="5274" spans="32:33" ht="15.75" customHeight="1">
      <c r="AF5274" s="42" t="s">
        <v>1858</v>
      </c>
      <c r="AG5274" s="42" t="s">
        <v>6645</v>
      </c>
    </row>
    <row r="5275" spans="32:33" ht="15.75" customHeight="1">
      <c r="AF5275" s="42" t="s">
        <v>6166</v>
      </c>
      <c r="AG5275" s="42" t="s">
        <v>6645</v>
      </c>
    </row>
    <row r="5276" spans="32:33" ht="15.75" customHeight="1">
      <c r="AF5276" s="42" t="s">
        <v>2184</v>
      </c>
      <c r="AG5276" s="42" t="s">
        <v>6645</v>
      </c>
    </row>
    <row r="5277" spans="32:33" ht="15.75" customHeight="1">
      <c r="AF5277" s="42" t="s">
        <v>3566</v>
      </c>
      <c r="AG5277" s="42" t="s">
        <v>6645</v>
      </c>
    </row>
    <row r="5278" spans="32:33" ht="15.75" customHeight="1">
      <c r="AF5278" s="42" t="s">
        <v>6659</v>
      </c>
      <c r="AG5278" s="42" t="s">
        <v>6645</v>
      </c>
    </row>
    <row r="5279" spans="32:33" ht="15.75" customHeight="1">
      <c r="AF5279" s="42" t="s">
        <v>3379</v>
      </c>
      <c r="AG5279" s="42" t="s">
        <v>6645</v>
      </c>
    </row>
    <row r="5280" spans="32:33" ht="15.75" customHeight="1">
      <c r="AF5280" s="42" t="s">
        <v>2347</v>
      </c>
      <c r="AG5280" s="42" t="s">
        <v>6645</v>
      </c>
    </row>
    <row r="5281" spans="32:33" ht="15.75" customHeight="1">
      <c r="AF5281" s="42" t="s">
        <v>6706</v>
      </c>
      <c r="AG5281" s="42" t="s">
        <v>6645</v>
      </c>
    </row>
    <row r="5282" spans="32:33" ht="15.75" customHeight="1">
      <c r="AF5282" s="42" t="s">
        <v>3978</v>
      </c>
      <c r="AG5282" s="42" t="s">
        <v>6645</v>
      </c>
    </row>
    <row r="5283" spans="32:33" ht="15.75" customHeight="1">
      <c r="AF5283" s="42" t="s">
        <v>1270</v>
      </c>
      <c r="AG5283" s="42" t="s">
        <v>6645</v>
      </c>
    </row>
    <row r="5284" spans="32:33" ht="15.75" customHeight="1">
      <c r="AF5284" s="42" t="s">
        <v>2363</v>
      </c>
      <c r="AG5284" s="42" t="s">
        <v>6645</v>
      </c>
    </row>
    <row r="5285" spans="32:33" ht="15.75" customHeight="1">
      <c r="AF5285" s="42" t="s">
        <v>3551</v>
      </c>
      <c r="AG5285" s="42" t="s">
        <v>6645</v>
      </c>
    </row>
    <row r="5286" spans="32:33" ht="15.75" customHeight="1">
      <c r="AF5286" s="42" t="s">
        <v>4004</v>
      </c>
      <c r="AG5286" s="42" t="s">
        <v>6645</v>
      </c>
    </row>
    <row r="5287" spans="32:33" ht="15.75" customHeight="1">
      <c r="AF5287" s="42" t="s">
        <v>3497</v>
      </c>
      <c r="AG5287" s="42" t="s">
        <v>6645</v>
      </c>
    </row>
    <row r="5288" spans="32:33" ht="15.75" customHeight="1">
      <c r="AF5288" s="42" t="s">
        <v>1728</v>
      </c>
      <c r="AG5288" s="42" t="s">
        <v>6645</v>
      </c>
    </row>
    <row r="5289" spans="32:33" ht="15.75" customHeight="1">
      <c r="AF5289" s="42" t="s">
        <v>3839</v>
      </c>
      <c r="AG5289" s="42" t="s">
        <v>6645</v>
      </c>
    </row>
    <row r="5290" spans="32:33" ht="15.75" customHeight="1">
      <c r="AF5290" s="42" t="s">
        <v>4051</v>
      </c>
      <c r="AG5290" s="42" t="s">
        <v>6645</v>
      </c>
    </row>
    <row r="5291" spans="32:33" ht="15.75" customHeight="1">
      <c r="AF5291" s="42" t="s">
        <v>1479</v>
      </c>
      <c r="AG5291" s="42" t="s">
        <v>6645</v>
      </c>
    </row>
    <row r="5292" spans="32:33" ht="15.75" customHeight="1">
      <c r="AF5292" s="42" t="s">
        <v>1729</v>
      </c>
      <c r="AG5292" s="42" t="s">
        <v>6645</v>
      </c>
    </row>
    <row r="5293" spans="32:33" ht="15.75" customHeight="1">
      <c r="AF5293" s="42" t="s">
        <v>2931</v>
      </c>
      <c r="AG5293" s="42" t="s">
        <v>6645</v>
      </c>
    </row>
    <row r="5294" spans="32:33" ht="15.75" customHeight="1">
      <c r="AF5294" s="42" t="s">
        <v>3482</v>
      </c>
      <c r="AG5294" s="42" t="s">
        <v>6645</v>
      </c>
    </row>
    <row r="5295" spans="32:33" ht="15.75" customHeight="1">
      <c r="AF5295" s="42" t="s">
        <v>6316</v>
      </c>
      <c r="AG5295" s="42" t="s">
        <v>6645</v>
      </c>
    </row>
    <row r="5296" spans="32:33" ht="15.75" customHeight="1">
      <c r="AF5296" s="42" t="s">
        <v>3732</v>
      </c>
      <c r="AG5296" s="42" t="s">
        <v>6645</v>
      </c>
    </row>
    <row r="5297" spans="32:33" ht="15.75" customHeight="1">
      <c r="AF5297" s="42" t="s">
        <v>1038</v>
      </c>
      <c r="AG5297" s="42" t="s">
        <v>6645</v>
      </c>
    </row>
    <row r="5298" spans="32:33" ht="15.75" customHeight="1">
      <c r="AF5298" s="42" t="s">
        <v>3442</v>
      </c>
      <c r="AG5298" s="42" t="s">
        <v>6645</v>
      </c>
    </row>
    <row r="5299" spans="32:33" ht="15.75" customHeight="1">
      <c r="AF5299" s="42" t="s">
        <v>1654</v>
      </c>
      <c r="AG5299" s="42" t="s">
        <v>6645</v>
      </c>
    </row>
    <row r="5300" spans="32:33" ht="15.75" customHeight="1">
      <c r="AF5300" s="42" t="s">
        <v>3498</v>
      </c>
      <c r="AG5300" s="42" t="s">
        <v>6645</v>
      </c>
    </row>
    <row r="5301" spans="32:33" ht="15.75" customHeight="1">
      <c r="AF5301" s="42" t="s">
        <v>3858</v>
      </c>
      <c r="AG5301" s="42" t="s">
        <v>6645</v>
      </c>
    </row>
    <row r="5302" spans="32:33" ht="15.75" customHeight="1">
      <c r="AF5302" s="42" t="s">
        <v>2709</v>
      </c>
      <c r="AG5302" s="42" t="s">
        <v>6645</v>
      </c>
    </row>
    <row r="5303" spans="32:33" ht="15.75" customHeight="1">
      <c r="AF5303" s="42" t="s">
        <v>1735</v>
      </c>
      <c r="AG5303" s="42" t="s">
        <v>6645</v>
      </c>
    </row>
    <row r="5304" spans="32:33" ht="15.75" customHeight="1">
      <c r="AF5304" s="42" t="s">
        <v>3068</v>
      </c>
      <c r="AG5304" s="42" t="s">
        <v>6645</v>
      </c>
    </row>
    <row r="5305" spans="32:33" ht="15.75" customHeight="1">
      <c r="AF5305" s="42" t="s">
        <v>5885</v>
      </c>
      <c r="AG5305" s="42" t="s">
        <v>6645</v>
      </c>
    </row>
    <row r="5306" spans="32:33" ht="15.75" customHeight="1">
      <c r="AF5306" s="42" t="s">
        <v>5348</v>
      </c>
      <c r="AG5306" s="42" t="s">
        <v>6645</v>
      </c>
    </row>
    <row r="5307" spans="32:33" ht="15.75" customHeight="1">
      <c r="AF5307" s="42" t="s">
        <v>4343</v>
      </c>
      <c r="AG5307" s="42" t="s">
        <v>6645</v>
      </c>
    </row>
    <row r="5308" spans="32:33" ht="15.75" customHeight="1">
      <c r="AF5308" s="42" t="s">
        <v>4857</v>
      </c>
      <c r="AG5308" s="42" t="s">
        <v>6645</v>
      </c>
    </row>
    <row r="5309" spans="32:33" ht="15.75" customHeight="1">
      <c r="AF5309" s="42" t="s">
        <v>4369</v>
      </c>
      <c r="AG5309" s="42" t="s">
        <v>6645</v>
      </c>
    </row>
    <row r="5310" spans="32:33" ht="15.75" customHeight="1">
      <c r="AF5310" s="42" t="s">
        <v>2405</v>
      </c>
      <c r="AG5310" s="42" t="s">
        <v>6645</v>
      </c>
    </row>
    <row r="5311" spans="32:33" ht="15.75" customHeight="1">
      <c r="AF5311" s="42" t="s">
        <v>5836</v>
      </c>
      <c r="AG5311" s="42" t="s">
        <v>6645</v>
      </c>
    </row>
    <row r="5312" spans="32:33" ht="15.75" customHeight="1">
      <c r="AF5312" s="42" t="s">
        <v>3483</v>
      </c>
      <c r="AG5312" s="42" t="s">
        <v>6645</v>
      </c>
    </row>
    <row r="5313" spans="32:33" ht="15.75" customHeight="1">
      <c r="AF5313" s="42" t="s">
        <v>2991</v>
      </c>
      <c r="AG5313" s="42" t="s">
        <v>6645</v>
      </c>
    </row>
    <row r="5314" spans="32:33" ht="15.75" customHeight="1">
      <c r="AF5314" s="42" t="s">
        <v>5511</v>
      </c>
      <c r="AG5314" s="42" t="s">
        <v>6645</v>
      </c>
    </row>
    <row r="5315" spans="32:33" ht="15.75" customHeight="1">
      <c r="AF5315" s="42" t="s">
        <v>1963</v>
      </c>
      <c r="AG5315" s="42" t="s">
        <v>6645</v>
      </c>
    </row>
    <row r="5316" spans="32:33" ht="15.75" customHeight="1">
      <c r="AF5316" s="42" t="s">
        <v>2020</v>
      </c>
      <c r="AG5316" s="42" t="s">
        <v>6645</v>
      </c>
    </row>
    <row r="5317" spans="32:33" ht="15.75" customHeight="1">
      <c r="AF5317" s="42" t="s">
        <v>2298</v>
      </c>
      <c r="AG5317" s="42" t="s">
        <v>6645</v>
      </c>
    </row>
    <row r="5318" spans="32:33" ht="15.75" customHeight="1">
      <c r="AF5318" s="42" t="s">
        <v>1001</v>
      </c>
      <c r="AG5318" s="42" t="s">
        <v>6642</v>
      </c>
    </row>
    <row r="5319" spans="32:33" ht="15.75" customHeight="1">
      <c r="AF5319" s="42" t="s">
        <v>939</v>
      </c>
      <c r="AG5319" s="42" t="s">
        <v>6642</v>
      </c>
    </row>
    <row r="5320" spans="32:33" ht="15.75" customHeight="1">
      <c r="AF5320" s="42" t="s">
        <v>1026</v>
      </c>
      <c r="AG5320" s="42" t="s">
        <v>6642</v>
      </c>
    </row>
    <row r="5321" spans="32:33" ht="15.75" customHeight="1">
      <c r="AF5321" s="42" t="s">
        <v>1580</v>
      </c>
      <c r="AG5321" s="42" t="s">
        <v>6642</v>
      </c>
    </row>
    <row r="5322" spans="32:33" ht="15.75" customHeight="1">
      <c r="AF5322" s="42" t="s">
        <v>954</v>
      </c>
      <c r="AG5322" s="42" t="s">
        <v>6642</v>
      </c>
    </row>
    <row r="5323" spans="32:33" ht="15.75" customHeight="1">
      <c r="AF5323" s="42" t="s">
        <v>5676</v>
      </c>
      <c r="AG5323" s="42" t="s">
        <v>6645</v>
      </c>
    </row>
    <row r="5324" spans="32:33" ht="15.75" customHeight="1">
      <c r="AF5324" s="42" t="s">
        <v>6707</v>
      </c>
      <c r="AG5324" s="42" t="s">
        <v>6645</v>
      </c>
    </row>
    <row r="5325" spans="32:33" ht="15.75" customHeight="1">
      <c r="AF5325" s="42" t="s">
        <v>1313</v>
      </c>
      <c r="AG5325" s="42" t="s">
        <v>6645</v>
      </c>
    </row>
    <row r="5326" spans="32:33" ht="15.75" customHeight="1">
      <c r="AF5326" s="42" t="s">
        <v>3344</v>
      </c>
      <c r="AG5326" s="42" t="s">
        <v>6645</v>
      </c>
    </row>
    <row r="5327" spans="32:33" ht="15.75" customHeight="1">
      <c r="AF5327" s="42" t="s">
        <v>4887</v>
      </c>
      <c r="AG5327" s="42" t="s">
        <v>6645</v>
      </c>
    </row>
    <row r="5328" spans="32:33" ht="15.75" customHeight="1">
      <c r="AF5328" s="42" t="s">
        <v>5138</v>
      </c>
      <c r="AG5328" s="42" t="s">
        <v>6645</v>
      </c>
    </row>
    <row r="5329" spans="32:33" ht="15.75" customHeight="1">
      <c r="AF5329" s="42" t="s">
        <v>6025</v>
      </c>
      <c r="AG5329" s="42" t="s">
        <v>6645</v>
      </c>
    </row>
    <row r="5330" spans="32:33" ht="15.75" customHeight="1">
      <c r="AF5330" s="42" t="s">
        <v>5305</v>
      </c>
      <c r="AG5330" s="42" t="s">
        <v>6645</v>
      </c>
    </row>
    <row r="5331" spans="32:33" ht="15.75" customHeight="1">
      <c r="AF5331" s="42" t="s">
        <v>3635</v>
      </c>
      <c r="AG5331" s="42" t="s">
        <v>6645</v>
      </c>
    </row>
    <row r="5332" spans="32:33" ht="15.75" customHeight="1">
      <c r="AF5332" s="42" t="s">
        <v>4810</v>
      </c>
      <c r="AG5332" s="42" t="s">
        <v>6645</v>
      </c>
    </row>
    <row r="5333" spans="32:33" ht="15.75" customHeight="1">
      <c r="AF5333" s="42" t="s">
        <v>4290</v>
      </c>
      <c r="AG5333" s="42" t="s">
        <v>6645</v>
      </c>
    </row>
    <row r="5334" spans="32:33" ht="15.75" customHeight="1">
      <c r="AF5334" s="42" t="s">
        <v>2884</v>
      </c>
      <c r="AG5334" s="42" t="s">
        <v>6645</v>
      </c>
    </row>
    <row r="5335" spans="32:33" ht="15.75" customHeight="1">
      <c r="AF5335" s="42" t="s">
        <v>3901</v>
      </c>
      <c r="AG5335" s="42" t="s">
        <v>6645</v>
      </c>
    </row>
    <row r="5336" spans="32:33" ht="15.75" customHeight="1">
      <c r="AF5336" s="42" t="s">
        <v>4442</v>
      </c>
      <c r="AG5336" s="42" t="s">
        <v>6645</v>
      </c>
    </row>
    <row r="5337" spans="32:33" ht="15.75" customHeight="1">
      <c r="AF5337" s="42" t="s">
        <v>4443</v>
      </c>
      <c r="AG5337" s="42" t="s">
        <v>6645</v>
      </c>
    </row>
    <row r="5338" spans="32:33" ht="15.75" customHeight="1">
      <c r="AF5338" s="42" t="s">
        <v>3036</v>
      </c>
      <c r="AG5338" s="42" t="s">
        <v>6645</v>
      </c>
    </row>
    <row r="5339" spans="32:33" ht="15.75" customHeight="1">
      <c r="AF5339" s="42" t="s">
        <v>6310</v>
      </c>
      <c r="AG5339" s="42" t="s">
        <v>6645</v>
      </c>
    </row>
    <row r="5340" spans="32:33" ht="15.75" customHeight="1">
      <c r="AF5340" s="42" t="s">
        <v>6648</v>
      </c>
      <c r="AG5340" s="42" t="s">
        <v>6645</v>
      </c>
    </row>
    <row r="5341" spans="32:33" ht="15.75" customHeight="1">
      <c r="AF5341" s="42" t="s">
        <v>3755</v>
      </c>
      <c r="AG5341" s="42" t="s">
        <v>6645</v>
      </c>
    </row>
    <row r="5342" spans="32:33" ht="15.75" customHeight="1">
      <c r="AF5342" s="42" t="s">
        <v>4193</v>
      </c>
      <c r="AG5342" s="42" t="s">
        <v>6645</v>
      </c>
    </row>
    <row r="5343" spans="32:33" ht="15.75" customHeight="1">
      <c r="AF5343" s="42" t="s">
        <v>6745</v>
      </c>
      <c r="AG5343" s="42" t="s">
        <v>6645</v>
      </c>
    </row>
    <row r="5344" spans="32:33" ht="15.75" customHeight="1">
      <c r="AF5344" s="42" t="s">
        <v>3443</v>
      </c>
      <c r="AG5344" s="42" t="s">
        <v>6645</v>
      </c>
    </row>
    <row r="5345" spans="32:33" ht="15.75" customHeight="1">
      <c r="AF5345" s="42" t="s">
        <v>4264</v>
      </c>
      <c r="AG5345" s="42" t="s">
        <v>6645</v>
      </c>
    </row>
    <row r="5346" spans="32:33" ht="15.75" customHeight="1">
      <c r="AF5346" s="42" t="s">
        <v>861</v>
      </c>
      <c r="AG5346" s="42" t="s">
        <v>6645</v>
      </c>
    </row>
    <row r="5347" spans="32:33" ht="15.75" customHeight="1">
      <c r="AF5347" s="42" t="s">
        <v>4252</v>
      </c>
      <c r="AG5347" s="42" t="s">
        <v>6645</v>
      </c>
    </row>
    <row r="5348" spans="32:33" ht="15.75" customHeight="1">
      <c r="AF5348" s="42" t="s">
        <v>5165</v>
      </c>
      <c r="AG5348" s="42" t="s">
        <v>6645</v>
      </c>
    </row>
    <row r="5349" spans="32:33" ht="15.75" customHeight="1">
      <c r="AF5349" s="42" t="s">
        <v>5421</v>
      </c>
      <c r="AG5349" s="42" t="s">
        <v>6645</v>
      </c>
    </row>
    <row r="5350" spans="32:33" ht="15.75" customHeight="1">
      <c r="AF5350" s="42" t="s">
        <v>1626</v>
      </c>
      <c r="AG5350" s="42" t="s">
        <v>6645</v>
      </c>
    </row>
    <row r="5351" spans="32:33" ht="15.75" customHeight="1">
      <c r="AF5351" s="42" t="s">
        <v>4208</v>
      </c>
      <c r="AG5351" s="42" t="s">
        <v>6645</v>
      </c>
    </row>
    <row r="5352" spans="32:33" ht="15.75" customHeight="1">
      <c r="AF5352" s="42" t="s">
        <v>3824</v>
      </c>
      <c r="AG5352" s="42" t="s">
        <v>6645</v>
      </c>
    </row>
    <row r="5353" spans="32:33" ht="15.75" customHeight="1">
      <c r="AF5353" s="42" t="s">
        <v>2948</v>
      </c>
      <c r="AG5353" s="42" t="s">
        <v>6645</v>
      </c>
    </row>
    <row r="5354" spans="32:33" ht="15.75" customHeight="1">
      <c r="AF5354" s="42" t="s">
        <v>5427</v>
      </c>
      <c r="AG5354" s="42" t="s">
        <v>6645</v>
      </c>
    </row>
    <row r="5355" spans="32:33" ht="15.75" customHeight="1">
      <c r="AF5355" s="42" t="s">
        <v>5494</v>
      </c>
      <c r="AG5355" s="42" t="s">
        <v>6645</v>
      </c>
    </row>
    <row r="5356" spans="32:33" ht="15.75" customHeight="1">
      <c r="AF5356" s="42" t="s">
        <v>1502</v>
      </c>
      <c r="AG5356" s="42" t="s">
        <v>6645</v>
      </c>
    </row>
    <row r="5357" spans="32:33" ht="15.75" customHeight="1">
      <c r="AF5357" s="42" t="s">
        <v>3192</v>
      </c>
      <c r="AG5357" s="42" t="s">
        <v>6645</v>
      </c>
    </row>
    <row r="5358" spans="32:33" ht="15.75" customHeight="1">
      <c r="AF5358" s="42" t="s">
        <v>3578</v>
      </c>
      <c r="AG5358" s="42" t="s">
        <v>6645</v>
      </c>
    </row>
    <row r="5359" spans="32:33" ht="15.75" customHeight="1">
      <c r="AF5359" s="42" t="s">
        <v>4645</v>
      </c>
      <c r="AG5359" s="42" t="s">
        <v>6645</v>
      </c>
    </row>
    <row r="5360" spans="32:33" ht="15.75" customHeight="1">
      <c r="AF5360" s="42" t="s">
        <v>1865</v>
      </c>
      <c r="AG5360" s="42" t="s">
        <v>6645</v>
      </c>
    </row>
    <row r="5361" spans="32:33" ht="15.75" customHeight="1">
      <c r="AF5361" s="42" t="s">
        <v>5495</v>
      </c>
      <c r="AG5361" s="42" t="s">
        <v>6645</v>
      </c>
    </row>
    <row r="5362" spans="32:33" ht="15.75" customHeight="1">
      <c r="AF5362" s="42" t="s">
        <v>1525</v>
      </c>
      <c r="AG5362" s="42" t="s">
        <v>6645</v>
      </c>
    </row>
    <row r="5363" spans="32:33" ht="15.75" customHeight="1">
      <c r="AF5363" s="42" t="s">
        <v>3226</v>
      </c>
      <c r="AG5363" s="42" t="s">
        <v>6645</v>
      </c>
    </row>
    <row r="5364" spans="32:33" ht="15.75" customHeight="1">
      <c r="AF5364" s="42" t="s">
        <v>6385</v>
      </c>
      <c r="AG5364" s="42" t="s">
        <v>6645</v>
      </c>
    </row>
    <row r="5365" spans="32:33" ht="15.75" customHeight="1">
      <c r="AF5365" s="42" t="s">
        <v>3457</v>
      </c>
      <c r="AG5365" s="42" t="s">
        <v>6645</v>
      </c>
    </row>
    <row r="5366" spans="32:33" ht="15.75" customHeight="1">
      <c r="AF5366" s="42" t="s">
        <v>3149</v>
      </c>
      <c r="AG5366" s="42" t="s">
        <v>6645</v>
      </c>
    </row>
    <row r="5367" spans="32:33" ht="15.75" customHeight="1">
      <c r="AF5367" s="42" t="s">
        <v>3142</v>
      </c>
      <c r="AG5367" s="42" t="s">
        <v>6645</v>
      </c>
    </row>
    <row r="5368" spans="32:33" ht="15.75" customHeight="1">
      <c r="AF5368" s="42" t="s">
        <v>4983</v>
      </c>
      <c r="AG5368" s="42" t="s">
        <v>6645</v>
      </c>
    </row>
    <row r="5369" spans="32:33" ht="15.75" customHeight="1">
      <c r="AF5369" s="42" t="s">
        <v>1642</v>
      </c>
      <c r="AG5369" s="42" t="s">
        <v>6645</v>
      </c>
    </row>
    <row r="5370" spans="32:33" ht="15.75" customHeight="1">
      <c r="AF5370" s="42" t="s">
        <v>4348</v>
      </c>
      <c r="AG5370" s="42" t="s">
        <v>6645</v>
      </c>
    </row>
    <row r="5371" spans="32:33" ht="15.75" customHeight="1">
      <c r="AF5371" s="42" t="s">
        <v>3690</v>
      </c>
      <c r="AG5371" s="42" t="s">
        <v>6645</v>
      </c>
    </row>
    <row r="5372" spans="32:33" ht="15.75" customHeight="1">
      <c r="AF5372" s="42" t="s">
        <v>6214</v>
      </c>
      <c r="AG5372" s="42" t="s">
        <v>6645</v>
      </c>
    </row>
    <row r="5373" spans="32:33" ht="15.75" customHeight="1">
      <c r="AF5373" s="42" t="s">
        <v>5469</v>
      </c>
      <c r="AG5373" s="42" t="s">
        <v>6645</v>
      </c>
    </row>
    <row r="5374" spans="32:33" ht="15.75" customHeight="1">
      <c r="AF5374" s="42" t="s">
        <v>2891</v>
      </c>
      <c r="AG5374" s="42" t="s">
        <v>6645</v>
      </c>
    </row>
    <row r="5375" spans="32:33" ht="15.75" customHeight="1">
      <c r="AF5375" s="42" t="s">
        <v>4984</v>
      </c>
      <c r="AG5375" s="42" t="s">
        <v>6645</v>
      </c>
    </row>
    <row r="5376" spans="32:33" ht="15.75" customHeight="1">
      <c r="AF5376" s="42" t="s">
        <v>3325</v>
      </c>
      <c r="AG5376" s="42" t="s">
        <v>6645</v>
      </c>
    </row>
    <row r="5377" spans="32:33" ht="15.75" customHeight="1">
      <c r="AF5377" s="42" t="s">
        <v>4651</v>
      </c>
      <c r="AG5377" s="42" t="s">
        <v>6645</v>
      </c>
    </row>
    <row r="5378" spans="32:33" ht="15.75" customHeight="1">
      <c r="AF5378" s="42" t="s">
        <v>1151</v>
      </c>
      <c r="AG5378" s="42" t="s">
        <v>6645</v>
      </c>
    </row>
    <row r="5379" spans="32:33" ht="15.75" customHeight="1">
      <c r="AF5379" s="42" t="s">
        <v>4652</v>
      </c>
      <c r="AG5379" s="42" t="s">
        <v>6645</v>
      </c>
    </row>
    <row r="5380" spans="32:33" ht="15.75" customHeight="1">
      <c r="AF5380" s="42" t="s">
        <v>1790</v>
      </c>
      <c r="AG5380" s="42" t="s">
        <v>6645</v>
      </c>
    </row>
    <row r="5381" spans="32:33" ht="15.75" customHeight="1">
      <c r="AF5381" s="42" t="s">
        <v>3398</v>
      </c>
      <c r="AG5381" s="42" t="s">
        <v>6645</v>
      </c>
    </row>
    <row r="5382" spans="32:33" ht="15.75" customHeight="1">
      <c r="AF5382" s="42" t="s">
        <v>5237</v>
      </c>
      <c r="AG5382" s="42" t="s">
        <v>6645</v>
      </c>
    </row>
    <row r="5383" spans="32:33" ht="15.75" customHeight="1">
      <c r="AF5383" s="42" t="s">
        <v>4580</v>
      </c>
      <c r="AG5383" s="42" t="s">
        <v>6645</v>
      </c>
    </row>
    <row r="5384" spans="32:33" ht="15.75" customHeight="1">
      <c r="AF5384" s="42" t="s">
        <v>1555</v>
      </c>
      <c r="AG5384" s="42" t="s">
        <v>6645</v>
      </c>
    </row>
    <row r="5385" spans="32:33" ht="15.75" customHeight="1">
      <c r="AF5385" s="42" t="s">
        <v>6328</v>
      </c>
      <c r="AG5385" s="42" t="s">
        <v>6645</v>
      </c>
    </row>
    <row r="5386" spans="32:33" ht="15.75" customHeight="1">
      <c r="AF5386" s="42" t="s">
        <v>3148</v>
      </c>
      <c r="AG5386" s="42" t="s">
        <v>6645</v>
      </c>
    </row>
    <row r="5387" spans="32:33" ht="15.75" customHeight="1">
      <c r="AF5387" s="42" t="s">
        <v>4572</v>
      </c>
      <c r="AG5387" s="42" t="s">
        <v>6645</v>
      </c>
    </row>
    <row r="5388" spans="32:33" ht="15.75" customHeight="1">
      <c r="AF5388" s="42" t="s">
        <v>5620</v>
      </c>
      <c r="AG5388" s="42" t="s">
        <v>6645</v>
      </c>
    </row>
    <row r="5389" spans="32:33" ht="15.75" customHeight="1">
      <c r="AF5389" s="42" t="s">
        <v>2197</v>
      </c>
      <c r="AG5389" s="42" t="s">
        <v>6645</v>
      </c>
    </row>
    <row r="5390" spans="32:33" ht="15.75" customHeight="1">
      <c r="AF5390" s="42" t="s">
        <v>3060</v>
      </c>
      <c r="AG5390" s="42" t="s">
        <v>6645</v>
      </c>
    </row>
    <row r="5391" spans="32:33" ht="15.75" customHeight="1">
      <c r="AF5391" s="42" t="s">
        <v>2079</v>
      </c>
      <c r="AG5391" s="42" t="s">
        <v>6645</v>
      </c>
    </row>
    <row r="5392" spans="32:33" ht="15.75" customHeight="1">
      <c r="AF5392" s="42" t="s">
        <v>2383</v>
      </c>
      <c r="AG5392" s="42" t="s">
        <v>6645</v>
      </c>
    </row>
    <row r="5393" spans="32:33" ht="15.75" customHeight="1">
      <c r="AF5393" s="42" t="s">
        <v>2382</v>
      </c>
      <c r="AG5393" s="42" t="s">
        <v>6645</v>
      </c>
    </row>
    <row r="5394" spans="32:33" ht="15.75" customHeight="1">
      <c r="AF5394" s="42" t="s">
        <v>1298</v>
      </c>
      <c r="AG5394" s="42" t="s">
        <v>6645</v>
      </c>
    </row>
    <row r="5395" spans="32:33" ht="15.75" customHeight="1">
      <c r="AF5395" s="42" t="s">
        <v>3774</v>
      </c>
      <c r="AG5395" s="42" t="s">
        <v>6645</v>
      </c>
    </row>
    <row r="5396" spans="32:33" ht="15.75" customHeight="1">
      <c r="AF5396" s="42" t="s">
        <v>1543</v>
      </c>
      <c r="AG5396" s="42" t="s">
        <v>6645</v>
      </c>
    </row>
    <row r="5397" spans="32:33" ht="15.75" customHeight="1">
      <c r="AF5397" s="42" t="s">
        <v>1389</v>
      </c>
      <c r="AG5397" s="42" t="s">
        <v>6645</v>
      </c>
    </row>
    <row r="5398" spans="32:33" ht="15.75" customHeight="1">
      <c r="AF5398" s="42" t="s">
        <v>2030</v>
      </c>
      <c r="AG5398" s="42" t="s">
        <v>6645</v>
      </c>
    </row>
    <row r="5399" spans="32:33" ht="15.75" customHeight="1">
      <c r="AF5399" s="42" t="s">
        <v>2506</v>
      </c>
      <c r="AG5399" s="42" t="s">
        <v>6645</v>
      </c>
    </row>
    <row r="5400" spans="32:33" ht="15.75" customHeight="1">
      <c r="AF5400" s="42" t="s">
        <v>6219</v>
      </c>
      <c r="AG5400" s="42" t="s">
        <v>6645</v>
      </c>
    </row>
    <row r="5401" spans="32:33" ht="15.75" customHeight="1">
      <c r="AF5401" s="42" t="s">
        <v>3054</v>
      </c>
      <c r="AG5401" s="42" t="s">
        <v>6645</v>
      </c>
    </row>
    <row r="5402" spans="32:33" ht="15.75" customHeight="1">
      <c r="AF5402" s="42" t="s">
        <v>1550</v>
      </c>
      <c r="AG5402" s="42" t="s">
        <v>6645</v>
      </c>
    </row>
    <row r="5403" spans="32:33" ht="15.75" customHeight="1">
      <c r="AF5403" s="42" t="s">
        <v>3852</v>
      </c>
      <c r="AG5403" s="42" t="s">
        <v>6645</v>
      </c>
    </row>
    <row r="5404" spans="32:33" ht="15.75" customHeight="1">
      <c r="AF5404" s="42" t="s">
        <v>4436</v>
      </c>
      <c r="AG5404" s="42" t="s">
        <v>6645</v>
      </c>
    </row>
    <row r="5405" spans="32:33" ht="15.75" customHeight="1">
      <c r="AF5405" s="42" t="s">
        <v>4044</v>
      </c>
      <c r="AG5405" s="42" t="s">
        <v>6645</v>
      </c>
    </row>
    <row r="5406" spans="32:33" ht="15.75" customHeight="1">
      <c r="AF5406" s="42" t="s">
        <v>1052</v>
      </c>
      <c r="AG5406" s="42" t="s">
        <v>6645</v>
      </c>
    </row>
    <row r="5407" spans="32:33" ht="15.75" customHeight="1">
      <c r="AF5407" s="42" t="s">
        <v>5230</v>
      </c>
      <c r="AG5407" s="42" t="s">
        <v>6645</v>
      </c>
    </row>
    <row r="5408" spans="32:33" ht="15.75" customHeight="1">
      <c r="AF5408" s="42" t="s">
        <v>6334</v>
      </c>
      <c r="AG5408" s="42" t="s">
        <v>6645</v>
      </c>
    </row>
    <row r="5409" spans="32:33" ht="15.75" customHeight="1">
      <c r="AF5409" s="42" t="s">
        <v>4324</v>
      </c>
      <c r="AG5409" s="42" t="s">
        <v>6645</v>
      </c>
    </row>
    <row r="5410" spans="32:33" ht="15.75" customHeight="1">
      <c r="AF5410" s="42" t="s">
        <v>4194</v>
      </c>
      <c r="AG5410" s="42" t="s">
        <v>6645</v>
      </c>
    </row>
    <row r="5411" spans="32:33" ht="15.75" customHeight="1">
      <c r="AF5411" s="42" t="s">
        <v>5454</v>
      </c>
      <c r="AG5411" s="42" t="s">
        <v>6645</v>
      </c>
    </row>
    <row r="5412" spans="32:33" ht="15.75" customHeight="1">
      <c r="AF5412" s="42" t="s">
        <v>4173</v>
      </c>
      <c r="AG5412" s="42" t="s">
        <v>6645</v>
      </c>
    </row>
    <row r="5413" spans="32:33" ht="15.75" customHeight="1">
      <c r="AF5413" s="42" t="s">
        <v>5196</v>
      </c>
      <c r="AG5413" s="42" t="s">
        <v>6645</v>
      </c>
    </row>
    <row r="5414" spans="32:33" ht="15.75" customHeight="1">
      <c r="AF5414" s="42" t="s">
        <v>1471</v>
      </c>
      <c r="AG5414" s="42" t="s">
        <v>6645</v>
      </c>
    </row>
    <row r="5415" spans="32:33" ht="15.75" customHeight="1">
      <c r="AF5415" s="42" t="s">
        <v>5101</v>
      </c>
      <c r="AG5415" s="42" t="s">
        <v>6645</v>
      </c>
    </row>
    <row r="5416" spans="32:33" ht="15.75" customHeight="1">
      <c r="AF5416" s="42" t="s">
        <v>2087</v>
      </c>
      <c r="AG5416" s="42" t="s">
        <v>6645</v>
      </c>
    </row>
    <row r="5417" spans="32:33" ht="15.75" customHeight="1">
      <c r="AF5417" s="42" t="s">
        <v>1883</v>
      </c>
      <c r="AG5417" s="42" t="s">
        <v>6645</v>
      </c>
    </row>
    <row r="5418" spans="32:33" ht="15.75" customHeight="1">
      <c r="AF5418" s="42" t="s">
        <v>4826</v>
      </c>
      <c r="AG5418" s="42" t="s">
        <v>6645</v>
      </c>
    </row>
    <row r="5419" spans="32:33" ht="15.75" customHeight="1">
      <c r="AF5419" s="42" t="s">
        <v>3350</v>
      </c>
      <c r="AG5419" s="42" t="s">
        <v>6645</v>
      </c>
    </row>
    <row r="5420" spans="32:33" ht="15.75" customHeight="1">
      <c r="AF5420" s="42" t="s">
        <v>3846</v>
      </c>
      <c r="AG5420" s="42" t="s">
        <v>6645</v>
      </c>
    </row>
    <row r="5421" spans="32:33" ht="15.75" customHeight="1">
      <c r="AF5421" s="42" t="s">
        <v>5913</v>
      </c>
      <c r="AG5421" s="42" t="s">
        <v>6645</v>
      </c>
    </row>
    <row r="5422" spans="32:33" ht="15.75" customHeight="1">
      <c r="AF5422" s="42" t="s">
        <v>3022</v>
      </c>
      <c r="AG5422" s="42" t="s">
        <v>6645</v>
      </c>
    </row>
    <row r="5423" spans="32:33" ht="15.75" customHeight="1">
      <c r="AF5423" s="42" t="s">
        <v>1320</v>
      </c>
      <c r="AG5423" s="42" t="s">
        <v>6645</v>
      </c>
    </row>
    <row r="5424" spans="32:33" ht="15.75" customHeight="1">
      <c r="AF5424" s="42" t="s">
        <v>4331</v>
      </c>
      <c r="AG5424" s="42" t="s">
        <v>6645</v>
      </c>
    </row>
    <row r="5425" spans="32:33" ht="15.75" customHeight="1">
      <c r="AF5425" s="42" t="s">
        <v>5500</v>
      </c>
      <c r="AG5425" s="42" t="s">
        <v>6645</v>
      </c>
    </row>
    <row r="5426" spans="32:33" ht="15.75" customHeight="1">
      <c r="AF5426" s="42" t="s">
        <v>5019</v>
      </c>
      <c r="AG5426" s="42" t="s">
        <v>6645</v>
      </c>
    </row>
    <row r="5427" spans="32:33" ht="15.75" customHeight="1">
      <c r="AF5427" s="42" t="s">
        <v>1457</v>
      </c>
      <c r="AG5427" s="42" t="s">
        <v>6645</v>
      </c>
    </row>
    <row r="5428" spans="32:33" ht="15.75" customHeight="1">
      <c r="AF5428" s="42" t="s">
        <v>3818</v>
      </c>
      <c r="AG5428" s="42" t="s">
        <v>6645</v>
      </c>
    </row>
    <row r="5429" spans="32:33" ht="15.75" customHeight="1">
      <c r="AF5429" s="42" t="s">
        <v>2013</v>
      </c>
      <c r="AG5429" s="42" t="s">
        <v>6645</v>
      </c>
    </row>
    <row r="5430" spans="32:33" ht="15.75" customHeight="1">
      <c r="AF5430" s="42" t="s">
        <v>3761</v>
      </c>
      <c r="AG5430" s="42" t="s">
        <v>6645</v>
      </c>
    </row>
    <row r="5431" spans="32:33" ht="15.75" customHeight="1">
      <c r="AF5431" s="42" t="s">
        <v>6454</v>
      </c>
      <c r="AG5431" s="42" t="s">
        <v>6645</v>
      </c>
    </row>
    <row r="5432" spans="32:33" ht="15.75" customHeight="1">
      <c r="AF5432" s="42" t="s">
        <v>5933</v>
      </c>
      <c r="AG5432" s="42" t="s">
        <v>6645</v>
      </c>
    </row>
    <row r="5433" spans="32:33" ht="15.75" customHeight="1">
      <c r="AF5433" s="42" t="s">
        <v>2315</v>
      </c>
      <c r="AG5433" s="42" t="s">
        <v>6645</v>
      </c>
    </row>
    <row r="5434" spans="32:33" ht="15.75" customHeight="1">
      <c r="AF5434" s="42" t="s">
        <v>2520</v>
      </c>
      <c r="AG5434" s="42" t="s">
        <v>6645</v>
      </c>
    </row>
    <row r="5435" spans="32:33" ht="15.75" customHeight="1">
      <c r="AF5435" s="42" t="s">
        <v>4166</v>
      </c>
      <c r="AG5435" s="42" t="s">
        <v>6645</v>
      </c>
    </row>
    <row r="5436" spans="32:33" ht="15.75" customHeight="1">
      <c r="AF5436" s="42" t="s">
        <v>6060</v>
      </c>
      <c r="AG5436" s="42" t="s">
        <v>6645</v>
      </c>
    </row>
    <row r="5437" spans="32:33" ht="15.75" customHeight="1">
      <c r="AF5437" s="42" t="s">
        <v>4121</v>
      </c>
      <c r="AG5437" s="42" t="s">
        <v>6645</v>
      </c>
    </row>
    <row r="5438" spans="32:33" ht="15.75" customHeight="1">
      <c r="AF5438" s="42" t="s">
        <v>1770</v>
      </c>
      <c r="AG5438" s="42" t="s">
        <v>6642</v>
      </c>
    </row>
    <row r="5439" spans="32:33" ht="15.75" customHeight="1">
      <c r="AF5439" s="42" t="s">
        <v>1328</v>
      </c>
      <c r="AG5439" s="42" t="s">
        <v>6642</v>
      </c>
    </row>
    <row r="5440" spans="32:33" ht="15.75" customHeight="1">
      <c r="AF5440" s="42" t="s">
        <v>1321</v>
      </c>
      <c r="AG5440" s="42" t="s">
        <v>6642</v>
      </c>
    </row>
    <row r="5441" spans="32:33" ht="15.75" customHeight="1">
      <c r="AF5441" s="42" t="s">
        <v>946</v>
      </c>
      <c r="AG5441" s="42" t="s">
        <v>6645</v>
      </c>
    </row>
    <row r="5442" spans="32:33" ht="15.75" customHeight="1">
      <c r="AF5442" s="42" t="s">
        <v>5371</v>
      </c>
      <c r="AG5442" s="42" t="s">
        <v>6645</v>
      </c>
    </row>
    <row r="5443" spans="32:33" ht="15.75" customHeight="1">
      <c r="AF5443" s="42" t="s">
        <v>5006</v>
      </c>
      <c r="AG5443" s="42" t="s">
        <v>6645</v>
      </c>
    </row>
    <row r="5444" spans="32:33" ht="15.75" customHeight="1">
      <c r="AF5444" s="42" t="s">
        <v>2171</v>
      </c>
      <c r="AG5444" s="42" t="s">
        <v>6645</v>
      </c>
    </row>
    <row r="5445" spans="32:33" ht="15.75" customHeight="1">
      <c r="AF5445" s="42" t="s">
        <v>885</v>
      </c>
      <c r="AG5445" s="42" t="s">
        <v>6645</v>
      </c>
    </row>
    <row r="5446" spans="32:33" ht="15.75" customHeight="1">
      <c r="AF5446" s="42" t="s">
        <v>947</v>
      </c>
      <c r="AG5446" s="42" t="s">
        <v>6642</v>
      </c>
    </row>
    <row r="5447" spans="32:33" ht="15.75" customHeight="1">
      <c r="AF5447" s="42" t="s">
        <v>8250</v>
      </c>
      <c r="AG5447" s="42" t="s">
        <v>6642</v>
      </c>
    </row>
    <row r="5448" spans="32:33" ht="15.75" customHeight="1">
      <c r="AF5448" s="42" t="s">
        <v>1185</v>
      </c>
      <c r="AG5448" s="42" t="s">
        <v>6645</v>
      </c>
    </row>
    <row r="5449" spans="32:33" ht="15.75" customHeight="1">
      <c r="AF5449" s="42" t="s">
        <v>4160</v>
      </c>
      <c r="AG5449" s="42" t="s">
        <v>6645</v>
      </c>
    </row>
    <row r="5450" spans="32:33" ht="15.75" customHeight="1">
      <c r="AF5450" s="42" t="s">
        <v>5735</v>
      </c>
      <c r="AG5450" s="42" t="s">
        <v>6645</v>
      </c>
    </row>
    <row r="5451" spans="32:33" ht="15.75" customHeight="1">
      <c r="AF5451" s="42" t="s">
        <v>1083</v>
      </c>
      <c r="AG5451" s="42" t="s">
        <v>6645</v>
      </c>
    </row>
    <row r="5452" spans="32:33" ht="15.75" customHeight="1">
      <c r="AF5452" s="42" t="s">
        <v>4639</v>
      </c>
      <c r="AG5452" s="42" t="s">
        <v>6645</v>
      </c>
    </row>
    <row r="5453" spans="32:33" ht="15.75" customHeight="1">
      <c r="AF5453" s="42" t="s">
        <v>1757</v>
      </c>
      <c r="AG5453" s="42" t="s">
        <v>6645</v>
      </c>
    </row>
    <row r="5454" spans="32:33" ht="15.75" customHeight="1">
      <c r="AF5454" s="42" t="s">
        <v>4932</v>
      </c>
      <c r="AG5454" s="42" t="s">
        <v>6645</v>
      </c>
    </row>
    <row r="5455" spans="32:33" ht="15.75" customHeight="1">
      <c r="AF5455" s="42" t="s">
        <v>3726</v>
      </c>
      <c r="AG5455" s="42" t="s">
        <v>6645</v>
      </c>
    </row>
    <row r="5456" spans="32:33" ht="15.75" customHeight="1">
      <c r="AF5456" s="42" t="s">
        <v>1094</v>
      </c>
      <c r="AG5456" s="42" t="s">
        <v>6645</v>
      </c>
    </row>
    <row r="5457" spans="32:33" ht="15.75" customHeight="1">
      <c r="AF5457" s="42" t="s">
        <v>1605</v>
      </c>
      <c r="AG5457" s="42" t="s">
        <v>6645</v>
      </c>
    </row>
    <row r="5458" spans="32:33" ht="15.75" customHeight="1">
      <c r="AF5458" s="42" t="s">
        <v>3418</v>
      </c>
      <c r="AG5458" s="42" t="s">
        <v>6645</v>
      </c>
    </row>
    <row r="5459" spans="32:33" ht="15.75" customHeight="1">
      <c r="AF5459" s="42" t="s">
        <v>5040</v>
      </c>
      <c r="AG5459" s="42" t="s">
        <v>6645</v>
      </c>
    </row>
    <row r="5460" spans="32:33" ht="15.75" customHeight="1">
      <c r="AF5460" s="42" t="s">
        <v>4623</v>
      </c>
      <c r="AG5460" s="42" t="s">
        <v>6645</v>
      </c>
    </row>
    <row r="5461" spans="32:33" ht="15.75" customHeight="1">
      <c r="AF5461" s="42" t="s">
        <v>3984</v>
      </c>
      <c r="AG5461" s="42" t="s">
        <v>6645</v>
      </c>
    </row>
    <row r="5462" spans="32:33" ht="15.75" customHeight="1">
      <c r="AF5462" s="42" t="s">
        <v>6013</v>
      </c>
      <c r="AG5462" s="42" t="s">
        <v>6645</v>
      </c>
    </row>
    <row r="5463" spans="32:33" ht="15.75" customHeight="1">
      <c r="AF5463" s="42" t="s">
        <v>5025</v>
      </c>
      <c r="AG5463" s="42" t="s">
        <v>6645</v>
      </c>
    </row>
    <row r="5464" spans="32:33" ht="15.75" customHeight="1">
      <c r="AF5464" s="42" t="s">
        <v>1689</v>
      </c>
      <c r="AG5464" s="42" t="s">
        <v>6645</v>
      </c>
    </row>
    <row r="5465" spans="32:33" ht="15.75" customHeight="1">
      <c r="AF5465" s="42" t="s">
        <v>2473</v>
      </c>
      <c r="AG5465" s="42" t="s">
        <v>6645</v>
      </c>
    </row>
    <row r="5466" spans="32:33" ht="15.75" customHeight="1">
      <c r="AF5466" s="42" t="s">
        <v>4339</v>
      </c>
      <c r="AG5466" s="42" t="s">
        <v>6645</v>
      </c>
    </row>
    <row r="5467" spans="32:33" ht="15.75" customHeight="1">
      <c r="AF5467" s="42" t="s">
        <v>5647</v>
      </c>
      <c r="AG5467" s="42" t="s">
        <v>6645</v>
      </c>
    </row>
    <row r="5468" spans="32:33" ht="15.75" customHeight="1">
      <c r="AF5468" s="42" t="s">
        <v>2575</v>
      </c>
      <c r="AG5468" s="42" t="s">
        <v>6645</v>
      </c>
    </row>
    <row r="5469" spans="32:33" ht="15.75" customHeight="1">
      <c r="AF5469" s="42" t="s">
        <v>5566</v>
      </c>
      <c r="AG5469" s="42" t="s">
        <v>6645</v>
      </c>
    </row>
    <row r="5470" spans="32:33" ht="15.75" customHeight="1">
      <c r="AF5470" s="42" t="s">
        <v>6715</v>
      </c>
      <c r="AG5470" s="42" t="s">
        <v>6645</v>
      </c>
    </row>
    <row r="5471" spans="32:33" ht="15.75" customHeight="1">
      <c r="AF5471" s="42" t="s">
        <v>4416</v>
      </c>
      <c r="AG5471" s="42" t="s">
        <v>6645</v>
      </c>
    </row>
    <row r="5472" spans="32:33" ht="15.75" customHeight="1">
      <c r="AF5472" s="42" t="s">
        <v>5639</v>
      </c>
      <c r="AG5472" s="42" t="s">
        <v>6645</v>
      </c>
    </row>
    <row r="5473" spans="32:33" ht="15.75" customHeight="1">
      <c r="AF5473" s="42" t="s">
        <v>4615</v>
      </c>
      <c r="AG5473" s="42" t="s">
        <v>6645</v>
      </c>
    </row>
    <row r="5474" spans="32:33" ht="15.75" customHeight="1">
      <c r="AF5474" s="42" t="s">
        <v>5890</v>
      </c>
      <c r="AG5474" s="42" t="s">
        <v>6645</v>
      </c>
    </row>
    <row r="5475" spans="32:33" ht="15.75" customHeight="1">
      <c r="AF5475" s="42" t="s">
        <v>4749</v>
      </c>
      <c r="AG5475" s="42" t="s">
        <v>6645</v>
      </c>
    </row>
    <row r="5476" spans="32:33" ht="15.75" customHeight="1">
      <c r="AF5476" s="42" t="s">
        <v>3030</v>
      </c>
      <c r="AG5476" s="42" t="s">
        <v>6645</v>
      </c>
    </row>
    <row r="5477" spans="32:33" ht="15.75" customHeight="1">
      <c r="AF5477" s="42" t="s">
        <v>5181</v>
      </c>
      <c r="AG5477" s="42" t="s">
        <v>6645</v>
      </c>
    </row>
    <row r="5478" spans="32:33" ht="15.75" customHeight="1">
      <c r="AF5478" s="42" t="s">
        <v>6353</v>
      </c>
      <c r="AG5478" s="42" t="s">
        <v>6645</v>
      </c>
    </row>
    <row r="5479" spans="32:33" ht="15.75" customHeight="1">
      <c r="AF5479" s="42" t="s">
        <v>4125</v>
      </c>
      <c r="AG5479" s="42" t="s">
        <v>6645</v>
      </c>
    </row>
    <row r="5480" spans="32:33" ht="15.75" customHeight="1">
      <c r="AF5480" s="42" t="s">
        <v>2816</v>
      </c>
      <c r="AG5480" s="42" t="s">
        <v>6645</v>
      </c>
    </row>
    <row r="5481" spans="32:33" ht="15.75" customHeight="1">
      <c r="AF5481" s="42" t="s">
        <v>2751</v>
      </c>
      <c r="AG5481" s="42" t="s">
        <v>6645</v>
      </c>
    </row>
    <row r="5482" spans="32:33" ht="15.75" customHeight="1">
      <c r="AF5482" s="42" t="s">
        <v>2232</v>
      </c>
      <c r="AG5482" s="42" t="s">
        <v>6645</v>
      </c>
    </row>
    <row r="5483" spans="32:33" ht="15.75" customHeight="1">
      <c r="AF5483" s="42" t="s">
        <v>4234</v>
      </c>
      <c r="AG5483" s="42" t="s">
        <v>6645</v>
      </c>
    </row>
    <row r="5484" spans="32:33" ht="15.75" customHeight="1">
      <c r="AF5484" s="42" t="s">
        <v>5158</v>
      </c>
      <c r="AG5484" s="42" t="s">
        <v>6645</v>
      </c>
    </row>
    <row r="5485" spans="32:33" ht="15.75" customHeight="1">
      <c r="AF5485" s="42" t="s">
        <v>1914</v>
      </c>
      <c r="AG5485" s="42" t="s">
        <v>6645</v>
      </c>
    </row>
    <row r="5486" spans="32:33" ht="15.75" customHeight="1">
      <c r="AF5486" s="42" t="s">
        <v>4038</v>
      </c>
      <c r="AG5486" s="42" t="s">
        <v>6645</v>
      </c>
    </row>
    <row r="5487" spans="32:33" ht="15.75" customHeight="1">
      <c r="AF5487" s="42" t="s">
        <v>6235</v>
      </c>
      <c r="AG5487" s="42" t="s">
        <v>6645</v>
      </c>
    </row>
    <row r="5488" spans="32:33" ht="15.75" customHeight="1">
      <c r="AF5488" s="42" t="s">
        <v>4186</v>
      </c>
      <c r="AG5488" s="42" t="s">
        <v>6645</v>
      </c>
    </row>
    <row r="5489" spans="32:33" ht="15.75" customHeight="1">
      <c r="AF5489" s="42" t="s">
        <v>5089</v>
      </c>
      <c r="AG5489" s="42" t="s">
        <v>6645</v>
      </c>
    </row>
    <row r="5490" spans="32:33" ht="15.75" customHeight="1">
      <c r="AF5490" s="42" t="s">
        <v>1341</v>
      </c>
      <c r="AG5490" s="42" t="s">
        <v>6645</v>
      </c>
    </row>
    <row r="5491" spans="32:33" ht="15.75" customHeight="1">
      <c r="AF5491" s="42" t="s">
        <v>3173</v>
      </c>
      <c r="AG5491" s="42" t="s">
        <v>6645</v>
      </c>
    </row>
    <row r="5492" spans="32:33" ht="15.75" customHeight="1">
      <c r="AF5492" s="42" t="s">
        <v>4278</v>
      </c>
      <c r="AG5492" s="42" t="s">
        <v>6645</v>
      </c>
    </row>
    <row r="5493" spans="32:33" ht="15.75" customHeight="1">
      <c r="AF5493" s="42" t="s">
        <v>1230</v>
      </c>
      <c r="AG5493" s="42" t="s">
        <v>6645</v>
      </c>
    </row>
    <row r="5494" spans="32:33" ht="15.75" customHeight="1">
      <c r="AF5494" s="42" t="s">
        <v>2052</v>
      </c>
      <c r="AG5494" s="42" t="s">
        <v>6645</v>
      </c>
    </row>
    <row r="5495" spans="32:33" ht="15.75" customHeight="1">
      <c r="AF5495" s="42" t="s">
        <v>1068</v>
      </c>
      <c r="AG5495" s="42" t="s">
        <v>6645</v>
      </c>
    </row>
    <row r="5496" spans="32:33" ht="15.75" customHeight="1">
      <c r="AF5496" s="42" t="s">
        <v>2875</v>
      </c>
      <c r="AG5496" s="42" t="s">
        <v>6645</v>
      </c>
    </row>
    <row r="5497" spans="32:33" ht="15.75" customHeight="1">
      <c r="AF5497" s="42" t="s">
        <v>2270</v>
      </c>
      <c r="AG5497" s="42" t="s">
        <v>6645</v>
      </c>
    </row>
    <row r="5498" spans="32:33" ht="15.75" customHeight="1">
      <c r="AF5498" s="42" t="s">
        <v>1769</v>
      </c>
      <c r="AG5498" s="42" t="s">
        <v>6645</v>
      </c>
    </row>
    <row r="5499" spans="32:33" ht="15.75" customHeight="1">
      <c r="AF5499" s="42" t="s">
        <v>5878</v>
      </c>
      <c r="AG5499" s="42" t="s">
        <v>6645</v>
      </c>
    </row>
    <row r="5500" spans="32:33" ht="15.75" customHeight="1">
      <c r="AF5500" s="42" t="s">
        <v>1217</v>
      </c>
      <c r="AG5500" s="42" t="s">
        <v>6645</v>
      </c>
    </row>
    <row r="5501" spans="32:33" ht="15.75" customHeight="1">
      <c r="AF5501" s="42" t="s">
        <v>5957</v>
      </c>
      <c r="AG5501" s="42" t="s">
        <v>6645</v>
      </c>
    </row>
    <row r="5502" spans="32:33" ht="15.75" customHeight="1">
      <c r="AF5502" s="42" t="s">
        <v>2564</v>
      </c>
      <c r="AG5502" s="42" t="s">
        <v>6645</v>
      </c>
    </row>
    <row r="5503" spans="32:33" ht="15.75" customHeight="1">
      <c r="AF5503" s="42" t="s">
        <v>2126</v>
      </c>
      <c r="AG5503" s="42" t="s">
        <v>6645</v>
      </c>
    </row>
    <row r="5504" spans="32:33" ht="15.75" customHeight="1">
      <c r="AF5504" s="42" t="s">
        <v>6652</v>
      </c>
      <c r="AG5504" s="42" t="s">
        <v>6645</v>
      </c>
    </row>
    <row r="5505" spans="32:33" ht="15.75" customHeight="1">
      <c r="AF5505" s="42" t="s">
        <v>2907</v>
      </c>
      <c r="AG5505" s="42" t="s">
        <v>6645</v>
      </c>
    </row>
    <row r="5506" spans="32:33" ht="15.75" customHeight="1">
      <c r="AF5506" s="42" t="s">
        <v>3359</v>
      </c>
      <c r="AG5506" s="42" t="s">
        <v>6645</v>
      </c>
    </row>
    <row r="5507" spans="32:33" ht="15.75" customHeight="1">
      <c r="AF5507" s="42" t="s">
        <v>1716</v>
      </c>
      <c r="AG5507" s="42" t="s">
        <v>6645</v>
      </c>
    </row>
    <row r="5508" spans="32:33" ht="15.75" customHeight="1">
      <c r="AF5508" s="42" t="s">
        <v>3510</v>
      </c>
      <c r="AG5508" s="42" t="s">
        <v>6645</v>
      </c>
    </row>
    <row r="5509" spans="32:33" ht="15.75" customHeight="1">
      <c r="AF5509" s="42" t="s">
        <v>5952</v>
      </c>
      <c r="AG5509" s="42" t="s">
        <v>6645</v>
      </c>
    </row>
    <row r="5510" spans="32:33" ht="15.75" customHeight="1">
      <c r="AF5510" s="42" t="s">
        <v>2844</v>
      </c>
      <c r="AG5510" s="42" t="s">
        <v>6645</v>
      </c>
    </row>
    <row r="5511" spans="32:33" ht="15.75" customHeight="1">
      <c r="AF5511" s="42" t="s">
        <v>2902</v>
      </c>
      <c r="AG5511" s="42" t="s">
        <v>6645</v>
      </c>
    </row>
    <row r="5512" spans="32:33" ht="15.75" customHeight="1">
      <c r="AF5512" s="42" t="s">
        <v>2920</v>
      </c>
      <c r="AG5512" s="42" t="s">
        <v>6645</v>
      </c>
    </row>
    <row r="5513" spans="32:33" ht="15.75" customHeight="1">
      <c r="AF5513" s="42" t="s">
        <v>5762</v>
      </c>
      <c r="AG5513" s="42" t="s">
        <v>6645</v>
      </c>
    </row>
    <row r="5514" spans="32:33" ht="15.75" customHeight="1">
      <c r="AF5514" s="42" t="s">
        <v>2119</v>
      </c>
      <c r="AG5514" s="42" t="s">
        <v>6645</v>
      </c>
    </row>
    <row r="5515" spans="32:33" ht="15.75" customHeight="1">
      <c r="AF5515" s="42" t="s">
        <v>6716</v>
      </c>
      <c r="AG5515" s="42" t="s">
        <v>6645</v>
      </c>
    </row>
    <row r="5516" spans="32:33" ht="15.75" customHeight="1">
      <c r="AF5516" s="42" t="s">
        <v>3785</v>
      </c>
      <c r="AG5516" s="42" t="s">
        <v>6645</v>
      </c>
    </row>
    <row r="5517" spans="32:33" ht="15.75" customHeight="1">
      <c r="AF5517" s="42" t="s">
        <v>1940</v>
      </c>
      <c r="AG5517" s="42" t="s">
        <v>6645</v>
      </c>
    </row>
    <row r="5518" spans="32:33" ht="15.75" customHeight="1">
      <c r="AF5518" s="42" t="s">
        <v>1292</v>
      </c>
      <c r="AG5518" s="42" t="s">
        <v>6645</v>
      </c>
    </row>
    <row r="5519" spans="32:33" ht="15.75" customHeight="1">
      <c r="AF5519" s="42" t="s">
        <v>1816</v>
      </c>
      <c r="AG5519" s="42" t="s">
        <v>6645</v>
      </c>
    </row>
    <row r="5520" spans="32:33" ht="15.75" customHeight="1">
      <c r="AF5520" s="42" t="s">
        <v>1244</v>
      </c>
      <c r="AG5520" s="42" t="s">
        <v>6645</v>
      </c>
    </row>
    <row r="5521" spans="32:33" ht="15.75" customHeight="1">
      <c r="AF5521" s="42" t="s">
        <v>2278</v>
      </c>
      <c r="AG5521" s="42" t="s">
        <v>6645</v>
      </c>
    </row>
    <row r="5522" spans="32:33" ht="15.75" customHeight="1">
      <c r="AF5522" s="42" t="s">
        <v>4674</v>
      </c>
      <c r="AG5522" s="42" t="s">
        <v>6645</v>
      </c>
    </row>
    <row r="5523" spans="32:33" ht="15.75" customHeight="1">
      <c r="AF5523" s="42" t="s">
        <v>6837</v>
      </c>
      <c r="AG5523" s="42" t="s">
        <v>6645</v>
      </c>
    </row>
    <row r="5524" spans="32:33" ht="15.75" customHeight="1">
      <c r="AF5524" s="42" t="s">
        <v>4483</v>
      </c>
      <c r="AG5524" s="42" t="s">
        <v>6645</v>
      </c>
    </row>
    <row r="5525" spans="32:33" ht="15.75" customHeight="1">
      <c r="AF5525" s="42" t="s">
        <v>2375</v>
      </c>
      <c r="AG5525" s="42" t="s">
        <v>6645</v>
      </c>
    </row>
    <row r="5526" spans="32:33" ht="15.75" customHeight="1">
      <c r="AF5526" s="42" t="s">
        <v>5573</v>
      </c>
      <c r="AG5526" s="42" t="s">
        <v>6645</v>
      </c>
    </row>
    <row r="5527" spans="32:33" ht="15.75" customHeight="1">
      <c r="AF5527" s="42" t="s">
        <v>4354</v>
      </c>
      <c r="AG5527" s="42" t="s">
        <v>6645</v>
      </c>
    </row>
    <row r="5528" spans="32:33" ht="15.75" customHeight="1">
      <c r="AF5528" s="42" t="s">
        <v>3074</v>
      </c>
      <c r="AG5528" s="42" t="s">
        <v>6645</v>
      </c>
    </row>
    <row r="5529" spans="32:33" ht="15.75" customHeight="1">
      <c r="AF5529" s="42" t="s">
        <v>2570</v>
      </c>
      <c r="AG5529" s="42" t="s">
        <v>6645</v>
      </c>
    </row>
    <row r="5530" spans="32:33" ht="15.75" customHeight="1">
      <c r="AF5530" s="42" t="s">
        <v>2409</v>
      </c>
      <c r="AG5530" s="42" t="s">
        <v>6645</v>
      </c>
    </row>
    <row r="5531" spans="32:33" ht="15.75" customHeight="1">
      <c r="AF5531" s="42" t="s">
        <v>4008</v>
      </c>
      <c r="AG5531" s="42" t="s">
        <v>6645</v>
      </c>
    </row>
    <row r="5532" spans="32:33" ht="15.75" customHeight="1">
      <c r="AF5532" s="42" t="s">
        <v>4867</v>
      </c>
      <c r="AG5532" s="42" t="s">
        <v>6645</v>
      </c>
    </row>
    <row r="5533" spans="32:33" ht="15.75" customHeight="1">
      <c r="AF5533" s="42" t="s">
        <v>2831</v>
      </c>
      <c r="AG5533" s="42" t="s">
        <v>6645</v>
      </c>
    </row>
    <row r="5534" spans="32:33" ht="15.75" customHeight="1">
      <c r="AF5534" s="42" t="s">
        <v>6650</v>
      </c>
      <c r="AG5534" s="42" t="s">
        <v>6645</v>
      </c>
    </row>
    <row r="5535" spans="32:33" ht="15.75" customHeight="1">
      <c r="AF5535" s="42" t="s">
        <v>1432</v>
      </c>
      <c r="AG5535" s="42" t="s">
        <v>6645</v>
      </c>
    </row>
    <row r="5536" spans="32:33" ht="15.75" customHeight="1">
      <c r="AF5536" s="42" t="s">
        <v>4180</v>
      </c>
      <c r="AG5536" s="42" t="s">
        <v>6645</v>
      </c>
    </row>
    <row r="5537" spans="32:33" ht="15.75" customHeight="1">
      <c r="AF5537" s="42" t="s">
        <v>6658</v>
      </c>
      <c r="AG5537" s="42" t="s">
        <v>6645</v>
      </c>
    </row>
    <row r="5538" spans="32:33" ht="15.75" customHeight="1">
      <c r="AF5538" s="42" t="s">
        <v>5599</v>
      </c>
      <c r="AG5538" s="42" t="s">
        <v>6645</v>
      </c>
    </row>
    <row r="5539" spans="32:33" ht="15.75" customHeight="1">
      <c r="AF5539" s="42" t="s">
        <v>2163</v>
      </c>
      <c r="AG5539" s="42" t="s">
        <v>6642</v>
      </c>
    </row>
    <row r="5540" spans="32:33" ht="15.75" customHeight="1">
      <c r="AF5540" s="42" t="s">
        <v>2157</v>
      </c>
      <c r="AG5540" s="42" t="s">
        <v>6642</v>
      </c>
    </row>
    <row r="5541" spans="32:33" ht="15.75" customHeight="1">
      <c r="AF5541" s="42" t="s">
        <v>2882</v>
      </c>
      <c r="AG5541" s="42" t="s">
        <v>6642</v>
      </c>
    </row>
    <row r="5542" spans="32:33" ht="15.75" customHeight="1">
      <c r="AF5542" s="42" t="s">
        <v>2156</v>
      </c>
      <c r="AG5542" s="42" t="s">
        <v>6645</v>
      </c>
    </row>
    <row r="5543" spans="32:33" ht="15.75" customHeight="1">
      <c r="AF5543" s="42" t="s">
        <v>2162</v>
      </c>
      <c r="AG5543" s="42" t="s">
        <v>6645</v>
      </c>
    </row>
    <row r="5544" spans="32:33" ht="15.75" customHeight="1">
      <c r="AF5544" s="42" t="s">
        <v>3503</v>
      </c>
      <c r="AG5544" s="42" t="s">
        <v>6645</v>
      </c>
    </row>
    <row r="5545" spans="32:33" ht="15.75" customHeight="1">
      <c r="AF5545" s="42" t="s">
        <v>8251</v>
      </c>
      <c r="AG5545" s="42" t="s">
        <v>6642</v>
      </c>
    </row>
    <row r="5546" spans="32:33" ht="15.75" customHeight="1">
      <c r="AF5546" s="42" t="s">
        <v>7986</v>
      </c>
      <c r="AG5546" s="42" t="s">
        <v>6642</v>
      </c>
    </row>
    <row r="5547" spans="32:33" ht="15.75" customHeight="1">
      <c r="AF5547" s="42" t="s">
        <v>8022</v>
      </c>
      <c r="AG5547" s="42" t="s">
        <v>6642</v>
      </c>
    </row>
    <row r="5548" spans="32:33" ht="15.75" customHeight="1">
      <c r="AF5548" s="42" t="s">
        <v>8002</v>
      </c>
      <c r="AG5548" s="42" t="s">
        <v>6642</v>
      </c>
    </row>
    <row r="5549" spans="32:33" ht="15.75" customHeight="1">
      <c r="AF5549" s="42" t="s">
        <v>8044</v>
      </c>
      <c r="AG5549" s="42" t="s">
        <v>6642</v>
      </c>
    </row>
    <row r="5550" spans="32:33" ht="15.75" customHeight="1">
      <c r="AF5550" s="42" t="s">
        <v>8021</v>
      </c>
      <c r="AG5550" s="42" t="s">
        <v>6642</v>
      </c>
    </row>
    <row r="5551" spans="32:33" ht="15.75" customHeight="1">
      <c r="AF5551" s="42" t="s">
        <v>8080</v>
      </c>
      <c r="AG5551" s="42" t="s">
        <v>6642</v>
      </c>
    </row>
    <row r="5552" spans="32:33" ht="15.75" customHeight="1">
      <c r="AF5552" s="42" t="s">
        <v>8032</v>
      </c>
      <c r="AG5552" s="42" t="s">
        <v>6642</v>
      </c>
    </row>
    <row r="5553" spans="32:33" ht="15.75" customHeight="1">
      <c r="AF5553" s="42" t="s">
        <v>8043</v>
      </c>
      <c r="AG5553" s="42" t="s">
        <v>6642</v>
      </c>
    </row>
    <row r="5554" spans="32:33" ht="15.75" customHeight="1">
      <c r="AF5554" s="42" t="s">
        <v>8051</v>
      </c>
      <c r="AG5554" s="42" t="s">
        <v>6642</v>
      </c>
    </row>
    <row r="5555" spans="32:33" ht="15.75" customHeight="1">
      <c r="AF5555" s="42" t="s">
        <v>6657</v>
      </c>
      <c r="AG5555" s="42" t="s">
        <v>6645</v>
      </c>
    </row>
    <row r="5556" spans="32:33" ht="15.75" customHeight="1">
      <c r="AF5556" s="42" t="s">
        <v>2618</v>
      </c>
      <c r="AG5556" s="42" t="s">
        <v>6645</v>
      </c>
    </row>
    <row r="5557" spans="32:33" ht="15.75" customHeight="1">
      <c r="AF5557" s="42" t="s">
        <v>5187</v>
      </c>
      <c r="AG5557" s="42" t="s">
        <v>6645</v>
      </c>
    </row>
    <row r="5558" spans="32:33" ht="15.75" customHeight="1">
      <c r="AF5558" s="42" t="s">
        <v>4113</v>
      </c>
      <c r="AG5558" s="42" t="s">
        <v>6645</v>
      </c>
    </row>
    <row r="5559" spans="32:33" ht="15.75" customHeight="1">
      <c r="AF5559" s="42" t="s">
        <v>3874</v>
      </c>
      <c r="AG5559" s="42" t="s">
        <v>6645</v>
      </c>
    </row>
    <row r="5560" spans="32:33" ht="15.75" customHeight="1">
      <c r="AF5560" s="42" t="s">
        <v>1501</v>
      </c>
      <c r="AG5560" s="42" t="s">
        <v>6645</v>
      </c>
    </row>
    <row r="5561" spans="32:33" ht="15.75" customHeight="1">
      <c r="AF5561" s="42" t="s">
        <v>6649</v>
      </c>
      <c r="AG5561" s="42" t="s">
        <v>6645</v>
      </c>
    </row>
    <row r="5562" spans="32:33" ht="15.75" customHeight="1">
      <c r="AF5562" s="42" t="s">
        <v>2586</v>
      </c>
      <c r="AG5562" s="42" t="s">
        <v>6645</v>
      </c>
    </row>
    <row r="5563" spans="32:33" ht="15.75" customHeight="1">
      <c r="AF5563" s="42" t="s">
        <v>2542</v>
      </c>
      <c r="AG5563" s="42" t="s">
        <v>6645</v>
      </c>
    </row>
    <row r="5564" spans="32:33" ht="15.75" customHeight="1">
      <c r="AF5564" s="42" t="s">
        <v>2354</v>
      </c>
      <c r="AG5564" s="42" t="s">
        <v>6645</v>
      </c>
    </row>
    <row r="5565" spans="32:33" ht="15.75" customHeight="1">
      <c r="AF5565" s="42" t="s">
        <v>3255</v>
      </c>
      <c r="AG5565" s="42" t="s">
        <v>6645</v>
      </c>
    </row>
    <row r="5566" spans="32:33" ht="15.75" customHeight="1">
      <c r="AF5566" s="42" t="s">
        <v>2897</v>
      </c>
      <c r="AG5566" s="42" t="s">
        <v>6645</v>
      </c>
    </row>
    <row r="5567" spans="32:33" ht="15.75" customHeight="1">
      <c r="AF5567" s="42" t="s">
        <v>4719</v>
      </c>
      <c r="AG5567" s="42" t="s">
        <v>6645</v>
      </c>
    </row>
    <row r="5568" spans="32:33" ht="15.75" customHeight="1">
      <c r="AF5568" s="42" t="s">
        <v>5296</v>
      </c>
      <c r="AG5568" s="42" t="s">
        <v>6645</v>
      </c>
    </row>
    <row r="5569" spans="32:33" ht="15.75" customHeight="1">
      <c r="AF5569" s="42" t="s">
        <v>6122</v>
      </c>
      <c r="AG5569" s="42" t="s">
        <v>6645</v>
      </c>
    </row>
    <row r="5570" spans="32:33" ht="15.75" customHeight="1">
      <c r="AF5570" s="42" t="s">
        <v>3412</v>
      </c>
      <c r="AG5570" s="42" t="s">
        <v>6645</v>
      </c>
    </row>
    <row r="5571" spans="32:33" ht="15.75" customHeight="1">
      <c r="AF5571" s="42" t="s">
        <v>1486</v>
      </c>
      <c r="AG5571" s="42" t="s">
        <v>6645</v>
      </c>
    </row>
    <row r="5572" spans="32:33" ht="15.75" customHeight="1">
      <c r="AF5572" s="42" t="s">
        <v>6080</v>
      </c>
      <c r="AG5572" s="42" t="s">
        <v>6645</v>
      </c>
    </row>
    <row r="5573" spans="32:33" ht="15.75" customHeight="1">
      <c r="AF5573" s="42" t="s">
        <v>4977</v>
      </c>
      <c r="AG5573" s="42" t="s">
        <v>6645</v>
      </c>
    </row>
    <row r="5574" spans="32:33" ht="15.75" customHeight="1">
      <c r="AF5574" s="42" t="s">
        <v>2581</v>
      </c>
      <c r="AG5574" s="42" t="s">
        <v>6645</v>
      </c>
    </row>
    <row r="5575" spans="32:33" ht="15.75" customHeight="1">
      <c r="AF5575" s="42" t="s">
        <v>977</v>
      </c>
      <c r="AG5575" s="42" t="s">
        <v>6645</v>
      </c>
    </row>
    <row r="5576" spans="32:33" ht="15.75" customHeight="1">
      <c r="AF5576" s="42" t="s">
        <v>1776</v>
      </c>
      <c r="AG5576" s="42" t="s">
        <v>6645</v>
      </c>
    </row>
    <row r="5577" spans="32:33" ht="15.75" customHeight="1">
      <c r="AF5577" s="42" t="s">
        <v>1970</v>
      </c>
      <c r="AG5577" s="42" t="s">
        <v>6642</v>
      </c>
    </row>
    <row r="5578" spans="32:33" ht="15.75" customHeight="1">
      <c r="AF5578" s="42" t="s">
        <v>1777</v>
      </c>
      <c r="AG5578" s="42" t="s">
        <v>6642</v>
      </c>
    </row>
    <row r="5579" spans="32:33" ht="15.75" customHeight="1">
      <c r="AF5579" s="42" t="s">
        <v>978</v>
      </c>
      <c r="AG5579" s="42" t="s">
        <v>6642</v>
      </c>
    </row>
    <row r="5580" spans="32:33" ht="15.75" customHeight="1">
      <c r="AF5580" s="42" t="s">
        <v>8087</v>
      </c>
      <c r="AG5580" s="42" t="s">
        <v>6642</v>
      </c>
    </row>
    <row r="5581" spans="32:33" ht="15.75" customHeight="1">
      <c r="AF5581" s="42" t="s">
        <v>986</v>
      </c>
      <c r="AG5581" s="42" t="s">
        <v>6642</v>
      </c>
    </row>
    <row r="5582" spans="32:33" ht="15.75" customHeight="1">
      <c r="AF5582" s="42" t="s">
        <v>8544</v>
      </c>
      <c r="AG5582" s="42" t="s">
        <v>6642</v>
      </c>
    </row>
    <row r="5583" spans="32:33" ht="15.75" customHeight="1">
      <c r="AF5583" s="42" t="s">
        <v>8525</v>
      </c>
      <c r="AG5583" s="42" t="s">
        <v>6642</v>
      </c>
    </row>
    <row r="5584" spans="32:33" ht="15.75" customHeight="1">
      <c r="AF5584" s="42" t="s">
        <v>8533</v>
      </c>
      <c r="AG5584" s="42" t="s">
        <v>6642</v>
      </c>
    </row>
    <row r="5585" spans="32:33" ht="15.75" customHeight="1">
      <c r="AF5585" s="42" t="s">
        <v>985</v>
      </c>
      <c r="AG5585" s="42" t="s">
        <v>6645</v>
      </c>
    </row>
    <row r="5586" spans="32:33" ht="15.75" customHeight="1">
      <c r="AF5586" s="42" t="s">
        <v>7327</v>
      </c>
      <c r="AG5586" s="42" t="s">
        <v>6645</v>
      </c>
    </row>
    <row r="5587" spans="32:33" ht="15.75" customHeight="1">
      <c r="AF5587" s="42" t="s">
        <v>7982</v>
      </c>
      <c r="AG5587" s="42" t="s">
        <v>6642</v>
      </c>
    </row>
    <row r="5588" spans="32:33" ht="15.75" customHeight="1">
      <c r="AF5588" s="42" t="s">
        <v>7969</v>
      </c>
      <c r="AG5588" s="42" t="s">
        <v>6642</v>
      </c>
    </row>
    <row r="5589" spans="32:33" ht="15.75" customHeight="1">
      <c r="AF5589" s="42" t="s">
        <v>2399</v>
      </c>
      <c r="AG5589" s="42" t="s">
        <v>6632</v>
      </c>
    </row>
    <row r="5590" spans="32:33" ht="15.75" customHeight="1">
      <c r="AF5590" s="42" t="s">
        <v>2037</v>
      </c>
      <c r="AG5590" s="42" t="s">
        <v>6632</v>
      </c>
    </row>
    <row r="5591" spans="32:33" ht="15.75" customHeight="1">
      <c r="AF5591" s="42" t="s">
        <v>3665</v>
      </c>
      <c r="AG5591" s="42" t="s">
        <v>6632</v>
      </c>
    </row>
    <row r="5592" spans="32:33" ht="15.75" customHeight="1">
      <c r="AF5592" s="42" t="s">
        <v>2185</v>
      </c>
      <c r="AG5592" s="42" t="s">
        <v>6632</v>
      </c>
    </row>
    <row r="5593" spans="32:33" ht="15.75" customHeight="1">
      <c r="AF5593" s="42" t="s">
        <v>4309</v>
      </c>
      <c r="AG5593" s="42" t="s">
        <v>6632</v>
      </c>
    </row>
    <row r="5594" spans="32:33" ht="15.75" customHeight="1">
      <c r="AF5594" s="42" t="s">
        <v>6633</v>
      </c>
      <c r="AG5594" s="42" t="s">
        <v>6632</v>
      </c>
    </row>
    <row r="5595" spans="32:33" ht="15.75" customHeight="1">
      <c r="AF5595" s="42" t="s">
        <v>3388</v>
      </c>
      <c r="AG5595" s="42" t="s">
        <v>6632</v>
      </c>
    </row>
    <row r="5596" spans="32:33" ht="15.75" customHeight="1">
      <c r="AF5596" s="42" t="s">
        <v>1186</v>
      </c>
      <c r="AG5596" s="42" t="s">
        <v>6632</v>
      </c>
    </row>
    <row r="5597" spans="32:33" ht="15.75" customHeight="1">
      <c r="AF5597" s="42" t="s">
        <v>2641</v>
      </c>
      <c r="AG5597" s="42" t="s">
        <v>6632</v>
      </c>
    </row>
    <row r="5598" spans="32:33" ht="15.75" customHeight="1">
      <c r="AF5598" s="42" t="s">
        <v>5066</v>
      </c>
      <c r="AG5598" s="42" t="s">
        <v>6632</v>
      </c>
    </row>
    <row r="5599" spans="32:33" ht="15.75" customHeight="1">
      <c r="AF5599" s="42" t="s">
        <v>6702</v>
      </c>
      <c r="AG5599" s="42" t="s">
        <v>6632</v>
      </c>
    </row>
    <row r="5600" spans="32:33" ht="15.75" customHeight="1">
      <c r="AF5600" s="42" t="s">
        <v>2277</v>
      </c>
      <c r="AG5600" s="42" t="s">
        <v>6632</v>
      </c>
    </row>
    <row r="5601" spans="32:33" ht="15.75" customHeight="1">
      <c r="AF5601" s="42" t="s">
        <v>1843</v>
      </c>
      <c r="AG5601" s="42" t="s">
        <v>6632</v>
      </c>
    </row>
    <row r="5602" spans="32:33" ht="15.75" customHeight="1">
      <c r="AF5602" s="42" t="s">
        <v>2046</v>
      </c>
      <c r="AG5602" s="42" t="s">
        <v>6632</v>
      </c>
    </row>
    <row r="5603" spans="32:33" ht="15.75" customHeight="1">
      <c r="AF5603" s="42" t="s">
        <v>1451</v>
      </c>
      <c r="AG5603" s="42" t="s">
        <v>6632</v>
      </c>
    </row>
    <row r="5604" spans="32:33" ht="15.75" customHeight="1">
      <c r="AF5604" s="42" t="s">
        <v>4349</v>
      </c>
      <c r="AG5604" s="42" t="s">
        <v>6632</v>
      </c>
    </row>
    <row r="5605" spans="32:33" ht="15.75" customHeight="1">
      <c r="AF5605" s="42" t="s">
        <v>5532</v>
      </c>
      <c r="AG5605" s="42" t="s">
        <v>6632</v>
      </c>
    </row>
    <row r="5606" spans="32:33" ht="15.75" customHeight="1">
      <c r="AF5606" s="42" t="s">
        <v>2198</v>
      </c>
      <c r="AG5606" s="42" t="s">
        <v>6632</v>
      </c>
    </row>
    <row r="5607" spans="32:33" ht="15.75" customHeight="1">
      <c r="AF5607" s="42" t="s">
        <v>6109</v>
      </c>
      <c r="AG5607" s="42" t="s">
        <v>6632</v>
      </c>
    </row>
    <row r="5608" spans="32:33" ht="15.75" customHeight="1">
      <c r="AF5608" s="42" t="s">
        <v>4437</v>
      </c>
      <c r="AG5608" s="42" t="s">
        <v>6632</v>
      </c>
    </row>
    <row r="5609" spans="32:33" ht="15.75" customHeight="1">
      <c r="AF5609" s="42" t="s">
        <v>3234</v>
      </c>
      <c r="AG5609" s="42" t="s">
        <v>6632</v>
      </c>
    </row>
    <row r="5610" spans="32:33" ht="15.75" customHeight="1">
      <c r="AF5610" s="42" t="s">
        <v>5338</v>
      </c>
      <c r="AG5610" s="42" t="s">
        <v>6632</v>
      </c>
    </row>
    <row r="5611" spans="32:33" ht="15.75" customHeight="1">
      <c r="AF5611" s="42" t="s">
        <v>854</v>
      </c>
      <c r="AG5611" s="42" t="s">
        <v>6632</v>
      </c>
    </row>
    <row r="5612" spans="32:33" ht="15.75" customHeight="1">
      <c r="AF5612" s="42" t="s">
        <v>4587</v>
      </c>
      <c r="AG5612" s="42" t="s">
        <v>6632</v>
      </c>
    </row>
    <row r="5613" spans="32:33" ht="15.75" customHeight="1">
      <c r="AF5613" s="42" t="s">
        <v>2788</v>
      </c>
      <c r="AG5613" s="42" t="s">
        <v>6632</v>
      </c>
    </row>
    <row r="5614" spans="32:33" ht="15.75" customHeight="1">
      <c r="AF5614" s="42" t="s">
        <v>7560</v>
      </c>
      <c r="AG5614" s="42" t="s">
        <v>6632</v>
      </c>
    </row>
    <row r="5615" spans="32:33" ht="15.75" customHeight="1">
      <c r="AF5615" s="42" t="s">
        <v>7554</v>
      </c>
      <c r="AG5615" s="42" t="s">
        <v>6632</v>
      </c>
    </row>
    <row r="5616" spans="32:33" ht="15.75" customHeight="1">
      <c r="AF5616" s="42" t="s">
        <v>4263</v>
      </c>
      <c r="AG5616" s="42" t="s">
        <v>6632</v>
      </c>
    </row>
    <row r="5617" spans="32:33" ht="15.75" customHeight="1">
      <c r="AF5617" s="42" t="s">
        <v>2598</v>
      </c>
      <c r="AG5617" s="42" t="s">
        <v>6632</v>
      </c>
    </row>
    <row r="5618" spans="32:33" ht="15.75" customHeight="1">
      <c r="AF5618" s="42" t="s">
        <v>1441</v>
      </c>
      <c r="AG5618" s="42" t="s">
        <v>6632</v>
      </c>
    </row>
    <row r="5619" spans="32:33" ht="15.75" customHeight="1">
      <c r="AF5619" s="42" t="s">
        <v>6639</v>
      </c>
      <c r="AG5619" s="42" t="s">
        <v>6632</v>
      </c>
    </row>
    <row r="5620" spans="32:33" ht="15.75" customHeight="1">
      <c r="AF5620" s="42" t="s">
        <v>3380</v>
      </c>
      <c r="AG5620" s="42" t="s">
        <v>6632</v>
      </c>
    </row>
    <row r="5621" spans="32:33" ht="15.75" customHeight="1">
      <c r="AF5621" s="42" t="s">
        <v>2327</v>
      </c>
      <c r="AG5621" s="42" t="s">
        <v>6632</v>
      </c>
    </row>
    <row r="5622" spans="32:33" ht="15.75" customHeight="1">
      <c r="AF5622" s="42" t="s">
        <v>6641</v>
      </c>
      <c r="AG5622" s="42" t="s">
        <v>6632</v>
      </c>
    </row>
    <row r="5623" spans="32:33" ht="15.75" customHeight="1">
      <c r="AF5623" s="42" t="s">
        <v>1683</v>
      </c>
      <c r="AG5623" s="42" t="s">
        <v>6632</v>
      </c>
    </row>
    <row r="5624" spans="32:33" ht="15.75" customHeight="1">
      <c r="AF5624" s="42" t="s">
        <v>6705</v>
      </c>
      <c r="AG5624" s="42" t="s">
        <v>6632</v>
      </c>
    </row>
    <row r="5625" spans="32:33" ht="15.75" customHeight="1">
      <c r="AF5625" s="42" t="s">
        <v>6635</v>
      </c>
      <c r="AG5625" s="42" t="s">
        <v>6632</v>
      </c>
    </row>
    <row r="5626" spans="32:33" ht="15.75" customHeight="1">
      <c r="AF5626" s="42" t="s">
        <v>6704</v>
      </c>
      <c r="AG5626" s="42" t="s">
        <v>6632</v>
      </c>
    </row>
    <row r="5627" spans="32:33" ht="15.75" customHeight="1">
      <c r="AF5627" s="42" t="s">
        <v>2376</v>
      </c>
      <c r="AG5627" s="42" t="s">
        <v>6632</v>
      </c>
    </row>
    <row r="5628" spans="32:33" ht="15.75" customHeight="1">
      <c r="AF5628" s="42" t="s">
        <v>6636</v>
      </c>
      <c r="AG5628" s="42" t="s">
        <v>6632</v>
      </c>
    </row>
    <row r="5629" spans="32:33" ht="15.75" customHeight="1">
      <c r="AF5629" s="42" t="s">
        <v>1933</v>
      </c>
      <c r="AG5629" s="42" t="s">
        <v>6632</v>
      </c>
    </row>
    <row r="5630" spans="32:33" ht="15.75" customHeight="1">
      <c r="AF5630" s="42" t="s">
        <v>6640</v>
      </c>
      <c r="AG5630" s="42" t="s">
        <v>6632</v>
      </c>
    </row>
    <row r="5631" spans="32:33" ht="15.75" customHeight="1">
      <c r="AF5631" s="42" t="s">
        <v>2689</v>
      </c>
      <c r="AG5631" s="42" t="s">
        <v>6632</v>
      </c>
    </row>
    <row r="5632" spans="32:33" ht="15.75" customHeight="1">
      <c r="AF5632" s="42" t="s">
        <v>918</v>
      </c>
      <c r="AG5632" s="42" t="s">
        <v>6632</v>
      </c>
    </row>
    <row r="5633" spans="32:33" ht="15.75" customHeight="1">
      <c r="AF5633" s="42" t="s">
        <v>6703</v>
      </c>
      <c r="AG5633" s="42" t="s">
        <v>6632</v>
      </c>
    </row>
    <row r="5634" spans="32:33" ht="15.75" customHeight="1">
      <c r="AF5634" s="42" t="s">
        <v>6634</v>
      </c>
      <c r="AG5634" s="42" t="s">
        <v>6632</v>
      </c>
    </row>
    <row r="5635" spans="32:33" ht="15.75" customHeight="1">
      <c r="AF5635" s="42" t="s">
        <v>4502</v>
      </c>
      <c r="AG5635" s="42" t="s">
        <v>6632</v>
      </c>
    </row>
    <row r="5636" spans="32:33" ht="15.75" customHeight="1">
      <c r="AF5636" s="42" t="s">
        <v>2563</v>
      </c>
      <c r="AG5636" s="42" t="s">
        <v>6632</v>
      </c>
    </row>
    <row r="5637" spans="32:33" ht="15.75" customHeight="1">
      <c r="AF5637" s="42" t="s">
        <v>6840</v>
      </c>
      <c r="AG5637" s="42" t="s">
        <v>6632</v>
      </c>
    </row>
    <row r="5638" spans="32:33" ht="15.75" customHeight="1">
      <c r="AF5638" s="42" t="s">
        <v>6637</v>
      </c>
      <c r="AG5638" s="42" t="s">
        <v>6632</v>
      </c>
    </row>
    <row r="5639" spans="32:33" ht="15.75" customHeight="1">
      <c r="AF5639" s="42" t="s">
        <v>6638</v>
      </c>
      <c r="AG5639" s="42" t="s">
        <v>6632</v>
      </c>
    </row>
    <row r="5640" spans="32:33" ht="15.75" customHeight="1">
      <c r="AF5640" s="42" t="s">
        <v>6839</v>
      </c>
      <c r="AG5640" s="42" t="s">
        <v>6632</v>
      </c>
    </row>
    <row r="5641" spans="32:33" ht="15.75" customHeight="1">
      <c r="AF5641" s="42" t="s">
        <v>6972</v>
      </c>
      <c r="AG5641" s="42" t="s">
        <v>6632</v>
      </c>
    </row>
    <row r="5642" spans="32:33" ht="15.75" customHeight="1">
      <c r="AF5642" s="42" t="s">
        <v>7127</v>
      </c>
      <c r="AG5642" s="42" t="s">
        <v>6632</v>
      </c>
    </row>
    <row r="5643" spans="32:33" ht="15.75" customHeight="1">
      <c r="AF5643" s="42" t="s">
        <v>6973</v>
      </c>
      <c r="AG5643" s="42" t="s">
        <v>6632</v>
      </c>
    </row>
    <row r="5644" spans="32:33" ht="15.75" customHeight="1">
      <c r="AF5644" s="42" t="s">
        <v>6976</v>
      </c>
      <c r="AG5644" s="42" t="s">
        <v>6632</v>
      </c>
    </row>
    <row r="5645" spans="32:33" ht="15.75" customHeight="1">
      <c r="AF5645" s="42" t="s">
        <v>7000</v>
      </c>
      <c r="AG5645" s="42" t="s">
        <v>6632</v>
      </c>
    </row>
    <row r="5646" spans="32:33" ht="15.75" customHeight="1">
      <c r="AF5646" s="42" t="s">
        <v>7126</v>
      </c>
      <c r="AG5646" s="42" t="s">
        <v>6632</v>
      </c>
    </row>
    <row r="5647" spans="32:33" ht="15.75" customHeight="1">
      <c r="AF5647" s="42" t="s">
        <v>6980</v>
      </c>
      <c r="AG5647" s="42" t="s">
        <v>6632</v>
      </c>
    </row>
    <row r="5648" spans="32:33" ht="15.75" customHeight="1">
      <c r="AF5648" s="42" t="s">
        <v>6974</v>
      </c>
      <c r="AG5648" s="42" t="s">
        <v>6632</v>
      </c>
    </row>
    <row r="5649" spans="32:33" ht="15.75" customHeight="1">
      <c r="AF5649" s="42" t="s">
        <v>6979</v>
      </c>
      <c r="AG5649" s="42" t="s">
        <v>6632</v>
      </c>
    </row>
    <row r="5650" spans="32:33" ht="15.75" customHeight="1">
      <c r="AF5650" s="42" t="s">
        <v>6975</v>
      </c>
      <c r="AG5650" s="42" t="s">
        <v>6632</v>
      </c>
    </row>
    <row r="5651" spans="32:33" ht="15.75" customHeight="1">
      <c r="AF5651" s="42" t="s">
        <v>7087</v>
      </c>
      <c r="AG5651" s="42" t="s">
        <v>6632</v>
      </c>
    </row>
    <row r="5652" spans="32:33" ht="15.75" customHeight="1">
      <c r="AF5652" s="42" t="s">
        <v>7039</v>
      </c>
      <c r="AG5652" s="42" t="s">
        <v>6632</v>
      </c>
    </row>
    <row r="5653" spans="32:33" ht="15.75" customHeight="1">
      <c r="AF5653" s="42" t="s">
        <v>7088</v>
      </c>
      <c r="AG5653" s="42" t="s">
        <v>6632</v>
      </c>
    </row>
    <row r="5654" spans="32:33" ht="15.75" customHeight="1">
      <c r="AF5654" s="42" t="s">
        <v>7015</v>
      </c>
      <c r="AG5654" s="42" t="s">
        <v>6632</v>
      </c>
    </row>
    <row r="5655" spans="32:33" ht="15.75" customHeight="1">
      <c r="AF5655" s="42" t="s">
        <v>7041</v>
      </c>
      <c r="AG5655" s="42" t="s">
        <v>6632</v>
      </c>
    </row>
    <row r="5656" spans="32:33" ht="15.75" customHeight="1">
      <c r="AF5656" s="42" t="s">
        <v>7086</v>
      </c>
      <c r="AG5656" s="42" t="s">
        <v>6632</v>
      </c>
    </row>
    <row r="5657" spans="32:33" ht="15.75" customHeight="1">
      <c r="AF5657" s="42" t="s">
        <v>7084</v>
      </c>
      <c r="AG5657" s="42" t="s">
        <v>6632</v>
      </c>
    </row>
    <row r="5658" spans="32:33" ht="15.75" customHeight="1">
      <c r="AF5658" s="42" t="s">
        <v>7011</v>
      </c>
      <c r="AG5658" s="42" t="s">
        <v>6632</v>
      </c>
    </row>
    <row r="5659" spans="32:33" ht="15.75" customHeight="1">
      <c r="AF5659" s="42" t="s">
        <v>7085</v>
      </c>
      <c r="AG5659" s="42" t="s">
        <v>6632</v>
      </c>
    </row>
    <row r="5660" spans="32:33" ht="15.75" customHeight="1">
      <c r="AF5660" s="42" t="s">
        <v>6999</v>
      </c>
      <c r="AG5660" s="42" t="s">
        <v>6632</v>
      </c>
    </row>
    <row r="5661" spans="32:33" ht="15.75" customHeight="1">
      <c r="AF5661" s="42" t="s">
        <v>7090</v>
      </c>
      <c r="AG5661" s="42" t="s">
        <v>6632</v>
      </c>
    </row>
    <row r="5662" spans="32:33" ht="15.75" customHeight="1">
      <c r="AF5662" s="42" t="s">
        <v>7089</v>
      </c>
      <c r="AG5662" s="42" t="s">
        <v>6632</v>
      </c>
    </row>
    <row r="5663" spans="32:33" ht="15.75" customHeight="1">
      <c r="AF5663" s="42" t="s">
        <v>7040</v>
      </c>
      <c r="AG5663" s="42" t="s">
        <v>6632</v>
      </c>
    </row>
    <row r="5664" spans="32:33" ht="15.75" customHeight="1">
      <c r="AF5664" s="42" t="s">
        <v>7006</v>
      </c>
      <c r="AG5664" s="42" t="s">
        <v>6632</v>
      </c>
    </row>
    <row r="5665" spans="32:33" ht="15.75" customHeight="1">
      <c r="AF5665" s="42" t="s">
        <v>7002</v>
      </c>
      <c r="AG5665" s="42" t="s">
        <v>6632</v>
      </c>
    </row>
    <row r="5666" spans="32:33" ht="15.75" customHeight="1">
      <c r="AF5666" s="42" t="s">
        <v>8055</v>
      </c>
      <c r="AG5666" s="42" t="s">
        <v>6642</v>
      </c>
    </row>
    <row r="5667" spans="32:33" ht="15.75" customHeight="1">
      <c r="AF5667" s="42" t="s">
        <v>8038</v>
      </c>
      <c r="AG5667" s="42" t="s">
        <v>6642</v>
      </c>
    </row>
    <row r="5668" spans="32:33" ht="15.75" customHeight="1">
      <c r="AF5668" s="42" t="s">
        <v>7984</v>
      </c>
      <c r="AG5668" s="42" t="s">
        <v>6642</v>
      </c>
    </row>
    <row r="5669" spans="32:33" ht="15.75" customHeight="1">
      <c r="AF5669" s="42" t="s">
        <v>8126</v>
      </c>
      <c r="AG5669" s="42" t="s">
        <v>6642</v>
      </c>
    </row>
    <row r="5670" spans="32:33" ht="15.75" customHeight="1">
      <c r="AF5670" s="42" t="s">
        <v>8102</v>
      </c>
      <c r="AG5670" s="42" t="s">
        <v>6642</v>
      </c>
    </row>
    <row r="5671" spans="32:33" ht="15.75" customHeight="1">
      <c r="AF5671" s="42" t="s">
        <v>8063</v>
      </c>
      <c r="AG5671" s="42" t="s">
        <v>6642</v>
      </c>
    </row>
    <row r="5672" spans="32:33" ht="15.75" customHeight="1">
      <c r="AF5672" s="42" t="s">
        <v>8020</v>
      </c>
      <c r="AG5672" s="42" t="s">
        <v>6642</v>
      </c>
    </row>
    <row r="5673" spans="32:33" ht="15.75" customHeight="1">
      <c r="AF5673" s="42" t="s">
        <v>7110</v>
      </c>
      <c r="AG5673" s="42" t="s">
        <v>6632</v>
      </c>
    </row>
    <row r="5674" spans="32:33" ht="15.75" customHeight="1">
      <c r="AF5674" s="42" t="s">
        <v>7053</v>
      </c>
      <c r="AG5674" s="42" t="s">
        <v>6632</v>
      </c>
    </row>
    <row r="5675" spans="32:33" ht="15.75" customHeight="1">
      <c r="AF5675" s="42" t="s">
        <v>7109</v>
      </c>
      <c r="AG5675" s="42" t="s">
        <v>6632</v>
      </c>
    </row>
    <row r="5676" spans="32:33" ht="15.75" customHeight="1">
      <c r="AF5676" s="42" t="s">
        <v>7091</v>
      </c>
      <c r="AG5676" s="42" t="s">
        <v>6632</v>
      </c>
    </row>
    <row r="5677" spans="32:33" ht="15.75" customHeight="1">
      <c r="AF5677" s="42" t="s">
        <v>7107</v>
      </c>
      <c r="AG5677" s="42" t="s">
        <v>6632</v>
      </c>
    </row>
    <row r="5678" spans="32:33" ht="15.75" customHeight="1">
      <c r="AF5678" s="42" t="s">
        <v>7105</v>
      </c>
      <c r="AG5678" s="42" t="s">
        <v>6632</v>
      </c>
    </row>
    <row r="5679" spans="32:33" ht="15.75" customHeight="1">
      <c r="AF5679" s="42" t="s">
        <v>7099</v>
      </c>
      <c r="AG5679" s="42" t="s">
        <v>6632</v>
      </c>
    </row>
    <row r="5680" spans="32:33" ht="15.75" customHeight="1">
      <c r="AF5680" s="42" t="s">
        <v>7096</v>
      </c>
      <c r="AG5680" s="42" t="s">
        <v>6632</v>
      </c>
    </row>
    <row r="5681" spans="32:33" ht="15.75" customHeight="1">
      <c r="AF5681" s="42" t="s">
        <v>7095</v>
      </c>
      <c r="AG5681" s="42" t="s">
        <v>6632</v>
      </c>
    </row>
    <row r="5682" spans="32:33" ht="15.75" customHeight="1">
      <c r="AF5682" s="42" t="s">
        <v>7103</v>
      </c>
      <c r="AG5682" s="42" t="s">
        <v>6632</v>
      </c>
    </row>
    <row r="5683" spans="32:33" ht="15.75" customHeight="1">
      <c r="AF5683" s="42" t="s">
        <v>7097</v>
      </c>
      <c r="AG5683" s="42" t="s">
        <v>6632</v>
      </c>
    </row>
    <row r="5684" spans="32:33" ht="15.75" customHeight="1">
      <c r="AF5684" s="42" t="s">
        <v>7098</v>
      </c>
      <c r="AG5684" s="42" t="s">
        <v>6632</v>
      </c>
    </row>
    <row r="5685" spans="32:33" ht="15.75" customHeight="1">
      <c r="AF5685" s="42" t="s">
        <v>7100</v>
      </c>
      <c r="AG5685" s="42" t="s">
        <v>6632</v>
      </c>
    </row>
    <row r="5686" spans="32:33" ht="15.75" customHeight="1">
      <c r="AF5686" s="42" t="s">
        <v>7101</v>
      </c>
      <c r="AG5686" s="42" t="s">
        <v>6632</v>
      </c>
    </row>
    <row r="5687" spans="32:33" ht="15.75" customHeight="1">
      <c r="AF5687" s="42" t="s">
        <v>7102</v>
      </c>
      <c r="AG5687" s="42" t="s">
        <v>6632</v>
      </c>
    </row>
    <row r="5688" spans="32:33" ht="15.75" customHeight="1">
      <c r="AF5688" s="42" t="s">
        <v>7092</v>
      </c>
      <c r="AG5688" s="42" t="s">
        <v>6632</v>
      </c>
    </row>
    <row r="5689" spans="32:33" ht="15.75" customHeight="1">
      <c r="AF5689" s="42" t="s">
        <v>7104</v>
      </c>
      <c r="AG5689" s="42" t="s">
        <v>6632</v>
      </c>
    </row>
    <row r="5690" spans="32:33" ht="15.75" customHeight="1">
      <c r="AF5690" s="42" t="s">
        <v>7108</v>
      </c>
      <c r="AG5690" s="42" t="s">
        <v>6632</v>
      </c>
    </row>
    <row r="5691" spans="32:33" ht="15.75" customHeight="1">
      <c r="AF5691" s="42" t="s">
        <v>7106</v>
      </c>
      <c r="AG5691" s="42" t="s">
        <v>6632</v>
      </c>
    </row>
    <row r="5692" spans="32:33" ht="15.75" customHeight="1">
      <c r="AF5692" s="42" t="s">
        <v>7094</v>
      </c>
      <c r="AG5692" s="42" t="s">
        <v>6632</v>
      </c>
    </row>
    <row r="5693" spans="32:33" ht="15.75" customHeight="1">
      <c r="AF5693" s="42" t="s">
        <v>7114</v>
      </c>
      <c r="AG5693" s="42" t="s">
        <v>6632</v>
      </c>
    </row>
    <row r="5694" spans="32:33" ht="15.75" customHeight="1">
      <c r="AF5694" s="42" t="s">
        <v>7113</v>
      </c>
      <c r="AG5694" s="42" t="s">
        <v>6632</v>
      </c>
    </row>
    <row r="5695" spans="32:33" ht="15.75" customHeight="1">
      <c r="AF5695" s="42" t="s">
        <v>7112</v>
      </c>
      <c r="AG5695" s="42" t="s">
        <v>6632</v>
      </c>
    </row>
    <row r="5696" spans="32:33" ht="15.75" customHeight="1">
      <c r="AF5696" s="42" t="s">
        <v>7093</v>
      </c>
      <c r="AG5696" s="42" t="s">
        <v>6632</v>
      </c>
    </row>
    <row r="5697" spans="32:33" ht="15.75" customHeight="1">
      <c r="AF5697" s="42" t="s">
        <v>7111</v>
      </c>
      <c r="AG5697" s="42" t="s">
        <v>6632</v>
      </c>
    </row>
    <row r="5698" spans="32:33" ht="15.75" customHeight="1">
      <c r="AF5698" s="42" t="s">
        <v>7331</v>
      </c>
      <c r="AG5698" s="42" t="s">
        <v>6645</v>
      </c>
    </row>
    <row r="5699" spans="32:33" ht="15.75" customHeight="1">
      <c r="AF5699" s="42" t="s">
        <v>7330</v>
      </c>
      <c r="AG5699" s="42" t="s">
        <v>6645</v>
      </c>
    </row>
    <row r="5700" spans="32:33" ht="15.75" customHeight="1">
      <c r="AF5700" s="42" t="s">
        <v>7329</v>
      </c>
      <c r="AG5700" s="42" t="s">
        <v>6645</v>
      </c>
    </row>
    <row r="5701" spans="32:33" ht="15.75" customHeight="1">
      <c r="AF5701" s="42" t="s">
        <v>7346</v>
      </c>
      <c r="AG5701" s="42" t="s">
        <v>6645</v>
      </c>
    </row>
    <row r="5702" spans="32:33" ht="15.75" customHeight="1">
      <c r="AF5702" s="42" t="s">
        <v>7352</v>
      </c>
      <c r="AG5702" s="42" t="s">
        <v>6645</v>
      </c>
    </row>
    <row r="5703" spans="32:33" ht="15.75" customHeight="1">
      <c r="AF5703" s="42" t="s">
        <v>7347</v>
      </c>
      <c r="AG5703" s="42" t="s">
        <v>6645</v>
      </c>
    </row>
    <row r="5704" spans="32:33" ht="15.75" customHeight="1">
      <c r="AF5704" s="42" t="s">
        <v>7328</v>
      </c>
      <c r="AG5704" s="42" t="s">
        <v>6645</v>
      </c>
    </row>
    <row r="5705" spans="32:33" ht="15.75" customHeight="1">
      <c r="AF5705" s="42" t="s">
        <v>7337</v>
      </c>
      <c r="AG5705" s="42" t="s">
        <v>6645</v>
      </c>
    </row>
    <row r="5706" spans="32:33" ht="15.75" customHeight="1">
      <c r="AF5706" s="42" t="s">
        <v>7341</v>
      </c>
      <c r="AG5706" s="42" t="s">
        <v>6645</v>
      </c>
    </row>
    <row r="5707" spans="32:33" ht="15.75" customHeight="1">
      <c r="AF5707" s="42" t="s">
        <v>7339</v>
      </c>
      <c r="AG5707" s="42" t="s">
        <v>6645</v>
      </c>
    </row>
    <row r="5708" spans="32:33" ht="15.75" customHeight="1">
      <c r="AF5708" s="42" t="s">
        <v>7344</v>
      </c>
      <c r="AG5708" s="42" t="s">
        <v>6645</v>
      </c>
    </row>
    <row r="5709" spans="32:33" ht="15.75" customHeight="1">
      <c r="AF5709" s="42" t="s">
        <v>7350</v>
      </c>
      <c r="AG5709" s="42" t="s">
        <v>6645</v>
      </c>
    </row>
    <row r="5710" spans="32:33" ht="15.75" customHeight="1">
      <c r="AF5710" s="42" t="s">
        <v>7340</v>
      </c>
      <c r="AG5710" s="42" t="s">
        <v>6645</v>
      </c>
    </row>
    <row r="5711" spans="32:33" ht="15.75" customHeight="1">
      <c r="AF5711" s="42" t="s">
        <v>7343</v>
      </c>
      <c r="AG5711" s="42" t="s">
        <v>6645</v>
      </c>
    </row>
    <row r="5712" spans="32:33" ht="15.75" customHeight="1">
      <c r="AF5712" s="42" t="s">
        <v>7336</v>
      </c>
      <c r="AG5712" s="42" t="s">
        <v>6645</v>
      </c>
    </row>
    <row r="5713" spans="32:33" ht="15.75" customHeight="1">
      <c r="AF5713" s="42" t="s">
        <v>7334</v>
      </c>
      <c r="AG5713" s="42" t="s">
        <v>6645</v>
      </c>
    </row>
    <row r="5714" spans="32:33" ht="15.75" customHeight="1">
      <c r="AF5714" s="42" t="s">
        <v>7333</v>
      </c>
      <c r="AG5714" s="42" t="s">
        <v>6645</v>
      </c>
    </row>
    <row r="5715" spans="32:33" ht="15.75" customHeight="1">
      <c r="AF5715" s="42" t="s">
        <v>7354</v>
      </c>
      <c r="AG5715" s="42" t="s">
        <v>6645</v>
      </c>
    </row>
    <row r="5716" spans="32:33" ht="15.75" customHeight="1">
      <c r="AF5716" s="42" t="s">
        <v>7342</v>
      </c>
      <c r="AG5716" s="42" t="s">
        <v>6645</v>
      </c>
    </row>
    <row r="5717" spans="32:33" ht="15.75" customHeight="1">
      <c r="AF5717" s="42" t="s">
        <v>7332</v>
      </c>
      <c r="AG5717" s="42" t="s">
        <v>6645</v>
      </c>
    </row>
    <row r="5718" spans="32:33" ht="15.75" customHeight="1">
      <c r="AF5718" s="42" t="s">
        <v>7338</v>
      </c>
      <c r="AG5718" s="42" t="s">
        <v>6645</v>
      </c>
    </row>
    <row r="5719" spans="32:33" ht="15.75" customHeight="1">
      <c r="AF5719" s="42" t="s">
        <v>7335</v>
      </c>
      <c r="AG5719" s="42" t="s">
        <v>6645</v>
      </c>
    </row>
    <row r="5720" spans="32:33" ht="15.75" customHeight="1">
      <c r="AF5720" s="42" t="s">
        <v>7325</v>
      </c>
      <c r="AG5720" s="42" t="s">
        <v>6632</v>
      </c>
    </row>
    <row r="5721" spans="32:33" ht="15.75" customHeight="1">
      <c r="AF5721" s="42" t="s">
        <v>7322</v>
      </c>
      <c r="AG5721" s="42" t="s">
        <v>6632</v>
      </c>
    </row>
    <row r="5722" spans="32:33" ht="15.75" customHeight="1">
      <c r="AF5722" s="42" t="s">
        <v>7324</v>
      </c>
      <c r="AG5722" s="42" t="s">
        <v>6632</v>
      </c>
    </row>
    <row r="5723" spans="32:33" ht="15.75" customHeight="1">
      <c r="AF5723" s="42" t="s">
        <v>7323</v>
      </c>
      <c r="AG5723" s="42" t="s">
        <v>6632</v>
      </c>
    </row>
    <row r="5724" spans="32:33" ht="15.75" customHeight="1">
      <c r="AF5724" s="42" t="s">
        <v>7326</v>
      </c>
      <c r="AG5724" s="42" t="s">
        <v>6632</v>
      </c>
    </row>
    <row r="5725" spans="32:33" ht="15.75" customHeight="1">
      <c r="AF5725" s="42" t="s">
        <v>7321</v>
      </c>
      <c r="AG5725" s="42" t="s">
        <v>6632</v>
      </c>
    </row>
    <row r="5726" spans="32:33" ht="15.75" customHeight="1">
      <c r="AF5726" s="42" t="s">
        <v>7529</v>
      </c>
      <c r="AG5726" s="42" t="s">
        <v>6645</v>
      </c>
    </row>
    <row r="5727" spans="32:33" ht="15.75" customHeight="1">
      <c r="AF5727" s="42" t="s">
        <v>7525</v>
      </c>
      <c r="AG5727" s="42" t="s">
        <v>6645</v>
      </c>
    </row>
    <row r="5728" spans="32:33" ht="15.75" customHeight="1">
      <c r="AF5728" s="42" t="s">
        <v>7548</v>
      </c>
      <c r="AG5728" s="42" t="s">
        <v>6645</v>
      </c>
    </row>
    <row r="5729" spans="32:33" ht="15.75" customHeight="1">
      <c r="AF5729" s="42" t="s">
        <v>7552</v>
      </c>
      <c r="AG5729" s="42" t="s">
        <v>6645</v>
      </c>
    </row>
    <row r="5730" spans="32:33" ht="15.75" customHeight="1">
      <c r="AF5730" s="42" t="s">
        <v>7528</v>
      </c>
      <c r="AG5730" s="42" t="s">
        <v>6645</v>
      </c>
    </row>
    <row r="5731" spans="32:33" ht="15.75" customHeight="1">
      <c r="AF5731" s="42" t="s">
        <v>7524</v>
      </c>
      <c r="AG5731" s="42" t="s">
        <v>6632</v>
      </c>
    </row>
    <row r="5732" spans="32:33" ht="15.75" customHeight="1">
      <c r="AF5732" s="42" t="s">
        <v>7530</v>
      </c>
      <c r="AG5732" s="42" t="s">
        <v>6632</v>
      </c>
    </row>
    <row r="5733" spans="32:33" ht="15.75" customHeight="1">
      <c r="AF5733" s="42" t="s">
        <v>7523</v>
      </c>
      <c r="AG5733" s="42" t="s">
        <v>6632</v>
      </c>
    </row>
    <row r="5734" spans="32:33" ht="15.75" customHeight="1">
      <c r="AF5734" s="42" t="s">
        <v>7527</v>
      </c>
      <c r="AG5734" s="42" t="s">
        <v>6632</v>
      </c>
    </row>
    <row r="5735" spans="32:33" ht="15.75" customHeight="1">
      <c r="AF5735" s="42" t="s">
        <v>8097</v>
      </c>
      <c r="AG5735" s="42" t="s">
        <v>6645</v>
      </c>
    </row>
    <row r="5736" spans="32:33" ht="15.75" customHeight="1">
      <c r="AF5736" s="42" t="s">
        <v>7974</v>
      </c>
      <c r="AG5736" s="42" t="s">
        <v>6645</v>
      </c>
    </row>
    <row r="5737" spans="32:33" ht="15.75" customHeight="1">
      <c r="AF5737" s="42" t="s">
        <v>8090</v>
      </c>
      <c r="AG5737" s="42" t="s">
        <v>6645</v>
      </c>
    </row>
    <row r="5738" spans="32:33" ht="15.75" customHeight="1">
      <c r="AF5738" s="42" t="s">
        <v>7987</v>
      </c>
      <c r="AG5738" s="42" t="s">
        <v>6645</v>
      </c>
    </row>
    <row r="5739" spans="32:33" ht="15.75" customHeight="1">
      <c r="AF5739" s="42" t="s">
        <v>8068</v>
      </c>
      <c r="AG5739" s="42" t="s">
        <v>6645</v>
      </c>
    </row>
    <row r="5740" spans="32:33" ht="15.75" customHeight="1">
      <c r="AF5740" s="42" t="s">
        <v>7980</v>
      </c>
      <c r="AG5740" s="42" t="s">
        <v>6645</v>
      </c>
    </row>
    <row r="5741" spans="32:33" ht="15.75" customHeight="1">
      <c r="AF5741" s="42" t="s">
        <v>7999</v>
      </c>
      <c r="AG5741" s="42" t="s">
        <v>6645</v>
      </c>
    </row>
    <row r="5742" spans="32:33" ht="15.75" customHeight="1">
      <c r="AF5742" s="42" t="s">
        <v>8141</v>
      </c>
      <c r="AG5742" s="42" t="s">
        <v>6645</v>
      </c>
    </row>
    <row r="5743" spans="32:33" ht="15.75" customHeight="1">
      <c r="AF5743" s="42" t="s">
        <v>8003</v>
      </c>
      <c r="AG5743" s="42" t="s">
        <v>6645</v>
      </c>
    </row>
    <row r="5744" spans="32:33" ht="15.75" customHeight="1">
      <c r="AF5744" s="42" t="s">
        <v>7973</v>
      </c>
      <c r="AG5744" s="42" t="s">
        <v>6645</v>
      </c>
    </row>
    <row r="5745" spans="32:33" ht="15.75" customHeight="1">
      <c r="AF5745" s="42" t="s">
        <v>8007</v>
      </c>
      <c r="AG5745" s="42" t="s">
        <v>6632</v>
      </c>
    </row>
    <row r="5746" spans="32:33" ht="15.75" customHeight="1">
      <c r="AF5746" s="42" t="s">
        <v>8089</v>
      </c>
      <c r="AG5746" s="42" t="s">
        <v>6632</v>
      </c>
    </row>
    <row r="5747" spans="32:33" ht="15.75" customHeight="1">
      <c r="AF5747" s="42" t="s">
        <v>7996</v>
      </c>
      <c r="AG5747" s="42" t="s">
        <v>6632</v>
      </c>
    </row>
    <row r="5748" spans="32:33" ht="15.75" customHeight="1">
      <c r="AF5748" s="42" t="s">
        <v>7998</v>
      </c>
      <c r="AG5748" s="42" t="s">
        <v>6632</v>
      </c>
    </row>
    <row r="5749" spans="32:33" ht="15.75" customHeight="1">
      <c r="AF5749" s="42" t="s">
        <v>8252</v>
      </c>
      <c r="AG5749" s="42" t="s">
        <v>6632</v>
      </c>
    </row>
    <row r="5750" spans="32:33" ht="15.75" customHeight="1">
      <c r="AF5750" s="42" t="s">
        <v>8069</v>
      </c>
      <c r="AG5750" s="42" t="s">
        <v>6632</v>
      </c>
    </row>
    <row r="5751" spans="32:33" ht="15.75" customHeight="1">
      <c r="AF5751" s="42" t="s">
        <v>8253</v>
      </c>
      <c r="AG5751" s="42" t="s">
        <v>6632</v>
      </c>
    </row>
    <row r="5752" spans="32:33" ht="15.75" customHeight="1">
      <c r="AF5752" s="42" t="s">
        <v>8009</v>
      </c>
      <c r="AG5752" s="42" t="s">
        <v>6632</v>
      </c>
    </row>
    <row r="5753" spans="32:33" ht="15.75" customHeight="1">
      <c r="AF5753" s="42" t="s">
        <v>8254</v>
      </c>
      <c r="AG5753" s="42" t="s">
        <v>6645</v>
      </c>
    </row>
    <row r="5754" spans="32:33" ht="15.75" customHeight="1">
      <c r="AF5754" s="42" t="s">
        <v>8255</v>
      </c>
      <c r="AG5754" s="42" t="s">
        <v>6645</v>
      </c>
    </row>
    <row r="5755" spans="32:33" ht="15.75" customHeight="1">
      <c r="AF5755" s="42" t="s">
        <v>8256</v>
      </c>
      <c r="AG5755" s="42" t="s">
        <v>6645</v>
      </c>
    </row>
    <row r="5756" spans="32:33" ht="15.75" customHeight="1">
      <c r="AF5756" s="42" t="s">
        <v>8257</v>
      </c>
      <c r="AG5756" s="42" t="s">
        <v>6645</v>
      </c>
    </row>
    <row r="5757" spans="32:33" ht="15.75" customHeight="1">
      <c r="AF5757" s="42" t="s">
        <v>8258</v>
      </c>
      <c r="AG5757" s="42" t="s">
        <v>6645</v>
      </c>
    </row>
    <row r="5758" spans="32:33" ht="15.75" customHeight="1">
      <c r="AF5758" s="42" t="s">
        <v>8259</v>
      </c>
      <c r="AG5758" s="42" t="s">
        <v>6645</v>
      </c>
    </row>
    <row r="5759" spans="32:33" ht="15.75" customHeight="1">
      <c r="AF5759" s="42" t="s">
        <v>8260</v>
      </c>
      <c r="AG5759" s="42" t="s">
        <v>6645</v>
      </c>
    </row>
    <row r="5760" spans="32:33" ht="15.75" customHeight="1">
      <c r="AF5760" s="42" t="s">
        <v>8261</v>
      </c>
      <c r="AG5760" s="42" t="s">
        <v>6645</v>
      </c>
    </row>
    <row r="5761" spans="32:33" ht="15.75" customHeight="1">
      <c r="AF5761" s="42" t="s">
        <v>8262</v>
      </c>
      <c r="AG5761" s="42" t="s">
        <v>6645</v>
      </c>
    </row>
    <row r="5762" spans="32:33" ht="15.75" customHeight="1">
      <c r="AF5762" s="42" t="s">
        <v>8263</v>
      </c>
      <c r="AG5762" s="42" t="s">
        <v>6645</v>
      </c>
    </row>
    <row r="5763" spans="32:33" ht="15.75" customHeight="1">
      <c r="AF5763" s="42" t="s">
        <v>8264</v>
      </c>
      <c r="AG5763" s="42" t="s">
        <v>6632</v>
      </c>
    </row>
    <row r="5764" spans="32:33" ht="15.75" customHeight="1">
      <c r="AF5764" s="42" t="s">
        <v>8265</v>
      </c>
      <c r="AG5764" s="42" t="s">
        <v>6632</v>
      </c>
    </row>
    <row r="5765" spans="32:33" ht="15.75" customHeight="1">
      <c r="AF5765" s="42" t="s">
        <v>8266</v>
      </c>
      <c r="AG5765" s="42" t="s">
        <v>6632</v>
      </c>
    </row>
    <row r="5766" spans="32:33" ht="15.75" customHeight="1">
      <c r="AF5766" s="42" t="s">
        <v>8267</v>
      </c>
      <c r="AG5766" s="42" t="s">
        <v>6632</v>
      </c>
    </row>
    <row r="5767" spans="32:33" ht="15.75" customHeight="1">
      <c r="AF5767" s="42" t="s">
        <v>8268</v>
      </c>
      <c r="AG5767" s="42" t="s">
        <v>6632</v>
      </c>
    </row>
    <row r="5768" spans="32:33" ht="15.75" customHeight="1">
      <c r="AF5768" s="42" t="s">
        <v>8269</v>
      </c>
      <c r="AG5768" s="42" t="s">
        <v>6632</v>
      </c>
    </row>
    <row r="5769" spans="32:33" ht="15.75" customHeight="1">
      <c r="AF5769" s="42" t="s">
        <v>8270</v>
      </c>
      <c r="AG5769" s="42" t="s">
        <v>6632</v>
      </c>
    </row>
    <row r="5770" spans="32:33" ht="15.75" customHeight="1">
      <c r="AF5770" s="42" t="s">
        <v>8271</v>
      </c>
      <c r="AG5770" s="42" t="s">
        <v>6632</v>
      </c>
    </row>
    <row r="5771" spans="32:33" ht="15.75" customHeight="1">
      <c r="AF5771" s="42" t="s">
        <v>8272</v>
      </c>
      <c r="AG5771" s="42" t="s">
        <v>6632</v>
      </c>
    </row>
    <row r="5772" spans="32:33" ht="15.75" customHeight="1">
      <c r="AF5772" s="42" t="s">
        <v>8273</v>
      </c>
      <c r="AG5772" s="42" t="s">
        <v>6632</v>
      </c>
    </row>
    <row r="5773" spans="32:33" ht="15.75" customHeight="1">
      <c r="AF5773" s="42" t="s">
        <v>8274</v>
      </c>
      <c r="AG5773" s="42" t="s">
        <v>6645</v>
      </c>
    </row>
    <row r="5774" spans="32:33" ht="15.75" customHeight="1">
      <c r="AF5774" s="42" t="s">
        <v>8275</v>
      </c>
      <c r="AG5774" s="42" t="s">
        <v>6645</v>
      </c>
    </row>
    <row r="5775" spans="32:33" ht="15.75" customHeight="1">
      <c r="AF5775" s="42" t="s">
        <v>8276</v>
      </c>
      <c r="AG5775" s="42" t="s">
        <v>6645</v>
      </c>
    </row>
    <row r="5776" spans="32:33" ht="15.75" customHeight="1">
      <c r="AF5776" s="42" t="s">
        <v>8277</v>
      </c>
      <c r="AG5776" s="42" t="s">
        <v>6645</v>
      </c>
    </row>
    <row r="5777" spans="32:33" ht="15.75" customHeight="1">
      <c r="AF5777" s="42" t="s">
        <v>8278</v>
      </c>
      <c r="AG5777" s="42" t="s">
        <v>6645</v>
      </c>
    </row>
    <row r="5778" spans="32:33" ht="15.75" customHeight="1">
      <c r="AF5778" s="42" t="s">
        <v>8279</v>
      </c>
      <c r="AG5778" s="42" t="s">
        <v>6645</v>
      </c>
    </row>
    <row r="5779" spans="32:33" ht="15.75" customHeight="1">
      <c r="AF5779" s="42" t="s">
        <v>8280</v>
      </c>
      <c r="AG5779" s="42" t="s">
        <v>6645</v>
      </c>
    </row>
    <row r="5780" spans="32:33" ht="15.75" customHeight="1">
      <c r="AF5780" s="42" t="s">
        <v>8281</v>
      </c>
      <c r="AG5780" s="42" t="s">
        <v>6645</v>
      </c>
    </row>
    <row r="5781" spans="32:33" ht="15.75" customHeight="1">
      <c r="AF5781" s="42" t="s">
        <v>8282</v>
      </c>
      <c r="AG5781" s="42" t="s">
        <v>6645</v>
      </c>
    </row>
    <row r="5782" spans="32:33" ht="15.75" customHeight="1">
      <c r="AF5782" s="42" t="s">
        <v>8283</v>
      </c>
      <c r="AG5782" s="42" t="s">
        <v>6645</v>
      </c>
    </row>
    <row r="5783" spans="32:33" ht="15.75" customHeight="1">
      <c r="AF5783" s="42" t="s">
        <v>8284</v>
      </c>
      <c r="AG5783" s="42" t="s">
        <v>6632</v>
      </c>
    </row>
    <row r="5784" spans="32:33" ht="15.75" customHeight="1">
      <c r="AF5784" s="42" t="s">
        <v>8285</v>
      </c>
      <c r="AG5784" s="42" t="s">
        <v>6632</v>
      </c>
    </row>
    <row r="5785" spans="32:33" ht="15.75" customHeight="1">
      <c r="AF5785" s="42" t="s">
        <v>8286</v>
      </c>
      <c r="AG5785" s="42" t="s">
        <v>6632</v>
      </c>
    </row>
    <row r="5786" spans="32:33" ht="15.75" customHeight="1">
      <c r="AF5786" s="42" t="s">
        <v>8287</v>
      </c>
      <c r="AG5786" s="42" t="s">
        <v>6632</v>
      </c>
    </row>
    <row r="5787" spans="32:33" ht="15.75" customHeight="1">
      <c r="AF5787" s="42" t="s">
        <v>8288</v>
      </c>
      <c r="AG5787" s="42" t="s">
        <v>6632</v>
      </c>
    </row>
    <row r="5788" spans="32:33" ht="15.75" customHeight="1">
      <c r="AF5788" s="42" t="s">
        <v>8419</v>
      </c>
      <c r="AG5788" s="42" t="s">
        <v>6632</v>
      </c>
    </row>
    <row r="5789" spans="32:33" ht="15.75" customHeight="1">
      <c r="AF5789" s="42" t="s">
        <v>8418</v>
      </c>
      <c r="AG5789" s="42" t="s">
        <v>6632</v>
      </c>
    </row>
    <row r="5790" spans="32:33" ht="15.75" customHeight="1">
      <c r="AF5790" s="42" t="s">
        <v>8416</v>
      </c>
      <c r="AG5790" s="42" t="s">
        <v>6632</v>
      </c>
    </row>
    <row r="5791" spans="32:33" ht="15.75" customHeight="1">
      <c r="AF5791" s="42" t="s">
        <v>8420</v>
      </c>
      <c r="AG5791" s="42" t="s">
        <v>6632</v>
      </c>
    </row>
    <row r="5792" spans="32:33" ht="15.75" customHeight="1">
      <c r="AF5792" s="42" t="s">
        <v>8385</v>
      </c>
      <c r="AG5792" s="42" t="s">
        <v>6632</v>
      </c>
    </row>
    <row r="5793" spans="32:33" ht="15.75" customHeight="1">
      <c r="AF5793" s="42" t="s">
        <v>8417</v>
      </c>
      <c r="AG5793" s="42" t="s">
        <v>6632</v>
      </c>
    </row>
    <row r="5794" spans="32:33" ht="15.75" customHeight="1">
      <c r="AF5794" s="42" t="s">
        <v>8393</v>
      </c>
      <c r="AG5794" s="42" t="s">
        <v>6632</v>
      </c>
    </row>
    <row r="5795" spans="32:33" ht="15.75" customHeight="1">
      <c r="AF5795" s="42" t="s">
        <v>8390</v>
      </c>
      <c r="AG5795" s="42" t="s">
        <v>6632</v>
      </c>
    </row>
    <row r="5796" spans="32:33" ht="15.75" customHeight="1">
      <c r="AF5796" s="42" t="s">
        <v>8415</v>
      </c>
      <c r="AG5796" s="42" t="s">
        <v>6632</v>
      </c>
    </row>
    <row r="5797" spans="32:33" ht="15.75" customHeight="1">
      <c r="AF5797" s="42" t="s">
        <v>8383</v>
      </c>
      <c r="AG5797" s="42" t="s">
        <v>6632</v>
      </c>
    </row>
    <row r="5798" spans="32:33" ht="15.75" customHeight="1">
      <c r="AF5798" s="42" t="s">
        <v>8517</v>
      </c>
      <c r="AG5798" s="42" t="s">
        <v>6632</v>
      </c>
    </row>
    <row r="5799" spans="32:33" ht="15.75" customHeight="1">
      <c r="AF5799" s="42" t="s">
        <v>8531</v>
      </c>
      <c r="AG5799" s="42" t="s">
        <v>6632</v>
      </c>
    </row>
    <row r="5800" spans="32:33" ht="15.75" customHeight="1">
      <c r="AF5800" s="42" t="s">
        <v>8575</v>
      </c>
      <c r="AG5800" s="42" t="s">
        <v>6632</v>
      </c>
    </row>
    <row r="5801" spans="32:33" ht="15.75" customHeight="1">
      <c r="AF5801" s="42" t="s">
        <v>8577</v>
      </c>
      <c r="AG5801" s="42" t="s">
        <v>6632</v>
      </c>
    </row>
    <row r="5802" spans="32:33" ht="15.75" customHeight="1">
      <c r="AF5802" s="42" t="s">
        <v>8580</v>
      </c>
      <c r="AG5802" s="42" t="s">
        <v>6632</v>
      </c>
    </row>
    <row r="5803" spans="32:33" ht="15.75" customHeight="1">
      <c r="AF5803" s="42" t="s">
        <v>8613</v>
      </c>
      <c r="AG5803" s="42" t="s">
        <v>6632</v>
      </c>
    </row>
    <row r="5804" spans="32:33" ht="15.75" customHeight="1">
      <c r="AF5804" s="42" t="s">
        <v>8522</v>
      </c>
      <c r="AG5804" s="42" t="s">
        <v>6632</v>
      </c>
    </row>
    <row r="5805" spans="32:33" ht="15.75" customHeight="1">
      <c r="AF5805" s="42" t="s">
        <v>8516</v>
      </c>
      <c r="AG5805" s="42" t="s">
        <v>6632</v>
      </c>
    </row>
    <row r="5806" spans="32:33" ht="15.75" customHeight="1">
      <c r="AF5806" s="42" t="s">
        <v>8523</v>
      </c>
      <c r="AG5806" s="42" t="s">
        <v>6632</v>
      </c>
    </row>
    <row r="5807" spans="32:33" ht="15.75" customHeight="1">
      <c r="AF5807" s="42" t="s">
        <v>8564</v>
      </c>
      <c r="AG5807" s="42" t="s">
        <v>6632</v>
      </c>
    </row>
    <row r="5808" spans="32:33" ht="15.75" customHeight="1">
      <c r="AF5808" s="42" t="s">
        <v>8541</v>
      </c>
      <c r="AG5808" s="42" t="s">
        <v>6645</v>
      </c>
    </row>
    <row r="5809" spans="32:33" ht="15.75" customHeight="1">
      <c r="AF5809" s="42" t="s">
        <v>8565</v>
      </c>
      <c r="AG5809" s="42" t="s">
        <v>6645</v>
      </c>
    </row>
    <row r="5810" spans="32:33" ht="15.75" customHeight="1">
      <c r="AF5810" s="42" t="s">
        <v>8530</v>
      </c>
      <c r="AG5810" s="42" t="s">
        <v>6645</v>
      </c>
    </row>
    <row r="5811" spans="32:33" ht="15.75" customHeight="1">
      <c r="AF5811" s="42" t="s">
        <v>8567</v>
      </c>
      <c r="AG5811" s="42" t="s">
        <v>6645</v>
      </c>
    </row>
    <row r="5812" spans="32:33" ht="15.75" customHeight="1">
      <c r="AF5812" s="42" t="s">
        <v>8614</v>
      </c>
      <c r="AG5812" s="42" t="s">
        <v>6645</v>
      </c>
    </row>
    <row r="5813" spans="32:33" ht="15.75" customHeight="1">
      <c r="AF5813" s="42" t="s">
        <v>8556</v>
      </c>
      <c r="AG5813" s="42" t="s">
        <v>6645</v>
      </c>
    </row>
    <row r="5814" spans="32:33" ht="15.75" customHeight="1">
      <c r="AF5814" s="42" t="s">
        <v>8566</v>
      </c>
      <c r="AG5814" s="42" t="s">
        <v>6645</v>
      </c>
    </row>
    <row r="5815" spans="32:33" ht="15.75" customHeight="1">
      <c r="AF5815" s="42" t="s">
        <v>8568</v>
      </c>
      <c r="AG5815" s="42" t="s">
        <v>6645</v>
      </c>
    </row>
    <row r="5816" spans="32:33" ht="15.75" customHeight="1">
      <c r="AF5816" s="42" t="s">
        <v>8515</v>
      </c>
      <c r="AG5816" s="42" t="s">
        <v>6645</v>
      </c>
    </row>
    <row r="5817" spans="32:33" ht="15.75" customHeight="1">
      <c r="AF5817" s="42" t="s">
        <v>8514</v>
      </c>
      <c r="AG5817" s="42" t="s">
        <v>6645</v>
      </c>
    </row>
    <row r="5818" spans="32:33" ht="15.75" customHeight="1">
      <c r="AF5818" s="42" t="s">
        <v>8555</v>
      </c>
      <c r="AG5818" s="42" t="s">
        <v>6632</v>
      </c>
    </row>
    <row r="5819" spans="32:33" ht="15.75" customHeight="1">
      <c r="AF5819" s="42" t="s">
        <v>8542</v>
      </c>
      <c r="AG5819" s="42" t="s">
        <v>6632</v>
      </c>
    </row>
    <row r="5820" spans="32:33" ht="15.75" customHeight="1">
      <c r="AF5820" s="42" t="s">
        <v>8551</v>
      </c>
      <c r="AG5820" s="42" t="s">
        <v>6632</v>
      </c>
    </row>
    <row r="5821" spans="32:33" ht="15.75" customHeight="1">
      <c r="AF5821" s="42" t="s">
        <v>8615</v>
      </c>
      <c r="AG5821" s="42" t="s">
        <v>6632</v>
      </c>
    </row>
    <row r="5822" spans="32:33" ht="15.75" customHeight="1">
      <c r="AF5822" s="42" t="s">
        <v>8559</v>
      </c>
      <c r="AG5822" s="42" t="s">
        <v>6632</v>
      </c>
    </row>
    <row r="5823" spans="32:33" ht="15.75" customHeight="1">
      <c r="AF5823" s="42" t="s">
        <v>8520</v>
      </c>
      <c r="AG5823" s="42" t="s">
        <v>6645</v>
      </c>
    </row>
    <row r="5824" spans="32:33" ht="15.75" customHeight="1">
      <c r="AF5824" s="42" t="s">
        <v>8539</v>
      </c>
      <c r="AG5824" s="42" t="s">
        <v>6645</v>
      </c>
    </row>
    <row r="5825" spans="32:33" ht="15.75" customHeight="1">
      <c r="AF5825" s="42" t="s">
        <v>8558</v>
      </c>
      <c r="AG5825" s="42" t="s">
        <v>6645</v>
      </c>
    </row>
    <row r="5826" spans="32:33" ht="15.75" customHeight="1">
      <c r="AF5826" s="42" t="s">
        <v>8578</v>
      </c>
      <c r="AG5826" s="42" t="s">
        <v>6645</v>
      </c>
    </row>
    <row r="5827" spans="32:33" ht="15.75" customHeight="1">
      <c r="AF5827" s="42" t="s">
        <v>8550</v>
      </c>
      <c r="AG5827" s="42" t="s">
        <v>6645</v>
      </c>
    </row>
    <row r="5828" spans="32:33" ht="15.75" customHeight="1">
      <c r="AF5828" s="42" t="s">
        <v>8616</v>
      </c>
      <c r="AG5828" s="42" t="s">
        <v>6645</v>
      </c>
    </row>
    <row r="5829" spans="32:33" ht="15.75" customHeight="1">
      <c r="AF5829" s="42" t="s">
        <v>8617</v>
      </c>
      <c r="AG5829" s="42" t="s">
        <v>6632</v>
      </c>
    </row>
    <row r="5830" spans="32:33" ht="15.75" customHeight="1">
      <c r="AF5830" s="42" t="s">
        <v>8618</v>
      </c>
      <c r="AG5830" s="42" t="s">
        <v>6632</v>
      </c>
    </row>
    <row r="5831" spans="32:33" ht="15.75" customHeight="1">
      <c r="AF5831" s="42" t="s">
        <v>8619</v>
      </c>
      <c r="AG5831" s="42" t="s">
        <v>6632</v>
      </c>
    </row>
    <row r="5832" spans="32:33" ht="15.75" customHeight="1">
      <c r="AF5832" s="42" t="s">
        <v>8620</v>
      </c>
      <c r="AG5832" s="42" t="s">
        <v>6645</v>
      </c>
    </row>
    <row r="5833" spans="32:33" ht="15.75" customHeight="1">
      <c r="AF5833" s="42" t="s">
        <v>8621</v>
      </c>
      <c r="AG5833" s="42" t="s">
        <v>6645</v>
      </c>
    </row>
    <row r="5834" spans="32:33" ht="15.75" customHeight="1">
      <c r="AF5834" s="42" t="s">
        <v>8622</v>
      </c>
      <c r="AG5834" s="42" t="s">
        <v>6645</v>
      </c>
    </row>
    <row r="5835" spans="32:33" ht="15.75" customHeight="1">
      <c r="AF5835" s="42" t="s">
        <v>8623</v>
      </c>
      <c r="AG5835" s="42" t="s">
        <v>6645</v>
      </c>
    </row>
    <row r="5836" spans="32:33" ht="15.75" customHeight="1">
      <c r="AF5836" s="42" t="s">
        <v>8624</v>
      </c>
      <c r="AG5836" s="42" t="s">
        <v>6632</v>
      </c>
    </row>
    <row r="5837" spans="32:33" ht="15.75" customHeight="1">
      <c r="AF5837" s="42" t="s">
        <v>8625</v>
      </c>
      <c r="AG5837" s="42" t="s">
        <v>6632</v>
      </c>
    </row>
    <row r="5838" spans="32:33" ht="15.75" customHeight="1">
      <c r="AF5838" s="42" t="s">
        <v>6630</v>
      </c>
      <c r="AG5838" s="42" t="s">
        <v>6621</v>
      </c>
    </row>
    <row r="5839" spans="32:33" ht="15.75" customHeight="1">
      <c r="AF5839" s="42" t="s">
        <v>6626</v>
      </c>
      <c r="AG5839" s="42" t="s">
        <v>6621</v>
      </c>
    </row>
    <row r="5840" spans="32:33" ht="15.75" customHeight="1">
      <c r="AF5840" s="42" t="s">
        <v>6629</v>
      </c>
      <c r="AG5840" s="42" t="s">
        <v>6621</v>
      </c>
    </row>
    <row r="5841" spans="32:33" ht="15.75" customHeight="1">
      <c r="AF5841" s="42" t="s">
        <v>6628</v>
      </c>
      <c r="AG5841" s="42" t="s">
        <v>6621</v>
      </c>
    </row>
    <row r="5842" spans="32:33" ht="15.75" customHeight="1">
      <c r="AF5842" s="42" t="s">
        <v>8109</v>
      </c>
      <c r="AG5842" s="42" t="s">
        <v>6621</v>
      </c>
    </row>
    <row r="5843" spans="32:33" ht="15.75" customHeight="1">
      <c r="AF5843" s="42" t="s">
        <v>7989</v>
      </c>
      <c r="AG5843" s="42" t="s">
        <v>6621</v>
      </c>
    </row>
    <row r="5844" spans="32:33" ht="15.75" customHeight="1">
      <c r="AF5844" s="42" t="s">
        <v>6624</v>
      </c>
      <c r="AG5844" s="42" t="s">
        <v>6621</v>
      </c>
    </row>
    <row r="5845" spans="32:33" ht="15.75" customHeight="1">
      <c r="AF5845" s="42" t="s">
        <v>6622</v>
      </c>
      <c r="AG5845" s="42" t="s">
        <v>6621</v>
      </c>
    </row>
    <row r="5846" spans="32:33" ht="15.75" customHeight="1">
      <c r="AF5846" s="42" t="s">
        <v>6625</v>
      </c>
      <c r="AG5846" s="42" t="s">
        <v>6621</v>
      </c>
    </row>
    <row r="5847" spans="32:33" ht="15.75" customHeight="1">
      <c r="AF5847" s="42" t="s">
        <v>6627</v>
      </c>
      <c r="AG5847" s="42" t="s">
        <v>6621</v>
      </c>
    </row>
    <row r="5848" spans="32:33" ht="15.75" customHeight="1">
      <c r="AF5848" s="42" t="s">
        <v>6631</v>
      </c>
      <c r="AG5848" s="42" t="s">
        <v>6621</v>
      </c>
    </row>
    <row r="5849" spans="32:33" ht="15.75" customHeight="1">
      <c r="AF5849" s="42" t="s">
        <v>6623</v>
      </c>
      <c r="AG5849" s="42" t="s">
        <v>6621</v>
      </c>
    </row>
    <row r="5850" spans="32:33" ht="15.75" customHeight="1">
      <c r="AF5850" s="42" t="s">
        <v>3125</v>
      </c>
      <c r="AG5850" s="42" t="s">
        <v>6660</v>
      </c>
    </row>
    <row r="5851" spans="32:33" ht="15.75" customHeight="1">
      <c r="AF5851" s="42" t="s">
        <v>4422</v>
      </c>
      <c r="AG5851" s="42" t="s">
        <v>6660</v>
      </c>
    </row>
    <row r="5852" spans="32:33" ht="15.75" customHeight="1">
      <c r="AF5852" s="42" t="s">
        <v>3198</v>
      </c>
      <c r="AG5852" s="42" t="s">
        <v>6660</v>
      </c>
    </row>
    <row r="5853" spans="32:33" ht="15.75" customHeight="1">
      <c r="AF5853" s="42" t="s">
        <v>2112</v>
      </c>
      <c r="AG5853" s="42" t="s">
        <v>6660</v>
      </c>
    </row>
    <row r="5854" spans="32:33" ht="15.75" customHeight="1">
      <c r="AF5854" s="42" t="s">
        <v>3332</v>
      </c>
      <c r="AG5854" s="42" t="s">
        <v>6660</v>
      </c>
    </row>
    <row r="5855" spans="32:33" ht="15.75" customHeight="1">
      <c r="AF5855" s="42" t="s">
        <v>5928</v>
      </c>
      <c r="AG5855" s="42" t="s">
        <v>6660</v>
      </c>
    </row>
    <row r="5856" spans="32:33" ht="15.75" customHeight="1">
      <c r="AF5856" s="42" t="s">
        <v>8005</v>
      </c>
      <c r="AG5856" s="42" t="s">
        <v>6660</v>
      </c>
    </row>
    <row r="5857" spans="32:33" ht="15.75" customHeight="1">
      <c r="AF5857" s="42" t="s">
        <v>8072</v>
      </c>
      <c r="AG5857" s="42" t="s">
        <v>6660</v>
      </c>
    </row>
    <row r="5858" spans="32:33" ht="15.75" customHeight="1">
      <c r="AF5858" s="42" t="s">
        <v>8082</v>
      </c>
      <c r="AG5858" s="42" t="s">
        <v>6660</v>
      </c>
    </row>
    <row r="5859" spans="32:33" ht="15.75" customHeight="1">
      <c r="AF5859" s="42" t="s">
        <v>3337</v>
      </c>
      <c r="AG5859" s="42" t="s">
        <v>6660</v>
      </c>
    </row>
    <row r="5860" spans="32:33" ht="15.75" customHeight="1">
      <c r="AF5860" s="42" t="s">
        <v>4540</v>
      </c>
      <c r="AG5860" s="42" t="s">
        <v>6660</v>
      </c>
    </row>
    <row r="5861" spans="32:33" ht="15.75" customHeight="1">
      <c r="AF5861" s="42" t="s">
        <v>1076</v>
      </c>
      <c r="AG5861" s="42" t="s">
        <v>6660</v>
      </c>
    </row>
    <row r="5862" spans="32:33" ht="15.75" customHeight="1">
      <c r="AF5862" s="42" t="s">
        <v>3241</v>
      </c>
      <c r="AG5862" s="42" t="s">
        <v>6660</v>
      </c>
    </row>
    <row r="5863" spans="32:33" ht="15.75" customHeight="1">
      <c r="AF5863" s="42" t="s">
        <v>2416</v>
      </c>
      <c r="AG5863" s="42" t="s">
        <v>6660</v>
      </c>
    </row>
    <row r="5864" spans="32:33" ht="15.75" customHeight="1">
      <c r="AF5864" s="42" t="s">
        <v>7353</v>
      </c>
      <c r="AG5864" s="42" t="s">
        <v>6660</v>
      </c>
    </row>
    <row r="5865" spans="32:33" ht="15.75" customHeight="1">
      <c r="AF5865" s="42" t="s">
        <v>904</v>
      </c>
      <c r="AG5865" s="42" t="s">
        <v>6660</v>
      </c>
    </row>
    <row r="5866" spans="32:33" ht="15.75" customHeight="1">
      <c r="AF5866" s="42" t="s">
        <v>8086</v>
      </c>
      <c r="AG5866" s="42" t="s">
        <v>6660</v>
      </c>
    </row>
    <row r="5867" spans="32:33" ht="15.75" customHeight="1">
      <c r="AF5867" s="42" t="s">
        <v>8142</v>
      </c>
      <c r="AG5867" s="42" t="s">
        <v>6660</v>
      </c>
    </row>
    <row r="5868" spans="32:33" ht="15.75" customHeight="1">
      <c r="AF5868" s="42" t="s">
        <v>7345</v>
      </c>
      <c r="AG5868" s="42" t="s">
        <v>6660</v>
      </c>
    </row>
    <row r="5869" spans="32:33" ht="15.75" customHeight="1">
      <c r="AF5869" s="42" t="s">
        <v>3526</v>
      </c>
      <c r="AG5869" s="42" t="s">
        <v>6660</v>
      </c>
    </row>
    <row r="5870" spans="32:33" ht="15.75" customHeight="1">
      <c r="AF5870" s="42" t="s">
        <v>7035</v>
      </c>
      <c r="AG5870" s="42" t="s">
        <v>6660</v>
      </c>
    </row>
    <row r="5871" spans="32:33" ht="15.75" customHeight="1">
      <c r="AF5871" s="42" t="s">
        <v>6661</v>
      </c>
      <c r="AG5871" s="42" t="s">
        <v>6660</v>
      </c>
    </row>
    <row r="5872" spans="32:33" ht="15.75" customHeight="1">
      <c r="AF5872" s="42" t="s">
        <v>7115</v>
      </c>
      <c r="AG5872" s="42" t="s">
        <v>6660</v>
      </c>
    </row>
    <row r="5873" spans="32:33" ht="15.75" customHeight="1">
      <c r="AF5873" s="42" t="s">
        <v>6662</v>
      </c>
      <c r="AG5873" s="42" t="s">
        <v>6660</v>
      </c>
    </row>
    <row r="5874" spans="32:33" ht="15.75" customHeight="1">
      <c r="AF5874" s="42" t="s">
        <v>7116</v>
      </c>
      <c r="AG5874" s="42" t="s">
        <v>6660</v>
      </c>
    </row>
    <row r="5875" spans="32:33" ht="15.75" customHeight="1">
      <c r="AF5875" s="42" t="s">
        <v>7117</v>
      </c>
      <c r="AG5875" s="42" t="s">
        <v>6660</v>
      </c>
    </row>
    <row r="5876" spans="32:33" ht="15.75" customHeight="1">
      <c r="AF5876" s="42" t="s">
        <v>7118</v>
      </c>
      <c r="AG5876" s="42" t="s">
        <v>6660</v>
      </c>
    </row>
    <row r="5877" spans="32:33" ht="15.75" customHeight="1">
      <c r="AF5877" s="42" t="s">
        <v>7119</v>
      </c>
      <c r="AG5877" s="42" t="s">
        <v>6660</v>
      </c>
    </row>
    <row r="5878" spans="32:33" ht="15.75" customHeight="1">
      <c r="AF5878" s="42" t="s">
        <v>7120</v>
      </c>
      <c r="AG5878" s="42" t="s">
        <v>6660</v>
      </c>
    </row>
    <row r="5879" spans="32:33" ht="15.75" customHeight="1">
      <c r="AF5879" s="42" t="s">
        <v>7051</v>
      </c>
      <c r="AG5879" s="42" t="s">
        <v>6660</v>
      </c>
    </row>
    <row r="5880" spans="32:33" ht="15.75" customHeight="1">
      <c r="AF5880" s="42" t="s">
        <v>6663</v>
      </c>
      <c r="AG5880" s="42" t="s">
        <v>6660</v>
      </c>
    </row>
    <row r="5881" spans="32:33" ht="15.75" customHeight="1">
      <c r="AF5881" s="42" t="s">
        <v>7121</v>
      </c>
      <c r="AG5881" s="42" t="s">
        <v>6660</v>
      </c>
    </row>
    <row r="5882" spans="32:33" ht="15.75" customHeight="1">
      <c r="AF5882" s="42" t="s">
        <v>7122</v>
      </c>
      <c r="AG5882" s="42" t="s">
        <v>6660</v>
      </c>
    </row>
    <row r="5883" spans="32:33" ht="15.75" customHeight="1">
      <c r="AF5883" s="42" t="s">
        <v>7008</v>
      </c>
      <c r="AG5883" s="42" t="s">
        <v>6660</v>
      </c>
    </row>
    <row r="5884" spans="32:33" ht="15.75" customHeight="1">
      <c r="AF5884" s="42" t="s">
        <v>6664</v>
      </c>
      <c r="AG5884" s="42" t="s">
        <v>6660</v>
      </c>
    </row>
    <row r="5885" spans="32:33" ht="15.75" customHeight="1">
      <c r="AF5885" s="42" t="s">
        <v>7348</v>
      </c>
      <c r="AG5885" s="42" t="s">
        <v>6660</v>
      </c>
    </row>
    <row r="5886" spans="32:33" ht="15.75" customHeight="1">
      <c r="AF5886" s="42" t="s">
        <v>6665</v>
      </c>
      <c r="AG5886" s="42" t="s">
        <v>6660</v>
      </c>
    </row>
    <row r="5887" spans="32:33" ht="15.75" customHeight="1">
      <c r="AF5887" s="42" t="s">
        <v>6666</v>
      </c>
      <c r="AG5887" s="42" t="s">
        <v>6660</v>
      </c>
    </row>
    <row r="5888" spans="32:33" ht="15.75" customHeight="1">
      <c r="AF5888" s="42" t="s">
        <v>7034</v>
      </c>
      <c r="AG5888" s="42" t="s">
        <v>6660</v>
      </c>
    </row>
    <row r="5889" spans="32:33" ht="15.75" customHeight="1">
      <c r="AF5889" s="42" t="s">
        <v>7123</v>
      </c>
      <c r="AG5889" s="42" t="s">
        <v>6660</v>
      </c>
    </row>
    <row r="5890" spans="32:33" ht="15.75" customHeight="1">
      <c r="AF5890" s="42" t="s">
        <v>7055</v>
      </c>
      <c r="AG5890" s="42" t="s">
        <v>6660</v>
      </c>
    </row>
    <row r="5891" spans="32:33" ht="15.75" customHeight="1">
      <c r="AF5891" s="42" t="s">
        <v>6667</v>
      </c>
      <c r="AG5891" s="42" t="s">
        <v>6660</v>
      </c>
    </row>
    <row r="5892" spans="32:33" ht="15.75" customHeight="1">
      <c r="AF5892" s="42" t="s">
        <v>6668</v>
      </c>
      <c r="AG5892" s="42" t="s">
        <v>6660</v>
      </c>
    </row>
    <row r="5893" spans="32:33" ht="15.75" customHeight="1">
      <c r="AF5893" s="42" t="s">
        <v>6669</v>
      </c>
      <c r="AG5893" s="42" t="s">
        <v>6660</v>
      </c>
    </row>
    <row r="5894" spans="32:33" ht="15.75" customHeight="1">
      <c r="AF5894" s="42" t="s">
        <v>6670</v>
      </c>
      <c r="AG5894" s="42" t="s">
        <v>6660</v>
      </c>
    </row>
    <row r="5895" spans="32:33" ht="15.75" customHeight="1">
      <c r="AF5895" s="42" t="s">
        <v>8073</v>
      </c>
      <c r="AG5895" s="42" t="s">
        <v>6621</v>
      </c>
    </row>
    <row r="5896" spans="32:33" ht="15.75" customHeight="1">
      <c r="AF5896" s="42" t="s">
        <v>8115</v>
      </c>
      <c r="AG5896" s="42" t="s">
        <v>6621</v>
      </c>
    </row>
    <row r="5897" spans="32:33" ht="15.75" customHeight="1">
      <c r="AF5897" s="42" t="s">
        <v>8289</v>
      </c>
      <c r="AG5897" s="42" t="s">
        <v>6621</v>
      </c>
    </row>
    <row r="5898" spans="32:33" ht="15.75" customHeight="1">
      <c r="AF5898" s="42" t="s">
        <v>8070</v>
      </c>
      <c r="AG5898" s="42" t="s">
        <v>6621</v>
      </c>
    </row>
    <row r="5899" spans="32:33" ht="15.75" customHeight="1">
      <c r="AF5899" s="42" t="s">
        <v>4265</v>
      </c>
      <c r="AG5899" s="42" t="s">
        <v>6677</v>
      </c>
    </row>
    <row r="5900" spans="32:33" ht="15.75" customHeight="1">
      <c r="AF5900" s="42" t="s">
        <v>3211</v>
      </c>
      <c r="AG5900" s="42" t="s">
        <v>6677</v>
      </c>
    </row>
    <row r="5901" spans="32:33" ht="15.75" customHeight="1">
      <c r="AF5901" s="42" t="s">
        <v>5261</v>
      </c>
      <c r="AG5901" s="42" t="s">
        <v>6677</v>
      </c>
    </row>
    <row r="5902" spans="32:33" ht="15.75" customHeight="1">
      <c r="AF5902" s="42" t="s">
        <v>2789</v>
      </c>
      <c r="AG5902" s="42" t="s">
        <v>6677</v>
      </c>
    </row>
    <row r="5903" spans="32:33" ht="15.75" customHeight="1">
      <c r="AF5903" s="42" t="s">
        <v>6160</v>
      </c>
      <c r="AG5903" s="42" t="s">
        <v>6677</v>
      </c>
    </row>
    <row r="5904" spans="32:33" ht="15.75" customHeight="1">
      <c r="AF5904" s="42" t="s">
        <v>6709</v>
      </c>
      <c r="AG5904" s="42" t="s">
        <v>6677</v>
      </c>
    </row>
    <row r="5905" spans="32:33" ht="15.75" customHeight="1">
      <c r="AF5905" s="42" t="s">
        <v>6682</v>
      </c>
      <c r="AG5905" s="42" t="s">
        <v>6677</v>
      </c>
    </row>
    <row r="5906" spans="32:33" ht="15.75" customHeight="1">
      <c r="AF5906" s="42" t="s">
        <v>3284</v>
      </c>
      <c r="AG5906" s="42" t="s">
        <v>6677</v>
      </c>
    </row>
    <row r="5907" spans="32:33" ht="15.75" customHeight="1">
      <c r="AF5907" s="42" t="s">
        <v>4368</v>
      </c>
      <c r="AG5907" s="42" t="s">
        <v>6677</v>
      </c>
    </row>
    <row r="5908" spans="32:33" ht="15.75" customHeight="1">
      <c r="AF5908" s="42" t="s">
        <v>5281</v>
      </c>
      <c r="AG5908" s="42" t="s">
        <v>6677</v>
      </c>
    </row>
    <row r="5909" spans="32:33" ht="15.75" customHeight="1">
      <c r="AF5909" s="42" t="s">
        <v>5464</v>
      </c>
      <c r="AG5909" s="42" t="s">
        <v>6677</v>
      </c>
    </row>
    <row r="5910" spans="32:33" ht="15.75" customHeight="1">
      <c r="AF5910" s="42" t="s">
        <v>3906</v>
      </c>
      <c r="AG5910" s="42" t="s">
        <v>6677</v>
      </c>
    </row>
    <row r="5911" spans="32:33" ht="15.75" customHeight="1">
      <c r="AF5911" s="42" t="s">
        <v>3103</v>
      </c>
      <c r="AG5911" s="42" t="s">
        <v>6677</v>
      </c>
    </row>
    <row r="5912" spans="32:33" ht="15.75" customHeight="1">
      <c r="AF5912" s="42" t="s">
        <v>2086</v>
      </c>
      <c r="AG5912" s="42" t="s">
        <v>6677</v>
      </c>
    </row>
    <row r="5913" spans="32:33" ht="15.75" customHeight="1">
      <c r="AF5913" s="42" t="s">
        <v>5668</v>
      </c>
      <c r="AG5913" s="42" t="s">
        <v>6677</v>
      </c>
    </row>
    <row r="5914" spans="32:33" ht="15.75" customHeight="1">
      <c r="AF5914" s="42" t="s">
        <v>1053</v>
      </c>
      <c r="AG5914" s="42" t="s">
        <v>6677</v>
      </c>
    </row>
    <row r="5915" spans="32:33" ht="15.75" customHeight="1">
      <c r="AF5915" s="42" t="s">
        <v>1826</v>
      </c>
      <c r="AG5915" s="42" t="s">
        <v>6677</v>
      </c>
    </row>
    <row r="5916" spans="32:33" ht="15.75" customHeight="1">
      <c r="AF5916" s="42" t="s">
        <v>6735</v>
      </c>
      <c r="AG5916" s="42" t="s">
        <v>6677</v>
      </c>
    </row>
    <row r="5917" spans="32:33" ht="15.75" customHeight="1">
      <c r="AF5917" s="42" t="s">
        <v>4421</v>
      </c>
      <c r="AG5917" s="42" t="s">
        <v>6677</v>
      </c>
    </row>
    <row r="5918" spans="32:33" ht="15.75" customHeight="1">
      <c r="AF5918" s="42" t="s">
        <v>2490</v>
      </c>
      <c r="AG5918" s="42" t="s">
        <v>6677</v>
      </c>
    </row>
    <row r="5919" spans="32:33" ht="15.75" customHeight="1">
      <c r="AF5919" s="42" t="s">
        <v>4172</v>
      </c>
      <c r="AG5919" s="42" t="s">
        <v>6677</v>
      </c>
    </row>
    <row r="5920" spans="32:33" ht="15.75" customHeight="1">
      <c r="AF5920" s="42" t="s">
        <v>4800</v>
      </c>
      <c r="AG5920" s="42" t="s">
        <v>6677</v>
      </c>
    </row>
    <row r="5921" spans="32:33" ht="15.75" customHeight="1">
      <c r="AF5921" s="42" t="s">
        <v>6321</v>
      </c>
      <c r="AG5921" s="42" t="s">
        <v>6677</v>
      </c>
    </row>
    <row r="5922" spans="32:33" ht="15.75" customHeight="1">
      <c r="AF5922" s="42" t="s">
        <v>3249</v>
      </c>
      <c r="AG5922" s="42" t="s">
        <v>6677</v>
      </c>
    </row>
    <row r="5923" spans="32:33" ht="15.75" customHeight="1">
      <c r="AF5923" s="42" t="s">
        <v>3894</v>
      </c>
      <c r="AG5923" s="42" t="s">
        <v>6677</v>
      </c>
    </row>
    <row r="5924" spans="32:33" ht="15.75" customHeight="1">
      <c r="AF5924" s="42" t="s">
        <v>8557</v>
      </c>
      <c r="AG5924" s="42" t="s">
        <v>6677</v>
      </c>
    </row>
    <row r="5925" spans="32:33" ht="15.75" customHeight="1">
      <c r="AF5925" s="42" t="s">
        <v>8572</v>
      </c>
      <c r="AG5925" s="42" t="s">
        <v>6677</v>
      </c>
    </row>
    <row r="5926" spans="32:33" ht="15.75" customHeight="1">
      <c r="AF5926" s="42" t="s">
        <v>3560</v>
      </c>
      <c r="AG5926" s="42" t="s">
        <v>6677</v>
      </c>
    </row>
    <row r="5927" spans="32:33" ht="15.75" customHeight="1">
      <c r="AF5927" s="42" t="s">
        <v>3559</v>
      </c>
      <c r="AG5927" s="42" t="s">
        <v>6677</v>
      </c>
    </row>
    <row r="5928" spans="32:33" ht="15.75" customHeight="1">
      <c r="AF5928" s="42" t="s">
        <v>5633</v>
      </c>
      <c r="AG5928" s="42" t="s">
        <v>6677</v>
      </c>
    </row>
    <row r="5929" spans="32:33" ht="15.75" customHeight="1">
      <c r="AF5929" s="42" t="s">
        <v>5896</v>
      </c>
      <c r="AG5929" s="42" t="s">
        <v>6677</v>
      </c>
    </row>
    <row r="5930" spans="32:33" ht="15.75" customHeight="1">
      <c r="AF5930" s="42" t="s">
        <v>3533</v>
      </c>
      <c r="AG5930" s="42" t="s">
        <v>6677</v>
      </c>
    </row>
    <row r="5931" spans="32:33" ht="15.75" customHeight="1">
      <c r="AF5931" s="42" t="s">
        <v>3248</v>
      </c>
      <c r="AG5931" s="42" t="s">
        <v>6677</v>
      </c>
    </row>
    <row r="5932" spans="32:33" ht="15.75" customHeight="1">
      <c r="AF5932" s="42" t="s">
        <v>3185</v>
      </c>
      <c r="AG5932" s="42" t="s">
        <v>6677</v>
      </c>
    </row>
    <row r="5933" spans="32:33" ht="15.75" customHeight="1">
      <c r="AF5933" s="42" t="s">
        <v>2883</v>
      </c>
      <c r="AG5933" s="42" t="s">
        <v>6677</v>
      </c>
    </row>
    <row r="5934" spans="32:33" ht="15.75" customHeight="1">
      <c r="AF5934" s="42" t="s">
        <v>5939</v>
      </c>
      <c r="AG5934" s="42" t="s">
        <v>6677</v>
      </c>
    </row>
    <row r="5935" spans="32:33" ht="15.75" customHeight="1">
      <c r="AF5935" s="42" t="s">
        <v>8626</v>
      </c>
      <c r="AG5935" s="42" t="s">
        <v>6677</v>
      </c>
    </row>
    <row r="5936" spans="32:33" ht="15.75" customHeight="1">
      <c r="AF5936" s="42" t="s">
        <v>7031</v>
      </c>
      <c r="AG5936" s="42" t="s">
        <v>6677</v>
      </c>
    </row>
    <row r="5937" spans="32:33" ht="15.75" customHeight="1">
      <c r="AF5937" s="42" t="s">
        <v>5929</v>
      </c>
      <c r="AG5937" s="42" t="s">
        <v>6677</v>
      </c>
    </row>
    <row r="5938" spans="32:33" ht="15.75" customHeight="1">
      <c r="AF5938" s="42" t="s">
        <v>6712</v>
      </c>
      <c r="AG5938" s="42" t="s">
        <v>6677</v>
      </c>
    </row>
    <row r="5939" spans="32:33" ht="15.75" customHeight="1">
      <c r="AF5939" s="42" t="s">
        <v>3534</v>
      </c>
      <c r="AG5939" s="42" t="s">
        <v>6677</v>
      </c>
    </row>
    <row r="5940" spans="32:33" ht="15.75" customHeight="1">
      <c r="AF5940" s="42" t="s">
        <v>6679</v>
      </c>
      <c r="AG5940" s="42" t="s">
        <v>6677</v>
      </c>
    </row>
    <row r="5941" spans="32:33" ht="15.75" customHeight="1">
      <c r="AF5941" s="42" t="s">
        <v>4624</v>
      </c>
      <c r="AG5941" s="42" t="s">
        <v>6677</v>
      </c>
    </row>
    <row r="5942" spans="32:33" ht="15.75" customHeight="1">
      <c r="AF5942" s="42" t="s">
        <v>1515</v>
      </c>
      <c r="AG5942" s="42" t="s">
        <v>6677</v>
      </c>
    </row>
    <row r="5943" spans="32:33" ht="15.75" customHeight="1">
      <c r="AF5943" s="42" t="s">
        <v>4376</v>
      </c>
      <c r="AG5943" s="42" t="s">
        <v>6677</v>
      </c>
    </row>
    <row r="5944" spans="32:33" ht="15.75" customHeight="1">
      <c r="AF5944" s="42" t="s">
        <v>3206</v>
      </c>
      <c r="AG5944" s="42" t="s">
        <v>6677</v>
      </c>
    </row>
    <row r="5945" spans="32:33" ht="15.75" customHeight="1">
      <c r="AF5945" s="42" t="s">
        <v>4323</v>
      </c>
      <c r="AG5945" s="42" t="s">
        <v>6677</v>
      </c>
    </row>
    <row r="5946" spans="32:33" ht="15.75" customHeight="1">
      <c r="AF5946" s="42" t="s">
        <v>2592</v>
      </c>
      <c r="AG5946" s="42" t="s">
        <v>6677</v>
      </c>
    </row>
    <row r="5947" spans="32:33" ht="15.75" customHeight="1">
      <c r="AF5947" s="42" t="s">
        <v>6710</v>
      </c>
      <c r="AG5947" s="42" t="s">
        <v>6677</v>
      </c>
    </row>
    <row r="5948" spans="32:33" ht="15.75" customHeight="1">
      <c r="AF5948" s="42" t="s">
        <v>1851</v>
      </c>
      <c r="AG5948" s="42" t="s">
        <v>6677</v>
      </c>
    </row>
    <row r="5949" spans="32:33" ht="15.75" customHeight="1">
      <c r="AF5949" s="42" t="s">
        <v>2482</v>
      </c>
      <c r="AG5949" s="42" t="s">
        <v>6677</v>
      </c>
    </row>
    <row r="5950" spans="32:33" ht="15.75" customHeight="1">
      <c r="AF5950" s="42" t="s">
        <v>3725</v>
      </c>
      <c r="AG5950" s="42" t="s">
        <v>6677</v>
      </c>
    </row>
    <row r="5951" spans="32:33" ht="15.75" customHeight="1">
      <c r="AF5951" s="42" t="s">
        <v>2768</v>
      </c>
      <c r="AG5951" s="42" t="s">
        <v>6677</v>
      </c>
    </row>
    <row r="5952" spans="32:33" ht="15.75" customHeight="1">
      <c r="AF5952" s="42" t="s">
        <v>3155</v>
      </c>
      <c r="AG5952" s="42" t="s">
        <v>6677</v>
      </c>
    </row>
    <row r="5953" spans="32:33" ht="15.75" customHeight="1">
      <c r="AF5953" s="42" t="s">
        <v>6236</v>
      </c>
      <c r="AG5953" s="42" t="s">
        <v>6677</v>
      </c>
    </row>
    <row r="5954" spans="32:33" ht="15.75" customHeight="1">
      <c r="AF5954" s="42" t="s">
        <v>6708</v>
      </c>
      <c r="AG5954" s="42" t="s">
        <v>6677</v>
      </c>
    </row>
    <row r="5955" spans="32:33" ht="15.75" customHeight="1">
      <c r="AF5955" s="42" t="s">
        <v>3351</v>
      </c>
      <c r="AG5955" s="42" t="s">
        <v>6677</v>
      </c>
    </row>
    <row r="5956" spans="32:33" ht="15.75" customHeight="1">
      <c r="AF5956" s="42" t="s">
        <v>3389</v>
      </c>
      <c r="AG5956" s="42" t="s">
        <v>6677</v>
      </c>
    </row>
    <row r="5957" spans="32:33" ht="15.75" customHeight="1">
      <c r="AF5957" s="42" t="s">
        <v>4161</v>
      </c>
      <c r="AG5957" s="42" t="s">
        <v>6677</v>
      </c>
    </row>
    <row r="5958" spans="32:33" ht="15.75" customHeight="1">
      <c r="AF5958" s="42" t="s">
        <v>2669</v>
      </c>
      <c r="AG5958" s="42" t="s">
        <v>6677</v>
      </c>
    </row>
    <row r="5959" spans="32:33" ht="15.75" customHeight="1">
      <c r="AF5959" s="42" t="s">
        <v>6206</v>
      </c>
      <c r="AG5959" s="42" t="s">
        <v>6677</v>
      </c>
    </row>
    <row r="5960" spans="32:33" ht="15.75" customHeight="1">
      <c r="AF5960" s="42" t="s">
        <v>2466</v>
      </c>
      <c r="AG5960" s="42" t="s">
        <v>6677</v>
      </c>
    </row>
    <row r="5961" spans="32:33" ht="15.75" customHeight="1">
      <c r="AF5961" s="42" t="s">
        <v>2717</v>
      </c>
      <c r="AG5961" s="42" t="s">
        <v>6677</v>
      </c>
    </row>
    <row r="5962" spans="32:33" ht="15.75" customHeight="1">
      <c r="AF5962" s="42" t="s">
        <v>6836</v>
      </c>
      <c r="AG5962" s="42" t="s">
        <v>6677</v>
      </c>
    </row>
    <row r="5963" spans="32:33" ht="15.75" customHeight="1">
      <c r="AF5963" s="42" t="s">
        <v>3067</v>
      </c>
      <c r="AG5963" s="42" t="s">
        <v>6677</v>
      </c>
    </row>
    <row r="5964" spans="32:33" ht="15.75" customHeight="1">
      <c r="AF5964" s="42" t="s">
        <v>4209</v>
      </c>
      <c r="AG5964" s="42" t="s">
        <v>6677</v>
      </c>
    </row>
    <row r="5965" spans="32:33" ht="15.75" customHeight="1">
      <c r="AF5965" s="42" t="s">
        <v>2854</v>
      </c>
      <c r="AG5965" s="42" t="s">
        <v>6677</v>
      </c>
    </row>
    <row r="5966" spans="32:33" ht="15.75" customHeight="1">
      <c r="AF5966" s="42" t="s">
        <v>1269</v>
      </c>
      <c r="AG5966" s="42" t="s">
        <v>6677</v>
      </c>
    </row>
    <row r="5967" spans="32:33" ht="15.75" customHeight="1">
      <c r="AF5967" s="42" t="s">
        <v>4390</v>
      </c>
      <c r="AG5967" s="42" t="s">
        <v>6677</v>
      </c>
    </row>
    <row r="5968" spans="32:33" ht="15.75" customHeight="1">
      <c r="AF5968" s="42" t="s">
        <v>4478</v>
      </c>
      <c r="AG5968" s="42" t="s">
        <v>6677</v>
      </c>
    </row>
    <row r="5969" spans="32:33" ht="15.75" customHeight="1">
      <c r="AF5969" s="42" t="s">
        <v>6759</v>
      </c>
      <c r="AG5969" s="42" t="s">
        <v>6677</v>
      </c>
    </row>
    <row r="5970" spans="32:33" ht="15.75" customHeight="1">
      <c r="AF5970" s="42" t="s">
        <v>5463</v>
      </c>
      <c r="AG5970" s="42" t="s">
        <v>6677</v>
      </c>
    </row>
    <row r="5971" spans="32:33" ht="15.75" customHeight="1">
      <c r="AF5971" s="42" t="s">
        <v>4571</v>
      </c>
      <c r="AG5971" s="42" t="s">
        <v>6677</v>
      </c>
    </row>
    <row r="5972" spans="32:33" ht="15.75" customHeight="1">
      <c r="AF5972" s="42" t="s">
        <v>2106</v>
      </c>
      <c r="AG5972" s="42" t="s">
        <v>6677</v>
      </c>
    </row>
    <row r="5973" spans="32:33" ht="15.75" customHeight="1">
      <c r="AF5973" s="42" t="s">
        <v>3279</v>
      </c>
      <c r="AG5973" s="42" t="s">
        <v>6677</v>
      </c>
    </row>
    <row r="5974" spans="32:33" ht="15.75" customHeight="1">
      <c r="AF5974" s="42" t="s">
        <v>6154</v>
      </c>
      <c r="AG5974" s="42" t="s">
        <v>6677</v>
      </c>
    </row>
    <row r="5975" spans="32:33" ht="15.75" customHeight="1">
      <c r="AF5975" s="42" t="s">
        <v>3944</v>
      </c>
      <c r="AG5975" s="42" t="s">
        <v>6677</v>
      </c>
    </row>
    <row r="5976" spans="32:33" ht="15.75" customHeight="1">
      <c r="AF5976" s="42" t="s">
        <v>5051</v>
      </c>
      <c r="AG5976" s="42" t="s">
        <v>6677</v>
      </c>
    </row>
    <row r="5977" spans="32:33" ht="15.75" customHeight="1">
      <c r="AF5977" s="42" t="s">
        <v>5904</v>
      </c>
      <c r="AG5977" s="42" t="s">
        <v>6677</v>
      </c>
    </row>
    <row r="5978" spans="32:33" ht="15.75" customHeight="1">
      <c r="AF5978" s="42" t="s">
        <v>870</v>
      </c>
      <c r="AG5978" s="42" t="s">
        <v>6677</v>
      </c>
    </row>
    <row r="5979" spans="32:33" ht="15.75" customHeight="1">
      <c r="AF5979" s="42" t="s">
        <v>2316</v>
      </c>
      <c r="AG5979" s="42" t="s">
        <v>6677</v>
      </c>
    </row>
    <row r="5980" spans="32:33" ht="15.75" customHeight="1">
      <c r="AF5980" s="42" t="s">
        <v>6208</v>
      </c>
      <c r="AG5980" s="42" t="s">
        <v>6677</v>
      </c>
    </row>
    <row r="5981" spans="32:33" ht="15.75" customHeight="1">
      <c r="AF5981" s="42" t="s">
        <v>7625</v>
      </c>
      <c r="AG5981" s="42" t="s">
        <v>6677</v>
      </c>
    </row>
    <row r="5982" spans="32:33" ht="15.75" customHeight="1">
      <c r="AF5982" s="42" t="s">
        <v>2127</v>
      </c>
      <c r="AG5982" s="42" t="s">
        <v>6677</v>
      </c>
    </row>
    <row r="5983" spans="32:33" ht="15.75" customHeight="1">
      <c r="AF5983" s="42" t="s">
        <v>4842</v>
      </c>
      <c r="AG5983" s="42" t="s">
        <v>6677</v>
      </c>
    </row>
    <row r="5984" spans="32:33" ht="15.75" customHeight="1">
      <c r="AF5984" s="42" t="s">
        <v>4087</v>
      </c>
      <c r="AG5984" s="42" t="s">
        <v>6677</v>
      </c>
    </row>
    <row r="5985" spans="32:33" ht="15.75" customHeight="1">
      <c r="AF5985" s="42" t="s">
        <v>6743</v>
      </c>
      <c r="AG5985" s="42" t="s">
        <v>6677</v>
      </c>
    </row>
    <row r="5986" spans="32:33" ht="15.75" customHeight="1">
      <c r="AF5986" s="42" t="s">
        <v>8573</v>
      </c>
      <c r="AG5986" s="42" t="s">
        <v>6677</v>
      </c>
    </row>
    <row r="5987" spans="32:33" ht="15.75" customHeight="1">
      <c r="AF5987" s="42" t="s">
        <v>8579</v>
      </c>
      <c r="AG5987" s="42" t="s">
        <v>6677</v>
      </c>
    </row>
    <row r="5988" spans="32:33" ht="15.75" customHeight="1">
      <c r="AF5988" s="42" t="s">
        <v>2428</v>
      </c>
      <c r="AG5988" s="42" t="s">
        <v>6677</v>
      </c>
    </row>
    <row r="5989" spans="32:33" ht="15.75" customHeight="1">
      <c r="AF5989" s="42" t="s">
        <v>2599</v>
      </c>
      <c r="AG5989" s="42" t="s">
        <v>6677</v>
      </c>
    </row>
    <row r="5990" spans="32:33" ht="15.75" customHeight="1">
      <c r="AF5990" s="42" t="s">
        <v>3102</v>
      </c>
      <c r="AG5990" s="42" t="s">
        <v>6677</v>
      </c>
    </row>
    <row r="5991" spans="32:33" ht="15.75" customHeight="1">
      <c r="AF5991" s="42" t="s">
        <v>7534</v>
      </c>
      <c r="AG5991" s="42" t="s">
        <v>6677</v>
      </c>
    </row>
    <row r="5992" spans="32:33" ht="15.75" customHeight="1">
      <c r="AF5992" s="42" t="s">
        <v>7626</v>
      </c>
      <c r="AG5992" s="42" t="s">
        <v>6677</v>
      </c>
    </row>
    <row r="5993" spans="32:33" ht="15.75" customHeight="1">
      <c r="AF5993" s="42" t="s">
        <v>7627</v>
      </c>
      <c r="AG5993" s="42" t="s">
        <v>6677</v>
      </c>
    </row>
    <row r="5994" spans="32:33" ht="15.75" customHeight="1">
      <c r="AF5994" s="42" t="s">
        <v>7628</v>
      </c>
      <c r="AG5994" s="42" t="s">
        <v>6677</v>
      </c>
    </row>
    <row r="5995" spans="32:33" ht="15.75" customHeight="1">
      <c r="AF5995" s="42" t="s">
        <v>7629</v>
      </c>
      <c r="AG5995" s="42" t="s">
        <v>6677</v>
      </c>
    </row>
    <row r="5996" spans="32:33" ht="15.75" customHeight="1">
      <c r="AF5996" s="42" t="s">
        <v>3290</v>
      </c>
      <c r="AG5996" s="42" t="s">
        <v>6677</v>
      </c>
    </row>
    <row r="5997" spans="32:33" ht="15.75" customHeight="1">
      <c r="AF5997" s="42" t="s">
        <v>8532</v>
      </c>
      <c r="AG5997" s="42" t="s">
        <v>6677</v>
      </c>
    </row>
    <row r="5998" spans="32:33" ht="15.75" customHeight="1">
      <c r="AF5998" s="42" t="s">
        <v>8548</v>
      </c>
      <c r="AG5998" s="42" t="s">
        <v>6677</v>
      </c>
    </row>
    <row r="5999" spans="32:33" ht="15.75" customHeight="1">
      <c r="AF5999" s="42" t="s">
        <v>8521</v>
      </c>
      <c r="AG5999" s="42" t="s">
        <v>6677</v>
      </c>
    </row>
    <row r="6000" spans="32:33" ht="15.75" customHeight="1">
      <c r="AF6000" s="42" t="s">
        <v>8576</v>
      </c>
      <c r="AG6000" s="42" t="s">
        <v>6677</v>
      </c>
    </row>
    <row r="6001" spans="32:33" ht="15.75" customHeight="1">
      <c r="AF6001" s="42" t="s">
        <v>8571</v>
      </c>
      <c r="AG6001" s="42" t="s">
        <v>6677</v>
      </c>
    </row>
    <row r="6002" spans="32:33" ht="15.75" customHeight="1">
      <c r="AF6002" s="42" t="s">
        <v>8560</v>
      </c>
      <c r="AG6002" s="42" t="s">
        <v>6677</v>
      </c>
    </row>
    <row r="6003" spans="32:33" ht="15.75" customHeight="1">
      <c r="AF6003" s="42" t="s">
        <v>1287</v>
      </c>
      <c r="AG6003" s="42" t="s">
        <v>6677</v>
      </c>
    </row>
    <row r="6004" spans="32:33" ht="15.75" customHeight="1">
      <c r="AF6004" s="42" t="s">
        <v>5557</v>
      </c>
      <c r="AG6004" s="42" t="s">
        <v>6677</v>
      </c>
    </row>
    <row r="6005" spans="32:33" ht="15.75" customHeight="1">
      <c r="AF6005" s="42" t="s">
        <v>6420</v>
      </c>
      <c r="AG6005" s="42" t="s">
        <v>6677</v>
      </c>
    </row>
    <row r="6006" spans="32:33" ht="15.75" customHeight="1">
      <c r="AF6006" s="42" t="s">
        <v>7004</v>
      </c>
      <c r="AG6006" s="42" t="s">
        <v>6677</v>
      </c>
    </row>
    <row r="6007" spans="32:33" ht="15.75" customHeight="1">
      <c r="AF6007" s="42" t="s">
        <v>7630</v>
      </c>
      <c r="AG6007" s="42" t="s">
        <v>6677</v>
      </c>
    </row>
    <row r="6008" spans="32:33" ht="15.75" customHeight="1">
      <c r="AF6008" s="42" t="s">
        <v>7631</v>
      </c>
      <c r="AG6008" s="42" t="s">
        <v>6677</v>
      </c>
    </row>
    <row r="6009" spans="32:33" ht="15.75" customHeight="1">
      <c r="AF6009" s="42" t="s">
        <v>7632</v>
      </c>
      <c r="AG6009" s="42" t="s">
        <v>6677</v>
      </c>
    </row>
    <row r="6010" spans="32:33" ht="15.75" customHeight="1">
      <c r="AF6010" s="42" t="s">
        <v>7972</v>
      </c>
      <c r="AG6010" s="42" t="s">
        <v>6677</v>
      </c>
    </row>
    <row r="6011" spans="32:33" ht="15.75" customHeight="1">
      <c r="AF6011" s="42" t="s">
        <v>7633</v>
      </c>
      <c r="AG6011" s="42" t="s">
        <v>6677</v>
      </c>
    </row>
    <row r="6012" spans="32:33" ht="15.75" customHeight="1">
      <c r="AF6012" s="42" t="s">
        <v>7634</v>
      </c>
      <c r="AG6012" s="42" t="s">
        <v>6677</v>
      </c>
    </row>
    <row r="6013" spans="32:33" ht="15.75" customHeight="1">
      <c r="AF6013" s="42" t="s">
        <v>7559</v>
      </c>
      <c r="AG6013" s="42" t="s">
        <v>6677</v>
      </c>
    </row>
    <row r="6014" spans="32:33" ht="15.75" customHeight="1">
      <c r="AF6014" s="42" t="s">
        <v>7635</v>
      </c>
      <c r="AG6014" s="42" t="s">
        <v>6677</v>
      </c>
    </row>
    <row r="6015" spans="32:33" ht="15.75" customHeight="1">
      <c r="AF6015" s="42" t="s">
        <v>8574</v>
      </c>
      <c r="AG6015" s="42" t="s">
        <v>6677</v>
      </c>
    </row>
    <row r="6016" spans="32:33" ht="15.75" customHeight="1">
      <c r="AF6016" s="42" t="s">
        <v>8534</v>
      </c>
      <c r="AG6016" s="42" t="s">
        <v>6677</v>
      </c>
    </row>
    <row r="6017" spans="32:33" ht="15.75" customHeight="1">
      <c r="AF6017" s="42" t="s">
        <v>8554</v>
      </c>
      <c r="AG6017" s="42" t="s">
        <v>6677</v>
      </c>
    </row>
    <row r="6018" spans="32:33" ht="15.75" customHeight="1">
      <c r="AF6018" s="42" t="s">
        <v>8627</v>
      </c>
      <c r="AG6018" s="42" t="s">
        <v>6677</v>
      </c>
    </row>
    <row r="6019" spans="32:33" ht="15.75" customHeight="1">
      <c r="AF6019" s="42" t="s">
        <v>8563</v>
      </c>
      <c r="AG6019" s="42" t="s">
        <v>6677</v>
      </c>
    </row>
    <row r="6020" spans="32:33" ht="15.75" customHeight="1">
      <c r="AF6020" s="42" t="s">
        <v>8526</v>
      </c>
      <c r="AG6020" s="42" t="s">
        <v>6677</v>
      </c>
    </row>
    <row r="6021" spans="32:33" ht="15.75" customHeight="1">
      <c r="AF6021" s="42" t="s">
        <v>2682</v>
      </c>
      <c r="AG6021" s="42" t="s">
        <v>6677</v>
      </c>
    </row>
    <row r="6022" spans="32:33" ht="15.75" customHeight="1">
      <c r="AF6022" s="42" t="s">
        <v>8528</v>
      </c>
      <c r="AG6022" s="42" t="s">
        <v>6677</v>
      </c>
    </row>
    <row r="6023" spans="32:33" ht="15.75" customHeight="1">
      <c r="AF6023" s="42" t="s">
        <v>8570</v>
      </c>
      <c r="AG6023" s="42" t="s">
        <v>6677</v>
      </c>
    </row>
    <row r="6024" spans="32:33" ht="15.75" customHeight="1">
      <c r="AF6024" s="42" t="s">
        <v>8628</v>
      </c>
      <c r="AG6024" s="42" t="s">
        <v>6677</v>
      </c>
    </row>
    <row r="6025" spans="32:33" ht="15.75" customHeight="1">
      <c r="AF6025" s="42" t="s">
        <v>8518</v>
      </c>
      <c r="AG6025" s="42" t="s">
        <v>6677</v>
      </c>
    </row>
    <row r="6026" spans="32:33" ht="15.75" customHeight="1">
      <c r="AF6026" s="42" t="s">
        <v>8549</v>
      </c>
      <c r="AG6026" s="42" t="s">
        <v>6677</v>
      </c>
    </row>
    <row r="6027" spans="32:33" ht="15.75" customHeight="1">
      <c r="AF6027" s="42" t="s">
        <v>7007</v>
      </c>
      <c r="AG6027" s="42" t="s">
        <v>6677</v>
      </c>
    </row>
    <row r="6028" spans="32:33" ht="15.75" customHeight="1">
      <c r="AF6028" s="42" t="s">
        <v>7036</v>
      </c>
      <c r="AG6028" s="42" t="s">
        <v>6677</v>
      </c>
    </row>
    <row r="6029" spans="32:33" ht="15.75" customHeight="1">
      <c r="AF6029" s="42" t="s">
        <v>7005</v>
      </c>
      <c r="AG6029" s="42" t="s">
        <v>6677</v>
      </c>
    </row>
    <row r="6030" spans="32:33" ht="15.75" customHeight="1">
      <c r="AF6030" s="42" t="s">
        <v>8629</v>
      </c>
      <c r="AG6030" s="42" t="s">
        <v>6677</v>
      </c>
    </row>
    <row r="6031" spans="32:33" ht="15.75" customHeight="1">
      <c r="AF6031" s="42" t="s">
        <v>919</v>
      </c>
      <c r="AG6031" s="42" t="s">
        <v>6677</v>
      </c>
    </row>
    <row r="6032" spans="32:33" ht="15.75" customHeight="1">
      <c r="AF6032" s="42" t="s">
        <v>3326</v>
      </c>
      <c r="AG6032" s="42" t="s">
        <v>6677</v>
      </c>
    </row>
    <row r="6033" spans="32:33" ht="15.75" customHeight="1">
      <c r="AF6033" s="42" t="s">
        <v>4588</v>
      </c>
      <c r="AG6033" s="42" t="s">
        <v>6677</v>
      </c>
    </row>
    <row r="6034" spans="32:33" ht="15.75" customHeight="1">
      <c r="AF6034" s="42" t="s">
        <v>3087</v>
      </c>
      <c r="AG6034" s="42" t="s">
        <v>6677</v>
      </c>
    </row>
    <row r="6035" spans="32:33" ht="15.75" customHeight="1">
      <c r="AF6035" s="42" t="s">
        <v>2073</v>
      </c>
      <c r="AG6035" s="42" t="s">
        <v>6677</v>
      </c>
    </row>
    <row r="6036" spans="32:33" ht="15.75" customHeight="1">
      <c r="AF6036" s="42" t="s">
        <v>1276</v>
      </c>
      <c r="AG6036" s="42" t="s">
        <v>6677</v>
      </c>
    </row>
    <row r="6037" spans="32:33" ht="15.75" customHeight="1">
      <c r="AF6037" s="42" t="s">
        <v>8543</v>
      </c>
      <c r="AG6037" s="42" t="s">
        <v>6677</v>
      </c>
    </row>
    <row r="6038" spans="32:33" ht="15.75" customHeight="1">
      <c r="AF6038" s="42" t="s">
        <v>8519</v>
      </c>
      <c r="AG6038" s="42" t="s">
        <v>6677</v>
      </c>
    </row>
    <row r="6039" spans="32:33" ht="15.75" customHeight="1">
      <c r="AF6039" s="42" t="s">
        <v>7033</v>
      </c>
      <c r="AG6039" s="42" t="s">
        <v>6677</v>
      </c>
    </row>
    <row r="6040" spans="32:33" ht="15.75" customHeight="1">
      <c r="AF6040" s="42" t="s">
        <v>7038</v>
      </c>
      <c r="AG6040" s="42" t="s">
        <v>6677</v>
      </c>
    </row>
    <row r="6041" spans="32:33" ht="15.75" customHeight="1">
      <c r="AF6041" s="42" t="s">
        <v>7001</v>
      </c>
      <c r="AG6041" s="42" t="s">
        <v>6677</v>
      </c>
    </row>
    <row r="6042" spans="32:33" ht="15.75" customHeight="1">
      <c r="AF6042" s="42" t="s">
        <v>6998</v>
      </c>
      <c r="AG6042" s="42" t="s">
        <v>6677</v>
      </c>
    </row>
    <row r="6043" spans="32:33" ht="15.75" customHeight="1">
      <c r="AF6043" s="42" t="s">
        <v>6997</v>
      </c>
      <c r="AG6043" s="42" t="s">
        <v>6677</v>
      </c>
    </row>
    <row r="6044" spans="32:33" ht="15.75" customHeight="1">
      <c r="AF6044" s="42" t="s">
        <v>7037</v>
      </c>
      <c r="AG6044" s="42" t="s">
        <v>6677</v>
      </c>
    </row>
    <row r="6045" spans="32:33" ht="15.75" customHeight="1">
      <c r="AF6045" s="42" t="s">
        <v>7054</v>
      </c>
      <c r="AG6045" s="42" t="s">
        <v>6677</v>
      </c>
    </row>
    <row r="6046" spans="32:33" ht="15.75" customHeight="1">
      <c r="AF6046" s="42" t="s">
        <v>7013</v>
      </c>
      <c r="AG6046" s="42" t="s">
        <v>6677</v>
      </c>
    </row>
    <row r="6047" spans="32:33" ht="15.75" customHeight="1">
      <c r="AF6047" s="42" t="s">
        <v>7124</v>
      </c>
      <c r="AG6047" s="42" t="s">
        <v>6677</v>
      </c>
    </row>
    <row r="6048" spans="32:33" ht="15.75" customHeight="1">
      <c r="AF6048" s="42" t="s">
        <v>7032</v>
      </c>
      <c r="AG6048" s="42" t="s">
        <v>6677</v>
      </c>
    </row>
    <row r="6049" spans="32:33" ht="15.75" customHeight="1">
      <c r="AF6049" s="42" t="s">
        <v>7052</v>
      </c>
      <c r="AG6049" s="42" t="s">
        <v>6677</v>
      </c>
    </row>
    <row r="6050" spans="32:33" ht="15.75" customHeight="1">
      <c r="AF6050" s="42" t="s">
        <v>7003</v>
      </c>
      <c r="AG6050" s="42" t="s">
        <v>6677</v>
      </c>
    </row>
    <row r="6051" spans="32:33" ht="15.75" customHeight="1">
      <c r="AF6051" s="42" t="s">
        <v>6995</v>
      </c>
      <c r="AG6051" s="42" t="s">
        <v>6677</v>
      </c>
    </row>
    <row r="6052" spans="32:33" ht="15.75" customHeight="1">
      <c r="AF6052" s="42" t="s">
        <v>7021</v>
      </c>
      <c r="AG6052" s="42" t="s">
        <v>6677</v>
      </c>
    </row>
    <row r="6053" spans="32:33" ht="15.75" customHeight="1">
      <c r="AF6053" s="42" t="s">
        <v>7125</v>
      </c>
      <c r="AG6053" s="42" t="s">
        <v>6677</v>
      </c>
    </row>
    <row r="6054" spans="32:33" ht="15.75" customHeight="1">
      <c r="AF6054" s="42" t="s">
        <v>7010</v>
      </c>
      <c r="AG6054" s="42" t="s">
        <v>6677</v>
      </c>
    </row>
    <row r="6055" spans="32:33" ht="15.75" customHeight="1">
      <c r="AF6055" s="42" t="s">
        <v>7014</v>
      </c>
      <c r="AG6055" s="42" t="s">
        <v>6677</v>
      </c>
    </row>
    <row r="6056" spans="32:33" ht="15.75" customHeight="1">
      <c r="AF6056" s="42" t="s">
        <v>7012</v>
      </c>
      <c r="AG6056" s="42" t="s">
        <v>6677</v>
      </c>
    </row>
    <row r="6057" spans="32:33" ht="15.75" customHeight="1">
      <c r="AF6057" s="42" t="s">
        <v>2007</v>
      </c>
      <c r="AG6057" s="42" t="s">
        <v>6677</v>
      </c>
    </row>
    <row r="6058" spans="32:33" ht="15.75" customHeight="1">
      <c r="AF6058" s="42" t="s">
        <v>6435</v>
      </c>
      <c r="AG6058" s="42" t="s">
        <v>6677</v>
      </c>
    </row>
    <row r="6059" spans="32:33" ht="15.75" customHeight="1">
      <c r="AF6059" s="42" t="s">
        <v>5058</v>
      </c>
      <c r="AG6059" s="42" t="s">
        <v>6677</v>
      </c>
    </row>
    <row r="6060" spans="32:33" ht="15.75" customHeight="1">
      <c r="AF6060" s="42" t="s">
        <v>5057</v>
      </c>
      <c r="AG6060" s="42" t="s">
        <v>6677</v>
      </c>
    </row>
    <row r="6061" spans="32:33" ht="15.75" customHeight="1">
      <c r="AF6061" s="42" t="s">
        <v>8545</v>
      </c>
      <c r="AG6061" s="42" t="s">
        <v>6677</v>
      </c>
    </row>
    <row r="6062" spans="32:33" ht="15.75" customHeight="1">
      <c r="AF6062" s="42" t="s">
        <v>1871</v>
      </c>
      <c r="AG6062" s="42" t="s">
        <v>6683</v>
      </c>
    </row>
    <row r="6063" spans="32:33" ht="15.75" customHeight="1">
      <c r="AF6063" s="42" t="s">
        <v>3426</v>
      </c>
      <c r="AG6063" s="42" t="s">
        <v>6683</v>
      </c>
    </row>
    <row r="6064" spans="32:33" ht="15.75" customHeight="1">
      <c r="AF6064" s="42" t="s">
        <v>1986</v>
      </c>
      <c r="AG6064" s="42" t="s">
        <v>6683</v>
      </c>
    </row>
    <row r="6065" spans="32:33" ht="15.75" customHeight="1">
      <c r="AF6065" s="42" t="s">
        <v>7009</v>
      </c>
      <c r="AG6065" s="42" t="s">
        <v>6677</v>
      </c>
    </row>
    <row r="6066" spans="32:33" ht="15.75" customHeight="1">
      <c r="AF6066" s="42" t="s">
        <v>3853</v>
      </c>
      <c r="AG6066" s="42" t="s">
        <v>6683</v>
      </c>
    </row>
    <row r="6067" spans="32:33" ht="15.75" customHeight="1">
      <c r="AF6067" s="42" t="s">
        <v>3881</v>
      </c>
      <c r="AG6067" s="42" t="s">
        <v>6683</v>
      </c>
    </row>
    <row r="6068" spans="32:33" ht="15.75" customHeight="1">
      <c r="AF6068" s="42" t="s">
        <v>3845</v>
      </c>
      <c r="AG6068" s="42" t="s">
        <v>6683</v>
      </c>
    </row>
    <row r="6069" spans="32:33" ht="15.75" customHeight="1">
      <c r="AF6069" s="42" t="s">
        <v>3972</v>
      </c>
      <c r="AG6069" s="42" t="s">
        <v>6683</v>
      </c>
    </row>
    <row r="6070" spans="32:33" ht="15.75" customHeight="1">
      <c r="AF6070" s="42" t="s">
        <v>6132</v>
      </c>
      <c r="AG6070" s="42" t="s">
        <v>6683</v>
      </c>
    </row>
    <row r="6071" spans="32:33" ht="15.75" customHeight="1">
      <c r="AF6071" s="42" t="s">
        <v>3998</v>
      </c>
      <c r="AG6071" s="42" t="s">
        <v>6683</v>
      </c>
    </row>
    <row r="6072" spans="32:33" ht="15.75" customHeight="1">
      <c r="AF6072" s="42" t="s">
        <v>4316</v>
      </c>
      <c r="AG6072" s="42" t="s">
        <v>6683</v>
      </c>
    </row>
    <row r="6073" spans="32:33" ht="15.75" customHeight="1">
      <c r="AF6073" s="42" t="s">
        <v>2738</v>
      </c>
      <c r="AG6073" s="42" t="s">
        <v>6683</v>
      </c>
    </row>
    <row r="6074" spans="32:33" ht="15.75" customHeight="1">
      <c r="AF6074" s="42" t="s">
        <v>5640</v>
      </c>
      <c r="AG6074" s="42" t="s">
        <v>6683</v>
      </c>
    </row>
    <row r="6075" spans="32:33" ht="15.75" customHeight="1">
      <c r="AF6075" s="42" t="s">
        <v>4233</v>
      </c>
      <c r="AG6075" s="42" t="s">
        <v>6683</v>
      </c>
    </row>
    <row r="6076" spans="32:33" ht="15.75" customHeight="1">
      <c r="AF6076" s="42" t="s">
        <v>8630</v>
      </c>
      <c r="AG6076" s="42" t="s">
        <v>6677</v>
      </c>
    </row>
    <row r="6077" spans="32:33" ht="15.75" customHeight="1">
      <c r="AF6077" s="42" t="s">
        <v>6996</v>
      </c>
      <c r="AG6077" s="42" t="s">
        <v>6677</v>
      </c>
    </row>
    <row r="6078" spans="32:33" ht="15.75" customHeight="1">
      <c r="AF6078" s="42" t="s">
        <v>2338</v>
      </c>
      <c r="AG6078" s="42" t="s">
        <v>6683</v>
      </c>
    </row>
    <row r="6079" spans="32:33" ht="15.75" customHeight="1">
      <c r="AF6079" s="42" t="s">
        <v>4221</v>
      </c>
      <c r="AG6079" s="42" t="s">
        <v>6683</v>
      </c>
    </row>
    <row r="6080" spans="32:33" ht="15.75" customHeight="1">
      <c r="AF6080" s="42" t="s">
        <v>5102</v>
      </c>
      <c r="AG6080" s="42" t="s">
        <v>6683</v>
      </c>
    </row>
    <row r="6081" spans="32:33" ht="15.75" customHeight="1">
      <c r="AF6081" s="42" t="s">
        <v>3762</v>
      </c>
      <c r="AG6081" s="42" t="s">
        <v>6683</v>
      </c>
    </row>
    <row r="6082" spans="32:33" ht="15.75" customHeight="1">
      <c r="AF6082" s="42" t="s">
        <v>4332</v>
      </c>
      <c r="AG6082" s="42" t="s">
        <v>6683</v>
      </c>
    </row>
    <row r="6083" spans="32:33" ht="15.75" customHeight="1">
      <c r="AF6083" s="42" t="s">
        <v>1367</v>
      </c>
      <c r="AG6083" s="42" t="s">
        <v>6683</v>
      </c>
    </row>
    <row r="6084" spans="32:33" ht="15.75" customHeight="1">
      <c r="AF6084" s="42" t="s">
        <v>2823</v>
      </c>
      <c r="AG6084" s="42" t="s">
        <v>6683</v>
      </c>
    </row>
    <row r="6085" spans="32:33" ht="15.75" customHeight="1">
      <c r="AF6085" s="42" t="s">
        <v>8547</v>
      </c>
      <c r="AG6085" s="42" t="s">
        <v>6677</v>
      </c>
    </row>
    <row r="6086" spans="32:33" ht="15.75" customHeight="1">
      <c r="AF6086" s="42" t="s">
        <v>4689</v>
      </c>
      <c r="AG6086" s="42" t="s">
        <v>6683</v>
      </c>
    </row>
    <row r="6087" spans="32:33" ht="15.75" customHeight="1">
      <c r="AF6087" s="42" t="s">
        <v>2038</v>
      </c>
      <c r="AG6087" s="42" t="s">
        <v>6683</v>
      </c>
    </row>
    <row r="6088" spans="32:33" ht="15.75" customHeight="1">
      <c r="AF6088" s="42" t="s">
        <v>4201</v>
      </c>
      <c r="AG6088" s="42" t="s">
        <v>6683</v>
      </c>
    </row>
    <row r="6089" spans="32:33" ht="15.75" customHeight="1">
      <c r="AF6089" s="42" t="s">
        <v>8562</v>
      </c>
      <c r="AG6089" s="42" t="s">
        <v>6677</v>
      </c>
    </row>
    <row r="6090" spans="32:33" ht="15.75" customHeight="1">
      <c r="AF6090" s="42" t="s">
        <v>4181</v>
      </c>
      <c r="AG6090" s="42" t="s">
        <v>6683</v>
      </c>
    </row>
    <row r="6091" spans="32:33" ht="15.75" customHeight="1">
      <c r="AF6091" s="42" t="s">
        <v>6367</v>
      </c>
      <c r="AG6091" s="42" t="s">
        <v>6683</v>
      </c>
    </row>
    <row r="6092" spans="32:33" ht="15.75" customHeight="1">
      <c r="AF6092" s="42" t="s">
        <v>5879</v>
      </c>
      <c r="AG6092" s="42" t="s">
        <v>6683</v>
      </c>
    </row>
    <row r="6093" spans="32:33" ht="15.75" customHeight="1">
      <c r="AF6093" s="42" t="s">
        <v>2199</v>
      </c>
      <c r="AG6093" s="42" t="s">
        <v>6683</v>
      </c>
    </row>
    <row r="6094" spans="32:33" ht="15.75" customHeight="1">
      <c r="AF6094" s="42" t="s">
        <v>8537</v>
      </c>
      <c r="AG6094" s="42" t="s">
        <v>6677</v>
      </c>
    </row>
    <row r="6095" spans="32:33" ht="15.75" customHeight="1">
      <c r="AF6095" s="42" t="s">
        <v>5204</v>
      </c>
      <c r="AG6095" s="42" t="s">
        <v>6683</v>
      </c>
    </row>
    <row r="6096" spans="32:33" ht="15.75" customHeight="1">
      <c r="AF6096" s="42" t="s">
        <v>1999</v>
      </c>
      <c r="AG6096" s="42" t="s">
        <v>6683</v>
      </c>
    </row>
    <row r="6097" spans="32:33" ht="15.75" customHeight="1">
      <c r="AF6097" s="42" t="s">
        <v>2400</v>
      </c>
      <c r="AG6097" s="42" t="s">
        <v>6683</v>
      </c>
    </row>
    <row r="6098" spans="32:33" ht="15.75" customHeight="1">
      <c r="AF6098" s="42" t="s">
        <v>8527</v>
      </c>
      <c r="AG6098" s="42" t="s">
        <v>6677</v>
      </c>
    </row>
    <row r="6099" spans="32:33" ht="15.75" customHeight="1">
      <c r="AF6099" s="42" t="s">
        <v>4147</v>
      </c>
      <c r="AG6099" s="42" t="s">
        <v>6683</v>
      </c>
    </row>
    <row r="6100" spans="32:33" ht="15.75" customHeight="1">
      <c r="AF6100" s="42" t="s">
        <v>1890</v>
      </c>
      <c r="AG6100" s="42" t="s">
        <v>6683</v>
      </c>
    </row>
    <row r="6101" spans="32:33" ht="15.75" customHeight="1">
      <c r="AF6101" s="42" t="s">
        <v>8561</v>
      </c>
      <c r="AG6101" s="42" t="s">
        <v>6677</v>
      </c>
    </row>
    <row r="6102" spans="32:33" ht="15.75" customHeight="1">
      <c r="AF6102" s="42" t="s">
        <v>8631</v>
      </c>
      <c r="AG6102" s="42" t="s">
        <v>6677</v>
      </c>
    </row>
    <row r="6103" spans="32:33" ht="15.75" customHeight="1">
      <c r="AF6103" s="42" t="s">
        <v>6341</v>
      </c>
      <c r="AG6103" s="42" t="s">
        <v>6683</v>
      </c>
    </row>
    <row r="6104" spans="32:33" ht="15.75" customHeight="1">
      <c r="AF6104" s="42" t="s">
        <v>2170</v>
      </c>
      <c r="AG6104" s="42" t="s">
        <v>6677</v>
      </c>
    </row>
    <row r="6105" spans="32:33" ht="15.75" customHeight="1">
      <c r="AF6105" s="42" t="s">
        <v>3833</v>
      </c>
      <c r="AG6105" s="42" t="s">
        <v>6677</v>
      </c>
    </row>
    <row r="6106" spans="32:33" ht="15.75" customHeight="1">
      <c r="AF6106" s="42" t="s">
        <v>4370</v>
      </c>
      <c r="AG6106" s="42" t="s">
        <v>6677</v>
      </c>
    </row>
    <row r="6107" spans="32:33" ht="15.75" customHeight="1">
      <c r="AF6107" s="42" t="s">
        <v>5246</v>
      </c>
      <c r="AG6107" s="42" t="s">
        <v>6677</v>
      </c>
    </row>
    <row r="6108" spans="32:33" ht="15.75" customHeight="1">
      <c r="AF6108" s="42" t="s">
        <v>5238</v>
      </c>
      <c r="AG6108" s="42" t="s">
        <v>6677</v>
      </c>
    </row>
    <row r="6109" spans="32:33" ht="15.75" customHeight="1">
      <c r="AF6109" s="42" t="s">
        <v>2231</v>
      </c>
      <c r="AG6109" s="42" t="s">
        <v>6683</v>
      </c>
    </row>
    <row r="6110" spans="32:33" ht="15.75" customHeight="1">
      <c r="AF6110" s="42" t="s">
        <v>8535</v>
      </c>
      <c r="AG6110" s="42" t="s">
        <v>6677</v>
      </c>
    </row>
    <row r="6111" spans="32:33" ht="15.75" customHeight="1">
      <c r="AF6111" s="42" t="s">
        <v>3985</v>
      </c>
      <c r="AG6111" s="42" t="s">
        <v>6677</v>
      </c>
    </row>
    <row r="6112" spans="32:33" ht="15.75" customHeight="1">
      <c r="AF6112" s="42" t="s">
        <v>6711</v>
      </c>
      <c r="AG6112" s="42" t="s">
        <v>6677</v>
      </c>
    </row>
    <row r="6113" spans="32:33" ht="15.75" customHeight="1">
      <c r="AF6113" s="42" t="s">
        <v>1271</v>
      </c>
      <c r="AG6113" s="42" t="s">
        <v>6677</v>
      </c>
    </row>
    <row r="6114" spans="32:33" ht="15.75" customHeight="1">
      <c r="AF6114" s="42" t="s">
        <v>6287</v>
      </c>
      <c r="AG6114" s="42" t="s">
        <v>6677</v>
      </c>
    </row>
    <row r="6115" spans="32:33" ht="15.75" customHeight="1">
      <c r="AF6115" s="42" t="s">
        <v>5694</v>
      </c>
      <c r="AG6115" s="42" t="s">
        <v>6677</v>
      </c>
    </row>
    <row r="6116" spans="32:33" ht="15.75" customHeight="1">
      <c r="AF6116" s="42" t="s">
        <v>3708</v>
      </c>
      <c r="AG6116" s="42" t="s">
        <v>6677</v>
      </c>
    </row>
    <row r="6117" spans="32:33" ht="15.75" customHeight="1">
      <c r="AF6117" s="42" t="s">
        <v>5938</v>
      </c>
      <c r="AG6117" s="42" t="s">
        <v>6677</v>
      </c>
    </row>
    <row r="6118" spans="32:33" ht="15.75" customHeight="1">
      <c r="AF6118" s="42" t="s">
        <v>1427</v>
      </c>
      <c r="AG6118" s="42" t="s">
        <v>6677</v>
      </c>
    </row>
    <row r="6119" spans="32:33" ht="15.75" customHeight="1">
      <c r="AF6119" s="42" t="s">
        <v>2410</v>
      </c>
      <c r="AG6119" s="42" t="s">
        <v>6677</v>
      </c>
    </row>
    <row r="6120" spans="32:33" ht="15.75" customHeight="1">
      <c r="AF6120" s="42" t="s">
        <v>2529</v>
      </c>
      <c r="AG6120" s="42" t="s">
        <v>6677</v>
      </c>
    </row>
    <row r="6121" spans="32:33" ht="15.75" customHeight="1">
      <c r="AF6121" s="42" t="s">
        <v>2536</v>
      </c>
      <c r="AG6121" s="42" t="s">
        <v>6677</v>
      </c>
    </row>
    <row r="6122" spans="32:33" ht="15.75" customHeight="1">
      <c r="AF6122" s="42" t="s">
        <v>1648</v>
      </c>
      <c r="AG6122" s="42" t="s">
        <v>6677</v>
      </c>
    </row>
    <row r="6123" spans="32:33" ht="15.75" customHeight="1">
      <c r="AF6123" s="42" t="s">
        <v>3518</v>
      </c>
      <c r="AG6123" s="42" t="s">
        <v>6677</v>
      </c>
    </row>
    <row r="6124" spans="32:33" ht="15.75" customHeight="1">
      <c r="AF6124" s="42" t="s">
        <v>924</v>
      </c>
      <c r="AG6124" s="42" t="s">
        <v>6677</v>
      </c>
    </row>
    <row r="6125" spans="32:33" ht="15.75" customHeight="1">
      <c r="AF6125" s="42" t="s">
        <v>5665</v>
      </c>
      <c r="AG6125" s="42" t="s">
        <v>6677</v>
      </c>
    </row>
    <row r="6126" spans="32:33" ht="15.75" customHeight="1">
      <c r="AF6126" s="42" t="s">
        <v>1143</v>
      </c>
      <c r="AG6126" s="42" t="s">
        <v>6677</v>
      </c>
    </row>
    <row r="6127" spans="32:33" ht="15.75" customHeight="1">
      <c r="AF6127" s="42" t="s">
        <v>4827</v>
      </c>
      <c r="AG6127" s="42" t="s">
        <v>6677</v>
      </c>
    </row>
    <row r="6128" spans="32:33" ht="15.75" customHeight="1">
      <c r="AF6128" s="42" t="s">
        <v>2914</v>
      </c>
      <c r="AG6128" s="42" t="s">
        <v>6677</v>
      </c>
    </row>
    <row r="6129" spans="32:33" ht="15.75" customHeight="1">
      <c r="AF6129" s="42" t="s">
        <v>2497</v>
      </c>
      <c r="AG6129" s="42" t="s">
        <v>6677</v>
      </c>
    </row>
    <row r="6130" spans="32:33" ht="15.75" customHeight="1">
      <c r="AF6130" s="42" t="s">
        <v>6061</v>
      </c>
      <c r="AG6130" s="42" t="s">
        <v>6677</v>
      </c>
    </row>
    <row r="6131" spans="32:33" ht="15.75" customHeight="1">
      <c r="AF6131" s="42" t="s">
        <v>5245</v>
      </c>
      <c r="AG6131" s="42" t="s">
        <v>6677</v>
      </c>
    </row>
    <row r="6132" spans="32:33" ht="15.75" customHeight="1">
      <c r="AF6132" s="42" t="s">
        <v>5914</v>
      </c>
      <c r="AG6132" s="42" t="s">
        <v>6677</v>
      </c>
    </row>
    <row r="6133" spans="32:33" ht="15.75" customHeight="1">
      <c r="AF6133" s="42" t="s">
        <v>2521</v>
      </c>
      <c r="AG6133" s="42" t="s">
        <v>6677</v>
      </c>
    </row>
    <row r="6134" spans="32:33" ht="15.75" customHeight="1">
      <c r="AF6134" s="42" t="s">
        <v>6680</v>
      </c>
      <c r="AG6134" s="42" t="s">
        <v>6677</v>
      </c>
    </row>
    <row r="6135" spans="32:33" ht="15.75" customHeight="1">
      <c r="AF6135" s="42" t="s">
        <v>1239</v>
      </c>
      <c r="AG6135" s="42" t="s">
        <v>6677</v>
      </c>
    </row>
    <row r="6136" spans="32:33" ht="15.75" customHeight="1">
      <c r="AF6136" s="42" t="s">
        <v>2094</v>
      </c>
      <c r="AG6136" s="42" t="s">
        <v>6677</v>
      </c>
    </row>
    <row r="6137" spans="32:33" ht="15.75" customHeight="1">
      <c r="AF6137" s="42" t="s">
        <v>5259</v>
      </c>
      <c r="AG6137" s="42" t="s">
        <v>6677</v>
      </c>
    </row>
    <row r="6138" spans="32:33" ht="15.75" customHeight="1">
      <c r="AF6138" s="42" t="s">
        <v>2969</v>
      </c>
      <c r="AG6138" s="42" t="s">
        <v>6677</v>
      </c>
    </row>
    <row r="6139" spans="32:33" ht="15.75" customHeight="1">
      <c r="AF6139" s="42" t="s">
        <v>3298</v>
      </c>
      <c r="AG6139" s="42" t="s">
        <v>6677</v>
      </c>
    </row>
    <row r="6140" spans="32:33" ht="15.75" customHeight="1">
      <c r="AF6140" s="42" t="s">
        <v>3951</v>
      </c>
      <c r="AG6140" s="42" t="s">
        <v>6677</v>
      </c>
    </row>
    <row r="6141" spans="32:33" ht="15.75" customHeight="1">
      <c r="AF6141" s="42" t="s">
        <v>2392</v>
      </c>
      <c r="AG6141" s="42" t="s">
        <v>6677</v>
      </c>
    </row>
    <row r="6142" spans="32:33" ht="15.75" customHeight="1">
      <c r="AF6142" s="42" t="s">
        <v>3991</v>
      </c>
      <c r="AG6142" s="42" t="s">
        <v>6677</v>
      </c>
    </row>
    <row r="6143" spans="32:33" ht="15.75" customHeight="1">
      <c r="AF6143" s="42" t="s">
        <v>5130</v>
      </c>
      <c r="AG6143" s="42" t="s">
        <v>6677</v>
      </c>
    </row>
    <row r="6144" spans="32:33" ht="15.75" customHeight="1">
      <c r="AF6144" s="42" t="s">
        <v>1717</v>
      </c>
      <c r="AG6144" s="42" t="s">
        <v>6677</v>
      </c>
    </row>
    <row r="6145" spans="32:33" ht="15.75" customHeight="1">
      <c r="AF6145" s="42" t="s">
        <v>3672</v>
      </c>
      <c r="AG6145" s="42" t="s">
        <v>6677</v>
      </c>
    </row>
    <row r="6146" spans="32:33" ht="15.75" customHeight="1">
      <c r="AF6146" s="42" t="s">
        <v>3225</v>
      </c>
      <c r="AG6146" s="42" t="s">
        <v>6677</v>
      </c>
    </row>
    <row r="6147" spans="32:33" ht="15.75" customHeight="1">
      <c r="AF6147" s="42" t="s">
        <v>1440</v>
      </c>
      <c r="AG6147" s="42" t="s">
        <v>6677</v>
      </c>
    </row>
    <row r="6148" spans="32:33" ht="15.75" customHeight="1">
      <c r="AF6148" s="42" t="s">
        <v>5704</v>
      </c>
      <c r="AG6148" s="42" t="s">
        <v>6677</v>
      </c>
    </row>
    <row r="6149" spans="32:33" ht="15.75" customHeight="1">
      <c r="AF6149" s="42" t="s">
        <v>6681</v>
      </c>
      <c r="AG6149" s="42" t="s">
        <v>6677</v>
      </c>
    </row>
    <row r="6150" spans="32:33" ht="15.75" customHeight="1">
      <c r="AF6150" s="42" t="s">
        <v>6228</v>
      </c>
      <c r="AG6150" s="42" t="s">
        <v>6677</v>
      </c>
    </row>
    <row r="6151" spans="32:33" ht="15.75" customHeight="1">
      <c r="AF6151" s="42" t="s">
        <v>1641</v>
      </c>
      <c r="AG6151" s="42" t="s">
        <v>6677</v>
      </c>
    </row>
    <row r="6152" spans="32:33" ht="15.75" customHeight="1">
      <c r="AF6152" s="42" t="s">
        <v>4778</v>
      </c>
      <c r="AG6152" s="42" t="s">
        <v>6677</v>
      </c>
    </row>
    <row r="6153" spans="32:33" ht="15.75" customHeight="1">
      <c r="AF6153" s="42" t="s">
        <v>862</v>
      </c>
      <c r="AG6153" s="42" t="s">
        <v>6677</v>
      </c>
    </row>
    <row r="6154" spans="32:33" ht="15.75" customHeight="1">
      <c r="AF6154" s="42" t="s">
        <v>5306</v>
      </c>
      <c r="AG6154" s="42" t="s">
        <v>6677</v>
      </c>
    </row>
    <row r="6155" spans="32:33" ht="15.75" customHeight="1">
      <c r="AF6155" s="42" t="s">
        <v>6678</v>
      </c>
      <c r="AG6155" s="42" t="s">
        <v>6677</v>
      </c>
    </row>
    <row r="6156" spans="32:33" ht="15.75" customHeight="1">
      <c r="AF6156" s="42" t="s">
        <v>4296</v>
      </c>
      <c r="AG6156" s="42" t="s">
        <v>6683</v>
      </c>
    </row>
    <row r="6157" spans="32:33" ht="15.75" customHeight="1">
      <c r="AF6157" s="42" t="s">
        <v>3584</v>
      </c>
      <c r="AG6157" s="42" t="s">
        <v>6683</v>
      </c>
    </row>
    <row r="6158" spans="32:33" ht="15.75" customHeight="1">
      <c r="AF6158" s="42" t="s">
        <v>6175</v>
      </c>
      <c r="AG6158" s="42" t="s">
        <v>6683</v>
      </c>
    </row>
    <row r="6159" spans="32:33" ht="15.75" customHeight="1">
      <c r="AF6159" s="42" t="s">
        <v>4242</v>
      </c>
      <c r="AG6159" s="42" t="s">
        <v>6683</v>
      </c>
    </row>
    <row r="6160" spans="32:33" ht="15.75" customHeight="1">
      <c r="AF6160" s="42" t="s">
        <v>6726</v>
      </c>
      <c r="AG6160" s="42" t="s">
        <v>6683</v>
      </c>
    </row>
    <row r="6161" spans="32:33" ht="15.75" customHeight="1">
      <c r="AF6161" s="42" t="s">
        <v>1184</v>
      </c>
      <c r="AG6161" s="42" t="s">
        <v>6683</v>
      </c>
    </row>
    <row r="6162" spans="32:33" ht="15.75" customHeight="1">
      <c r="AF6162" s="42" t="s">
        <v>1625</v>
      </c>
      <c r="AG6162" s="42" t="s">
        <v>6683</v>
      </c>
    </row>
    <row r="6163" spans="32:33" ht="15.75" customHeight="1">
      <c r="AF6163" s="42" t="s">
        <v>3489</v>
      </c>
      <c r="AG6163" s="42" t="s">
        <v>6683</v>
      </c>
    </row>
    <row r="6164" spans="32:33" ht="15.75" customHeight="1">
      <c r="AF6164" s="42" t="s">
        <v>1380</v>
      </c>
      <c r="AG6164" s="42" t="s">
        <v>6683</v>
      </c>
    </row>
    <row r="6165" spans="32:33" ht="15.75" customHeight="1">
      <c r="AF6165" s="42" t="s">
        <v>8529</v>
      </c>
      <c r="AG6165" s="42" t="s">
        <v>6677</v>
      </c>
    </row>
    <row r="6166" spans="32:33" ht="15.75" customHeight="1">
      <c r="AF6166" s="42" t="s">
        <v>8632</v>
      </c>
      <c r="AG6166" s="42" t="s">
        <v>6677</v>
      </c>
    </row>
    <row r="6167" spans="32:33" ht="15.75" customHeight="1">
      <c r="AF6167" s="42" t="s">
        <v>8633</v>
      </c>
      <c r="AG6167" s="42" t="s">
        <v>6677</v>
      </c>
    </row>
    <row r="6168" spans="32:33" ht="15.75" customHeight="1">
      <c r="AF6168" s="42" t="s">
        <v>1811</v>
      </c>
      <c r="AG6168" s="42" t="s">
        <v>6683</v>
      </c>
    </row>
    <row r="6169" spans="32:33" ht="15.75" customHeight="1">
      <c r="AF6169" s="42" t="s">
        <v>1100</v>
      </c>
      <c r="AG6169" s="42" t="s">
        <v>6683</v>
      </c>
    </row>
    <row r="6170" spans="32:33" ht="15.75" customHeight="1">
      <c r="AF6170" s="42" t="s">
        <v>8546</v>
      </c>
      <c r="AG6170" s="42" t="s">
        <v>6677</v>
      </c>
    </row>
    <row r="6171" spans="32:33" ht="15.75" customHeight="1">
      <c r="AF6171" s="42" t="s">
        <v>6722</v>
      </c>
      <c r="AG6171" s="42" t="s">
        <v>6683</v>
      </c>
    </row>
    <row r="6172" spans="32:33" ht="15.75" customHeight="1">
      <c r="AF6172" s="42" t="s">
        <v>7636</v>
      </c>
      <c r="AG6172" s="42" t="s">
        <v>6677</v>
      </c>
    </row>
    <row r="6173" spans="32:33" ht="15.75" customHeight="1">
      <c r="AF6173" s="42" t="s">
        <v>7541</v>
      </c>
      <c r="AG6173" s="42" t="s">
        <v>6677</v>
      </c>
    </row>
    <row r="6174" spans="32:33" ht="15.75" customHeight="1">
      <c r="AF6174" s="42" t="s">
        <v>7637</v>
      </c>
      <c r="AG6174" s="42" t="s">
        <v>6677</v>
      </c>
    </row>
    <row r="6175" spans="32:33" ht="15.75" customHeight="1">
      <c r="AF6175" s="42" t="s">
        <v>2451</v>
      </c>
      <c r="AG6175" s="42" t="s">
        <v>6677</v>
      </c>
    </row>
    <row r="6176" spans="32:33" ht="15.75" customHeight="1">
      <c r="AF6176" s="42" t="s">
        <v>2504</v>
      </c>
      <c r="AG6176" s="42" t="s">
        <v>6677</v>
      </c>
    </row>
    <row r="6177" spans="32:33" ht="15.75" customHeight="1">
      <c r="AF6177" s="42" t="s">
        <v>5096</v>
      </c>
      <c r="AG6177" s="42" t="s">
        <v>6677</v>
      </c>
    </row>
    <row r="6178" spans="32:33" ht="15.75" customHeight="1">
      <c r="AF6178" s="42" t="s">
        <v>2452</v>
      </c>
      <c r="AG6178" s="42" t="s">
        <v>6677</v>
      </c>
    </row>
    <row r="6179" spans="32:33" ht="15.75" customHeight="1">
      <c r="AF6179" s="42" t="s">
        <v>4998</v>
      </c>
      <c r="AG6179" s="42" t="s">
        <v>6677</v>
      </c>
    </row>
    <row r="6180" spans="32:33" ht="15.75" customHeight="1">
      <c r="AF6180" s="42" t="s">
        <v>2505</v>
      </c>
      <c r="AG6180" s="42" t="s">
        <v>6677</v>
      </c>
    </row>
    <row r="6181" spans="32:33" ht="15.75" customHeight="1">
      <c r="AF6181" s="42" t="s">
        <v>5020</v>
      </c>
      <c r="AG6181" s="42" t="s">
        <v>6677</v>
      </c>
    </row>
    <row r="6182" spans="32:33" ht="15.75" customHeight="1">
      <c r="AF6182" s="42" t="s">
        <v>5817</v>
      </c>
      <c r="AG6182" s="42" t="s">
        <v>6677</v>
      </c>
    </row>
    <row r="6183" spans="32:33" ht="15.75" customHeight="1">
      <c r="AF6183" s="42" t="s">
        <v>2670</v>
      </c>
      <c r="AG6183" s="42" t="s">
        <v>6677</v>
      </c>
    </row>
    <row r="6184" spans="32:33" ht="15.75" customHeight="1">
      <c r="AF6184" s="42" t="s">
        <v>5297</v>
      </c>
      <c r="AG6184" s="42" t="s">
        <v>6677</v>
      </c>
    </row>
    <row r="6185" spans="32:33" ht="15.75" customHeight="1">
      <c r="AF6185" s="42" t="s">
        <v>969</v>
      </c>
      <c r="AG6185" s="42" t="s">
        <v>6677</v>
      </c>
    </row>
    <row r="6186" spans="32:33" ht="15.75" customHeight="1">
      <c r="AF6186" s="42" t="s">
        <v>1906</v>
      </c>
      <c r="AG6186" s="42" t="s">
        <v>6677</v>
      </c>
    </row>
    <row r="6187" spans="32:33" ht="15.75" customHeight="1">
      <c r="AF6187" s="42" t="s">
        <v>8062</v>
      </c>
      <c r="AG6187" s="42" t="s">
        <v>6677</v>
      </c>
    </row>
    <row r="6188" spans="32:33" ht="15.75" customHeight="1">
      <c r="AF6188" s="42" t="s">
        <v>8052</v>
      </c>
      <c r="AG6188" s="42" t="s">
        <v>6677</v>
      </c>
    </row>
    <row r="6189" spans="32:33" ht="15.75" customHeight="1">
      <c r="AF6189" s="42" t="s">
        <v>8015</v>
      </c>
      <c r="AG6189" s="42" t="s">
        <v>6677</v>
      </c>
    </row>
    <row r="6190" spans="32:33" ht="15.75" customHeight="1">
      <c r="AF6190" s="42" t="s">
        <v>8078</v>
      </c>
      <c r="AG6190" s="42" t="s">
        <v>6677</v>
      </c>
    </row>
    <row r="6191" spans="32:33" ht="15.75" customHeight="1">
      <c r="AF6191" s="42" t="s">
        <v>7983</v>
      </c>
      <c r="AG6191" s="42" t="s">
        <v>6677</v>
      </c>
    </row>
    <row r="6192" spans="32:33" ht="15.75" customHeight="1">
      <c r="AF6192" s="42" t="s">
        <v>8023</v>
      </c>
      <c r="AG6192" s="42" t="s">
        <v>6677</v>
      </c>
    </row>
    <row r="6193" spans="32:33" ht="15.75" customHeight="1">
      <c r="AF6193" s="42" t="s">
        <v>7993</v>
      </c>
      <c r="AG6193" s="42" t="s">
        <v>6677</v>
      </c>
    </row>
    <row r="6194" spans="32:33" ht="15.75" customHeight="1">
      <c r="AF6194" s="42" t="s">
        <v>8000</v>
      </c>
      <c r="AG6194" s="42" t="s">
        <v>6677</v>
      </c>
    </row>
    <row r="6195" spans="32:33" ht="15.75" customHeight="1">
      <c r="AF6195" s="42" t="s">
        <v>8033</v>
      </c>
      <c r="AG6195" s="42" t="s">
        <v>6677</v>
      </c>
    </row>
    <row r="6196" spans="32:33" ht="15.75" customHeight="1">
      <c r="AF6196" s="42" t="s">
        <v>7975</v>
      </c>
      <c r="AG6196" s="42" t="s">
        <v>6677</v>
      </c>
    </row>
    <row r="6197" spans="32:33" ht="15.75" customHeight="1">
      <c r="AF6197" s="42" t="s">
        <v>8104</v>
      </c>
      <c r="AG6197" s="42" t="s">
        <v>6677</v>
      </c>
    </row>
    <row r="6198" spans="32:33" ht="15.75" customHeight="1">
      <c r="AF6198" s="42" t="s">
        <v>8065</v>
      </c>
      <c r="AG6198" s="42" t="s">
        <v>6677</v>
      </c>
    </row>
    <row r="6199" spans="32:33" ht="15.75" customHeight="1">
      <c r="AF6199" s="42" t="s">
        <v>8041</v>
      </c>
      <c r="AG6199" s="42" t="s">
        <v>6677</v>
      </c>
    </row>
    <row r="6200" spans="32:33" ht="15.75" customHeight="1">
      <c r="AF6200" s="42" t="s">
        <v>8129</v>
      </c>
      <c r="AG6200" s="42" t="s">
        <v>6677</v>
      </c>
    </row>
    <row r="6201" spans="32:33" ht="15.75" customHeight="1">
      <c r="AF6201" s="42" t="s">
        <v>1445</v>
      </c>
      <c r="AG6201" s="42" t="s">
        <v>6677</v>
      </c>
    </row>
    <row r="6202" spans="32:33" ht="15.75" customHeight="1">
      <c r="AF6202" s="42" t="s">
        <v>3719</v>
      </c>
      <c r="AG6202" s="42" t="s">
        <v>6677</v>
      </c>
    </row>
    <row r="6203" spans="32:33" ht="15.75" customHeight="1">
      <c r="AF6203" s="42" t="s">
        <v>3720</v>
      </c>
      <c r="AG6203" s="42" t="s">
        <v>6677</v>
      </c>
    </row>
    <row r="6204" spans="32:33" ht="15.75" customHeight="1">
      <c r="AF6204" s="42" t="s">
        <v>3583</v>
      </c>
      <c r="AG6204" s="42" t="s">
        <v>6677</v>
      </c>
    </row>
    <row r="6205" spans="32:33" ht="15.75" customHeight="1">
      <c r="AF6205" s="42" t="s">
        <v>6719</v>
      </c>
      <c r="AG6205" s="42" t="s">
        <v>6677</v>
      </c>
    </row>
    <row r="6206" spans="32:33" ht="15.75" customHeight="1">
      <c r="AF6206" s="42" t="s">
        <v>3606</v>
      </c>
      <c r="AG6206" s="42" t="s">
        <v>6677</v>
      </c>
    </row>
    <row r="6207" spans="32:33" ht="15.75" customHeight="1">
      <c r="AF6207" s="42" t="s">
        <v>3691</v>
      </c>
      <c r="AG6207" s="42" t="s">
        <v>6677</v>
      </c>
    </row>
    <row r="6208" spans="32:33" ht="15.75" customHeight="1">
      <c r="AF6208" s="42" t="s">
        <v>3692</v>
      </c>
      <c r="AG6208" s="42" t="s">
        <v>6677</v>
      </c>
    </row>
    <row r="6209" spans="32:33" ht="15.75" customHeight="1">
      <c r="AF6209" s="42" t="s">
        <v>6721</v>
      </c>
      <c r="AG6209" s="42" t="s">
        <v>6677</v>
      </c>
    </row>
    <row r="6210" spans="32:33" ht="15.75" customHeight="1">
      <c r="AF6210" s="42" t="s">
        <v>4241</v>
      </c>
      <c r="AG6210" s="42" t="s">
        <v>6677</v>
      </c>
    </row>
    <row r="6211" spans="32:33" ht="15.75" customHeight="1">
      <c r="AF6211" s="42" t="s">
        <v>5475</v>
      </c>
      <c r="AG6211" s="42" t="s">
        <v>6677</v>
      </c>
    </row>
    <row r="6212" spans="32:33" ht="15.75" customHeight="1">
      <c r="AF6212" s="42" t="s">
        <v>1495</v>
      </c>
      <c r="AG6212" s="42" t="s">
        <v>6677</v>
      </c>
    </row>
    <row r="6213" spans="32:33" ht="15.75" customHeight="1">
      <c r="AF6213" s="42" t="s">
        <v>3124</v>
      </c>
      <c r="AG6213" s="42" t="s">
        <v>6677</v>
      </c>
    </row>
    <row r="6214" spans="32:33" ht="15.75" customHeight="1">
      <c r="AF6214" s="42" t="s">
        <v>2961</v>
      </c>
      <c r="AG6214" s="42" t="s">
        <v>6677</v>
      </c>
    </row>
    <row r="6215" spans="32:33" ht="15.75" customHeight="1">
      <c r="AF6215" s="42" t="s">
        <v>4146</v>
      </c>
      <c r="AG6215" s="42" t="s">
        <v>6677</v>
      </c>
    </row>
    <row r="6216" spans="32:33" ht="15.75" customHeight="1">
      <c r="AF6216" s="42" t="s">
        <v>5958</v>
      </c>
      <c r="AG6216" s="42" t="s">
        <v>6677</v>
      </c>
    </row>
    <row r="6217" spans="32:33" ht="15.75" customHeight="1">
      <c r="AF6217" s="42" t="s">
        <v>3914</v>
      </c>
      <c r="AG6217" s="42" t="s">
        <v>6677</v>
      </c>
    </row>
    <row r="6218" spans="32:33" ht="15.75" customHeight="1">
      <c r="AF6218" s="42" t="s">
        <v>6720</v>
      </c>
      <c r="AG6218" s="42" t="s">
        <v>6677</v>
      </c>
    </row>
    <row r="6219" spans="32:33" ht="15.75" customHeight="1">
      <c r="AF6219" s="42" t="s">
        <v>3358</v>
      </c>
      <c r="AG6219" s="42" t="s">
        <v>6677</v>
      </c>
    </row>
    <row r="6220" spans="32:33" ht="15.75" customHeight="1">
      <c r="AF6220" s="42" t="s">
        <v>2285</v>
      </c>
      <c r="AG6220" s="42" t="s">
        <v>6677</v>
      </c>
    </row>
    <row r="6221" spans="32:33" ht="15.75" customHeight="1">
      <c r="AF6221" s="42" t="s">
        <v>6167</v>
      </c>
      <c r="AG6221" s="42" t="s">
        <v>6677</v>
      </c>
    </row>
    <row r="6222" spans="32:33" ht="15.75" customHeight="1">
      <c r="AF6222" s="42" t="s">
        <v>3768</v>
      </c>
      <c r="AG6222" s="42" t="s">
        <v>6683</v>
      </c>
    </row>
    <row r="6223" spans="32:33" ht="15.75" customHeight="1">
      <c r="AF6223" s="42" t="s">
        <v>8106</v>
      </c>
      <c r="AG6223" s="42" t="s">
        <v>6677</v>
      </c>
    </row>
    <row r="6224" spans="32:33" ht="15.75" customHeight="1">
      <c r="AF6224" s="42" t="s">
        <v>8075</v>
      </c>
      <c r="AG6224" s="42" t="s">
        <v>6677</v>
      </c>
    </row>
    <row r="6225" spans="32:33" ht="15.75" customHeight="1">
      <c r="AF6225" s="42" t="s">
        <v>4423</v>
      </c>
      <c r="AG6225" s="42" t="s">
        <v>6573</v>
      </c>
    </row>
    <row r="6226" spans="32:33" ht="15.75" customHeight="1">
      <c r="AF6226" s="42" t="s">
        <v>6605</v>
      </c>
      <c r="AG6226" s="42" t="s">
        <v>6573</v>
      </c>
    </row>
    <row r="6227" spans="32:33" ht="15.75" customHeight="1">
      <c r="AF6227" s="42" t="s">
        <v>2080</v>
      </c>
      <c r="AG6227" s="42" t="s">
        <v>6573</v>
      </c>
    </row>
    <row r="6228" spans="32:33" ht="15.75" customHeight="1">
      <c r="AF6228" s="42" t="s">
        <v>5428</v>
      </c>
      <c r="AG6228" s="42" t="s">
        <v>6573</v>
      </c>
    </row>
    <row r="6229" spans="32:33" ht="15.75" customHeight="1">
      <c r="AF6229" s="42" t="s">
        <v>5484</v>
      </c>
      <c r="AG6229" s="42" t="s">
        <v>6573</v>
      </c>
    </row>
    <row r="6230" spans="32:33" ht="15.75" customHeight="1">
      <c r="AF6230" s="42" t="s">
        <v>6598</v>
      </c>
      <c r="AG6230" s="42" t="s">
        <v>6573</v>
      </c>
    </row>
    <row r="6231" spans="32:33" ht="15.75" customHeight="1">
      <c r="AF6231" s="42" t="s">
        <v>6609</v>
      </c>
      <c r="AG6231" s="42" t="s">
        <v>6573</v>
      </c>
    </row>
    <row r="6232" spans="32:33" ht="15.75" customHeight="1">
      <c r="AF6232" s="42" t="s">
        <v>1033</v>
      </c>
      <c r="AG6232" s="42" t="s">
        <v>6573</v>
      </c>
    </row>
    <row r="6233" spans="32:33" ht="15.75" customHeight="1">
      <c r="AF6233" s="42" t="s">
        <v>4398</v>
      </c>
      <c r="AG6233" s="42" t="s">
        <v>6573</v>
      </c>
    </row>
    <row r="6234" spans="32:33" ht="15.75" customHeight="1">
      <c r="AF6234" s="42" t="s">
        <v>6617</v>
      </c>
      <c r="AG6234" s="42" t="s">
        <v>6573</v>
      </c>
    </row>
    <row r="6235" spans="32:33" ht="15.75" customHeight="1">
      <c r="AF6235" s="42" t="s">
        <v>4484</v>
      </c>
      <c r="AG6235" s="42" t="s">
        <v>6573</v>
      </c>
    </row>
    <row r="6236" spans="32:33" ht="15.75" customHeight="1">
      <c r="AF6236" s="42" t="s">
        <v>1837</v>
      </c>
      <c r="AG6236" s="42" t="s">
        <v>6573</v>
      </c>
    </row>
    <row r="6237" spans="32:33" ht="15.75" customHeight="1">
      <c r="AF6237" s="42" t="s">
        <v>6592</v>
      </c>
      <c r="AG6237" s="42" t="s">
        <v>6573</v>
      </c>
    </row>
    <row r="6238" spans="32:33" ht="15.75" customHeight="1">
      <c r="AF6238" s="42" t="s">
        <v>6611</v>
      </c>
      <c r="AG6238" s="42" t="s">
        <v>6573</v>
      </c>
    </row>
    <row r="6239" spans="32:33" ht="15.75" customHeight="1">
      <c r="AF6239" s="42" t="s">
        <v>3590</v>
      </c>
      <c r="AG6239" s="42" t="s">
        <v>6573</v>
      </c>
    </row>
    <row r="6240" spans="32:33" ht="15.75" customHeight="1">
      <c r="AF6240" s="42" t="s">
        <v>4417</v>
      </c>
      <c r="AG6240" s="42" t="s">
        <v>6573</v>
      </c>
    </row>
    <row r="6241" spans="32:33" ht="15.75" customHeight="1">
      <c r="AF6241" s="42" t="s">
        <v>6610</v>
      </c>
      <c r="AG6241" s="42" t="s">
        <v>6573</v>
      </c>
    </row>
    <row r="6242" spans="32:33" ht="15.75" customHeight="1">
      <c r="AF6242" s="42" t="s">
        <v>6694</v>
      </c>
      <c r="AG6242" s="42" t="s">
        <v>6573</v>
      </c>
    </row>
    <row r="6243" spans="32:33" ht="15.75" customHeight="1">
      <c r="AF6243" s="42" t="s">
        <v>6692</v>
      </c>
      <c r="AG6243" s="42" t="s">
        <v>6573</v>
      </c>
    </row>
    <row r="6244" spans="32:33" ht="15.75" customHeight="1">
      <c r="AF6244" s="42" t="s">
        <v>6596</v>
      </c>
      <c r="AG6244" s="42" t="s">
        <v>6573</v>
      </c>
    </row>
    <row r="6245" spans="32:33" ht="15.75" customHeight="1">
      <c r="AF6245" s="42" t="s">
        <v>1452</v>
      </c>
      <c r="AG6245" s="42" t="s">
        <v>6573</v>
      </c>
    </row>
    <row r="6246" spans="32:33" ht="15.75" customHeight="1">
      <c r="AF6246" s="42" t="s">
        <v>5232</v>
      </c>
      <c r="AG6246" s="42" t="s">
        <v>6573</v>
      </c>
    </row>
    <row r="6247" spans="32:33" ht="15.75" customHeight="1">
      <c r="AF6247" s="42" t="s">
        <v>2898</v>
      </c>
      <c r="AG6247" s="42" t="s">
        <v>6573</v>
      </c>
    </row>
    <row r="6248" spans="32:33" ht="15.75" customHeight="1">
      <c r="AF6248" s="42" t="s">
        <v>6574</v>
      </c>
      <c r="AG6248" s="42" t="s">
        <v>6573</v>
      </c>
    </row>
    <row r="6249" spans="32:33" ht="15.75" customHeight="1">
      <c r="AF6249" s="42" t="s">
        <v>819</v>
      </c>
      <c r="AG6249" s="42" t="s">
        <v>6573</v>
      </c>
    </row>
    <row r="6250" spans="32:33" ht="15.75" customHeight="1">
      <c r="AF6250" s="42" t="s">
        <v>6765</v>
      </c>
      <c r="AG6250" s="42" t="s">
        <v>6573</v>
      </c>
    </row>
    <row r="6251" spans="32:33" ht="15.75" customHeight="1">
      <c r="AF6251" s="42" t="s">
        <v>4677</v>
      </c>
      <c r="AG6251" s="42" t="s">
        <v>6573</v>
      </c>
    </row>
    <row r="6252" spans="32:33" ht="15.75" customHeight="1">
      <c r="AF6252" s="42" t="s">
        <v>5763</v>
      </c>
      <c r="AG6252" s="42" t="s">
        <v>6573</v>
      </c>
    </row>
    <row r="6253" spans="32:33" ht="15.75" customHeight="1">
      <c r="AF6253" s="42" t="s">
        <v>4858</v>
      </c>
      <c r="AG6253" s="42" t="s">
        <v>6573</v>
      </c>
    </row>
    <row r="6254" spans="32:33" ht="15.75" customHeight="1">
      <c r="AF6254" s="42" t="s">
        <v>6575</v>
      </c>
      <c r="AG6254" s="42" t="s">
        <v>6573</v>
      </c>
    </row>
    <row r="6255" spans="32:33" ht="15.75" customHeight="1">
      <c r="AF6255" s="42" t="s">
        <v>6576</v>
      </c>
      <c r="AG6255" s="42" t="s">
        <v>6573</v>
      </c>
    </row>
    <row r="6256" spans="32:33" ht="15.75" customHeight="1">
      <c r="AF6256" s="42" t="s">
        <v>6717</v>
      </c>
      <c r="AG6256" s="42" t="s">
        <v>6573</v>
      </c>
    </row>
    <row r="6257" spans="32:33" ht="15.75" customHeight="1">
      <c r="AF6257" s="42" t="s">
        <v>1703</v>
      </c>
      <c r="AG6257" s="42" t="s">
        <v>6573</v>
      </c>
    </row>
    <row r="6258" spans="32:33" ht="15.75" customHeight="1">
      <c r="AF6258" s="42" t="s">
        <v>4669</v>
      </c>
      <c r="AG6258" s="42" t="s">
        <v>6573</v>
      </c>
    </row>
    <row r="6259" spans="32:33" ht="15.75" customHeight="1">
      <c r="AF6259" s="42" t="s">
        <v>4391</v>
      </c>
      <c r="AG6259" s="42" t="s">
        <v>6573</v>
      </c>
    </row>
    <row r="6260" spans="32:33" ht="15.75" customHeight="1">
      <c r="AF6260" s="42" t="s">
        <v>6597</v>
      </c>
      <c r="AG6260" s="42" t="s">
        <v>6573</v>
      </c>
    </row>
    <row r="6261" spans="32:33" ht="15.75" customHeight="1">
      <c r="AF6261" s="42" t="s">
        <v>5660</v>
      </c>
      <c r="AG6261" s="42" t="s">
        <v>6573</v>
      </c>
    </row>
    <row r="6262" spans="32:33" ht="15.75" customHeight="1">
      <c r="AF6262" s="42" t="s">
        <v>2305</v>
      </c>
      <c r="AG6262" s="42" t="s">
        <v>6573</v>
      </c>
    </row>
    <row r="6263" spans="32:33" ht="15.75" customHeight="1">
      <c r="AF6263" s="42" t="s">
        <v>4405</v>
      </c>
      <c r="AG6263" s="42" t="s">
        <v>6573</v>
      </c>
    </row>
    <row r="6264" spans="32:33" ht="15.75" customHeight="1">
      <c r="AF6264" s="42" t="s">
        <v>2866</v>
      </c>
      <c r="AG6264" s="42" t="s">
        <v>6573</v>
      </c>
    </row>
    <row r="6265" spans="32:33" ht="15.75" customHeight="1">
      <c r="AF6265" s="42" t="s">
        <v>3433</v>
      </c>
      <c r="AG6265" s="42" t="s">
        <v>6573</v>
      </c>
    </row>
    <row r="6266" spans="32:33" ht="15.75" customHeight="1">
      <c r="AF6266" s="42" t="s">
        <v>3781</v>
      </c>
      <c r="AG6266" s="42" t="s">
        <v>6573</v>
      </c>
    </row>
    <row r="6267" spans="32:33" ht="15.75" customHeight="1">
      <c r="AF6267" s="42" t="s">
        <v>5118</v>
      </c>
      <c r="AG6267" s="42" t="s">
        <v>6573</v>
      </c>
    </row>
    <row r="6268" spans="32:33" ht="15.75" customHeight="1">
      <c r="AF6268" s="42" t="s">
        <v>5205</v>
      </c>
      <c r="AG6268" s="42" t="s">
        <v>6573</v>
      </c>
    </row>
    <row r="6269" spans="32:33" ht="15.75" customHeight="1">
      <c r="AF6269" s="42" t="s">
        <v>6577</v>
      </c>
      <c r="AG6269" s="42" t="s">
        <v>6573</v>
      </c>
    </row>
    <row r="6270" spans="32:33" ht="15.75" customHeight="1">
      <c r="AF6270" s="42" t="s">
        <v>3200</v>
      </c>
      <c r="AG6270" s="42" t="s">
        <v>6573</v>
      </c>
    </row>
    <row r="6271" spans="32:33" ht="15.75" customHeight="1">
      <c r="AF6271" s="42" t="s">
        <v>6578</v>
      </c>
      <c r="AG6271" s="42" t="s">
        <v>6573</v>
      </c>
    </row>
    <row r="6272" spans="32:33" ht="15.75" customHeight="1">
      <c r="AF6272" s="42" t="s">
        <v>2328</v>
      </c>
      <c r="AG6272" s="42" t="s">
        <v>6573</v>
      </c>
    </row>
    <row r="6273" spans="32:33" ht="15.75" customHeight="1">
      <c r="AF6273" s="42" t="s">
        <v>1551</v>
      </c>
      <c r="AG6273" s="42" t="s">
        <v>6573</v>
      </c>
    </row>
    <row r="6274" spans="32:33" ht="15.75" customHeight="1">
      <c r="AF6274" s="42" t="s">
        <v>2764</v>
      </c>
      <c r="AG6274" s="42" t="s">
        <v>6573</v>
      </c>
    </row>
    <row r="6275" spans="32:33" ht="15.75" customHeight="1">
      <c r="AF6275" s="42" t="s">
        <v>1130</v>
      </c>
      <c r="AG6275" s="42" t="s">
        <v>6573</v>
      </c>
    </row>
    <row r="6276" spans="32:33" ht="15.75" customHeight="1">
      <c r="AF6276" s="42" t="s">
        <v>3585</v>
      </c>
      <c r="AG6276" s="42" t="s">
        <v>6573</v>
      </c>
    </row>
    <row r="6277" spans="32:33" ht="15.75" customHeight="1">
      <c r="AF6277" s="42" t="s">
        <v>5465</v>
      </c>
      <c r="AG6277" s="42" t="s">
        <v>6573</v>
      </c>
    </row>
    <row r="6278" spans="32:33" ht="15.75" customHeight="1">
      <c r="AF6278" s="42" t="s">
        <v>5455</v>
      </c>
      <c r="AG6278" s="42" t="s">
        <v>6573</v>
      </c>
    </row>
    <row r="6279" spans="32:33" ht="15.75" customHeight="1">
      <c r="AF6279" s="42" t="s">
        <v>2002</v>
      </c>
      <c r="AG6279" s="42" t="s">
        <v>6573</v>
      </c>
    </row>
    <row r="6280" spans="32:33" ht="15.75" customHeight="1">
      <c r="AF6280" s="42" t="s">
        <v>6579</v>
      </c>
      <c r="AG6280" s="42" t="s">
        <v>6573</v>
      </c>
    </row>
    <row r="6281" spans="32:33" ht="15.75" customHeight="1">
      <c r="AF6281" s="42" t="s">
        <v>3366</v>
      </c>
      <c r="AG6281" s="42" t="s">
        <v>6573</v>
      </c>
    </row>
    <row r="6282" spans="32:33" ht="15.75" customHeight="1">
      <c r="AF6282" s="42" t="s">
        <v>6317</v>
      </c>
      <c r="AG6282" s="42" t="s">
        <v>6573</v>
      </c>
    </row>
    <row r="6283" spans="32:33" ht="15.75" customHeight="1">
      <c r="AF6283" s="42" t="s">
        <v>4815</v>
      </c>
      <c r="AG6283" s="42" t="s">
        <v>6573</v>
      </c>
    </row>
    <row r="6284" spans="32:33" ht="15.75" customHeight="1">
      <c r="AF6284" s="42" t="s">
        <v>2279</v>
      </c>
      <c r="AG6284" s="42" t="s">
        <v>6573</v>
      </c>
    </row>
    <row r="6285" spans="32:33" ht="15.75" customHeight="1">
      <c r="AF6285" s="42" t="s">
        <v>2808</v>
      </c>
      <c r="AG6285" s="42" t="s">
        <v>6573</v>
      </c>
    </row>
    <row r="6286" spans="32:33" ht="15.75" customHeight="1">
      <c r="AF6286" s="42" t="s">
        <v>6698</v>
      </c>
      <c r="AG6286" s="42" t="s">
        <v>6573</v>
      </c>
    </row>
    <row r="6287" spans="32:33" ht="15.75" customHeight="1">
      <c r="AF6287" s="42" t="s">
        <v>3607</v>
      </c>
      <c r="AG6287" s="42" t="s">
        <v>6573</v>
      </c>
    </row>
    <row r="6288" spans="32:33" ht="15.75" customHeight="1">
      <c r="AF6288" s="42" t="s">
        <v>6689</v>
      </c>
      <c r="AG6288" s="42" t="s">
        <v>6573</v>
      </c>
    </row>
    <row r="6289" spans="32:33" ht="15.75" customHeight="1">
      <c r="AF6289" s="42" t="s">
        <v>3709</v>
      </c>
      <c r="AG6289" s="42" t="s">
        <v>6573</v>
      </c>
    </row>
    <row r="6290" spans="32:33" ht="15.75" customHeight="1">
      <c r="AF6290" s="42" t="s">
        <v>2186</v>
      </c>
      <c r="AG6290" s="42" t="s">
        <v>6573</v>
      </c>
    </row>
    <row r="6291" spans="32:33" ht="15.75" customHeight="1">
      <c r="AF6291" s="42" t="s">
        <v>1804</v>
      </c>
      <c r="AG6291" s="42" t="s">
        <v>6573</v>
      </c>
    </row>
    <row r="6292" spans="32:33" ht="15.75" customHeight="1">
      <c r="AF6292" s="42" t="s">
        <v>1205</v>
      </c>
      <c r="AG6292" s="42" t="s">
        <v>6573</v>
      </c>
    </row>
    <row r="6293" spans="32:33" ht="15.75" customHeight="1">
      <c r="AF6293" s="42" t="s">
        <v>4581</v>
      </c>
      <c r="AG6293" s="42" t="s">
        <v>6573</v>
      </c>
    </row>
    <row r="6294" spans="32:33" ht="15.75" customHeight="1">
      <c r="AF6294" s="42" t="s">
        <v>2992</v>
      </c>
      <c r="AG6294" s="42" t="s">
        <v>6573</v>
      </c>
    </row>
    <row r="6295" spans="32:33" ht="15.75" customHeight="1">
      <c r="AF6295" s="42" t="s">
        <v>1556</v>
      </c>
      <c r="AG6295" s="42" t="s">
        <v>6573</v>
      </c>
    </row>
    <row r="6296" spans="32:33" ht="15.75" customHeight="1">
      <c r="AF6296" s="42" t="s">
        <v>3579</v>
      </c>
      <c r="AG6296" s="42" t="s">
        <v>6573</v>
      </c>
    </row>
    <row r="6297" spans="32:33" ht="15.75" customHeight="1">
      <c r="AF6297" s="42" t="s">
        <v>6608</v>
      </c>
      <c r="AG6297" s="42" t="s">
        <v>6573</v>
      </c>
    </row>
    <row r="6298" spans="32:33" ht="15.75" customHeight="1">
      <c r="AF6298" s="42" t="s">
        <v>3444</v>
      </c>
      <c r="AG6298" s="42" t="s">
        <v>6573</v>
      </c>
    </row>
    <row r="6299" spans="32:33" ht="15.75" customHeight="1">
      <c r="AF6299" s="42" t="s">
        <v>2211</v>
      </c>
      <c r="AG6299" s="42" t="s">
        <v>6573</v>
      </c>
    </row>
    <row r="6300" spans="32:33" ht="15.75" customHeight="1">
      <c r="AF6300" s="42" t="s">
        <v>6713</v>
      </c>
      <c r="AG6300" s="42" t="s">
        <v>6573</v>
      </c>
    </row>
    <row r="6301" spans="32:33" ht="15.75" customHeight="1">
      <c r="AF6301" s="42" t="s">
        <v>6602</v>
      </c>
      <c r="AG6301" s="42" t="s">
        <v>6573</v>
      </c>
    </row>
    <row r="6302" spans="32:33" ht="15.75" customHeight="1">
      <c r="AF6302" s="42" t="s">
        <v>2758</v>
      </c>
      <c r="AG6302" s="42" t="s">
        <v>6573</v>
      </c>
    </row>
    <row r="6303" spans="32:33" ht="15.75" customHeight="1">
      <c r="AF6303" s="42" t="s">
        <v>6580</v>
      </c>
      <c r="AG6303" s="42" t="s">
        <v>6573</v>
      </c>
    </row>
    <row r="6304" spans="32:33" ht="15.75" customHeight="1">
      <c r="AF6304" s="42" t="s">
        <v>5558</v>
      </c>
      <c r="AG6304" s="42" t="s">
        <v>6573</v>
      </c>
    </row>
    <row r="6305" spans="32:33" ht="15.75" customHeight="1">
      <c r="AF6305" s="42" t="s">
        <v>6606</v>
      </c>
      <c r="AG6305" s="42" t="s">
        <v>6573</v>
      </c>
    </row>
    <row r="6306" spans="32:33" ht="15.75" customHeight="1">
      <c r="AF6306" s="42" t="s">
        <v>4963</v>
      </c>
      <c r="AG6306" s="42" t="s">
        <v>6573</v>
      </c>
    </row>
    <row r="6307" spans="32:33" ht="15.75" customHeight="1">
      <c r="AF6307" s="42" t="s">
        <v>1765</v>
      </c>
      <c r="AG6307" s="42" t="s">
        <v>6573</v>
      </c>
    </row>
    <row r="6308" spans="32:33" ht="15.75" customHeight="1">
      <c r="AF6308" s="42" t="s">
        <v>3186</v>
      </c>
      <c r="AG6308" s="42" t="s">
        <v>6573</v>
      </c>
    </row>
    <row r="6309" spans="32:33" ht="15.75" customHeight="1">
      <c r="AF6309" s="42" t="s">
        <v>2499</v>
      </c>
      <c r="AG6309" s="42" t="s">
        <v>6573</v>
      </c>
    </row>
    <row r="6310" spans="32:33" ht="15.75" customHeight="1">
      <c r="AF6310" s="42" t="s">
        <v>3679</v>
      </c>
      <c r="AG6310" s="42" t="s">
        <v>6573</v>
      </c>
    </row>
    <row r="6311" spans="32:33" ht="15.75" customHeight="1">
      <c r="AF6311" s="42" t="s">
        <v>4939</v>
      </c>
      <c r="AG6311" s="42" t="s">
        <v>6573</v>
      </c>
    </row>
    <row r="6312" spans="32:33" ht="15.75" customHeight="1">
      <c r="AF6312" s="42" t="s">
        <v>6615</v>
      </c>
      <c r="AG6312" s="42" t="s">
        <v>6573</v>
      </c>
    </row>
    <row r="6313" spans="32:33" ht="15.75" customHeight="1">
      <c r="AF6313" s="42" t="s">
        <v>4758</v>
      </c>
      <c r="AG6313" s="42" t="s">
        <v>6573</v>
      </c>
    </row>
    <row r="6314" spans="32:33" ht="15.75" customHeight="1">
      <c r="AF6314" s="42" t="s">
        <v>5587</v>
      </c>
      <c r="AG6314" s="42" t="s">
        <v>6573</v>
      </c>
    </row>
    <row r="6315" spans="32:33" ht="15.75" customHeight="1">
      <c r="AF6315" s="42" t="s">
        <v>6581</v>
      </c>
      <c r="AG6315" s="42" t="s">
        <v>6573</v>
      </c>
    </row>
    <row r="6316" spans="32:33" ht="15.75" customHeight="1">
      <c r="AF6316" s="42" t="s">
        <v>2206</v>
      </c>
      <c r="AG6316" s="42" t="s">
        <v>6573</v>
      </c>
    </row>
    <row r="6317" spans="32:33" ht="15.75" customHeight="1">
      <c r="AF6317" s="42" t="s">
        <v>3174</v>
      </c>
      <c r="AG6317" s="42" t="s">
        <v>6573</v>
      </c>
    </row>
    <row r="6318" spans="32:33" ht="15.75" customHeight="1">
      <c r="AF6318" s="42" t="s">
        <v>6416</v>
      </c>
      <c r="AG6318" s="42" t="s">
        <v>6573</v>
      </c>
    </row>
    <row r="6319" spans="32:33" ht="15.75" customHeight="1">
      <c r="AF6319" s="42" t="s">
        <v>3111</v>
      </c>
      <c r="AG6319" s="42" t="s">
        <v>6573</v>
      </c>
    </row>
    <row r="6320" spans="32:33" ht="15.75" customHeight="1">
      <c r="AF6320" s="42" t="s">
        <v>6604</v>
      </c>
      <c r="AG6320" s="42" t="s">
        <v>6573</v>
      </c>
    </row>
    <row r="6321" spans="32:33" ht="15.75" customHeight="1">
      <c r="AF6321" s="42" t="s">
        <v>1103</v>
      </c>
      <c r="AG6321" s="42" t="s">
        <v>6573</v>
      </c>
    </row>
    <row r="6322" spans="32:33" ht="15.75" customHeight="1">
      <c r="AF6322" s="42" t="s">
        <v>6582</v>
      </c>
      <c r="AG6322" s="42" t="s">
        <v>6573</v>
      </c>
    </row>
    <row r="6323" spans="32:33" ht="15.75" customHeight="1">
      <c r="AF6323" s="42" t="s">
        <v>3333</v>
      </c>
      <c r="AG6323" s="42" t="s">
        <v>6573</v>
      </c>
    </row>
    <row r="6324" spans="32:33" ht="15.75" customHeight="1">
      <c r="AF6324" s="42" t="s">
        <v>5770</v>
      </c>
      <c r="AG6324" s="42" t="s">
        <v>6573</v>
      </c>
    </row>
    <row r="6325" spans="32:33" ht="15.75" customHeight="1">
      <c r="AF6325" s="42" t="s">
        <v>2549</v>
      </c>
      <c r="AG6325" s="42" t="s">
        <v>6573</v>
      </c>
    </row>
    <row r="6326" spans="32:33" ht="15.75" customHeight="1">
      <c r="AF6326" s="42" t="s">
        <v>1077</v>
      </c>
      <c r="AG6326" s="42" t="s">
        <v>6573</v>
      </c>
    </row>
    <row r="6327" spans="32:33" ht="15.75" customHeight="1">
      <c r="AF6327" s="42" t="s">
        <v>2014</v>
      </c>
      <c r="AG6327" s="42" t="s">
        <v>6573</v>
      </c>
    </row>
    <row r="6328" spans="32:33" ht="15.75" customHeight="1">
      <c r="AF6328" s="42" t="s">
        <v>6176</v>
      </c>
      <c r="AG6328" s="42" t="s">
        <v>6573</v>
      </c>
    </row>
    <row r="6329" spans="32:33" ht="15.75" customHeight="1">
      <c r="AF6329" s="42" t="s">
        <v>6600</v>
      </c>
      <c r="AG6329" s="42" t="s">
        <v>6573</v>
      </c>
    </row>
    <row r="6330" spans="32:33" ht="15.75" customHeight="1">
      <c r="AF6330" s="42" t="s">
        <v>6026</v>
      </c>
      <c r="AG6330" s="42" t="s">
        <v>6573</v>
      </c>
    </row>
    <row r="6331" spans="32:33" ht="15.75" customHeight="1">
      <c r="AF6331" s="42" t="s">
        <v>2870</v>
      </c>
      <c r="AG6331" s="42" t="s">
        <v>6573</v>
      </c>
    </row>
    <row r="6332" spans="32:33" ht="15.75" customHeight="1">
      <c r="AF6332" s="42" t="s">
        <v>6603</v>
      </c>
      <c r="AG6332" s="42" t="s">
        <v>6573</v>
      </c>
    </row>
    <row r="6333" spans="32:33" ht="15.75" customHeight="1">
      <c r="AF6333" s="42" t="s">
        <v>6607</v>
      </c>
      <c r="AG6333" s="42" t="s">
        <v>6573</v>
      </c>
    </row>
    <row r="6334" spans="32:33" ht="15.75" customHeight="1">
      <c r="AF6334" s="42" t="s">
        <v>6620</v>
      </c>
      <c r="AG6334" s="42" t="s">
        <v>6573</v>
      </c>
    </row>
    <row r="6335" spans="32:33" ht="15.75" customHeight="1">
      <c r="AF6335" s="42" t="s">
        <v>2850</v>
      </c>
      <c r="AG6335" s="42" t="s">
        <v>6573</v>
      </c>
    </row>
    <row r="6336" spans="32:33" ht="15.75" customHeight="1">
      <c r="AF6336" s="42" t="s">
        <v>6699</v>
      </c>
      <c r="AG6336" s="42" t="s">
        <v>6573</v>
      </c>
    </row>
    <row r="6337" spans="32:33" ht="15.75" customHeight="1">
      <c r="AF6337" s="42" t="s">
        <v>2983</v>
      </c>
      <c r="AG6337" s="42" t="s">
        <v>6573</v>
      </c>
    </row>
    <row r="6338" spans="32:33" ht="15.75" customHeight="1">
      <c r="AF6338" s="42" t="s">
        <v>5562</v>
      </c>
      <c r="AG6338" s="42" t="s">
        <v>6573</v>
      </c>
    </row>
    <row r="6339" spans="32:33" ht="15.75" customHeight="1">
      <c r="AF6339" s="42" t="s">
        <v>2025</v>
      </c>
      <c r="AG6339" s="42" t="s">
        <v>6573</v>
      </c>
    </row>
    <row r="6340" spans="32:33" ht="15.75" customHeight="1">
      <c r="AF6340" s="42" t="s">
        <v>3061</v>
      </c>
      <c r="AG6340" s="42" t="s">
        <v>6573</v>
      </c>
    </row>
    <row r="6341" spans="32:33" ht="15.75" customHeight="1">
      <c r="AF6341" s="42" t="s">
        <v>6695</v>
      </c>
      <c r="AG6341" s="42" t="s">
        <v>6573</v>
      </c>
    </row>
    <row r="6342" spans="32:33" ht="15.75" customHeight="1">
      <c r="AF6342" s="42" t="s">
        <v>6583</v>
      </c>
      <c r="AG6342" s="42" t="s">
        <v>6573</v>
      </c>
    </row>
    <row r="6343" spans="32:33" ht="15.75" customHeight="1">
      <c r="AF6343" s="42" t="s">
        <v>2921</v>
      </c>
      <c r="AG6343" s="42" t="s">
        <v>6573</v>
      </c>
    </row>
    <row r="6344" spans="32:33" ht="15.75" customHeight="1">
      <c r="AF6344" s="42" t="s">
        <v>6700</v>
      </c>
      <c r="AG6344" s="42" t="s">
        <v>6573</v>
      </c>
    </row>
    <row r="6345" spans="32:33" ht="15.75" customHeight="1">
      <c r="AF6345" s="42" t="s">
        <v>6614</v>
      </c>
      <c r="AG6345" s="42" t="s">
        <v>6573</v>
      </c>
    </row>
    <row r="6346" spans="32:33" ht="15.75" customHeight="1">
      <c r="AF6346" s="42" t="s">
        <v>4154</v>
      </c>
      <c r="AG6346" s="42" t="s">
        <v>6573</v>
      </c>
    </row>
    <row r="6347" spans="32:33" ht="15.75" customHeight="1">
      <c r="AF6347" s="42" t="s">
        <v>2817</v>
      </c>
      <c r="AG6347" s="42" t="s">
        <v>6573</v>
      </c>
    </row>
    <row r="6348" spans="32:33" ht="15.75" customHeight="1">
      <c r="AF6348" s="42" t="s">
        <v>3654</v>
      </c>
      <c r="AG6348" s="42" t="s">
        <v>6573</v>
      </c>
    </row>
    <row r="6349" spans="32:33" ht="15.75" customHeight="1">
      <c r="AF6349" s="42" t="s">
        <v>2260</v>
      </c>
      <c r="AG6349" s="42" t="s">
        <v>6573</v>
      </c>
    </row>
    <row r="6350" spans="32:33" ht="15.75" customHeight="1">
      <c r="AF6350" s="42" t="s">
        <v>3016</v>
      </c>
      <c r="AG6350" s="42" t="s">
        <v>6573</v>
      </c>
    </row>
    <row r="6351" spans="32:33" ht="15.75" customHeight="1">
      <c r="AF6351" s="42" t="s">
        <v>6690</v>
      </c>
      <c r="AG6351" s="42" t="s">
        <v>6573</v>
      </c>
    </row>
    <row r="6352" spans="32:33" ht="15.75" customHeight="1">
      <c r="AF6352" s="42" t="s">
        <v>6697</v>
      </c>
      <c r="AG6352" s="42" t="s">
        <v>6573</v>
      </c>
    </row>
    <row r="6353" spans="32:33" ht="15.75" customHeight="1">
      <c r="AF6353" s="42" t="s">
        <v>6584</v>
      </c>
      <c r="AG6353" s="42" t="s">
        <v>6573</v>
      </c>
    </row>
    <row r="6354" spans="32:33" ht="15.75" customHeight="1">
      <c r="AF6354" s="42" t="s">
        <v>6593</v>
      </c>
      <c r="AG6354" s="42" t="s">
        <v>6573</v>
      </c>
    </row>
    <row r="6355" spans="32:33" ht="15.75" customHeight="1">
      <c r="AF6355" s="42" t="s">
        <v>3714</v>
      </c>
      <c r="AG6355" s="42" t="s">
        <v>6573</v>
      </c>
    </row>
    <row r="6356" spans="32:33" ht="15.75" customHeight="1">
      <c r="AF6356" s="42" t="s">
        <v>2949</v>
      </c>
      <c r="AG6356" s="42" t="s">
        <v>6573</v>
      </c>
    </row>
    <row r="6357" spans="32:33" ht="15.75" customHeight="1">
      <c r="AF6357" s="42" t="s">
        <v>6585</v>
      </c>
      <c r="AG6357" s="42" t="s">
        <v>6573</v>
      </c>
    </row>
    <row r="6358" spans="32:33" ht="15.75" customHeight="1">
      <c r="AF6358" s="42" t="s">
        <v>6268</v>
      </c>
      <c r="AG6358" s="42" t="s">
        <v>6573</v>
      </c>
    </row>
    <row r="6359" spans="32:33" ht="15.75" customHeight="1">
      <c r="AF6359" s="42" t="s">
        <v>6613</v>
      </c>
      <c r="AG6359" s="42" t="s">
        <v>6573</v>
      </c>
    </row>
    <row r="6360" spans="32:33" ht="15.75" customHeight="1">
      <c r="AF6360" s="42" t="s">
        <v>2406</v>
      </c>
      <c r="AG6360" s="42" t="s">
        <v>6573</v>
      </c>
    </row>
    <row r="6361" spans="32:33" ht="15.75" customHeight="1">
      <c r="AF6361" s="42" t="s">
        <v>5211</v>
      </c>
      <c r="AG6361" s="42" t="s">
        <v>6573</v>
      </c>
    </row>
    <row r="6362" spans="32:33" ht="15.75" customHeight="1">
      <c r="AF6362" s="42" t="s">
        <v>6601</v>
      </c>
      <c r="AG6362" s="42" t="s">
        <v>6573</v>
      </c>
    </row>
    <row r="6363" spans="32:33" ht="15.75" customHeight="1">
      <c r="AF6363" s="42" t="s">
        <v>2193</v>
      </c>
      <c r="AG6363" s="42" t="s">
        <v>6573</v>
      </c>
    </row>
    <row r="6364" spans="32:33" ht="15.75" customHeight="1">
      <c r="AF6364" s="42" t="s">
        <v>3642</v>
      </c>
      <c r="AG6364" s="42" t="s">
        <v>6573</v>
      </c>
    </row>
    <row r="6365" spans="32:33" ht="15.75" customHeight="1">
      <c r="AF6365" s="42" t="s">
        <v>6616</v>
      </c>
      <c r="AG6365" s="42" t="s">
        <v>6573</v>
      </c>
    </row>
    <row r="6366" spans="32:33" ht="15.75" customHeight="1">
      <c r="AF6366" s="42" t="s">
        <v>4974</v>
      </c>
      <c r="AG6366" s="42" t="s">
        <v>6573</v>
      </c>
    </row>
    <row r="6367" spans="32:33" ht="15.75" customHeight="1">
      <c r="AF6367" s="42" t="s">
        <v>1995</v>
      </c>
      <c r="AG6367" s="42" t="s">
        <v>6573</v>
      </c>
    </row>
    <row r="6368" spans="32:33" ht="15.75" customHeight="1">
      <c r="AF6368" s="42" t="s">
        <v>1510</v>
      </c>
      <c r="AG6368" s="42" t="s">
        <v>6573</v>
      </c>
    </row>
    <row r="6369" spans="32:33" ht="15.75" customHeight="1">
      <c r="AF6369" s="42" t="s">
        <v>5366</v>
      </c>
      <c r="AG6369" s="42" t="s">
        <v>6573</v>
      </c>
    </row>
    <row r="6370" spans="32:33" ht="15.75" customHeight="1">
      <c r="AF6370" s="42" t="s">
        <v>1054</v>
      </c>
      <c r="AG6370" s="42" t="s">
        <v>6573</v>
      </c>
    </row>
    <row r="6371" spans="32:33" ht="15.75" customHeight="1">
      <c r="AF6371" s="42" t="s">
        <v>5349</v>
      </c>
      <c r="AG6371" s="42" t="s">
        <v>6573</v>
      </c>
    </row>
    <row r="6372" spans="32:33" ht="15.75" customHeight="1">
      <c r="AF6372" s="42" t="s">
        <v>6612</v>
      </c>
      <c r="AG6372" s="42" t="s">
        <v>6573</v>
      </c>
    </row>
    <row r="6373" spans="32:33" ht="15.75" customHeight="1">
      <c r="AF6373" s="42" t="s">
        <v>6792</v>
      </c>
      <c r="AG6373" s="42" t="s">
        <v>6573</v>
      </c>
    </row>
    <row r="6374" spans="32:33" ht="15.75" customHeight="1">
      <c r="AF6374" s="42" t="s">
        <v>2943</v>
      </c>
      <c r="AG6374" s="42" t="s">
        <v>6573</v>
      </c>
    </row>
    <row r="6375" spans="32:33" ht="15.75" customHeight="1">
      <c r="AF6375" s="42" t="s">
        <v>3010</v>
      </c>
      <c r="AG6375" s="42" t="s">
        <v>6573</v>
      </c>
    </row>
    <row r="6376" spans="32:33" ht="15.75" customHeight="1">
      <c r="AF6376" s="42" t="s">
        <v>6014</v>
      </c>
      <c r="AG6376" s="42" t="s">
        <v>6573</v>
      </c>
    </row>
    <row r="6377" spans="32:33" ht="15.75" customHeight="1">
      <c r="AF6377" s="42" t="s">
        <v>3384</v>
      </c>
      <c r="AG6377" s="42" t="s">
        <v>6573</v>
      </c>
    </row>
    <row r="6378" spans="32:33" ht="15.75" customHeight="1">
      <c r="AF6378" s="42" t="s">
        <v>2859</v>
      </c>
      <c r="AG6378" s="42" t="s">
        <v>6573</v>
      </c>
    </row>
    <row r="6379" spans="32:33" ht="15.75" customHeight="1">
      <c r="AF6379" s="42" t="s">
        <v>2388</v>
      </c>
      <c r="AG6379" s="42" t="s">
        <v>6573</v>
      </c>
    </row>
    <row r="6380" spans="32:33" ht="15.75" customHeight="1">
      <c r="AF6380" s="42" t="s">
        <v>6594</v>
      </c>
      <c r="AG6380" s="42" t="s">
        <v>6573</v>
      </c>
    </row>
    <row r="6381" spans="32:33" ht="15.75" customHeight="1">
      <c r="AF6381" s="42" t="s">
        <v>3499</v>
      </c>
      <c r="AG6381" s="42" t="s">
        <v>6573</v>
      </c>
    </row>
    <row r="6382" spans="32:33" ht="15.75" customHeight="1">
      <c r="AF6382" s="42" t="s">
        <v>1569</v>
      </c>
      <c r="AG6382" s="42" t="s">
        <v>6573</v>
      </c>
    </row>
    <row r="6383" spans="32:33" ht="15.75" customHeight="1">
      <c r="AF6383" s="42" t="s">
        <v>5748</v>
      </c>
      <c r="AG6383" s="42" t="s">
        <v>6573</v>
      </c>
    </row>
    <row r="6384" spans="32:33" ht="15.75" customHeight="1">
      <c r="AF6384" s="42" t="s">
        <v>4714</v>
      </c>
      <c r="AG6384" s="42" t="s">
        <v>6573</v>
      </c>
    </row>
    <row r="6385" spans="32:33" ht="15.75" customHeight="1">
      <c r="AF6385" s="42" t="s">
        <v>1277</v>
      </c>
      <c r="AG6385" s="42" t="s">
        <v>6573</v>
      </c>
    </row>
    <row r="6386" spans="32:33" ht="15.75" customHeight="1">
      <c r="AF6386" s="42" t="s">
        <v>5112</v>
      </c>
      <c r="AG6386" s="42" t="s">
        <v>6573</v>
      </c>
    </row>
    <row r="6387" spans="32:33" ht="15.75" customHeight="1">
      <c r="AF6387" s="42" t="s">
        <v>4820</v>
      </c>
      <c r="AG6387" s="42" t="s">
        <v>6573</v>
      </c>
    </row>
    <row r="6388" spans="32:33" ht="15.75" customHeight="1">
      <c r="AF6388" s="42" t="s">
        <v>3727</v>
      </c>
      <c r="AG6388" s="42" t="s">
        <v>6573</v>
      </c>
    </row>
    <row r="6389" spans="32:33" ht="15.75" customHeight="1">
      <c r="AF6389" s="42" t="s">
        <v>3945</v>
      </c>
      <c r="AG6389" s="42" t="s">
        <v>6573</v>
      </c>
    </row>
    <row r="6390" spans="32:33" ht="15.75" customHeight="1">
      <c r="AF6390" s="42" t="s">
        <v>2710</v>
      </c>
      <c r="AG6390" s="42" t="s">
        <v>6573</v>
      </c>
    </row>
    <row r="6391" spans="32:33" ht="15.75" customHeight="1">
      <c r="AF6391" s="42" t="s">
        <v>6399</v>
      </c>
      <c r="AG6391" s="42" t="s">
        <v>6573</v>
      </c>
    </row>
    <row r="6392" spans="32:33" ht="15.75" customHeight="1">
      <c r="AF6392" s="42" t="s">
        <v>4508</v>
      </c>
      <c r="AG6392" s="42" t="s">
        <v>6573</v>
      </c>
    </row>
    <row r="6393" spans="32:33" ht="15.75" customHeight="1">
      <c r="AF6393" s="42" t="s">
        <v>5930</v>
      </c>
      <c r="AG6393" s="42" t="s">
        <v>6573</v>
      </c>
    </row>
    <row r="6394" spans="32:33" ht="15.75" customHeight="1">
      <c r="AF6394" s="42" t="s">
        <v>5434</v>
      </c>
      <c r="AG6394" s="42" t="s">
        <v>6573</v>
      </c>
    </row>
    <row r="6395" spans="32:33" ht="15.75" customHeight="1">
      <c r="AF6395" s="42" t="s">
        <v>2606</v>
      </c>
      <c r="AG6395" s="42" t="s">
        <v>6573</v>
      </c>
    </row>
    <row r="6396" spans="32:33" ht="15.75" customHeight="1">
      <c r="AF6396" s="42" t="s">
        <v>6599</v>
      </c>
      <c r="AG6396" s="42" t="s">
        <v>6573</v>
      </c>
    </row>
    <row r="6397" spans="32:33" ht="15.75" customHeight="1">
      <c r="AF6397" s="42" t="s">
        <v>6586</v>
      </c>
      <c r="AG6397" s="42" t="s">
        <v>6573</v>
      </c>
    </row>
    <row r="6398" spans="32:33" ht="15.75" customHeight="1">
      <c r="AF6398" s="42" t="s">
        <v>6696</v>
      </c>
      <c r="AG6398" s="42" t="s">
        <v>6573</v>
      </c>
    </row>
    <row r="6399" spans="32:33" ht="15.75" customHeight="1">
      <c r="AF6399" s="42" t="s">
        <v>6693</v>
      </c>
      <c r="AG6399" s="42" t="s">
        <v>6573</v>
      </c>
    </row>
    <row r="6400" spans="32:33" ht="15.75" customHeight="1">
      <c r="AF6400" s="42" t="s">
        <v>6246</v>
      </c>
      <c r="AG6400" s="42" t="s">
        <v>6573</v>
      </c>
    </row>
    <row r="6401" spans="32:33" ht="15.75" customHeight="1">
      <c r="AF6401" s="42" t="s">
        <v>4779</v>
      </c>
      <c r="AG6401" s="42" t="s">
        <v>6573</v>
      </c>
    </row>
    <row r="6402" spans="32:33" ht="15.75" customHeight="1">
      <c r="AF6402" s="42" t="s">
        <v>5106</v>
      </c>
      <c r="AG6402" s="42" t="s">
        <v>6573</v>
      </c>
    </row>
    <row r="6403" spans="32:33" ht="15.75" customHeight="1">
      <c r="AF6403" s="42" t="s">
        <v>1593</v>
      </c>
      <c r="AG6403" s="42" t="s">
        <v>6573</v>
      </c>
    </row>
    <row r="6404" spans="32:33" ht="15.75" customHeight="1">
      <c r="AF6404" s="42" t="s">
        <v>5389</v>
      </c>
      <c r="AG6404" s="42" t="s">
        <v>6573</v>
      </c>
    </row>
    <row r="6405" spans="32:33" ht="15.75" customHeight="1">
      <c r="AF6405" s="42" t="s">
        <v>6733</v>
      </c>
      <c r="AG6405" s="42" t="s">
        <v>6573</v>
      </c>
    </row>
    <row r="6406" spans="32:33" ht="15.75" customHeight="1">
      <c r="AF6406" s="42" t="s">
        <v>6123</v>
      </c>
      <c r="AG6406" s="42" t="s">
        <v>6573</v>
      </c>
    </row>
    <row r="6407" spans="32:33" ht="15.75" customHeight="1">
      <c r="AF6407" s="42" t="s">
        <v>6587</v>
      </c>
      <c r="AG6407" s="42" t="s">
        <v>6573</v>
      </c>
    </row>
    <row r="6408" spans="32:33" ht="15.75" customHeight="1">
      <c r="AF6408" s="42" t="s">
        <v>6595</v>
      </c>
      <c r="AG6408" s="42" t="s">
        <v>6573</v>
      </c>
    </row>
    <row r="6409" spans="32:33" ht="15.75" customHeight="1">
      <c r="AF6409" s="42" t="s">
        <v>4876</v>
      </c>
      <c r="AG6409" s="42" t="s">
        <v>6573</v>
      </c>
    </row>
    <row r="6410" spans="32:33" ht="15.75" customHeight="1">
      <c r="AF6410" s="42" t="s">
        <v>6701</v>
      </c>
      <c r="AG6410" s="42" t="s">
        <v>6573</v>
      </c>
    </row>
    <row r="6411" spans="32:33" ht="15.75" customHeight="1">
      <c r="AF6411" s="42" t="s">
        <v>4894</v>
      </c>
      <c r="AG6411" s="42" t="s">
        <v>6573</v>
      </c>
    </row>
    <row r="6412" spans="32:33" ht="15.75" customHeight="1">
      <c r="AF6412" s="42" t="s">
        <v>6588</v>
      </c>
      <c r="AG6412" s="42" t="s">
        <v>6573</v>
      </c>
    </row>
    <row r="6413" spans="32:33" ht="15.75" customHeight="1">
      <c r="AF6413" s="42" t="s">
        <v>1428</v>
      </c>
      <c r="AG6413" s="42" t="s">
        <v>6573</v>
      </c>
    </row>
    <row r="6414" spans="32:33" ht="15.75" customHeight="1">
      <c r="AF6414" s="42" t="s">
        <v>6589</v>
      </c>
      <c r="AG6414" s="42" t="s">
        <v>6573</v>
      </c>
    </row>
    <row r="6415" spans="32:33" ht="15.75" customHeight="1">
      <c r="AF6415" s="42" t="s">
        <v>6094</v>
      </c>
      <c r="AG6415" s="42" t="s">
        <v>6573</v>
      </c>
    </row>
    <row r="6416" spans="32:33" ht="15.75" customHeight="1">
      <c r="AF6416" s="42" t="s">
        <v>6691</v>
      </c>
      <c r="AG6416" s="42" t="s">
        <v>6573</v>
      </c>
    </row>
    <row r="6417" spans="32:33" ht="15.75" customHeight="1">
      <c r="AF6417" s="42" t="s">
        <v>5744</v>
      </c>
      <c r="AG6417" s="42" t="s">
        <v>6573</v>
      </c>
    </row>
    <row r="6418" spans="32:33" ht="15.75" customHeight="1">
      <c r="AF6418" s="42" t="s">
        <v>3484</v>
      </c>
      <c r="AG6418" s="42" t="s">
        <v>6573</v>
      </c>
    </row>
    <row r="6419" spans="32:33" ht="15.75" customHeight="1">
      <c r="AF6419" s="42" t="s">
        <v>6590</v>
      </c>
      <c r="AG6419" s="42" t="s">
        <v>6573</v>
      </c>
    </row>
    <row r="6420" spans="32:33" ht="15.75" customHeight="1">
      <c r="AF6420" s="42" t="s">
        <v>6591</v>
      </c>
      <c r="AG6420" s="42" t="s">
        <v>6573</v>
      </c>
    </row>
    <row r="6421" spans="32:33" ht="15.75" customHeight="1">
      <c r="AF6421" s="42" t="s">
        <v>5352</v>
      </c>
      <c r="AG6421" s="42" t="s">
        <v>6573</v>
      </c>
    </row>
    <row r="6422" spans="32:33" ht="15.75" customHeight="1">
      <c r="AF6422" s="42" t="s">
        <v>6619</v>
      </c>
      <c r="AG6422" s="42" t="s">
        <v>6573</v>
      </c>
    </row>
    <row r="6423" spans="32:33" ht="15.75" customHeight="1">
      <c r="AF6423" s="42" t="s">
        <v>6168</v>
      </c>
      <c r="AG6423" s="42" t="s">
        <v>6573</v>
      </c>
    </row>
    <row r="6424" spans="32:33" ht="15.75" customHeight="1">
      <c r="AF6424" s="42" t="s">
        <v>5097</v>
      </c>
      <c r="AG6424" s="42" t="s">
        <v>6573</v>
      </c>
    </row>
  </sheetData>
  <protectedRanges>
    <protectedRange algorithmName="SHA-512" hashValue="CfjrJ1VADBuczL721WBO4l+o2YK8sEV6Cw/WzXpe07ngH43jxLUAXm9FXAbnFgAj5Vkkv5GvECcmgZW4c+6O9w==" saltValue="dqExy2LVIOwWhX7GxJq8eQ==" spinCount="100000" sqref="A1:D45" name="Range1" securityDescriptor="O:WDG:WDD:(A;;CC;;;S-1-5-21-387123562-2960336326-864425109-1325)(A;;CC;;;S-1-5-21-387123562-2960336326-864425109-1414)(A;;CC;;;S-1-5-21-387123562-2960336326-864425109-1567)(A;;CC;;;S-1-5-21-387123562-2960336326-864425109-2164)(A;;CC;;;S-1-5-21-387123562-2960336326-864425109-2342)(A;;CC;;;S-1-5-21-387123562-2960336326-864425109-2222)(A;;CC;;;S-1-5-21-387123562-2960336326-864425109-2310)(A;;CC;;;S-1-5-21-387123562-2960336326-864425109-2288)"/>
  </protectedRanges>
  <dataConsolidate function="var" link="1"/>
  <mergeCells count="49">
    <mergeCell ref="A25:D25"/>
    <mergeCell ref="A1:D1"/>
    <mergeCell ref="A2:A3"/>
    <mergeCell ref="B2:D3"/>
    <mergeCell ref="A4:D4"/>
    <mergeCell ref="A5:A6"/>
    <mergeCell ref="B5:D6"/>
    <mergeCell ref="A7:D7"/>
    <mergeCell ref="C17:D17"/>
    <mergeCell ref="C18:D18"/>
    <mergeCell ref="C20:D20"/>
    <mergeCell ref="C21:D21"/>
    <mergeCell ref="A28:A29"/>
    <mergeCell ref="B28:B29"/>
    <mergeCell ref="C28:C29"/>
    <mergeCell ref="D28:D29"/>
    <mergeCell ref="A30:A31"/>
    <mergeCell ref="B30:B31"/>
    <mergeCell ref="C30:C31"/>
    <mergeCell ref="D30:D31"/>
    <mergeCell ref="A32:A33"/>
    <mergeCell ref="B32:B33"/>
    <mergeCell ref="C32:C33"/>
    <mergeCell ref="D32:D33"/>
    <mergeCell ref="A34:A35"/>
    <mergeCell ref="B34:B35"/>
    <mergeCell ref="C34:C35"/>
    <mergeCell ref="D34:D35"/>
    <mergeCell ref="A52:A55"/>
    <mergeCell ref="B52:B55"/>
    <mergeCell ref="A36:A37"/>
    <mergeCell ref="B36:B37"/>
    <mergeCell ref="C36:C37"/>
    <mergeCell ref="A41:D41"/>
    <mergeCell ref="A42:D45"/>
    <mergeCell ref="A47:D47"/>
    <mergeCell ref="A49:A50"/>
    <mergeCell ref="B49:D50"/>
    <mergeCell ref="D36:D37"/>
    <mergeCell ref="A38:A39"/>
    <mergeCell ref="B38:B39"/>
    <mergeCell ref="C38:C39"/>
    <mergeCell ref="D38:D39"/>
    <mergeCell ref="A57:A58"/>
    <mergeCell ref="B57:B58"/>
    <mergeCell ref="A60:A61"/>
    <mergeCell ref="B60:B61"/>
    <mergeCell ref="A63:A64"/>
    <mergeCell ref="B63:B64"/>
  </mergeCells>
  <conditionalFormatting sqref="A2:D3 A1 A4 B9:D9 B10:B14 D10:E14 A5:D6 A8:D8">
    <cfRule type="cellIs" dxfId="27" priority="8" operator="equal">
      <formula>0</formula>
    </cfRule>
    <cfRule type="containsErrors" dxfId="26" priority="9">
      <formula>ISERROR(A1)</formula>
    </cfRule>
  </conditionalFormatting>
  <conditionalFormatting sqref="B10:B14">
    <cfRule type="cellIs" dxfId="25" priority="5" operator="equal">
      <formula>0</formula>
    </cfRule>
  </conditionalFormatting>
  <conditionalFormatting sqref="A9 B19">
    <cfRule type="cellIs" dxfId="24" priority="6" operator="equal">
      <formula>0</formula>
    </cfRule>
  </conditionalFormatting>
  <conditionalFormatting sqref="A9:D14 B19">
    <cfRule type="containsErrors" dxfId="23" priority="7">
      <formula>ISERROR(A9)</formula>
    </cfRule>
  </conditionalFormatting>
  <conditionalFormatting sqref="A7">
    <cfRule type="cellIs" dxfId="22" priority="3" operator="equal">
      <formula>0</formula>
    </cfRule>
    <cfRule type="containsErrors" dxfId="21" priority="4">
      <formula>ISERROR(A7)</formula>
    </cfRule>
  </conditionalFormatting>
  <conditionalFormatting sqref="A7:D7">
    <cfRule type="cellIs" dxfId="20" priority="2" operator="equal">
      <formula>"HIGH"</formula>
    </cfRule>
  </conditionalFormatting>
  <dataValidations disablePrompts="1" count="2">
    <dataValidation type="list" allowBlank="1" showInputMessage="1" showErrorMessage="1" sqref="B49">
      <formula1>$E$204:$E$207</formula1>
    </dataValidation>
    <dataValidation type="list" allowBlank="1" showInputMessage="1" showErrorMessage="1" sqref="B17">
      <formula1>$E$213:$E$218</formula1>
    </dataValidation>
  </dataValidations>
  <printOptions gridLines="1"/>
  <pageMargins left="0.25" right="0.25" top="0.75" bottom="0.75" header="0.3" footer="0.3"/>
  <pageSetup fitToHeight="0" orientation="landscape" r:id="rId1"/>
  <ignoredErrors>
    <ignoredError sqref="B10:C14 B19 A7" evalError="1"/>
  </ignoredErrors>
  <drawing r:id="rId2"/>
  <legacyDrawing r:id="rId3"/>
  <controls>
    <mc:AlternateContent xmlns:mc="http://schemas.openxmlformats.org/markup-compatibility/2006">
      <mc:Choice Requires="x14">
        <control shapeId="4097" r:id="rId4" name="ComboBox1">
          <controlPr defaultSize="0" autoLine="0" linkedCell="B2" listFillRange="F2:F870" r:id="rId5">
            <anchor moveWithCells="1">
              <from>
                <xdr:col>0</xdr:col>
                <xdr:colOff>0</xdr:colOff>
                <xdr:row>1174</xdr:row>
                <xdr:rowOff>0</xdr:rowOff>
              </from>
              <to>
                <xdr:col>2</xdr:col>
                <xdr:colOff>466725</xdr:colOff>
                <xdr:row>1175</xdr:row>
                <xdr:rowOff>123825</xdr:rowOff>
              </to>
            </anchor>
          </controlPr>
        </control>
      </mc:Choice>
      <mc:Fallback>
        <control shapeId="4097" r:id="rId4" name="ComboBox1"/>
      </mc:Fallback>
    </mc:AlternateContent>
    <mc:AlternateContent xmlns:mc="http://schemas.openxmlformats.org/markup-compatibility/2006">
      <mc:Choice Requires="x14">
        <control shapeId="4098" r:id="rId6" name="Check Box 2">
          <controlPr defaultSize="0" autoFill="0" autoLine="0" autoPict="0">
            <anchor moveWithCells="1">
              <from>
                <xdr:col>2</xdr:col>
                <xdr:colOff>1762125</xdr:colOff>
                <xdr:row>16</xdr:row>
                <xdr:rowOff>180975</xdr:rowOff>
              </from>
              <to>
                <xdr:col>3</xdr:col>
                <xdr:colOff>171450</xdr:colOff>
                <xdr:row>18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9" r:id="rId7" name="Check Box 3">
          <controlPr defaultSize="0" autoFill="0" autoLine="0" autoPict="0">
            <anchor moveWithCells="1">
              <from>
                <xdr:col>2</xdr:col>
                <xdr:colOff>885825</xdr:colOff>
                <xdr:row>16</xdr:row>
                <xdr:rowOff>171450</xdr:rowOff>
              </from>
              <to>
                <xdr:col>2</xdr:col>
                <xdr:colOff>1114425</xdr:colOff>
                <xdr:row>18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0" r:id="rId8" name="Check Box 4">
          <controlPr defaultSize="0" autoFill="0" autoLine="0" autoPict="0">
            <anchor moveWithCells="1">
              <from>
                <xdr:col>2</xdr:col>
                <xdr:colOff>1771650</xdr:colOff>
                <xdr:row>19</xdr:row>
                <xdr:rowOff>180975</xdr:rowOff>
              </from>
              <to>
                <xdr:col>3</xdr:col>
                <xdr:colOff>171450</xdr:colOff>
                <xdr:row>21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1" r:id="rId9" name="Check Box 5">
          <controlPr defaultSize="0" autoFill="0" autoLine="0" autoPict="0">
            <anchor moveWithCells="1">
              <from>
                <xdr:col>2</xdr:col>
                <xdr:colOff>895350</xdr:colOff>
                <xdr:row>19</xdr:row>
                <xdr:rowOff>171450</xdr:rowOff>
              </from>
              <to>
                <xdr:col>2</xdr:col>
                <xdr:colOff>1123950</xdr:colOff>
                <xdr:row>21</xdr:row>
                <xdr:rowOff>28575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853"/>
  <sheetViews>
    <sheetView zoomScaleNormal="100" workbookViewId="0">
      <selection activeCell="E1" sqref="E1:E1048576"/>
    </sheetView>
  </sheetViews>
  <sheetFormatPr defaultColWidth="9.140625" defaultRowHeight="15"/>
  <cols>
    <col min="1" max="1" width="9.42578125" style="34" bestFit="1" customWidth="1"/>
    <col min="2" max="2" width="42.7109375" style="35" customWidth="1"/>
    <col min="3" max="3" width="35.42578125" style="35" customWidth="1"/>
    <col min="4" max="4" width="35.140625" style="35" customWidth="1"/>
    <col min="5" max="5" width="22.42578125" style="35" customWidth="1"/>
    <col min="6" max="6" width="24.5703125" style="35" customWidth="1"/>
    <col min="7" max="8" width="14.28515625" style="35" bestFit="1" customWidth="1"/>
    <col min="9" max="9" width="16.28515625" style="35" bestFit="1" customWidth="1"/>
    <col min="10" max="10" width="14.28515625" style="35" bestFit="1" customWidth="1"/>
    <col min="11" max="11" width="15" style="35" bestFit="1" customWidth="1"/>
    <col min="12" max="12" width="19.85546875" style="35" bestFit="1" customWidth="1"/>
    <col min="13" max="13" width="18.7109375" style="16" bestFit="1" customWidth="1"/>
    <col min="14" max="14" width="19.28515625" style="16" bestFit="1" customWidth="1"/>
    <col min="15" max="15" width="17.85546875" style="16" bestFit="1" customWidth="1"/>
    <col min="16" max="16" width="16.5703125" style="16" bestFit="1" customWidth="1"/>
    <col min="17" max="17" width="15.85546875" style="16" bestFit="1" customWidth="1"/>
    <col min="18" max="21" width="9.140625" style="16"/>
    <col min="22" max="22" width="10.85546875" style="16" bestFit="1" customWidth="1"/>
    <col min="23" max="16384" width="9.140625" style="16"/>
  </cols>
  <sheetData>
    <row r="1" spans="1:17">
      <c r="A1" s="11" t="s">
        <v>822</v>
      </c>
      <c r="B1" s="12" t="s">
        <v>823</v>
      </c>
      <c r="C1" s="13" t="s">
        <v>824</v>
      </c>
      <c r="D1" s="13" t="s">
        <v>825</v>
      </c>
      <c r="E1" s="13" t="s">
        <v>826</v>
      </c>
      <c r="F1" s="14" t="s">
        <v>827</v>
      </c>
      <c r="G1" s="14" t="s">
        <v>828</v>
      </c>
      <c r="H1" s="14" t="s">
        <v>829</v>
      </c>
      <c r="I1" s="14" t="s">
        <v>830</v>
      </c>
      <c r="J1" s="14" t="s">
        <v>831</v>
      </c>
      <c r="K1" s="14" t="s">
        <v>832</v>
      </c>
      <c r="L1" s="14" t="s">
        <v>833</v>
      </c>
      <c r="M1" s="14" t="s">
        <v>834</v>
      </c>
      <c r="N1" s="15" t="s">
        <v>835</v>
      </c>
      <c r="O1" s="15" t="s">
        <v>836</v>
      </c>
      <c r="P1" s="15" t="s">
        <v>837</v>
      </c>
      <c r="Q1" s="15" t="s">
        <v>838</v>
      </c>
    </row>
    <row r="2" spans="1:17" s="13" customFormat="1">
      <c r="A2" s="17"/>
      <c r="B2" s="13" t="s">
        <v>3967</v>
      </c>
      <c r="C2" s="13" t="s">
        <v>3967</v>
      </c>
      <c r="D2" s="13" t="s">
        <v>513</v>
      </c>
      <c r="E2" s="13" t="s">
        <v>799</v>
      </c>
      <c r="F2" s="13" t="s">
        <v>3754</v>
      </c>
      <c r="G2" s="13">
        <v>5070881</v>
      </c>
      <c r="H2" s="13">
        <v>2183605</v>
      </c>
      <c r="I2" s="13">
        <v>3300011802</v>
      </c>
      <c r="L2" s="13" t="s">
        <v>3968</v>
      </c>
      <c r="M2" s="13">
        <v>140702263</v>
      </c>
      <c r="N2" s="18" t="s">
        <v>3478</v>
      </c>
      <c r="O2" s="18" t="s">
        <v>3969</v>
      </c>
      <c r="P2" s="18" t="s">
        <v>873</v>
      </c>
      <c r="Q2" s="19">
        <v>41976</v>
      </c>
    </row>
    <row r="3" spans="1:17" s="13" customFormat="1">
      <c r="A3" s="17"/>
      <c r="B3" s="13" t="s">
        <v>2842</v>
      </c>
      <c r="C3" s="13" t="s">
        <v>2843</v>
      </c>
      <c r="D3" s="13" t="s">
        <v>126</v>
      </c>
      <c r="E3" s="13" t="s">
        <v>575</v>
      </c>
      <c r="F3" s="13" t="s">
        <v>2830</v>
      </c>
      <c r="G3" s="13">
        <v>3300001231</v>
      </c>
      <c r="I3" s="13" t="s">
        <v>2844</v>
      </c>
      <c r="J3" s="13">
        <v>2103480</v>
      </c>
      <c r="L3" s="13" t="s">
        <v>2845</v>
      </c>
      <c r="M3" s="13">
        <v>120700699</v>
      </c>
      <c r="N3" s="18" t="s">
        <v>2436</v>
      </c>
      <c r="O3" s="18" t="s">
        <v>2846</v>
      </c>
      <c r="P3" s="18" t="s">
        <v>2847</v>
      </c>
      <c r="Q3" s="19" t="s">
        <v>2055</v>
      </c>
    </row>
    <row r="4" spans="1:17" s="13" customFormat="1">
      <c r="A4" s="17"/>
      <c r="B4" s="13" t="s">
        <v>1274</v>
      </c>
      <c r="C4" s="13" t="s">
        <v>53</v>
      </c>
      <c r="D4" s="13" t="s">
        <v>1275</v>
      </c>
      <c r="E4" s="13" t="s">
        <v>802</v>
      </c>
      <c r="F4" s="13" t="s">
        <v>844</v>
      </c>
      <c r="G4" s="13" t="s">
        <v>1276</v>
      </c>
      <c r="H4" s="13">
        <v>2116316</v>
      </c>
      <c r="I4" s="13">
        <v>3300012829</v>
      </c>
      <c r="L4" s="13" t="s">
        <v>1277</v>
      </c>
      <c r="M4" s="13">
        <v>140702360</v>
      </c>
      <c r="N4" s="18" t="s">
        <v>879</v>
      </c>
      <c r="O4" s="18"/>
      <c r="P4" s="18" t="s">
        <v>1278</v>
      </c>
      <c r="Q4" s="19"/>
    </row>
    <row r="5" spans="1:17" s="13" customFormat="1">
      <c r="A5" s="17" t="s">
        <v>839</v>
      </c>
      <c r="B5" s="13" t="s">
        <v>2342</v>
      </c>
      <c r="C5" s="13" t="s">
        <v>2343</v>
      </c>
      <c r="D5" s="13" t="s">
        <v>2344</v>
      </c>
      <c r="E5" s="13" t="s">
        <v>557</v>
      </c>
      <c r="F5" s="20" t="s">
        <v>2345</v>
      </c>
      <c r="G5" s="13">
        <v>2116299</v>
      </c>
      <c r="H5" s="13" t="s">
        <v>2346</v>
      </c>
      <c r="I5" s="13">
        <v>2116306</v>
      </c>
      <c r="J5" s="13">
        <v>3300008156</v>
      </c>
      <c r="K5" s="13" t="s">
        <v>2347</v>
      </c>
      <c r="L5" s="13" t="s">
        <v>2348</v>
      </c>
      <c r="M5" s="13">
        <v>120707310</v>
      </c>
      <c r="N5" s="18" t="s">
        <v>847</v>
      </c>
      <c r="O5" s="18" t="s">
        <v>2349</v>
      </c>
      <c r="P5" s="18" t="s">
        <v>2350</v>
      </c>
      <c r="Q5" s="19" t="s">
        <v>1461</v>
      </c>
    </row>
    <row r="6" spans="1:17" s="13" customFormat="1">
      <c r="A6" s="17" t="s">
        <v>839</v>
      </c>
      <c r="B6" s="13" t="s">
        <v>2609</v>
      </c>
      <c r="C6" s="13" t="s">
        <v>2610</v>
      </c>
      <c r="D6" s="13" t="s">
        <v>2611</v>
      </c>
      <c r="E6" s="13" t="s">
        <v>680</v>
      </c>
      <c r="F6" s="13" t="s">
        <v>2433</v>
      </c>
      <c r="G6" s="13" t="s">
        <v>2612</v>
      </c>
      <c r="H6" s="13">
        <v>2114785</v>
      </c>
      <c r="I6" s="13">
        <v>3300001222</v>
      </c>
      <c r="J6" s="13" t="s">
        <v>2613</v>
      </c>
      <c r="K6" s="13">
        <v>5032245</v>
      </c>
      <c r="L6" s="13" t="s">
        <v>2614</v>
      </c>
      <c r="M6" s="13">
        <v>120707316</v>
      </c>
      <c r="N6" s="18" t="s">
        <v>2436</v>
      </c>
      <c r="O6" s="18"/>
      <c r="P6" s="18" t="s">
        <v>2615</v>
      </c>
      <c r="Q6" s="19" t="s">
        <v>2578</v>
      </c>
    </row>
    <row r="7" spans="1:17" s="13" customFormat="1">
      <c r="A7" s="17"/>
      <c r="B7" s="13" t="s">
        <v>1912</v>
      </c>
      <c r="C7" s="13" t="s">
        <v>1913</v>
      </c>
      <c r="D7" s="13" t="s">
        <v>117</v>
      </c>
      <c r="E7" s="13" t="s">
        <v>570</v>
      </c>
      <c r="F7" s="13" t="s">
        <v>844</v>
      </c>
      <c r="G7" s="13">
        <v>3300002952</v>
      </c>
      <c r="H7" s="13">
        <v>2103530</v>
      </c>
      <c r="I7" s="13">
        <v>5059374</v>
      </c>
      <c r="J7" s="13" t="s">
        <v>1914</v>
      </c>
      <c r="L7" s="13" t="s">
        <v>1915</v>
      </c>
      <c r="M7" s="13">
        <v>120700672</v>
      </c>
      <c r="N7" s="18" t="s">
        <v>856</v>
      </c>
      <c r="O7" s="18" t="s">
        <v>1916</v>
      </c>
      <c r="P7" s="18" t="s">
        <v>1917</v>
      </c>
      <c r="Q7" s="19" t="s">
        <v>1257</v>
      </c>
    </row>
    <row r="8" spans="1:17" s="13" customFormat="1">
      <c r="A8" s="17" t="s">
        <v>839</v>
      </c>
      <c r="B8" s="13" t="s">
        <v>2799</v>
      </c>
      <c r="C8" s="13" t="s">
        <v>2800</v>
      </c>
      <c r="D8" s="13" t="s">
        <v>222</v>
      </c>
      <c r="E8" s="13" t="s">
        <v>647</v>
      </c>
      <c r="F8" s="13" t="s">
        <v>2433</v>
      </c>
      <c r="G8" s="13">
        <v>3300003014</v>
      </c>
      <c r="H8" s="13">
        <v>2103501</v>
      </c>
      <c r="I8" s="13">
        <v>3300004126</v>
      </c>
      <c r="J8" s="13" t="s">
        <v>2801</v>
      </c>
      <c r="K8" s="13">
        <v>5031864</v>
      </c>
      <c r="L8" s="13" t="s">
        <v>2802</v>
      </c>
      <c r="M8" s="13">
        <v>120703515</v>
      </c>
      <c r="N8" s="18" t="s">
        <v>2436</v>
      </c>
      <c r="O8" s="18"/>
      <c r="P8" s="18" t="s">
        <v>2803</v>
      </c>
      <c r="Q8" s="19">
        <v>41899</v>
      </c>
    </row>
    <row r="9" spans="1:17" s="13" customFormat="1">
      <c r="A9" s="17"/>
      <c r="B9" s="13" t="s">
        <v>2761</v>
      </c>
      <c r="C9" s="13" t="s">
        <v>2762</v>
      </c>
      <c r="D9" s="13" t="s">
        <v>2763</v>
      </c>
      <c r="E9" s="13" t="s">
        <v>753</v>
      </c>
      <c r="F9" s="13" t="s">
        <v>2433</v>
      </c>
      <c r="G9" s="13">
        <v>2117070</v>
      </c>
      <c r="H9" s="13">
        <v>5031901</v>
      </c>
      <c r="I9" s="13">
        <v>3300006805</v>
      </c>
      <c r="L9" s="13" t="s">
        <v>2764</v>
      </c>
      <c r="M9" s="13">
        <v>120705959</v>
      </c>
      <c r="N9" s="18" t="s">
        <v>2436</v>
      </c>
      <c r="O9" s="18"/>
      <c r="P9" s="18" t="s">
        <v>2765</v>
      </c>
      <c r="Q9" s="19" t="s">
        <v>1086</v>
      </c>
    </row>
    <row r="10" spans="1:17" s="13" customFormat="1">
      <c r="A10" s="17"/>
      <c r="B10" s="13" t="s">
        <v>6065</v>
      </c>
      <c r="C10" s="13" t="s">
        <v>6066</v>
      </c>
      <c r="D10" s="13" t="s">
        <v>260</v>
      </c>
      <c r="E10" s="13" t="s">
        <v>532</v>
      </c>
      <c r="F10" s="13" t="s">
        <v>5843</v>
      </c>
      <c r="G10" s="13">
        <v>3300002990</v>
      </c>
      <c r="H10" s="13">
        <v>5001467</v>
      </c>
      <c r="I10" s="13" t="s">
        <v>6067</v>
      </c>
      <c r="J10" s="13">
        <v>2103512</v>
      </c>
      <c r="K10" s="13">
        <v>2116262</v>
      </c>
      <c r="L10" s="13" t="s">
        <v>6068</v>
      </c>
      <c r="M10" s="13">
        <v>120705644</v>
      </c>
      <c r="N10" s="18" t="s">
        <v>3187</v>
      </c>
      <c r="O10" s="18" t="s">
        <v>6069</v>
      </c>
      <c r="P10" s="18" t="s">
        <v>6070</v>
      </c>
      <c r="Q10" s="19" t="s">
        <v>5354</v>
      </c>
    </row>
    <row r="11" spans="1:17" s="13" customFormat="1">
      <c r="A11" s="17"/>
      <c r="B11" s="13" t="s">
        <v>4817</v>
      </c>
      <c r="C11" s="13" t="s">
        <v>4818</v>
      </c>
      <c r="D11" s="13" t="s">
        <v>209</v>
      </c>
      <c r="E11" s="13" t="s">
        <v>636</v>
      </c>
      <c r="F11" s="13" t="s">
        <v>4395</v>
      </c>
      <c r="G11" s="13" t="s">
        <v>4819</v>
      </c>
      <c r="H11" s="13">
        <v>5001453</v>
      </c>
      <c r="I11" s="13">
        <v>2103457</v>
      </c>
      <c r="J11" s="13">
        <v>5001473</v>
      </c>
      <c r="K11" s="13">
        <v>3300003002</v>
      </c>
      <c r="L11" s="13" t="s">
        <v>4820</v>
      </c>
      <c r="M11" s="13">
        <v>120702284</v>
      </c>
      <c r="N11" s="18" t="s">
        <v>4399</v>
      </c>
      <c r="O11" s="18"/>
      <c r="P11" s="18" t="s">
        <v>4821</v>
      </c>
      <c r="Q11" s="19" t="s">
        <v>4822</v>
      </c>
    </row>
    <row r="12" spans="1:17" s="13" customFormat="1">
      <c r="A12" s="17"/>
      <c r="B12" s="13" t="s">
        <v>1279</v>
      </c>
      <c r="C12" s="13" t="s">
        <v>1280</v>
      </c>
      <c r="D12" s="13" t="s">
        <v>361</v>
      </c>
      <c r="E12" s="13" t="s">
        <v>607</v>
      </c>
      <c r="F12" s="13" t="s">
        <v>844</v>
      </c>
      <c r="H12" s="13">
        <v>3300004133</v>
      </c>
      <c r="I12" s="13">
        <v>2084653</v>
      </c>
      <c r="J12" s="13">
        <v>3300004118</v>
      </c>
      <c r="K12" s="13" t="s">
        <v>1281</v>
      </c>
      <c r="L12" s="13" t="s">
        <v>1282</v>
      </c>
      <c r="M12" s="13">
        <v>120902217</v>
      </c>
      <c r="N12" s="18" t="s">
        <v>887</v>
      </c>
      <c r="O12" s="18" t="s">
        <v>1283</v>
      </c>
      <c r="P12" s="18" t="s">
        <v>1284</v>
      </c>
      <c r="Q12" s="19" t="s">
        <v>1285</v>
      </c>
    </row>
    <row r="13" spans="1:17" s="13" customFormat="1">
      <c r="A13" s="17"/>
      <c r="B13" s="13" t="s">
        <v>4078</v>
      </c>
      <c r="C13" s="13" t="s">
        <v>4079</v>
      </c>
      <c r="D13" s="13" t="s">
        <v>4080</v>
      </c>
      <c r="E13" s="13" t="s">
        <v>529</v>
      </c>
      <c r="F13" s="13" t="s">
        <v>3754</v>
      </c>
      <c r="G13" s="13" t="s">
        <v>4081</v>
      </c>
      <c r="H13" s="13">
        <v>2096481</v>
      </c>
      <c r="I13" s="13">
        <v>5040888</v>
      </c>
      <c r="L13" s="13" t="s">
        <v>4082</v>
      </c>
      <c r="M13" s="13">
        <v>140701980</v>
      </c>
      <c r="N13" s="18"/>
      <c r="O13" s="18" t="s">
        <v>4083</v>
      </c>
      <c r="P13" s="18" t="s">
        <v>4084</v>
      </c>
      <c r="Q13" s="19">
        <v>42103</v>
      </c>
    </row>
    <row r="14" spans="1:17" s="13" customFormat="1">
      <c r="A14" s="17" t="s">
        <v>839</v>
      </c>
      <c r="B14" s="13" t="s">
        <v>851</v>
      </c>
      <c r="C14" s="13" t="s">
        <v>852</v>
      </c>
      <c r="D14" s="13" t="s">
        <v>853</v>
      </c>
      <c r="E14" s="13" t="s">
        <v>585</v>
      </c>
      <c r="F14" s="13" t="s">
        <v>844</v>
      </c>
      <c r="G14" s="13" t="s">
        <v>854</v>
      </c>
      <c r="H14" s="13">
        <v>3300001422</v>
      </c>
      <c r="I14" s="13">
        <v>5051830</v>
      </c>
      <c r="J14" s="13">
        <v>3300006725</v>
      </c>
      <c r="K14" s="20"/>
      <c r="L14" s="13" t="s">
        <v>855</v>
      </c>
      <c r="M14" s="13">
        <v>120907757</v>
      </c>
      <c r="N14" s="18" t="s">
        <v>856</v>
      </c>
      <c r="O14" s="18"/>
      <c r="P14" s="18" t="s">
        <v>857</v>
      </c>
      <c r="Q14" s="19"/>
    </row>
    <row r="15" spans="1:17">
      <c r="A15" s="17"/>
      <c r="B15" s="13" t="s">
        <v>5369</v>
      </c>
      <c r="C15" s="13" t="s">
        <v>5370</v>
      </c>
      <c r="D15" s="13" t="s">
        <v>283</v>
      </c>
      <c r="E15" s="13" t="s">
        <v>681</v>
      </c>
      <c r="F15" s="13" t="s">
        <v>5164</v>
      </c>
      <c r="G15" s="13">
        <v>2183566</v>
      </c>
      <c r="H15" s="13">
        <v>5042644</v>
      </c>
      <c r="I15" s="13" t="s">
        <v>5371</v>
      </c>
      <c r="J15" s="13"/>
      <c r="K15" s="13"/>
      <c r="L15" s="13" t="s">
        <v>5372</v>
      </c>
      <c r="M15" s="13">
        <v>120707317</v>
      </c>
      <c r="N15" s="18" t="s">
        <v>5091</v>
      </c>
      <c r="O15" s="18" t="s">
        <v>5373</v>
      </c>
      <c r="P15" s="18" t="s">
        <v>5374</v>
      </c>
      <c r="Q15" s="19" t="s">
        <v>5375</v>
      </c>
    </row>
    <row r="16" spans="1:17">
      <c r="A16" s="17" t="s">
        <v>839</v>
      </c>
      <c r="B16" s="13" t="s">
        <v>5161</v>
      </c>
      <c r="C16" s="13" t="s">
        <v>5162</v>
      </c>
      <c r="D16" s="13" t="s">
        <v>5163</v>
      </c>
      <c r="E16" s="13" t="s">
        <v>697</v>
      </c>
      <c r="F16" s="13" t="s">
        <v>5164</v>
      </c>
      <c r="G16" s="13">
        <v>2117088</v>
      </c>
      <c r="H16" s="13">
        <v>5031834</v>
      </c>
      <c r="I16" s="13" t="s">
        <v>5165</v>
      </c>
      <c r="J16" s="13">
        <v>3300009545</v>
      </c>
      <c r="K16" s="13">
        <v>2117098</v>
      </c>
      <c r="L16" s="13" t="s">
        <v>5166</v>
      </c>
      <c r="M16" s="13">
        <v>140702039</v>
      </c>
      <c r="N16" s="18" t="s">
        <v>4424</v>
      </c>
      <c r="O16" s="18" t="s">
        <v>5167</v>
      </c>
      <c r="P16" s="18" t="s">
        <v>873</v>
      </c>
      <c r="Q16" s="19">
        <v>41863</v>
      </c>
    </row>
    <row r="17" spans="1:17">
      <c r="A17" s="17"/>
      <c r="B17" s="13" t="s">
        <v>5707</v>
      </c>
      <c r="C17" s="13" t="s">
        <v>5708</v>
      </c>
      <c r="D17" s="13" t="s">
        <v>336</v>
      </c>
      <c r="E17" s="13" t="s">
        <v>720</v>
      </c>
      <c r="F17" s="13" t="s">
        <v>5709</v>
      </c>
      <c r="G17" s="13">
        <v>2183511</v>
      </c>
      <c r="H17" s="13">
        <v>5059301</v>
      </c>
      <c r="I17" s="13">
        <v>3300011789</v>
      </c>
      <c r="J17" s="13">
        <v>2183520</v>
      </c>
      <c r="K17" s="13" t="s">
        <v>5710</v>
      </c>
      <c r="L17" s="13" t="s">
        <v>5711</v>
      </c>
      <c r="M17" s="13">
        <v>120713107</v>
      </c>
      <c r="N17" s="18" t="s">
        <v>4399</v>
      </c>
      <c r="O17" s="18" t="s">
        <v>5712</v>
      </c>
      <c r="P17" s="18" t="s">
        <v>5713</v>
      </c>
      <c r="Q17" s="19" t="s">
        <v>5714</v>
      </c>
    </row>
    <row r="18" spans="1:17">
      <c r="A18" s="17"/>
      <c r="B18" s="13" t="s">
        <v>1425</v>
      </c>
      <c r="C18" s="13" t="s">
        <v>1426</v>
      </c>
      <c r="D18" s="13" t="s">
        <v>365</v>
      </c>
      <c r="E18" s="13" t="s">
        <v>566</v>
      </c>
      <c r="F18" s="13" t="s">
        <v>844</v>
      </c>
      <c r="G18" s="13">
        <v>2103511</v>
      </c>
      <c r="H18" s="13">
        <v>3300004140</v>
      </c>
      <c r="I18" s="13" t="s">
        <v>1427</v>
      </c>
      <c r="J18" s="13"/>
      <c r="K18" s="13"/>
      <c r="L18" s="13" t="s">
        <v>1428</v>
      </c>
      <c r="M18" s="13">
        <v>120904200</v>
      </c>
      <c r="N18" s="18" t="s">
        <v>856</v>
      </c>
      <c r="O18" s="18"/>
      <c r="P18" s="18" t="s">
        <v>1429</v>
      </c>
      <c r="Q18" s="19" t="s">
        <v>1430</v>
      </c>
    </row>
    <row r="19" spans="1:17">
      <c r="A19" s="17"/>
      <c r="B19" s="13" t="s">
        <v>2911</v>
      </c>
      <c r="C19" s="13" t="s">
        <v>2912</v>
      </c>
      <c r="D19" s="13" t="s">
        <v>2913</v>
      </c>
      <c r="E19" s="13" t="s">
        <v>562</v>
      </c>
      <c r="F19" s="13" t="s">
        <v>2830</v>
      </c>
      <c r="G19" s="13"/>
      <c r="H19" s="13">
        <v>2119193</v>
      </c>
      <c r="I19" s="13" t="s">
        <v>2914</v>
      </c>
      <c r="J19" s="13"/>
      <c r="K19" s="13"/>
      <c r="L19" s="13" t="s">
        <v>2915</v>
      </c>
      <c r="M19" s="13">
        <v>120908133</v>
      </c>
      <c r="N19" s="18" t="s">
        <v>2436</v>
      </c>
      <c r="O19" s="18" t="s">
        <v>2916</v>
      </c>
      <c r="P19" s="18" t="s">
        <v>2917</v>
      </c>
      <c r="Q19" s="19" t="s">
        <v>1356</v>
      </c>
    </row>
    <row r="20" spans="1:17">
      <c r="A20" s="17"/>
      <c r="B20" s="13" t="s">
        <v>5751</v>
      </c>
      <c r="C20" s="13" t="s">
        <v>5752</v>
      </c>
      <c r="D20" s="13" t="s">
        <v>363</v>
      </c>
      <c r="E20" s="13" t="s">
        <v>588</v>
      </c>
      <c r="F20" s="13" t="s">
        <v>5753</v>
      </c>
      <c r="G20" s="13">
        <v>2114729</v>
      </c>
      <c r="H20" s="13" t="s">
        <v>5754</v>
      </c>
      <c r="I20" s="13" t="s">
        <v>5755</v>
      </c>
      <c r="J20" s="13" t="s">
        <v>5756</v>
      </c>
      <c r="K20" s="13">
        <v>2114749</v>
      </c>
      <c r="L20" s="13" t="s">
        <v>5757</v>
      </c>
      <c r="M20" s="13">
        <v>120902953</v>
      </c>
      <c r="N20" s="18" t="s">
        <v>4472</v>
      </c>
      <c r="O20" s="18" t="s">
        <v>5758</v>
      </c>
      <c r="P20" s="18" t="s">
        <v>5759</v>
      </c>
      <c r="Q20" s="19" t="s">
        <v>997</v>
      </c>
    </row>
    <row r="21" spans="1:17">
      <c r="A21" s="17" t="s">
        <v>839</v>
      </c>
      <c r="B21" s="13" t="s">
        <v>1725</v>
      </c>
      <c r="C21" s="13" t="s">
        <v>1726</v>
      </c>
      <c r="D21" s="13" t="s">
        <v>1727</v>
      </c>
      <c r="E21" s="13" t="s">
        <v>784</v>
      </c>
      <c r="F21" s="13" t="s">
        <v>844</v>
      </c>
      <c r="G21" s="13" t="s">
        <v>1728</v>
      </c>
      <c r="H21" s="13">
        <v>3300009748</v>
      </c>
      <c r="I21" s="13">
        <v>2171882</v>
      </c>
      <c r="J21" s="13">
        <v>5050424</v>
      </c>
      <c r="K21" s="13" t="s">
        <v>1729</v>
      </c>
      <c r="L21" s="13" t="s">
        <v>1730</v>
      </c>
      <c r="M21" s="13">
        <v>130902173</v>
      </c>
      <c r="N21" s="18" t="s">
        <v>879</v>
      </c>
      <c r="O21" s="18" t="s">
        <v>1731</v>
      </c>
      <c r="P21" s="18" t="s">
        <v>1732</v>
      </c>
      <c r="Q21" s="19" t="s">
        <v>1180</v>
      </c>
    </row>
    <row r="22" spans="1:17">
      <c r="A22" s="17"/>
      <c r="B22" s="13" t="s">
        <v>3008</v>
      </c>
      <c r="C22" s="13" t="s">
        <v>3009</v>
      </c>
      <c r="D22" s="13" t="s">
        <v>367</v>
      </c>
      <c r="E22" s="13" t="s">
        <v>652</v>
      </c>
      <c r="F22" s="13" t="s">
        <v>2830</v>
      </c>
      <c r="G22" s="13">
        <v>3300008125</v>
      </c>
      <c r="H22" s="13">
        <v>2103500</v>
      </c>
      <c r="I22" s="13">
        <v>3300004117</v>
      </c>
      <c r="J22" s="13"/>
      <c r="K22" s="13"/>
      <c r="L22" s="13" t="s">
        <v>3010</v>
      </c>
      <c r="M22" s="13">
        <v>120904755</v>
      </c>
      <c r="N22" s="18" t="s">
        <v>2436</v>
      </c>
      <c r="O22" s="18"/>
      <c r="P22" s="18" t="s">
        <v>3011</v>
      </c>
      <c r="Q22" s="19" t="s">
        <v>3012</v>
      </c>
    </row>
    <row r="23" spans="1:17">
      <c r="A23" s="17"/>
      <c r="B23" s="13" t="s">
        <v>3308</v>
      </c>
      <c r="C23" s="13" t="s">
        <v>3309</v>
      </c>
      <c r="D23" s="13" t="s">
        <v>3310</v>
      </c>
      <c r="E23" s="13" t="s">
        <v>598</v>
      </c>
      <c r="F23" s="13" t="s">
        <v>3101</v>
      </c>
      <c r="G23" s="13">
        <v>5031852</v>
      </c>
      <c r="H23" s="13">
        <v>2119256</v>
      </c>
      <c r="I23" s="13" t="s">
        <v>3311</v>
      </c>
      <c r="J23" s="13">
        <v>3300004127</v>
      </c>
      <c r="K23" s="13">
        <v>5031862</v>
      </c>
      <c r="L23" s="13" t="s">
        <v>3312</v>
      </c>
      <c r="M23" s="13">
        <v>120907308</v>
      </c>
      <c r="N23" s="18" t="s">
        <v>887</v>
      </c>
      <c r="O23" s="18" t="s">
        <v>3313</v>
      </c>
      <c r="P23" s="18" t="s">
        <v>3314</v>
      </c>
      <c r="Q23" s="19" t="s">
        <v>3315</v>
      </c>
    </row>
    <row r="24" spans="1:17">
      <c r="A24" s="17"/>
      <c r="B24" s="13" t="s">
        <v>5841</v>
      </c>
      <c r="C24" s="13" t="s">
        <v>5842</v>
      </c>
      <c r="D24" s="13" t="s">
        <v>364</v>
      </c>
      <c r="E24" s="13" t="s">
        <v>648</v>
      </c>
      <c r="F24" s="13" t="s">
        <v>5843</v>
      </c>
      <c r="G24" s="13"/>
      <c r="H24" s="13">
        <v>5014460</v>
      </c>
      <c r="I24" s="13">
        <v>3300005173</v>
      </c>
      <c r="J24" s="13"/>
      <c r="K24" s="13"/>
      <c r="L24" s="13" t="s">
        <v>5844</v>
      </c>
      <c r="M24" s="13">
        <v>120903651</v>
      </c>
      <c r="N24" s="18" t="s">
        <v>3187</v>
      </c>
      <c r="O24" s="18" t="s">
        <v>5845</v>
      </c>
      <c r="P24" s="18" t="s">
        <v>5846</v>
      </c>
      <c r="Q24" s="19" t="s">
        <v>1990</v>
      </c>
    </row>
    <row r="25" spans="1:17">
      <c r="A25" s="17"/>
      <c r="B25" s="13" t="s">
        <v>6319</v>
      </c>
      <c r="C25" s="13" t="s">
        <v>6320</v>
      </c>
      <c r="D25" s="13" t="s">
        <v>360</v>
      </c>
      <c r="E25" s="13" t="s">
        <v>610</v>
      </c>
      <c r="F25" s="13" t="s">
        <v>5843</v>
      </c>
      <c r="G25" s="13">
        <v>2096476</v>
      </c>
      <c r="H25" s="13" t="s">
        <v>6321</v>
      </c>
      <c r="I25" s="13" t="s">
        <v>6322</v>
      </c>
      <c r="J25" s="13">
        <v>5059341</v>
      </c>
      <c r="K25" s="13"/>
      <c r="L25" s="13" t="s">
        <v>6323</v>
      </c>
      <c r="M25" s="13">
        <v>120902015</v>
      </c>
      <c r="N25" s="18" t="s">
        <v>3105</v>
      </c>
      <c r="O25" s="18" t="s">
        <v>6324</v>
      </c>
      <c r="P25" s="18" t="s">
        <v>6325</v>
      </c>
      <c r="Q25" s="19" t="s">
        <v>1623</v>
      </c>
    </row>
    <row r="26" spans="1:17">
      <c r="A26" s="17"/>
      <c r="B26" s="13" t="s">
        <v>2804</v>
      </c>
      <c r="C26" s="13" t="s">
        <v>2805</v>
      </c>
      <c r="D26" s="13" t="s">
        <v>2806</v>
      </c>
      <c r="E26" s="13" t="s">
        <v>690</v>
      </c>
      <c r="F26" s="13" t="s">
        <v>2433</v>
      </c>
      <c r="G26" s="13">
        <v>5031873</v>
      </c>
      <c r="H26" s="13" t="s">
        <v>2807</v>
      </c>
      <c r="I26" s="13">
        <v>2119275</v>
      </c>
      <c r="J26" s="13">
        <v>3300001219</v>
      </c>
      <c r="K26" s="13">
        <v>5031884</v>
      </c>
      <c r="L26" s="13" t="s">
        <v>2808</v>
      </c>
      <c r="M26" s="13">
        <v>120906949</v>
      </c>
      <c r="N26" s="18" t="s">
        <v>2436</v>
      </c>
      <c r="O26" s="18" t="s">
        <v>2809</v>
      </c>
      <c r="P26" s="18" t="s">
        <v>2810</v>
      </c>
      <c r="Q26" s="19" t="s">
        <v>2236</v>
      </c>
    </row>
    <row r="27" spans="1:17">
      <c r="A27" s="17"/>
      <c r="B27" s="13" t="s">
        <v>5813</v>
      </c>
      <c r="C27" s="13" t="s">
        <v>5814</v>
      </c>
      <c r="D27" s="13" t="s">
        <v>5815</v>
      </c>
      <c r="E27" s="13" t="s">
        <v>5816</v>
      </c>
      <c r="F27" s="13" t="s">
        <v>5753</v>
      </c>
      <c r="G27" s="13">
        <v>2081888</v>
      </c>
      <c r="H27" s="13" t="s">
        <v>5817</v>
      </c>
      <c r="I27" s="13">
        <v>3300009548</v>
      </c>
      <c r="J27" s="13"/>
      <c r="K27" s="13"/>
      <c r="L27" s="13" t="s">
        <v>5818</v>
      </c>
      <c r="M27" s="13">
        <v>120912494</v>
      </c>
      <c r="N27" s="18" t="s">
        <v>4472</v>
      </c>
      <c r="O27" s="18" t="s">
        <v>5819</v>
      </c>
      <c r="P27" s="18" t="s">
        <v>5820</v>
      </c>
      <c r="Q27" s="19">
        <v>41863</v>
      </c>
    </row>
    <row r="28" spans="1:17">
      <c r="A28" s="17"/>
      <c r="B28" s="13" t="s">
        <v>1228</v>
      </c>
      <c r="C28" s="13" t="s">
        <v>1229</v>
      </c>
      <c r="D28" s="13" t="s">
        <v>352</v>
      </c>
      <c r="E28" s="13" t="s">
        <v>703</v>
      </c>
      <c r="F28" s="13" t="s">
        <v>844</v>
      </c>
      <c r="G28" s="13">
        <v>2183471</v>
      </c>
      <c r="H28" s="13" t="s">
        <v>1230</v>
      </c>
      <c r="I28" s="13">
        <v>3300006801</v>
      </c>
      <c r="J28" s="13">
        <v>5059311</v>
      </c>
      <c r="K28" s="13"/>
      <c r="L28" s="13" t="s">
        <v>1231</v>
      </c>
      <c r="M28" s="13">
        <v>120900443</v>
      </c>
      <c r="N28" s="18" t="s">
        <v>1188</v>
      </c>
      <c r="O28" s="18" t="s">
        <v>1232</v>
      </c>
      <c r="P28" s="18" t="s">
        <v>1233</v>
      </c>
      <c r="Q28" s="19" t="s">
        <v>1234</v>
      </c>
    </row>
    <row r="29" spans="1:17">
      <c r="A29" s="17"/>
      <c r="B29" s="21" t="s">
        <v>2144</v>
      </c>
      <c r="C29" s="21" t="s">
        <v>2145</v>
      </c>
      <c r="D29" s="21" t="s">
        <v>2146</v>
      </c>
      <c r="E29" s="21" t="s">
        <v>2147</v>
      </c>
      <c r="F29" s="13" t="s">
        <v>844</v>
      </c>
      <c r="G29" s="20" t="s">
        <v>2148</v>
      </c>
      <c r="H29" s="20">
        <v>2116010</v>
      </c>
      <c r="I29" s="20" t="s">
        <v>2149</v>
      </c>
      <c r="J29" s="20">
        <v>5036911</v>
      </c>
      <c r="K29" s="20">
        <v>2116013</v>
      </c>
      <c r="L29" s="20" t="s">
        <v>2150</v>
      </c>
      <c r="M29" s="22">
        <v>120901989</v>
      </c>
      <c r="N29" s="18" t="s">
        <v>896</v>
      </c>
      <c r="O29" s="18" t="s">
        <v>2151</v>
      </c>
      <c r="P29" s="18" t="s">
        <v>2152</v>
      </c>
      <c r="Q29" s="23" t="s">
        <v>899</v>
      </c>
    </row>
    <row r="30" spans="1:17">
      <c r="A30" s="17"/>
      <c r="B30" s="13" t="s">
        <v>4321</v>
      </c>
      <c r="C30" s="13" t="s">
        <v>4322</v>
      </c>
      <c r="D30" s="13" t="s">
        <v>444</v>
      </c>
      <c r="E30" s="13" t="s">
        <v>765</v>
      </c>
      <c r="F30" s="13" t="s">
        <v>3754</v>
      </c>
      <c r="G30" s="13" t="s">
        <v>4323</v>
      </c>
      <c r="H30" s="13">
        <v>5049718</v>
      </c>
      <c r="I30" s="13">
        <v>2172001</v>
      </c>
      <c r="J30" s="13">
        <v>3300009536</v>
      </c>
      <c r="K30" s="13" t="s">
        <v>4324</v>
      </c>
      <c r="L30" s="13" t="s">
        <v>4325</v>
      </c>
      <c r="M30" s="13">
        <v>130704317</v>
      </c>
      <c r="N30" s="18" t="s">
        <v>1018</v>
      </c>
      <c r="O30" s="18" t="s">
        <v>4326</v>
      </c>
      <c r="P30" s="18" t="s">
        <v>4327</v>
      </c>
      <c r="Q30" s="19" t="s">
        <v>4328</v>
      </c>
    </row>
    <row r="31" spans="1:17">
      <c r="A31" s="17" t="s">
        <v>839</v>
      </c>
      <c r="B31" s="13" t="s">
        <v>3822</v>
      </c>
      <c r="C31" s="13" t="s">
        <v>3823</v>
      </c>
      <c r="D31" s="13" t="s">
        <v>116</v>
      </c>
      <c r="E31" s="13" t="s">
        <v>549</v>
      </c>
      <c r="F31" s="13" t="s">
        <v>3754</v>
      </c>
      <c r="G31" s="13" t="s">
        <v>3824</v>
      </c>
      <c r="H31" s="13">
        <v>5050437</v>
      </c>
      <c r="I31" s="13">
        <v>2171923</v>
      </c>
      <c r="J31" s="13">
        <v>3300012267</v>
      </c>
      <c r="K31" s="13">
        <v>2183499</v>
      </c>
      <c r="L31" s="13" t="s">
        <v>3825</v>
      </c>
      <c r="M31" s="13">
        <v>120700663</v>
      </c>
      <c r="N31" s="18" t="s">
        <v>3478</v>
      </c>
      <c r="O31" s="18" t="s">
        <v>3826</v>
      </c>
      <c r="P31" s="18" t="s">
        <v>3827</v>
      </c>
      <c r="Q31" s="19" t="s">
        <v>3828</v>
      </c>
    </row>
    <row r="32" spans="1:17">
      <c r="A32" s="17" t="s">
        <v>839</v>
      </c>
      <c r="B32" s="13" t="s">
        <v>1006</v>
      </c>
      <c r="C32" s="13" t="s">
        <v>1007</v>
      </c>
      <c r="D32" s="13" t="s">
        <v>356</v>
      </c>
      <c r="E32" s="13" t="s">
        <v>727</v>
      </c>
      <c r="F32" s="13" t="s">
        <v>844</v>
      </c>
      <c r="G32" s="13">
        <v>3300001227</v>
      </c>
      <c r="H32" s="13" t="s">
        <v>1008</v>
      </c>
      <c r="I32" s="13">
        <v>3300001228</v>
      </c>
      <c r="J32" s="13">
        <v>2119254</v>
      </c>
      <c r="K32" s="13">
        <v>5031886</v>
      </c>
      <c r="L32" s="13" t="s">
        <v>1009</v>
      </c>
      <c r="M32" s="13">
        <v>120901215</v>
      </c>
      <c r="N32" s="18" t="s">
        <v>856</v>
      </c>
      <c r="O32" s="18" t="s">
        <v>1010</v>
      </c>
      <c r="P32" s="18" t="s">
        <v>1011</v>
      </c>
      <c r="Q32" s="19" t="s">
        <v>1012</v>
      </c>
    </row>
    <row r="33" spans="1:17">
      <c r="A33" s="17" t="s">
        <v>839</v>
      </c>
      <c r="B33" s="13" t="s">
        <v>883</v>
      </c>
      <c r="C33" s="13" t="s">
        <v>884</v>
      </c>
      <c r="D33" s="13" t="s">
        <v>379</v>
      </c>
      <c r="E33" s="13" t="s">
        <v>547</v>
      </c>
      <c r="F33" s="13" t="s">
        <v>844</v>
      </c>
      <c r="G33" s="13">
        <v>2183528</v>
      </c>
      <c r="H33" s="13">
        <v>3300009155</v>
      </c>
      <c r="I33" s="13" t="s">
        <v>885</v>
      </c>
      <c r="J33" s="13">
        <v>5047877</v>
      </c>
      <c r="K33" s="13">
        <v>2183467</v>
      </c>
      <c r="L33" s="13" t="s">
        <v>886</v>
      </c>
      <c r="M33" s="13">
        <v>120909532</v>
      </c>
      <c r="N33" s="18" t="s">
        <v>887</v>
      </c>
      <c r="O33" s="18" t="s">
        <v>888</v>
      </c>
      <c r="P33" s="18" t="s">
        <v>889</v>
      </c>
      <c r="Q33" s="19" t="s">
        <v>890</v>
      </c>
    </row>
    <row r="34" spans="1:17">
      <c r="A34" s="17"/>
      <c r="B34" s="13" t="s">
        <v>5504</v>
      </c>
      <c r="C34" s="13" t="s">
        <v>5505</v>
      </c>
      <c r="D34" s="13" t="s">
        <v>492</v>
      </c>
      <c r="E34" s="13" t="s">
        <v>787</v>
      </c>
      <c r="F34" s="13" t="s">
        <v>5164</v>
      </c>
      <c r="G34" s="13">
        <v>3300009544</v>
      </c>
      <c r="H34" s="13" t="s">
        <v>5506</v>
      </c>
      <c r="I34" s="13">
        <v>2116285</v>
      </c>
      <c r="J34" s="13">
        <v>5050451</v>
      </c>
      <c r="K34" s="13">
        <v>3300009552</v>
      </c>
      <c r="L34" s="13" t="s">
        <v>5507</v>
      </c>
      <c r="M34" s="13">
        <v>131004484</v>
      </c>
      <c r="N34" s="18" t="s">
        <v>3187</v>
      </c>
      <c r="O34" s="18"/>
      <c r="P34" s="18" t="s">
        <v>5508</v>
      </c>
      <c r="Q34" s="19" t="s">
        <v>4426</v>
      </c>
    </row>
    <row r="35" spans="1:17">
      <c r="A35" s="17"/>
      <c r="B35" s="13" t="s">
        <v>4358</v>
      </c>
      <c r="C35" s="13" t="s">
        <v>4359</v>
      </c>
      <c r="D35" s="13" t="s">
        <v>4360</v>
      </c>
      <c r="E35" s="13" t="s">
        <v>791</v>
      </c>
      <c r="F35" s="13" t="s">
        <v>3754</v>
      </c>
      <c r="G35" s="13">
        <v>5059305</v>
      </c>
      <c r="H35" s="13" t="s">
        <v>4361</v>
      </c>
      <c r="I35" s="13">
        <v>2183524</v>
      </c>
      <c r="J35" s="13">
        <v>3300004158</v>
      </c>
      <c r="K35" s="13">
        <v>5059331</v>
      </c>
      <c r="L35" s="13" t="s">
        <v>4362</v>
      </c>
      <c r="M35" s="13">
        <v>120707196</v>
      </c>
      <c r="N35" s="18" t="s">
        <v>1018</v>
      </c>
      <c r="O35" s="18" t="s">
        <v>4363</v>
      </c>
      <c r="P35" s="18" t="s">
        <v>4364</v>
      </c>
      <c r="Q35" s="19" t="s">
        <v>1338</v>
      </c>
    </row>
    <row r="36" spans="1:17">
      <c r="A36" s="17" t="s">
        <v>839</v>
      </c>
      <c r="B36" s="13" t="s">
        <v>5884</v>
      </c>
      <c r="C36" s="13" t="s">
        <v>3378</v>
      </c>
      <c r="D36" s="13" t="s">
        <v>489</v>
      </c>
      <c r="E36" s="13" t="s">
        <v>785</v>
      </c>
      <c r="F36" s="13" t="s">
        <v>5843</v>
      </c>
      <c r="G36" s="13">
        <v>3300009538</v>
      </c>
      <c r="H36" s="13" t="s">
        <v>5885</v>
      </c>
      <c r="I36" s="13">
        <v>5049700</v>
      </c>
      <c r="J36" s="13">
        <v>2171987</v>
      </c>
      <c r="K36" s="13">
        <v>3300009708</v>
      </c>
      <c r="L36" s="13" t="s">
        <v>5886</v>
      </c>
      <c r="M36" s="13">
        <v>131002303</v>
      </c>
      <c r="N36" s="18" t="s">
        <v>3117</v>
      </c>
      <c r="O36" s="18"/>
      <c r="P36" s="18" t="s">
        <v>5887</v>
      </c>
      <c r="Q36" s="19" t="s">
        <v>1966</v>
      </c>
    </row>
    <row r="37" spans="1:17">
      <c r="A37" s="17" t="s">
        <v>839</v>
      </c>
      <c r="B37" s="13" t="s">
        <v>1553</v>
      </c>
      <c r="C37" s="13" t="s">
        <v>1554</v>
      </c>
      <c r="D37" s="13" t="s">
        <v>131</v>
      </c>
      <c r="E37" s="13" t="s">
        <v>580</v>
      </c>
      <c r="F37" s="13" t="s">
        <v>844</v>
      </c>
      <c r="G37" s="13">
        <v>5050420</v>
      </c>
      <c r="H37" s="13">
        <v>3300001662</v>
      </c>
      <c r="I37" s="13">
        <v>2172020</v>
      </c>
      <c r="J37" s="13">
        <v>3300001694</v>
      </c>
      <c r="K37" s="13" t="s">
        <v>1555</v>
      </c>
      <c r="L37" s="13" t="s">
        <v>1556</v>
      </c>
      <c r="M37" s="13">
        <v>120700756</v>
      </c>
      <c r="N37" s="18" t="s">
        <v>879</v>
      </c>
      <c r="O37" s="18"/>
      <c r="P37" s="18" t="s">
        <v>1557</v>
      </c>
      <c r="Q37" s="19" t="s">
        <v>1558</v>
      </c>
    </row>
    <row r="38" spans="1:17">
      <c r="A38" s="17"/>
      <c r="B38" s="13" t="s">
        <v>3113</v>
      </c>
      <c r="C38" s="13" t="s">
        <v>3114</v>
      </c>
      <c r="D38" s="13" t="s">
        <v>469</v>
      </c>
      <c r="E38" s="13" t="s">
        <v>777</v>
      </c>
      <c r="F38" s="13" t="s">
        <v>3101</v>
      </c>
      <c r="G38" s="13">
        <v>2114746</v>
      </c>
      <c r="H38" s="13" t="s">
        <v>3115</v>
      </c>
      <c r="I38" s="13"/>
      <c r="J38" s="13"/>
      <c r="K38" s="13"/>
      <c r="L38" s="13" t="s">
        <v>3116</v>
      </c>
      <c r="M38" s="13">
        <v>130705515</v>
      </c>
      <c r="N38" s="18" t="s">
        <v>3117</v>
      </c>
      <c r="O38" s="18" t="s">
        <v>3118</v>
      </c>
      <c r="P38" s="18" t="s">
        <v>3119</v>
      </c>
      <c r="Q38" s="19" t="s">
        <v>3120</v>
      </c>
    </row>
    <row r="39" spans="1:17">
      <c r="A39" s="17"/>
      <c r="B39" s="13" t="s">
        <v>874</v>
      </c>
      <c r="C39" s="13" t="s">
        <v>875</v>
      </c>
      <c r="D39" s="13" t="s">
        <v>370</v>
      </c>
      <c r="E39" s="13" t="s">
        <v>876</v>
      </c>
      <c r="F39" s="13" t="s">
        <v>844</v>
      </c>
      <c r="G39" s="13">
        <v>2103873</v>
      </c>
      <c r="H39" s="13" t="s">
        <v>877</v>
      </c>
      <c r="I39" s="13">
        <v>2103931</v>
      </c>
      <c r="J39" s="13">
        <v>3300003614</v>
      </c>
      <c r="K39" s="13">
        <v>2103871</v>
      </c>
      <c r="L39" s="13" t="s">
        <v>878</v>
      </c>
      <c r="M39" s="13">
        <v>120905014</v>
      </c>
      <c r="N39" s="18" t="s">
        <v>879</v>
      </c>
      <c r="O39" s="18" t="s">
        <v>880</v>
      </c>
      <c r="P39" s="18" t="s">
        <v>881</v>
      </c>
      <c r="Q39" s="19" t="s">
        <v>882</v>
      </c>
    </row>
    <row r="40" spans="1:17">
      <c r="A40" s="17"/>
      <c r="B40" s="13" t="s">
        <v>3368</v>
      </c>
      <c r="C40" s="13" t="s">
        <v>3369</v>
      </c>
      <c r="D40" s="13" t="s">
        <v>74</v>
      </c>
      <c r="E40" s="13" t="s">
        <v>534</v>
      </c>
      <c r="F40" s="13" t="s">
        <v>3101</v>
      </c>
      <c r="G40" s="13" t="s">
        <v>3370</v>
      </c>
      <c r="H40" s="13" t="s">
        <v>3371</v>
      </c>
      <c r="I40" s="13" t="s">
        <v>3372</v>
      </c>
      <c r="J40" s="13">
        <v>5031869</v>
      </c>
      <c r="K40" s="13"/>
      <c r="L40" s="13" t="s">
        <v>3373</v>
      </c>
      <c r="M40" s="13">
        <v>120700383</v>
      </c>
      <c r="N40" s="18" t="s">
        <v>887</v>
      </c>
      <c r="O40" s="18" t="s">
        <v>3374</v>
      </c>
      <c r="P40" s="18" t="s">
        <v>3375</v>
      </c>
      <c r="Q40" s="19" t="s">
        <v>3376</v>
      </c>
    </row>
    <row r="41" spans="1:17">
      <c r="A41" s="17" t="s">
        <v>839</v>
      </c>
      <c r="B41" s="13" t="s">
        <v>1339</v>
      </c>
      <c r="C41" s="13" t="s">
        <v>1340</v>
      </c>
      <c r="D41" s="13" t="s">
        <v>394</v>
      </c>
      <c r="E41" s="13" t="s">
        <v>744</v>
      </c>
      <c r="F41" s="13" t="s">
        <v>844</v>
      </c>
      <c r="G41" s="13">
        <v>3300009722</v>
      </c>
      <c r="H41" s="13">
        <v>5050458</v>
      </c>
      <c r="I41" s="13" t="s">
        <v>1341</v>
      </c>
      <c r="J41" s="13">
        <v>2177358</v>
      </c>
      <c r="K41" s="13">
        <v>3300010892</v>
      </c>
      <c r="L41" s="13" t="s">
        <v>1342</v>
      </c>
      <c r="M41" s="13">
        <v>130700400</v>
      </c>
      <c r="N41" s="18" t="s">
        <v>1188</v>
      </c>
      <c r="O41" s="18" t="s">
        <v>1343</v>
      </c>
      <c r="P41" s="18" t="s">
        <v>1344</v>
      </c>
      <c r="Q41" s="19" t="s">
        <v>1345</v>
      </c>
    </row>
    <row r="42" spans="1:17">
      <c r="A42" s="17" t="s">
        <v>839</v>
      </c>
      <c r="B42" s="13" t="s">
        <v>6338</v>
      </c>
      <c r="C42" s="13" t="s">
        <v>6339</v>
      </c>
      <c r="D42" s="13" t="s">
        <v>6340</v>
      </c>
      <c r="E42" s="13" t="s">
        <v>687</v>
      </c>
      <c r="F42" s="13" t="s">
        <v>5843</v>
      </c>
      <c r="G42" s="13" t="s">
        <v>6341</v>
      </c>
      <c r="H42" s="13">
        <v>3300008152</v>
      </c>
      <c r="I42" s="13">
        <v>2119274</v>
      </c>
      <c r="J42" s="13" t="s">
        <v>6342</v>
      </c>
      <c r="K42" s="13">
        <v>2103953</v>
      </c>
      <c r="L42" s="13" t="s">
        <v>6343</v>
      </c>
      <c r="M42" s="13">
        <v>140700603</v>
      </c>
      <c r="N42" s="18" t="s">
        <v>3105</v>
      </c>
      <c r="O42" s="18" t="s">
        <v>6344</v>
      </c>
      <c r="P42" s="18" t="s">
        <v>6345</v>
      </c>
      <c r="Q42" s="19" t="s">
        <v>1338</v>
      </c>
    </row>
    <row r="43" spans="1:17">
      <c r="A43" s="17"/>
      <c r="B43" s="21" t="s">
        <v>891</v>
      </c>
      <c r="C43" s="21" t="s">
        <v>892</v>
      </c>
      <c r="D43" s="21" t="s">
        <v>893</v>
      </c>
      <c r="E43" s="21" t="s">
        <v>547</v>
      </c>
      <c r="F43" s="13" t="s">
        <v>844</v>
      </c>
      <c r="G43" s="20">
        <v>2166986</v>
      </c>
      <c r="H43" s="20">
        <v>3300010658</v>
      </c>
      <c r="I43" s="20" t="s">
        <v>894</v>
      </c>
      <c r="J43" s="20"/>
      <c r="K43" s="20"/>
      <c r="L43" s="20" t="s">
        <v>895</v>
      </c>
      <c r="M43" s="22">
        <v>130705022</v>
      </c>
      <c r="N43" s="18" t="s">
        <v>896</v>
      </c>
      <c r="O43" s="18" t="s">
        <v>897</v>
      </c>
      <c r="P43" s="18" t="s">
        <v>898</v>
      </c>
      <c r="Q43" s="23" t="s">
        <v>899</v>
      </c>
    </row>
    <row r="44" spans="1:17">
      <c r="A44" s="17"/>
      <c r="B44" s="21" t="s">
        <v>900</v>
      </c>
      <c r="C44" s="21" t="s">
        <v>901</v>
      </c>
      <c r="D44" s="21" t="s">
        <v>902</v>
      </c>
      <c r="E44" s="21" t="s">
        <v>547</v>
      </c>
      <c r="F44" s="13" t="s">
        <v>844</v>
      </c>
      <c r="G44" s="20">
        <v>3300010089</v>
      </c>
      <c r="H44" s="20">
        <v>2117377</v>
      </c>
      <c r="I44" s="20" t="s">
        <v>903</v>
      </c>
      <c r="J44" s="20" t="s">
        <v>904</v>
      </c>
      <c r="K44" s="20">
        <v>5048924</v>
      </c>
      <c r="L44" s="20" t="s">
        <v>905</v>
      </c>
      <c r="M44" s="22">
        <v>120809533</v>
      </c>
      <c r="N44" s="18" t="s">
        <v>896</v>
      </c>
      <c r="O44" s="18"/>
      <c r="P44" s="18" t="s">
        <v>906</v>
      </c>
      <c r="Q44" s="23" t="s">
        <v>899</v>
      </c>
    </row>
    <row r="45" spans="1:17">
      <c r="A45" s="17" t="s">
        <v>839</v>
      </c>
      <c r="B45" s="21" t="s">
        <v>907</v>
      </c>
      <c r="C45" s="21" t="s">
        <v>908</v>
      </c>
      <c r="D45" s="21" t="s">
        <v>909</v>
      </c>
      <c r="E45" s="21" t="s">
        <v>547</v>
      </c>
      <c r="F45" s="13" t="s">
        <v>844</v>
      </c>
      <c r="G45" s="20">
        <v>3300009470</v>
      </c>
      <c r="H45" s="20">
        <v>5003023</v>
      </c>
      <c r="I45" s="20" t="s">
        <v>910</v>
      </c>
      <c r="J45" s="20">
        <v>2084831</v>
      </c>
      <c r="K45" s="20" t="s">
        <v>911</v>
      </c>
      <c r="L45" s="20" t="s">
        <v>912</v>
      </c>
      <c r="M45" s="22">
        <v>120803496</v>
      </c>
      <c r="N45" s="18" t="s">
        <v>896</v>
      </c>
      <c r="O45" s="18" t="s">
        <v>913</v>
      </c>
      <c r="P45" s="18" t="s">
        <v>914</v>
      </c>
      <c r="Q45" s="23" t="s">
        <v>899</v>
      </c>
    </row>
    <row r="46" spans="1:17">
      <c r="A46" s="17"/>
      <c r="B46" s="13" t="s">
        <v>3632</v>
      </c>
      <c r="C46" s="13" t="s">
        <v>3633</v>
      </c>
      <c r="D46" s="13" t="s">
        <v>3634</v>
      </c>
      <c r="E46" s="13" t="s">
        <v>560</v>
      </c>
      <c r="F46" s="13" t="s">
        <v>3558</v>
      </c>
      <c r="G46" s="13" t="s">
        <v>3635</v>
      </c>
      <c r="H46" s="13">
        <v>2119210</v>
      </c>
      <c r="I46" s="13">
        <v>5031871</v>
      </c>
      <c r="J46" s="13"/>
      <c r="K46" s="13"/>
      <c r="L46" s="13" t="s">
        <v>3636</v>
      </c>
      <c r="M46" s="13">
        <v>140704037</v>
      </c>
      <c r="N46" s="18"/>
      <c r="O46" s="18" t="s">
        <v>3637</v>
      </c>
      <c r="P46" s="18" t="s">
        <v>3638</v>
      </c>
      <c r="Q46" s="19"/>
    </row>
    <row r="47" spans="1:17">
      <c r="A47" s="17" t="s">
        <v>839</v>
      </c>
      <c r="B47" s="13" t="s">
        <v>4656</v>
      </c>
      <c r="C47" s="13" t="s">
        <v>4657</v>
      </c>
      <c r="D47" s="13" t="s">
        <v>4658</v>
      </c>
      <c r="E47" s="13" t="s">
        <v>582</v>
      </c>
      <c r="F47" s="13" t="s">
        <v>4395</v>
      </c>
      <c r="G47" s="13">
        <v>2116254</v>
      </c>
      <c r="H47" s="13" t="s">
        <v>4659</v>
      </c>
      <c r="I47" s="13">
        <v>2116275</v>
      </c>
      <c r="J47" s="13">
        <v>3300008162</v>
      </c>
      <c r="K47" s="13">
        <v>2116255</v>
      </c>
      <c r="L47" s="13" t="s">
        <v>4660</v>
      </c>
      <c r="M47" s="13">
        <v>120805825</v>
      </c>
      <c r="N47" s="18" t="s">
        <v>4399</v>
      </c>
      <c r="O47" s="18" t="s">
        <v>4661</v>
      </c>
      <c r="P47" s="18" t="s">
        <v>4662</v>
      </c>
      <c r="Q47" s="19" t="s">
        <v>4663</v>
      </c>
    </row>
    <row r="48" spans="1:17">
      <c r="A48" s="17"/>
      <c r="B48" s="13" t="s">
        <v>4607</v>
      </c>
      <c r="C48" s="13" t="s">
        <v>4608</v>
      </c>
      <c r="D48" s="13" t="s">
        <v>358</v>
      </c>
      <c r="E48" s="13" t="s">
        <v>728</v>
      </c>
      <c r="F48" s="13" t="s">
        <v>4395</v>
      </c>
      <c r="G48" s="13">
        <v>5045661</v>
      </c>
      <c r="H48" s="13" t="s">
        <v>4609</v>
      </c>
      <c r="I48" s="13">
        <v>2171949</v>
      </c>
      <c r="J48" s="13">
        <v>3300011488</v>
      </c>
      <c r="K48" s="13">
        <v>5045692</v>
      </c>
      <c r="L48" s="13" t="s">
        <v>4610</v>
      </c>
      <c r="M48" s="13">
        <v>120901429</v>
      </c>
      <c r="N48" s="18" t="s">
        <v>4399</v>
      </c>
      <c r="O48" s="18" t="s">
        <v>4611</v>
      </c>
      <c r="P48" s="18" t="s">
        <v>4612</v>
      </c>
      <c r="Q48" s="19" t="s">
        <v>1623</v>
      </c>
    </row>
    <row r="49" spans="1:17">
      <c r="A49" s="17" t="s">
        <v>839</v>
      </c>
      <c r="B49" s="13" t="s">
        <v>1930</v>
      </c>
      <c r="C49" s="13" t="s">
        <v>1931</v>
      </c>
      <c r="D49" s="13" t="s">
        <v>195</v>
      </c>
      <c r="E49" s="13" t="s">
        <v>601</v>
      </c>
      <c r="F49" s="13" t="s">
        <v>844</v>
      </c>
      <c r="G49" s="13">
        <v>3300001700</v>
      </c>
      <c r="H49" s="13">
        <v>2171904</v>
      </c>
      <c r="I49" s="13">
        <v>5031867</v>
      </c>
      <c r="J49" s="13" t="s">
        <v>1932</v>
      </c>
      <c r="K49" s="13" t="s">
        <v>1933</v>
      </c>
      <c r="L49" s="13" t="s">
        <v>1934</v>
      </c>
      <c r="M49" s="13">
        <v>120702102</v>
      </c>
      <c r="N49" s="18" t="s">
        <v>856</v>
      </c>
      <c r="O49" s="18" t="s">
        <v>1935</v>
      </c>
      <c r="P49" s="18" t="s">
        <v>1936</v>
      </c>
      <c r="Q49" s="19" t="s">
        <v>1937</v>
      </c>
    </row>
    <row r="50" spans="1:17">
      <c r="A50" s="17"/>
      <c r="B50" s="13" t="s">
        <v>1847</v>
      </c>
      <c r="C50" s="13" t="s">
        <v>1848</v>
      </c>
      <c r="D50" s="13" t="s">
        <v>1849</v>
      </c>
      <c r="E50" s="13" t="s">
        <v>1850</v>
      </c>
      <c r="F50" s="13" t="s">
        <v>844</v>
      </c>
      <c r="G50" s="13" t="s">
        <v>1851</v>
      </c>
      <c r="H50" s="13" t="s">
        <v>1852</v>
      </c>
      <c r="I50" s="13">
        <v>2116265</v>
      </c>
      <c r="J50" s="13"/>
      <c r="K50" s="13"/>
      <c r="L50" s="13" t="s">
        <v>1853</v>
      </c>
      <c r="M50" s="13">
        <v>120706040</v>
      </c>
      <c r="N50" s="18" t="s">
        <v>887</v>
      </c>
      <c r="O50" s="18" t="s">
        <v>1854</v>
      </c>
      <c r="P50" s="18" t="s">
        <v>1855</v>
      </c>
      <c r="Q50" s="19" t="s">
        <v>1506</v>
      </c>
    </row>
    <row r="51" spans="1:17">
      <c r="A51" s="17" t="s">
        <v>839</v>
      </c>
      <c r="B51" s="13" t="s">
        <v>1918</v>
      </c>
      <c r="C51" s="13" t="s">
        <v>11</v>
      </c>
      <c r="D51" s="13" t="s">
        <v>276</v>
      </c>
      <c r="E51" s="13" t="s">
        <v>570</v>
      </c>
      <c r="F51" s="13" t="s">
        <v>844</v>
      </c>
      <c r="G51" s="13">
        <v>2116284</v>
      </c>
      <c r="H51" s="13" t="s">
        <v>1919</v>
      </c>
      <c r="I51" s="13">
        <v>2116300</v>
      </c>
      <c r="J51" s="13">
        <v>5045677</v>
      </c>
      <c r="K51" s="13">
        <v>3300002817</v>
      </c>
      <c r="L51" s="13" t="s">
        <v>1920</v>
      </c>
      <c r="M51" s="13">
        <v>120706835</v>
      </c>
      <c r="N51" s="18" t="s">
        <v>879</v>
      </c>
      <c r="O51" s="18" t="s">
        <v>1921</v>
      </c>
      <c r="P51" s="18" t="s">
        <v>1922</v>
      </c>
      <c r="Q51" s="19" t="s">
        <v>1923</v>
      </c>
    </row>
    <row r="52" spans="1:17">
      <c r="A52" s="17"/>
      <c r="B52" s="13" t="s">
        <v>5399</v>
      </c>
      <c r="C52" s="13" t="s">
        <v>5400</v>
      </c>
      <c r="D52" s="13" t="s">
        <v>5401</v>
      </c>
      <c r="E52" s="13" t="s">
        <v>778</v>
      </c>
      <c r="F52" s="13" t="s">
        <v>5164</v>
      </c>
      <c r="G52" s="13">
        <v>2103944</v>
      </c>
      <c r="H52" s="13">
        <v>5031907</v>
      </c>
      <c r="I52" s="13">
        <v>3300009550</v>
      </c>
      <c r="J52" s="13"/>
      <c r="K52" s="13"/>
      <c r="L52" s="13" t="s">
        <v>5402</v>
      </c>
      <c r="M52" s="13">
        <v>130705591</v>
      </c>
      <c r="N52" s="18" t="s">
        <v>4721</v>
      </c>
      <c r="O52" s="18" t="s">
        <v>5403</v>
      </c>
      <c r="P52" s="18" t="s">
        <v>5404</v>
      </c>
      <c r="Q52" s="19"/>
    </row>
    <row r="53" spans="1:17">
      <c r="A53" s="17"/>
      <c r="B53" s="13" t="s">
        <v>5425</v>
      </c>
      <c r="C53" s="13" t="s">
        <v>5426</v>
      </c>
      <c r="D53" s="13" t="s">
        <v>128</v>
      </c>
      <c r="E53" s="13" t="s">
        <v>576</v>
      </c>
      <c r="F53" s="13" t="s">
        <v>5164</v>
      </c>
      <c r="G53" s="13">
        <v>2114713</v>
      </c>
      <c r="H53" s="13" t="s">
        <v>5427</v>
      </c>
      <c r="I53" s="13">
        <v>3300001268</v>
      </c>
      <c r="J53" s="13">
        <v>2183516</v>
      </c>
      <c r="K53" s="13">
        <v>3300001263</v>
      </c>
      <c r="L53" s="13" t="s">
        <v>5428</v>
      </c>
      <c r="M53" s="13">
        <v>120700715</v>
      </c>
      <c r="N53" s="18" t="s">
        <v>5091</v>
      </c>
      <c r="O53" s="18"/>
      <c r="P53" s="18" t="s">
        <v>5429</v>
      </c>
      <c r="Q53" s="19" t="s">
        <v>3018</v>
      </c>
    </row>
    <row r="54" spans="1:17">
      <c r="A54" s="17"/>
      <c r="B54" s="13" t="s">
        <v>6149</v>
      </c>
      <c r="C54" s="13" t="s">
        <v>6150</v>
      </c>
      <c r="D54" s="13" t="s">
        <v>6151</v>
      </c>
      <c r="E54" s="13" t="s">
        <v>747</v>
      </c>
      <c r="F54" s="13" t="s">
        <v>5843</v>
      </c>
      <c r="G54" s="13" t="s">
        <v>6152</v>
      </c>
      <c r="H54" s="13" t="s">
        <v>6153</v>
      </c>
      <c r="I54" s="13" t="s">
        <v>6154</v>
      </c>
      <c r="J54" s="13">
        <v>2103863</v>
      </c>
      <c r="K54" s="13"/>
      <c r="L54" s="13" t="s">
        <v>6155</v>
      </c>
      <c r="M54" s="13">
        <v>140703679</v>
      </c>
      <c r="N54" s="18"/>
      <c r="O54" s="18" t="s">
        <v>6156</v>
      </c>
      <c r="P54" s="18" t="s">
        <v>6157</v>
      </c>
      <c r="Q54" s="19">
        <v>42104</v>
      </c>
    </row>
    <row r="55" spans="1:17">
      <c r="A55" s="17"/>
      <c r="B55" s="13" t="s">
        <v>5340</v>
      </c>
      <c r="C55" s="13" t="s">
        <v>5341</v>
      </c>
      <c r="D55" s="13" t="s">
        <v>5342</v>
      </c>
      <c r="E55" s="13" t="s">
        <v>668</v>
      </c>
      <c r="F55" s="13" t="s">
        <v>5164</v>
      </c>
      <c r="G55" s="13" t="s">
        <v>5343</v>
      </c>
      <c r="H55" s="13">
        <v>5033024</v>
      </c>
      <c r="I55" s="13"/>
      <c r="J55" s="13"/>
      <c r="K55" s="13"/>
      <c r="L55" s="13" t="s">
        <v>5344</v>
      </c>
      <c r="M55" s="13">
        <v>120712253</v>
      </c>
      <c r="N55" s="18" t="s">
        <v>4721</v>
      </c>
      <c r="O55" s="18"/>
      <c r="P55" s="18" t="s">
        <v>5345</v>
      </c>
      <c r="Q55" s="19" t="s">
        <v>2780</v>
      </c>
    </row>
    <row r="56" spans="1:17">
      <c r="A56" s="17"/>
      <c r="B56" s="13" t="s">
        <v>4475</v>
      </c>
      <c r="C56" s="13" t="s">
        <v>4476</v>
      </c>
      <c r="D56" s="13" t="s">
        <v>494</v>
      </c>
      <c r="E56" s="13" t="s">
        <v>599</v>
      </c>
      <c r="F56" s="13" t="s">
        <v>4395</v>
      </c>
      <c r="G56" s="13">
        <v>2183587</v>
      </c>
      <c r="H56" s="13" t="s">
        <v>4477</v>
      </c>
      <c r="I56" s="13">
        <v>3300009712</v>
      </c>
      <c r="J56" s="13" t="s">
        <v>4478</v>
      </c>
      <c r="K56" s="13"/>
      <c r="L56" s="13" t="s">
        <v>4479</v>
      </c>
      <c r="M56" s="13">
        <v>140700003</v>
      </c>
      <c r="N56" s="18" t="s">
        <v>4399</v>
      </c>
      <c r="O56" s="18" t="s">
        <v>4480</v>
      </c>
      <c r="P56" s="18"/>
      <c r="Q56" s="19" t="s">
        <v>1234</v>
      </c>
    </row>
    <row r="57" spans="1:17">
      <c r="A57" s="17" t="s">
        <v>839</v>
      </c>
      <c r="B57" s="13" t="s">
        <v>2835</v>
      </c>
      <c r="C57" s="13" t="s">
        <v>2836</v>
      </c>
      <c r="D57" s="13" t="s">
        <v>2837</v>
      </c>
      <c r="E57" s="13" t="s">
        <v>674</v>
      </c>
      <c r="F57" s="13" t="s">
        <v>2830</v>
      </c>
      <c r="G57" s="13">
        <v>2114731</v>
      </c>
      <c r="H57" s="13">
        <v>3300002942</v>
      </c>
      <c r="I57" s="13">
        <v>2103891</v>
      </c>
      <c r="J57" s="13" t="s">
        <v>2838</v>
      </c>
      <c r="K57" s="13">
        <v>3300004115</v>
      </c>
      <c r="L57" s="13" t="s">
        <v>2839</v>
      </c>
      <c r="M57" s="13">
        <v>120706719</v>
      </c>
      <c r="N57" s="18" t="s">
        <v>887</v>
      </c>
      <c r="O57" s="18" t="s">
        <v>2840</v>
      </c>
      <c r="P57" s="18" t="s">
        <v>2841</v>
      </c>
      <c r="Q57" s="19">
        <v>41835</v>
      </c>
    </row>
    <row r="58" spans="1:17">
      <c r="A58" s="17" t="s">
        <v>839</v>
      </c>
      <c r="B58" s="13" t="s">
        <v>3253</v>
      </c>
      <c r="C58" s="13" t="s">
        <v>3254</v>
      </c>
      <c r="D58" s="13" t="s">
        <v>491</v>
      </c>
      <c r="E58" s="13" t="s">
        <v>724</v>
      </c>
      <c r="F58" s="13" t="s">
        <v>3101</v>
      </c>
      <c r="G58" s="13">
        <v>2183597</v>
      </c>
      <c r="H58" s="13">
        <v>3300002988</v>
      </c>
      <c r="I58" s="13" t="s">
        <v>3255</v>
      </c>
      <c r="J58" s="13">
        <v>5047870</v>
      </c>
      <c r="K58" s="13">
        <v>2183497</v>
      </c>
      <c r="L58" s="13" t="s">
        <v>3256</v>
      </c>
      <c r="M58" s="13">
        <v>131003839</v>
      </c>
      <c r="N58" s="18" t="s">
        <v>1188</v>
      </c>
      <c r="O58" s="18" t="s">
        <v>873</v>
      </c>
      <c r="P58" s="18" t="s">
        <v>3257</v>
      </c>
      <c r="Q58" s="19" t="s">
        <v>3258</v>
      </c>
    </row>
    <row r="59" spans="1:17">
      <c r="A59" s="17"/>
      <c r="B59" s="13" t="s">
        <v>3254</v>
      </c>
      <c r="C59" s="13" t="s">
        <v>3254</v>
      </c>
      <c r="D59" s="13" t="s">
        <v>3387</v>
      </c>
      <c r="E59" s="13" t="s">
        <v>673</v>
      </c>
      <c r="F59" s="13" t="s">
        <v>3101</v>
      </c>
      <c r="G59" s="13" t="s">
        <v>3388</v>
      </c>
      <c r="H59" s="13">
        <v>3300012812</v>
      </c>
      <c r="I59" s="13" t="s">
        <v>3389</v>
      </c>
      <c r="J59" s="13">
        <v>2199630</v>
      </c>
      <c r="K59" s="13">
        <v>2183533</v>
      </c>
      <c r="L59" s="13" t="s">
        <v>3390</v>
      </c>
      <c r="M59" s="13">
        <v>140702845</v>
      </c>
      <c r="N59" s="18"/>
      <c r="O59" s="18"/>
      <c r="P59" s="18"/>
      <c r="Q59" s="19">
        <v>42103</v>
      </c>
    </row>
    <row r="60" spans="1:17">
      <c r="A60" s="17" t="s">
        <v>839</v>
      </c>
      <c r="B60" s="13" t="s">
        <v>2307</v>
      </c>
      <c r="C60" s="13" t="s">
        <v>2308</v>
      </c>
      <c r="D60" s="13" t="s">
        <v>156</v>
      </c>
      <c r="E60" s="13" t="s">
        <v>713</v>
      </c>
      <c r="F60" s="20" t="s">
        <v>2191</v>
      </c>
      <c r="G60" s="13">
        <v>2116294</v>
      </c>
      <c r="H60" s="13">
        <v>5031824</v>
      </c>
      <c r="I60" s="13">
        <v>3300003013</v>
      </c>
      <c r="J60" s="13">
        <v>3400002455</v>
      </c>
      <c r="K60" s="13">
        <v>2177686</v>
      </c>
      <c r="L60" s="13" t="s">
        <v>2309</v>
      </c>
      <c r="M60" s="13">
        <v>120701227</v>
      </c>
      <c r="N60" s="18" t="s">
        <v>879</v>
      </c>
      <c r="O60" s="18" t="s">
        <v>2310</v>
      </c>
      <c r="P60" s="18" t="s">
        <v>2311</v>
      </c>
      <c r="Q60" s="19" t="s">
        <v>2312</v>
      </c>
    </row>
    <row r="61" spans="1:17">
      <c r="A61" s="17"/>
      <c r="B61" s="13" t="s">
        <v>0</v>
      </c>
      <c r="C61" s="13" t="s">
        <v>0</v>
      </c>
      <c r="D61" s="13" t="s">
        <v>3753</v>
      </c>
      <c r="E61" s="13" t="s">
        <v>716</v>
      </c>
      <c r="F61" s="13" t="s">
        <v>3754</v>
      </c>
      <c r="G61" s="13" t="s">
        <v>3755</v>
      </c>
      <c r="H61" s="13">
        <v>2096485</v>
      </c>
      <c r="I61" s="13">
        <v>5042652</v>
      </c>
      <c r="J61" s="13">
        <v>2083303</v>
      </c>
      <c r="K61" s="13"/>
      <c r="L61" s="13" t="s">
        <v>3756</v>
      </c>
      <c r="M61" s="13">
        <v>120700630</v>
      </c>
      <c r="N61" s="18"/>
      <c r="O61" s="18" t="s">
        <v>3757</v>
      </c>
      <c r="P61" s="18" t="s">
        <v>3758</v>
      </c>
      <c r="Q61" s="19">
        <v>42101</v>
      </c>
    </row>
    <row r="62" spans="1:17">
      <c r="A62" s="17" t="s">
        <v>839</v>
      </c>
      <c r="B62" s="13" t="s">
        <v>3467</v>
      </c>
      <c r="C62" s="13" t="s">
        <v>3467</v>
      </c>
      <c r="D62" s="13" t="s">
        <v>3468</v>
      </c>
      <c r="E62" s="13" t="s">
        <v>3469</v>
      </c>
      <c r="F62" s="13" t="s">
        <v>3101</v>
      </c>
      <c r="G62" s="13">
        <v>2117093</v>
      </c>
      <c r="H62" s="13">
        <v>5031908</v>
      </c>
      <c r="I62" s="13"/>
      <c r="J62" s="13"/>
      <c r="K62" s="13"/>
      <c r="L62" s="13" t="s">
        <v>3470</v>
      </c>
      <c r="M62" s="13">
        <v>120703494</v>
      </c>
      <c r="N62" s="18" t="s">
        <v>887</v>
      </c>
      <c r="O62" s="18" t="s">
        <v>3471</v>
      </c>
      <c r="P62" s="18" t="s">
        <v>3472</v>
      </c>
      <c r="Q62" s="19" t="s">
        <v>3473</v>
      </c>
    </row>
    <row r="63" spans="1:17">
      <c r="A63" s="17"/>
      <c r="B63" s="13" t="s">
        <v>1013</v>
      </c>
      <c r="C63" s="13" t="s">
        <v>1014</v>
      </c>
      <c r="D63" s="13" t="s">
        <v>1015</v>
      </c>
      <c r="E63" s="13" t="s">
        <v>730</v>
      </c>
      <c r="F63" s="13" t="s">
        <v>844</v>
      </c>
      <c r="G63" s="13">
        <v>3300011492</v>
      </c>
      <c r="H63" s="13" t="s">
        <v>1016</v>
      </c>
      <c r="I63" s="13">
        <v>2171885</v>
      </c>
      <c r="J63" s="13">
        <v>3300002976</v>
      </c>
      <c r="K63" s="13"/>
      <c r="L63" s="13" t="s">
        <v>1017</v>
      </c>
      <c r="M63" s="13">
        <v>120903712</v>
      </c>
      <c r="N63" s="18" t="s">
        <v>1018</v>
      </c>
      <c r="O63" s="18" t="s">
        <v>1019</v>
      </c>
      <c r="P63" s="18" t="s">
        <v>1020</v>
      </c>
      <c r="Q63" s="19" t="s">
        <v>1021</v>
      </c>
    </row>
    <row r="64" spans="1:17">
      <c r="A64" s="17" t="s">
        <v>839</v>
      </c>
      <c r="B64" s="13" t="s">
        <v>3829</v>
      </c>
      <c r="C64" s="13" t="s">
        <v>3830</v>
      </c>
      <c r="D64" s="13" t="s">
        <v>3831</v>
      </c>
      <c r="E64" s="13" t="s">
        <v>549</v>
      </c>
      <c r="F64" s="13" t="s">
        <v>3754</v>
      </c>
      <c r="G64" s="13">
        <v>5070889</v>
      </c>
      <c r="H64" s="13">
        <v>3300012820</v>
      </c>
      <c r="I64" s="13" t="s">
        <v>3832</v>
      </c>
      <c r="J64" s="13">
        <v>2171944</v>
      </c>
      <c r="K64" s="13" t="s">
        <v>3833</v>
      </c>
      <c r="L64" s="13" t="s">
        <v>3834</v>
      </c>
      <c r="M64" s="13">
        <v>140703506</v>
      </c>
      <c r="N64" s="18" t="s">
        <v>3478</v>
      </c>
      <c r="O64" s="18" t="s">
        <v>3835</v>
      </c>
      <c r="P64" s="18" t="s">
        <v>873</v>
      </c>
      <c r="Q64" s="19">
        <v>41988</v>
      </c>
    </row>
    <row r="65" spans="1:17">
      <c r="A65" s="17"/>
      <c r="B65" s="13" t="s">
        <v>1856</v>
      </c>
      <c r="C65" s="13" t="s">
        <v>1857</v>
      </c>
      <c r="D65" s="13" t="s">
        <v>386</v>
      </c>
      <c r="E65" s="13" t="s">
        <v>738</v>
      </c>
      <c r="F65" s="13" t="s">
        <v>844</v>
      </c>
      <c r="G65" s="13">
        <v>2171972</v>
      </c>
      <c r="H65" s="13">
        <v>5049680</v>
      </c>
      <c r="I65" s="13" t="s">
        <v>1858</v>
      </c>
      <c r="J65" s="13">
        <v>3300001686</v>
      </c>
      <c r="K65" s="13">
        <v>2171942</v>
      </c>
      <c r="L65" s="13" t="s">
        <v>1859</v>
      </c>
      <c r="M65" s="13">
        <v>120912307</v>
      </c>
      <c r="N65" s="18" t="s">
        <v>879</v>
      </c>
      <c r="O65" s="18" t="s">
        <v>1860</v>
      </c>
      <c r="P65" s="18" t="s">
        <v>1861</v>
      </c>
      <c r="Q65" s="19" t="s">
        <v>1042</v>
      </c>
    </row>
    <row r="66" spans="1:17">
      <c r="A66" s="17"/>
      <c r="B66" s="13" t="s">
        <v>4535</v>
      </c>
      <c r="C66" s="13" t="s">
        <v>4536</v>
      </c>
      <c r="D66" s="13" t="s">
        <v>4537</v>
      </c>
      <c r="E66" s="13" t="s">
        <v>4538</v>
      </c>
      <c r="F66" s="13" t="s">
        <v>4395</v>
      </c>
      <c r="G66" s="13">
        <v>5031847</v>
      </c>
      <c r="H66" s="13" t="s">
        <v>4539</v>
      </c>
      <c r="I66" s="13">
        <v>3300006798</v>
      </c>
      <c r="J66" s="13" t="s">
        <v>4540</v>
      </c>
      <c r="K66" s="13"/>
      <c r="L66" s="13" t="s">
        <v>4541</v>
      </c>
      <c r="M66" s="13">
        <v>120709980</v>
      </c>
      <c r="N66" s="18" t="s">
        <v>4472</v>
      </c>
      <c r="O66" s="18" t="s">
        <v>4542</v>
      </c>
      <c r="P66" s="18" t="s">
        <v>4543</v>
      </c>
      <c r="Q66" s="19" t="s">
        <v>2827</v>
      </c>
    </row>
    <row r="67" spans="1:17">
      <c r="A67" s="17"/>
      <c r="B67" s="13" t="s">
        <v>5611</v>
      </c>
      <c r="C67" s="13" t="s">
        <v>5612</v>
      </c>
      <c r="D67" s="13" t="s">
        <v>5613</v>
      </c>
      <c r="E67" s="13" t="s">
        <v>718</v>
      </c>
      <c r="F67" s="13" t="s">
        <v>5164</v>
      </c>
      <c r="G67" s="13">
        <v>2103487</v>
      </c>
      <c r="H67" s="13" t="s">
        <v>5614</v>
      </c>
      <c r="I67" s="13">
        <v>2096478</v>
      </c>
      <c r="J67" s="13">
        <v>3300001292</v>
      </c>
      <c r="K67" s="13">
        <v>3300001296</v>
      </c>
      <c r="L67" s="13" t="s">
        <v>5615</v>
      </c>
      <c r="M67" s="13">
        <v>120707550</v>
      </c>
      <c r="N67" s="18" t="s">
        <v>5091</v>
      </c>
      <c r="O67" s="18" t="s">
        <v>5616</v>
      </c>
      <c r="P67" s="18" t="s">
        <v>5617</v>
      </c>
      <c r="Q67" s="19" t="s">
        <v>5523</v>
      </c>
    </row>
    <row r="68" spans="1:17">
      <c r="A68" s="17"/>
      <c r="B68" s="13" t="s">
        <v>6071</v>
      </c>
      <c r="C68" s="13" t="s">
        <v>6072</v>
      </c>
      <c r="D68" s="13" t="s">
        <v>6073</v>
      </c>
      <c r="E68" s="13" t="s">
        <v>532</v>
      </c>
      <c r="F68" s="13" t="s">
        <v>5843</v>
      </c>
      <c r="G68" s="13">
        <v>2116250</v>
      </c>
      <c r="H68" s="13">
        <v>3300008127</v>
      </c>
      <c r="I68" s="13">
        <v>2116307</v>
      </c>
      <c r="J68" s="13"/>
      <c r="K68" s="13"/>
      <c r="L68" s="13" t="s">
        <v>6074</v>
      </c>
      <c r="M68" s="13">
        <v>120703894</v>
      </c>
      <c r="N68" s="18" t="s">
        <v>3187</v>
      </c>
      <c r="O68" s="18" t="s">
        <v>6075</v>
      </c>
      <c r="P68" s="18" t="s">
        <v>6076</v>
      </c>
      <c r="Q68" s="19" t="s">
        <v>1461</v>
      </c>
    </row>
    <row r="69" spans="1:17">
      <c r="A69" s="17"/>
      <c r="B69" s="13" t="s">
        <v>6203</v>
      </c>
      <c r="C69" s="13" t="s">
        <v>6204</v>
      </c>
      <c r="D69" s="13" t="s">
        <v>6205</v>
      </c>
      <c r="E69" s="13" t="s">
        <v>810</v>
      </c>
      <c r="F69" s="13" t="s">
        <v>5843</v>
      </c>
      <c r="G69" s="13" t="s">
        <v>6206</v>
      </c>
      <c r="H69" s="13">
        <v>3300001210</v>
      </c>
      <c r="I69" s="13" t="s">
        <v>6207</v>
      </c>
      <c r="J69" s="13">
        <v>2177330</v>
      </c>
      <c r="K69" s="13" t="s">
        <v>6208</v>
      </c>
      <c r="L69" s="13" t="s">
        <v>6209</v>
      </c>
      <c r="M69" s="13">
        <v>140703431</v>
      </c>
      <c r="N69" s="18" t="s">
        <v>3187</v>
      </c>
      <c r="O69" s="18" t="s">
        <v>6210</v>
      </c>
      <c r="P69" s="18" t="s">
        <v>873</v>
      </c>
      <c r="Q69" s="19">
        <v>41982</v>
      </c>
    </row>
    <row r="70" spans="1:17">
      <c r="A70" s="17" t="s">
        <v>839</v>
      </c>
      <c r="B70" s="13" t="s">
        <v>4911</v>
      </c>
      <c r="C70" s="13" t="s">
        <v>4912</v>
      </c>
      <c r="D70" s="13" t="s">
        <v>4913</v>
      </c>
      <c r="E70" s="13" t="s">
        <v>588</v>
      </c>
      <c r="F70" s="13" t="s">
        <v>4914</v>
      </c>
      <c r="G70" s="13">
        <v>2116253</v>
      </c>
      <c r="H70" s="13">
        <v>3300008161</v>
      </c>
      <c r="I70" s="13" t="s">
        <v>4915</v>
      </c>
      <c r="J70" s="13">
        <v>5040885</v>
      </c>
      <c r="K70" s="13"/>
      <c r="L70" s="13" t="s">
        <v>4916</v>
      </c>
      <c r="M70" s="13">
        <v>120700625</v>
      </c>
      <c r="N70" s="18" t="s">
        <v>4721</v>
      </c>
      <c r="O70" s="18" t="s">
        <v>4917</v>
      </c>
      <c r="P70" s="18" t="s">
        <v>4918</v>
      </c>
      <c r="Q70" s="19" t="s">
        <v>4919</v>
      </c>
    </row>
    <row r="71" spans="1:17">
      <c r="A71" s="17"/>
      <c r="B71" s="13" t="s">
        <v>5805</v>
      </c>
      <c r="C71" s="13" t="s">
        <v>5806</v>
      </c>
      <c r="D71" s="13" t="s">
        <v>5807</v>
      </c>
      <c r="E71" s="13" t="s">
        <v>5808</v>
      </c>
      <c r="F71" s="13" t="s">
        <v>5753</v>
      </c>
      <c r="G71" s="13"/>
      <c r="H71" s="13">
        <v>5014455</v>
      </c>
      <c r="I71" s="13">
        <v>3300002828</v>
      </c>
      <c r="J71" s="13" t="s">
        <v>5809</v>
      </c>
      <c r="K71" s="13"/>
      <c r="L71" s="13" t="s">
        <v>5810</v>
      </c>
      <c r="M71" s="13">
        <v>120705418</v>
      </c>
      <c r="N71" s="18" t="s">
        <v>4424</v>
      </c>
      <c r="O71" s="18" t="s">
        <v>5811</v>
      </c>
      <c r="P71" s="18" t="s">
        <v>5812</v>
      </c>
      <c r="Q71" s="19" t="s">
        <v>5772</v>
      </c>
    </row>
    <row r="72" spans="1:17">
      <c r="A72" s="17"/>
      <c r="B72" s="13" t="s">
        <v>4130</v>
      </c>
      <c r="C72" s="13" t="s">
        <v>25</v>
      </c>
      <c r="D72" s="13" t="s">
        <v>4131</v>
      </c>
      <c r="E72" s="13" t="s">
        <v>553</v>
      </c>
      <c r="F72" s="13" t="s">
        <v>3754</v>
      </c>
      <c r="G72" s="13">
        <v>2116278</v>
      </c>
      <c r="H72" s="13">
        <v>5031833</v>
      </c>
      <c r="I72" s="13" t="s">
        <v>4132</v>
      </c>
      <c r="J72" s="13">
        <v>3300008133</v>
      </c>
      <c r="K72" s="13">
        <v>2117083</v>
      </c>
      <c r="L72" s="13" t="s">
        <v>4133</v>
      </c>
      <c r="M72" s="13">
        <v>120709904</v>
      </c>
      <c r="N72" s="18" t="s">
        <v>1018</v>
      </c>
      <c r="O72" s="18" t="s">
        <v>4134</v>
      </c>
      <c r="P72" s="18" t="s">
        <v>4135</v>
      </c>
      <c r="Q72" s="19" t="s">
        <v>3752</v>
      </c>
    </row>
    <row r="73" spans="1:17">
      <c r="A73" s="17"/>
      <c r="B73" s="13" t="s">
        <v>3171</v>
      </c>
      <c r="C73" s="13" t="s">
        <v>3172</v>
      </c>
      <c r="D73" s="13" t="s">
        <v>290</v>
      </c>
      <c r="E73" s="13" t="s">
        <v>669</v>
      </c>
      <c r="F73" s="13" t="s">
        <v>3101</v>
      </c>
      <c r="G73" s="13">
        <v>3300009798</v>
      </c>
      <c r="H73" s="13" t="s">
        <v>3173</v>
      </c>
      <c r="I73" s="13"/>
      <c r="J73" s="13"/>
      <c r="K73" s="13"/>
      <c r="L73" s="13" t="s">
        <v>3174</v>
      </c>
      <c r="M73" s="13">
        <v>120707754</v>
      </c>
      <c r="N73" s="18" t="s">
        <v>887</v>
      </c>
      <c r="O73" s="18"/>
      <c r="P73" s="18" t="s">
        <v>3175</v>
      </c>
      <c r="Q73" s="19" t="s">
        <v>3176</v>
      </c>
    </row>
    <row r="74" spans="1:17">
      <c r="A74" s="17"/>
      <c r="B74" s="13" t="s">
        <v>6243</v>
      </c>
      <c r="C74" s="13" t="s">
        <v>6244</v>
      </c>
      <c r="D74" s="13" t="s">
        <v>293</v>
      </c>
      <c r="E74" s="13" t="s">
        <v>650</v>
      </c>
      <c r="F74" s="13" t="s">
        <v>5843</v>
      </c>
      <c r="G74" s="13">
        <v>2103875</v>
      </c>
      <c r="H74" s="13" t="s">
        <v>6245</v>
      </c>
      <c r="I74" s="13">
        <v>3300002989</v>
      </c>
      <c r="J74" s="13">
        <v>5045681</v>
      </c>
      <c r="K74" s="13">
        <v>1763216</v>
      </c>
      <c r="L74" s="13" t="s">
        <v>6246</v>
      </c>
      <c r="M74" s="13">
        <v>120707913</v>
      </c>
      <c r="N74" s="18" t="s">
        <v>3187</v>
      </c>
      <c r="O74" s="18"/>
      <c r="P74" s="18" t="s">
        <v>6247</v>
      </c>
      <c r="Q74" s="19" t="s">
        <v>6010</v>
      </c>
    </row>
    <row r="75" spans="1:17">
      <c r="A75" s="17"/>
      <c r="B75" s="13" t="s">
        <v>2712</v>
      </c>
      <c r="C75" s="13" t="s">
        <v>2713</v>
      </c>
      <c r="D75" s="13" t="s">
        <v>2714</v>
      </c>
      <c r="E75" s="13" t="s">
        <v>2715</v>
      </c>
      <c r="F75" s="13" t="s">
        <v>2433</v>
      </c>
      <c r="G75" s="13">
        <v>2117101</v>
      </c>
      <c r="H75" s="13" t="s">
        <v>2716</v>
      </c>
      <c r="I75" s="13">
        <v>3300008154</v>
      </c>
      <c r="J75" s="13">
        <v>2117071</v>
      </c>
      <c r="K75" s="13" t="s">
        <v>2717</v>
      </c>
      <c r="L75" s="13" t="s">
        <v>2718</v>
      </c>
      <c r="M75" s="13">
        <v>120709570</v>
      </c>
      <c r="N75" s="18" t="s">
        <v>2436</v>
      </c>
      <c r="O75" s="18"/>
      <c r="P75" s="18" t="s">
        <v>2719</v>
      </c>
      <c r="Q75" s="19" t="s">
        <v>2552</v>
      </c>
    </row>
    <row r="76" spans="1:17">
      <c r="A76" s="17"/>
      <c r="B76" s="13" t="s">
        <v>5956</v>
      </c>
      <c r="C76" s="13" t="s">
        <v>5956</v>
      </c>
      <c r="D76" s="13" t="s">
        <v>245</v>
      </c>
      <c r="E76" s="13" t="s">
        <v>611</v>
      </c>
      <c r="F76" s="13" t="s">
        <v>5843</v>
      </c>
      <c r="G76" s="13" t="s">
        <v>5957</v>
      </c>
      <c r="H76" s="13">
        <v>3300001689</v>
      </c>
      <c r="I76" s="13">
        <v>2171899</v>
      </c>
      <c r="J76" s="13" t="s">
        <v>5958</v>
      </c>
      <c r="K76" s="13"/>
      <c r="L76" s="13" t="s">
        <v>5959</v>
      </c>
      <c r="M76" s="13">
        <v>120704818</v>
      </c>
      <c r="N76" s="18" t="s">
        <v>3105</v>
      </c>
      <c r="O76" s="18" t="s">
        <v>5960</v>
      </c>
      <c r="P76" s="18" t="s">
        <v>5961</v>
      </c>
      <c r="Q76" s="19" t="s">
        <v>5962</v>
      </c>
    </row>
    <row r="77" spans="1:17">
      <c r="A77" s="17"/>
      <c r="B77" s="13" t="s">
        <v>1541</v>
      </c>
      <c r="C77" s="13" t="s">
        <v>1542</v>
      </c>
      <c r="D77" s="13" t="s">
        <v>186</v>
      </c>
      <c r="E77" s="13" t="s">
        <v>608</v>
      </c>
      <c r="F77" s="13" t="s">
        <v>844</v>
      </c>
      <c r="G77" s="13">
        <v>2172023</v>
      </c>
      <c r="H77" s="13">
        <v>5049717</v>
      </c>
      <c r="I77" s="13">
        <v>5045656</v>
      </c>
      <c r="J77" s="13" t="s">
        <v>1543</v>
      </c>
      <c r="K77" s="13"/>
      <c r="L77" s="13" t="s">
        <v>1544</v>
      </c>
      <c r="M77" s="13">
        <v>120702013</v>
      </c>
      <c r="N77" s="18" t="s">
        <v>879</v>
      </c>
      <c r="O77" s="18" t="s">
        <v>1545</v>
      </c>
      <c r="P77" s="18" t="s">
        <v>1546</v>
      </c>
      <c r="Q77" s="19" t="s">
        <v>1547</v>
      </c>
    </row>
    <row r="78" spans="1:17">
      <c r="A78" s="17"/>
      <c r="B78" s="13" t="s">
        <v>2495</v>
      </c>
      <c r="C78" s="13" t="s">
        <v>2496</v>
      </c>
      <c r="D78" s="13" t="s">
        <v>214</v>
      </c>
      <c r="E78" s="13" t="s">
        <v>640</v>
      </c>
      <c r="F78" s="13" t="s">
        <v>2433</v>
      </c>
      <c r="G78" s="13" t="s">
        <v>2497</v>
      </c>
      <c r="H78" s="13">
        <v>3300004131</v>
      </c>
      <c r="I78" s="13">
        <v>2096457</v>
      </c>
      <c r="J78" s="13" t="s">
        <v>2498</v>
      </c>
      <c r="K78" s="13">
        <v>5031892</v>
      </c>
      <c r="L78" s="13" t="s">
        <v>2499</v>
      </c>
      <c r="M78" s="13">
        <v>120703012</v>
      </c>
      <c r="N78" s="18" t="s">
        <v>2436</v>
      </c>
      <c r="O78" s="18"/>
      <c r="P78" s="18" t="s">
        <v>2500</v>
      </c>
      <c r="Q78" s="19" t="s">
        <v>1636</v>
      </c>
    </row>
    <row r="79" spans="1:17">
      <c r="A79" s="17"/>
      <c r="B79" s="20" t="s">
        <v>915</v>
      </c>
      <c r="C79" s="20" t="s">
        <v>916</v>
      </c>
      <c r="D79" s="20" t="s">
        <v>917</v>
      </c>
      <c r="E79" s="20" t="s">
        <v>547</v>
      </c>
      <c r="F79" s="20" t="s">
        <v>844</v>
      </c>
      <c r="G79" s="20" t="s">
        <v>918</v>
      </c>
      <c r="H79" s="20">
        <v>3300004120</v>
      </c>
      <c r="I79" s="20">
        <v>2087175</v>
      </c>
      <c r="J79" s="20">
        <v>3300006813</v>
      </c>
      <c r="K79" s="20" t="s">
        <v>919</v>
      </c>
      <c r="L79" s="20" t="s">
        <v>920</v>
      </c>
      <c r="M79" s="20">
        <v>130705250</v>
      </c>
      <c r="N79" s="20"/>
      <c r="O79" s="20"/>
      <c r="P79" s="20"/>
      <c r="Q79" s="24">
        <v>42136</v>
      </c>
    </row>
    <row r="80" spans="1:17">
      <c r="A80" s="17" t="s">
        <v>839</v>
      </c>
      <c r="B80" s="21" t="s">
        <v>1303</v>
      </c>
      <c r="C80" s="21" t="s">
        <v>1304</v>
      </c>
      <c r="D80" s="21" t="s">
        <v>1305</v>
      </c>
      <c r="E80" s="21" t="s">
        <v>561</v>
      </c>
      <c r="F80" s="13" t="s">
        <v>844</v>
      </c>
      <c r="G80" s="20">
        <v>2082994</v>
      </c>
      <c r="H80" s="20" t="s">
        <v>1306</v>
      </c>
      <c r="I80" s="20" t="s">
        <v>1307</v>
      </c>
      <c r="J80" s="20">
        <v>3300010102</v>
      </c>
      <c r="K80" s="20">
        <v>5053842</v>
      </c>
      <c r="L80" s="20" t="s">
        <v>1308</v>
      </c>
      <c r="M80" s="22">
        <v>120700574</v>
      </c>
      <c r="N80" s="18" t="s">
        <v>896</v>
      </c>
      <c r="O80" s="18" t="s">
        <v>1309</v>
      </c>
      <c r="P80" s="18" t="s">
        <v>1310</v>
      </c>
      <c r="Q80" s="23" t="s">
        <v>899</v>
      </c>
    </row>
    <row r="81" spans="1:17">
      <c r="A81" s="17"/>
      <c r="B81" s="13" t="s">
        <v>3316</v>
      </c>
      <c r="C81" s="13" t="s">
        <v>20</v>
      </c>
      <c r="D81" s="13" t="s">
        <v>314</v>
      </c>
      <c r="E81" s="13" t="s">
        <v>598</v>
      </c>
      <c r="F81" s="13" t="s">
        <v>3101</v>
      </c>
      <c r="G81" s="13">
        <v>5031848</v>
      </c>
      <c r="H81" s="13" t="s">
        <v>3317</v>
      </c>
      <c r="I81" s="13">
        <v>2119268</v>
      </c>
      <c r="J81" s="13">
        <v>3300011800</v>
      </c>
      <c r="K81" s="13"/>
      <c r="L81" s="13" t="s">
        <v>3318</v>
      </c>
      <c r="M81" s="13">
        <v>120709303</v>
      </c>
      <c r="N81" s="18" t="s">
        <v>887</v>
      </c>
      <c r="O81" s="18" t="s">
        <v>3319</v>
      </c>
      <c r="P81" s="18" t="s">
        <v>3320</v>
      </c>
      <c r="Q81" s="19" t="s">
        <v>3321</v>
      </c>
    </row>
    <row r="82" spans="1:17">
      <c r="A82" s="17"/>
      <c r="B82" s="13" t="s">
        <v>2857</v>
      </c>
      <c r="C82" s="13" t="s">
        <v>8</v>
      </c>
      <c r="D82" s="13" t="s">
        <v>2858</v>
      </c>
      <c r="E82" s="13" t="s">
        <v>672</v>
      </c>
      <c r="F82" s="13" t="s">
        <v>2830</v>
      </c>
      <c r="G82" s="13">
        <v>5059336</v>
      </c>
      <c r="H82" s="13">
        <v>2114773</v>
      </c>
      <c r="I82" s="13">
        <v>3300012270</v>
      </c>
      <c r="J82" s="13"/>
      <c r="K82" s="13"/>
      <c r="L82" s="13" t="s">
        <v>2859</v>
      </c>
      <c r="M82" s="13">
        <v>120706569</v>
      </c>
      <c r="N82" s="18" t="s">
        <v>887</v>
      </c>
      <c r="O82" s="18" t="s">
        <v>2860</v>
      </c>
      <c r="P82" s="18" t="s">
        <v>2861</v>
      </c>
      <c r="Q82" s="19" t="s">
        <v>1623</v>
      </c>
    </row>
    <row r="83" spans="1:17">
      <c r="A83" s="17"/>
      <c r="B83" s="13" t="s">
        <v>5925</v>
      </c>
      <c r="C83" s="13" t="s">
        <v>5926</v>
      </c>
      <c r="D83" s="13" t="s">
        <v>5927</v>
      </c>
      <c r="E83" s="13" t="s">
        <v>679</v>
      </c>
      <c r="F83" s="13" t="s">
        <v>5843</v>
      </c>
      <c r="G83" s="13" t="s">
        <v>5928</v>
      </c>
      <c r="H83" s="13" t="s">
        <v>5929</v>
      </c>
      <c r="I83" s="13"/>
      <c r="J83" s="13"/>
      <c r="K83" s="13"/>
      <c r="L83" s="13" t="s">
        <v>5930</v>
      </c>
      <c r="M83" s="13">
        <v>130803008</v>
      </c>
      <c r="N83" s="18" t="s">
        <v>3187</v>
      </c>
      <c r="O83" s="18"/>
      <c r="P83" s="18"/>
      <c r="Q83" s="19">
        <v>41976</v>
      </c>
    </row>
    <row r="84" spans="1:17">
      <c r="A84" s="17"/>
      <c r="B84" s="13" t="s">
        <v>2218</v>
      </c>
      <c r="C84" s="13" t="s">
        <v>2219</v>
      </c>
      <c r="D84" s="13" t="s">
        <v>239</v>
      </c>
      <c r="E84" s="13" t="s">
        <v>627</v>
      </c>
      <c r="F84" s="20" t="s">
        <v>2191</v>
      </c>
      <c r="G84" s="13">
        <v>3300004161</v>
      </c>
      <c r="H84" s="13">
        <v>5006427</v>
      </c>
      <c r="I84" s="13"/>
      <c r="J84" s="13"/>
      <c r="K84" s="13"/>
      <c r="L84" s="13" t="s">
        <v>2220</v>
      </c>
      <c r="M84" s="13">
        <v>120704733</v>
      </c>
      <c r="N84" s="18" t="s">
        <v>856</v>
      </c>
      <c r="O84" s="18" t="s">
        <v>2221</v>
      </c>
      <c r="P84" s="18" t="s">
        <v>2222</v>
      </c>
      <c r="Q84" s="19" t="s">
        <v>1430</v>
      </c>
    </row>
    <row r="85" spans="1:17">
      <c r="A85" s="17"/>
      <c r="B85" s="13" t="s">
        <v>4441</v>
      </c>
      <c r="C85" s="13" t="s">
        <v>4441</v>
      </c>
      <c r="D85" s="13" t="s">
        <v>378</v>
      </c>
      <c r="E85" s="13" t="s">
        <v>734</v>
      </c>
      <c r="F85" s="13" t="s">
        <v>4395</v>
      </c>
      <c r="G85" s="13" t="s">
        <v>4442</v>
      </c>
      <c r="H85" s="13">
        <v>5050428</v>
      </c>
      <c r="I85" s="13">
        <v>2172015</v>
      </c>
      <c r="J85" s="13">
        <v>3300009562</v>
      </c>
      <c r="K85" s="13" t="s">
        <v>4443</v>
      </c>
      <c r="L85" s="13" t="s">
        <v>4444</v>
      </c>
      <c r="M85" s="13">
        <v>120908509</v>
      </c>
      <c r="N85" s="18" t="s">
        <v>4399</v>
      </c>
      <c r="O85" s="18" t="s">
        <v>4445</v>
      </c>
      <c r="P85" s="18" t="s">
        <v>4446</v>
      </c>
      <c r="Q85" s="19" t="s">
        <v>3486</v>
      </c>
    </row>
    <row r="86" spans="1:17">
      <c r="A86" s="17"/>
      <c r="B86" s="28" t="s">
        <v>5662</v>
      </c>
      <c r="C86" s="28" t="s">
        <v>5663</v>
      </c>
      <c r="D86" s="29" t="s">
        <v>5664</v>
      </c>
      <c r="E86" s="29" t="s">
        <v>688</v>
      </c>
      <c r="F86" s="13" t="s">
        <v>5164</v>
      </c>
      <c r="G86" s="30" t="s">
        <v>5665</v>
      </c>
      <c r="H86" s="30" t="s">
        <v>5666</v>
      </c>
      <c r="I86" s="30" t="s">
        <v>5667</v>
      </c>
      <c r="J86" s="30" t="s">
        <v>5668</v>
      </c>
      <c r="K86" s="30">
        <v>41786</v>
      </c>
      <c r="L86" s="30" t="s">
        <v>5669</v>
      </c>
      <c r="M86" s="31" t="s">
        <v>5670</v>
      </c>
      <c r="N86" s="18" t="s">
        <v>4424</v>
      </c>
      <c r="O86" s="18" t="s">
        <v>5671</v>
      </c>
      <c r="P86" s="18" t="s">
        <v>5672</v>
      </c>
      <c r="Q86" s="19"/>
    </row>
    <row r="87" spans="1:17">
      <c r="A87" s="17" t="s">
        <v>839</v>
      </c>
      <c r="B87" s="13" t="s">
        <v>2651</v>
      </c>
      <c r="C87" s="13" t="s">
        <v>16</v>
      </c>
      <c r="D87" s="13" t="s">
        <v>2652</v>
      </c>
      <c r="E87" s="13" t="s">
        <v>694</v>
      </c>
      <c r="F87" s="13" t="s">
        <v>2433</v>
      </c>
      <c r="G87" s="13">
        <v>2119183</v>
      </c>
      <c r="H87" s="13" t="s">
        <v>2653</v>
      </c>
      <c r="I87" s="13">
        <v>5040904</v>
      </c>
      <c r="J87" s="13">
        <v>3300002974</v>
      </c>
      <c r="K87" s="13">
        <v>2117106</v>
      </c>
      <c r="L87" s="13" t="s">
        <v>2654</v>
      </c>
      <c r="M87" s="13">
        <v>120708322</v>
      </c>
      <c r="N87" s="18" t="s">
        <v>2436</v>
      </c>
      <c r="O87" s="18" t="s">
        <v>2655</v>
      </c>
      <c r="P87" s="18" t="s">
        <v>2656</v>
      </c>
      <c r="Q87" s="19" t="s">
        <v>2657</v>
      </c>
    </row>
    <row r="88" spans="1:17">
      <c r="A88" s="17"/>
      <c r="B88" s="13" t="s">
        <v>4427</v>
      </c>
      <c r="C88" s="13" t="s">
        <v>4428</v>
      </c>
      <c r="D88" s="13" t="s">
        <v>4429</v>
      </c>
      <c r="E88" s="13" t="s">
        <v>756</v>
      </c>
      <c r="F88" s="13" t="s">
        <v>4395</v>
      </c>
      <c r="G88" s="13">
        <v>5042654</v>
      </c>
      <c r="H88" s="13" t="s">
        <v>4430</v>
      </c>
      <c r="I88" s="13">
        <v>3300006810</v>
      </c>
      <c r="J88" s="13">
        <v>5042657</v>
      </c>
      <c r="K88" s="13">
        <v>2183486</v>
      </c>
      <c r="L88" s="13" t="s">
        <v>4431</v>
      </c>
      <c r="M88" s="13">
        <v>120710289</v>
      </c>
      <c r="N88" s="18" t="s">
        <v>4399</v>
      </c>
      <c r="O88" s="18" t="s">
        <v>4432</v>
      </c>
      <c r="P88" s="18" t="s">
        <v>4433</v>
      </c>
      <c r="Q88" s="19" t="s">
        <v>2050</v>
      </c>
    </row>
    <row r="89" spans="1:17">
      <c r="A89" s="17" t="s">
        <v>839</v>
      </c>
      <c r="B89" s="13" t="s">
        <v>2028</v>
      </c>
      <c r="C89" s="13" t="s">
        <v>2029</v>
      </c>
      <c r="D89" s="13" t="s">
        <v>182</v>
      </c>
      <c r="E89" s="13" t="s">
        <v>618</v>
      </c>
      <c r="F89" s="13" t="s">
        <v>844</v>
      </c>
      <c r="G89" s="13">
        <v>3300011505</v>
      </c>
      <c r="H89" s="13" t="s">
        <v>2030</v>
      </c>
      <c r="I89" s="13">
        <v>3300011507</v>
      </c>
      <c r="J89" s="13">
        <v>2103714</v>
      </c>
      <c r="K89" s="13"/>
      <c r="L89" s="13" t="s">
        <v>2031</v>
      </c>
      <c r="M89" s="13">
        <v>120701453</v>
      </c>
      <c r="N89" s="18" t="s">
        <v>856</v>
      </c>
      <c r="O89" s="18" t="s">
        <v>2032</v>
      </c>
      <c r="P89" s="18" t="s">
        <v>2033</v>
      </c>
      <c r="Q89" s="19" t="s">
        <v>1049</v>
      </c>
    </row>
    <row r="90" spans="1:17">
      <c r="A90" s="17" t="s">
        <v>839</v>
      </c>
      <c r="B90" s="13" t="s">
        <v>4136</v>
      </c>
      <c r="C90" s="13" t="s">
        <v>4137</v>
      </c>
      <c r="D90" s="13" t="s">
        <v>282</v>
      </c>
      <c r="E90" s="13" t="s">
        <v>553</v>
      </c>
      <c r="F90" s="13" t="s">
        <v>3754</v>
      </c>
      <c r="G90" s="13">
        <v>2103488</v>
      </c>
      <c r="H90" s="13" t="s">
        <v>4138</v>
      </c>
      <c r="I90" s="13">
        <v>3300002920</v>
      </c>
      <c r="J90" s="13" t="s">
        <v>4139</v>
      </c>
      <c r="K90" s="13">
        <v>5039011</v>
      </c>
      <c r="L90" s="13" t="s">
        <v>4140</v>
      </c>
      <c r="M90" s="13">
        <v>120707313</v>
      </c>
      <c r="N90" s="18" t="s">
        <v>1018</v>
      </c>
      <c r="O90" s="18" t="s">
        <v>4141</v>
      </c>
      <c r="P90" s="18" t="s">
        <v>4142</v>
      </c>
      <c r="Q90" s="19" t="s">
        <v>2143</v>
      </c>
    </row>
    <row r="91" spans="1:17">
      <c r="A91" s="17"/>
      <c r="B91" s="13" t="s">
        <v>2888</v>
      </c>
      <c r="C91" s="13" t="s">
        <v>2889</v>
      </c>
      <c r="D91" s="13" t="s">
        <v>2890</v>
      </c>
      <c r="E91" s="13" t="s">
        <v>593</v>
      </c>
      <c r="F91" s="13" t="s">
        <v>2830</v>
      </c>
      <c r="G91" s="13">
        <v>2171971</v>
      </c>
      <c r="H91" s="13">
        <v>5049686</v>
      </c>
      <c r="I91" s="13" t="s">
        <v>2891</v>
      </c>
      <c r="J91" s="13">
        <v>2172018</v>
      </c>
      <c r="K91" s="13"/>
      <c r="L91" s="13" t="s">
        <v>2892</v>
      </c>
      <c r="M91" s="13">
        <v>130702260</v>
      </c>
      <c r="N91" s="18" t="s">
        <v>887</v>
      </c>
      <c r="O91" s="18" t="s">
        <v>2893</v>
      </c>
      <c r="P91" s="18" t="s">
        <v>2894</v>
      </c>
      <c r="Q91" s="19">
        <v>41862</v>
      </c>
    </row>
    <row r="92" spans="1:17">
      <c r="A92" s="17"/>
      <c r="B92" s="13" t="s">
        <v>3000</v>
      </c>
      <c r="C92" s="13" t="s">
        <v>3001</v>
      </c>
      <c r="D92" s="13" t="s">
        <v>3002</v>
      </c>
      <c r="E92" s="13" t="s">
        <v>3003</v>
      </c>
      <c r="F92" s="13" t="s">
        <v>2830</v>
      </c>
      <c r="G92" s="13">
        <v>5014465</v>
      </c>
      <c r="H92" s="13" t="s">
        <v>3004</v>
      </c>
      <c r="I92" s="13">
        <v>3300005176</v>
      </c>
      <c r="J92" s="13"/>
      <c r="K92" s="13"/>
      <c r="L92" s="13" t="s">
        <v>3005</v>
      </c>
      <c r="M92" s="13">
        <v>120706730</v>
      </c>
      <c r="N92" s="18" t="s">
        <v>2436</v>
      </c>
      <c r="O92" s="18" t="s">
        <v>3006</v>
      </c>
      <c r="P92" s="18" t="s">
        <v>3007</v>
      </c>
      <c r="Q92" s="19" t="s">
        <v>2657</v>
      </c>
    </row>
    <row r="93" spans="1:17">
      <c r="A93" s="17"/>
      <c r="B93" s="13" t="s">
        <v>1672</v>
      </c>
      <c r="C93" s="13" t="s">
        <v>1673</v>
      </c>
      <c r="D93" s="13" t="s">
        <v>160</v>
      </c>
      <c r="E93" s="13" t="s">
        <v>605</v>
      </c>
      <c r="F93" s="13" t="s">
        <v>844</v>
      </c>
      <c r="G93" s="13">
        <v>2103937</v>
      </c>
      <c r="H93" s="13" t="s">
        <v>1674</v>
      </c>
      <c r="I93" s="13">
        <v>2103887</v>
      </c>
      <c r="J93" s="13" t="s">
        <v>1675</v>
      </c>
      <c r="K93" s="13"/>
      <c r="L93" s="13" t="s">
        <v>1676</v>
      </c>
      <c r="M93" s="13">
        <v>120701238</v>
      </c>
      <c r="N93" s="18" t="s">
        <v>879</v>
      </c>
      <c r="O93" s="18" t="s">
        <v>1677</v>
      </c>
      <c r="P93" s="18" t="s">
        <v>1678</v>
      </c>
      <c r="Q93" s="19" t="s">
        <v>1679</v>
      </c>
    </row>
    <row r="94" spans="1:17">
      <c r="A94" s="17"/>
      <c r="B94" s="13" t="s">
        <v>1098</v>
      </c>
      <c r="C94" s="13" t="s">
        <v>1099</v>
      </c>
      <c r="D94" s="13" t="s">
        <v>150</v>
      </c>
      <c r="E94" s="13" t="s">
        <v>597</v>
      </c>
      <c r="F94" s="13" t="s">
        <v>844</v>
      </c>
      <c r="G94" s="13">
        <v>3300001670</v>
      </c>
      <c r="H94" s="13" t="s">
        <v>1100</v>
      </c>
      <c r="I94" s="13">
        <v>2183607</v>
      </c>
      <c r="J94" s="13" t="s">
        <v>1101</v>
      </c>
      <c r="K94" s="13" t="s">
        <v>1102</v>
      </c>
      <c r="L94" s="13" t="s">
        <v>1103</v>
      </c>
      <c r="M94" s="13">
        <v>120701205</v>
      </c>
      <c r="N94" s="18" t="s">
        <v>879</v>
      </c>
      <c r="O94" s="18"/>
      <c r="P94" s="18" t="s">
        <v>1104</v>
      </c>
      <c r="Q94" s="19" t="s">
        <v>1105</v>
      </c>
    </row>
    <row r="95" spans="1:17">
      <c r="A95" s="17"/>
      <c r="B95" s="13" t="s">
        <v>4831</v>
      </c>
      <c r="C95" s="13" t="s">
        <v>4832</v>
      </c>
      <c r="D95" s="13" t="s">
        <v>4833</v>
      </c>
      <c r="E95" s="13" t="s">
        <v>4834</v>
      </c>
      <c r="F95" s="13" t="s">
        <v>4395</v>
      </c>
      <c r="G95" s="13"/>
      <c r="H95" s="13"/>
      <c r="I95" s="13" t="s">
        <v>4835</v>
      </c>
      <c r="J95" s="13">
        <v>5042663</v>
      </c>
      <c r="K95" s="13">
        <v>2114765</v>
      </c>
      <c r="L95" s="13" t="s">
        <v>4836</v>
      </c>
      <c r="M95" s="13">
        <v>120805756</v>
      </c>
      <c r="N95" s="18" t="s">
        <v>4399</v>
      </c>
      <c r="O95" s="18" t="s">
        <v>4837</v>
      </c>
      <c r="P95" s="18" t="s">
        <v>4838</v>
      </c>
      <c r="Q95" s="19" t="s">
        <v>1167</v>
      </c>
    </row>
    <row r="96" spans="1:17">
      <c r="A96" s="17"/>
      <c r="B96" s="13" t="s">
        <v>4753</v>
      </c>
      <c r="C96" s="13" t="s">
        <v>4754</v>
      </c>
      <c r="D96" s="13" t="s">
        <v>4755</v>
      </c>
      <c r="E96" s="13" t="s">
        <v>4756</v>
      </c>
      <c r="F96" s="13" t="s">
        <v>4395</v>
      </c>
      <c r="G96" s="13"/>
      <c r="H96" s="13">
        <v>3300009797</v>
      </c>
      <c r="I96" s="13" t="s">
        <v>4757</v>
      </c>
      <c r="J96" s="13">
        <v>2103722</v>
      </c>
      <c r="K96" s="13">
        <v>5031887</v>
      </c>
      <c r="L96" s="13" t="s">
        <v>4758</v>
      </c>
      <c r="M96" s="13">
        <v>120806173</v>
      </c>
      <c r="N96" s="18" t="s">
        <v>4399</v>
      </c>
      <c r="O96" s="18" t="s">
        <v>4759</v>
      </c>
      <c r="P96" s="18" t="s">
        <v>4760</v>
      </c>
      <c r="Q96" s="19" t="s">
        <v>4761</v>
      </c>
    </row>
    <row r="97" spans="1:17">
      <c r="A97" s="17"/>
      <c r="B97" s="13" t="s">
        <v>3064</v>
      </c>
      <c r="C97" s="13" t="s">
        <v>3065</v>
      </c>
      <c r="D97" s="13" t="s">
        <v>3066</v>
      </c>
      <c r="E97" s="13" t="s">
        <v>595</v>
      </c>
      <c r="F97" s="13" t="s">
        <v>2830</v>
      </c>
      <c r="G97" s="13">
        <v>2119211</v>
      </c>
      <c r="H97" s="13" t="s">
        <v>3067</v>
      </c>
      <c r="I97" s="13" t="s">
        <v>3068</v>
      </c>
      <c r="J97" s="13">
        <v>2171970</v>
      </c>
      <c r="K97" s="13"/>
      <c r="L97" s="13" t="s">
        <v>3069</v>
      </c>
      <c r="M97" s="13">
        <v>130803813</v>
      </c>
      <c r="N97" s="18"/>
      <c r="O97" s="18" t="s">
        <v>3070</v>
      </c>
      <c r="P97" s="18" t="s">
        <v>3071</v>
      </c>
      <c r="Q97" s="19">
        <v>42100</v>
      </c>
    </row>
    <row r="98" spans="1:17">
      <c r="A98" s="17"/>
      <c r="B98" s="13" t="s">
        <v>4085</v>
      </c>
      <c r="C98" s="13" t="s">
        <v>4086</v>
      </c>
      <c r="D98" s="13" t="s">
        <v>67</v>
      </c>
      <c r="E98" s="13" t="s">
        <v>529</v>
      </c>
      <c r="F98" s="13" t="s">
        <v>3754</v>
      </c>
      <c r="G98" s="13">
        <v>2114759</v>
      </c>
      <c r="H98" s="13">
        <v>3300004151</v>
      </c>
      <c r="I98" s="13">
        <v>5004784</v>
      </c>
      <c r="J98" s="13" t="s">
        <v>4087</v>
      </c>
      <c r="K98" s="13">
        <v>2116071</v>
      </c>
      <c r="L98" s="13" t="s">
        <v>4088</v>
      </c>
      <c r="M98" s="13">
        <v>120700274</v>
      </c>
      <c r="N98" s="18" t="s">
        <v>3117</v>
      </c>
      <c r="O98" s="18" t="s">
        <v>4089</v>
      </c>
      <c r="P98" s="18" t="s">
        <v>4090</v>
      </c>
      <c r="Q98" s="19" t="s">
        <v>4091</v>
      </c>
    </row>
    <row r="99" spans="1:17">
      <c r="A99" s="17"/>
      <c r="B99" s="13" t="s">
        <v>5168</v>
      </c>
      <c r="C99" s="13" t="s">
        <v>5169</v>
      </c>
      <c r="D99" s="13" t="s">
        <v>5170</v>
      </c>
      <c r="E99" s="13" t="s">
        <v>697</v>
      </c>
      <c r="F99" s="13" t="s">
        <v>5164</v>
      </c>
      <c r="G99" s="13">
        <v>2114727</v>
      </c>
      <c r="H99" s="13" t="s">
        <v>5171</v>
      </c>
      <c r="I99" s="13">
        <v>2103485</v>
      </c>
      <c r="J99" s="13">
        <v>5059356</v>
      </c>
      <c r="K99" s="13"/>
      <c r="L99" s="13" t="s">
        <v>5172</v>
      </c>
      <c r="M99" s="13">
        <v>120705198</v>
      </c>
      <c r="N99" s="18" t="s">
        <v>5091</v>
      </c>
      <c r="O99" s="18"/>
      <c r="P99" s="18"/>
      <c r="Q99" s="19" t="s">
        <v>5173</v>
      </c>
    </row>
    <row r="100" spans="1:17">
      <c r="A100" s="17" t="s">
        <v>839</v>
      </c>
      <c r="B100" s="13" t="s">
        <v>1687</v>
      </c>
      <c r="C100" s="13" t="s">
        <v>1688</v>
      </c>
      <c r="D100" s="13" t="s">
        <v>174</v>
      </c>
      <c r="E100" s="13" t="s">
        <v>615</v>
      </c>
      <c r="F100" s="13" t="s">
        <v>844</v>
      </c>
      <c r="G100" s="13">
        <v>3300004136</v>
      </c>
      <c r="H100" s="13">
        <v>2103450</v>
      </c>
      <c r="I100" s="13">
        <v>3300002953</v>
      </c>
      <c r="J100" s="13">
        <v>5031846</v>
      </c>
      <c r="K100" s="13" t="s">
        <v>1689</v>
      </c>
      <c r="L100" s="13" t="s">
        <v>1690</v>
      </c>
      <c r="M100" s="13">
        <v>120701383</v>
      </c>
      <c r="N100" s="18" t="s">
        <v>879</v>
      </c>
      <c r="O100" s="18"/>
      <c r="P100" s="18" t="s">
        <v>1691</v>
      </c>
      <c r="Q100" s="19" t="s">
        <v>1295</v>
      </c>
    </row>
    <row r="101" spans="1:17">
      <c r="A101" s="17"/>
      <c r="B101" s="13" t="s">
        <v>3530</v>
      </c>
      <c r="C101" s="13" t="s">
        <v>3531</v>
      </c>
      <c r="D101" s="13" t="s">
        <v>3532</v>
      </c>
      <c r="E101" s="13" t="s">
        <v>701</v>
      </c>
      <c r="F101" s="13" t="s">
        <v>3101</v>
      </c>
      <c r="G101" s="13" t="s">
        <v>3533</v>
      </c>
      <c r="H101" s="13">
        <v>2084810</v>
      </c>
      <c r="I101" s="13" t="s">
        <v>3534</v>
      </c>
      <c r="J101" s="13"/>
      <c r="K101" s="13"/>
      <c r="L101" s="13" t="s">
        <v>3535</v>
      </c>
      <c r="M101" s="13">
        <v>120708499</v>
      </c>
      <c r="N101" s="18" t="s">
        <v>887</v>
      </c>
      <c r="O101" s="18" t="s">
        <v>3536</v>
      </c>
      <c r="P101" s="18" t="s">
        <v>3537</v>
      </c>
      <c r="Q101" s="19">
        <v>41969</v>
      </c>
    </row>
    <row r="102" spans="1:17">
      <c r="A102" s="17"/>
      <c r="B102" s="13" t="s">
        <v>5578</v>
      </c>
      <c r="C102" s="13" t="s">
        <v>5579</v>
      </c>
      <c r="D102" s="13" t="s">
        <v>5580</v>
      </c>
      <c r="E102" s="13" t="s">
        <v>5581</v>
      </c>
      <c r="F102" s="13" t="s">
        <v>5164</v>
      </c>
      <c r="G102" s="13">
        <v>2115653</v>
      </c>
      <c r="H102" s="13">
        <v>5031853</v>
      </c>
      <c r="I102" s="13">
        <v>3300002986</v>
      </c>
      <c r="J102" s="13"/>
      <c r="K102" s="13"/>
      <c r="L102" s="13" t="s">
        <v>5582</v>
      </c>
      <c r="M102" s="13">
        <v>140701850</v>
      </c>
      <c r="N102" s="18" t="s">
        <v>5091</v>
      </c>
      <c r="O102" s="18" t="s">
        <v>5583</v>
      </c>
      <c r="P102" s="18" t="s">
        <v>5584</v>
      </c>
      <c r="Q102" s="19">
        <v>41862</v>
      </c>
    </row>
    <row r="103" spans="1:17">
      <c r="A103" s="17" t="s">
        <v>839</v>
      </c>
      <c r="B103" s="13" t="s">
        <v>2811</v>
      </c>
      <c r="C103" s="13" t="s">
        <v>2812</v>
      </c>
      <c r="D103" s="13" t="s">
        <v>2813</v>
      </c>
      <c r="E103" s="13" t="s">
        <v>690</v>
      </c>
      <c r="F103" s="13" t="s">
        <v>2433</v>
      </c>
      <c r="G103" s="13">
        <v>3300002824</v>
      </c>
      <c r="H103" s="13" t="s">
        <v>2814</v>
      </c>
      <c r="I103" s="13">
        <v>5014445</v>
      </c>
      <c r="J103" s="13" t="s">
        <v>2815</v>
      </c>
      <c r="K103" s="13" t="s">
        <v>2816</v>
      </c>
      <c r="L103" s="13" t="s">
        <v>2817</v>
      </c>
      <c r="M103" s="13">
        <v>120704367</v>
      </c>
      <c r="N103" s="18" t="s">
        <v>2436</v>
      </c>
      <c r="O103" s="18" t="s">
        <v>2818</v>
      </c>
      <c r="P103" s="18" t="s">
        <v>2819</v>
      </c>
      <c r="Q103" s="19" t="s">
        <v>2780</v>
      </c>
    </row>
    <row r="104" spans="1:17">
      <c r="A104" s="17"/>
      <c r="B104" s="13" t="s">
        <v>4710</v>
      </c>
      <c r="C104" s="13" t="s">
        <v>4711</v>
      </c>
      <c r="D104" s="13" t="s">
        <v>305</v>
      </c>
      <c r="E104" s="13" t="s">
        <v>699</v>
      </c>
      <c r="F104" s="13" t="s">
        <v>4395</v>
      </c>
      <c r="G104" s="13">
        <v>2103866</v>
      </c>
      <c r="H104" s="13" t="s">
        <v>4712</v>
      </c>
      <c r="I104" s="13">
        <v>2103865</v>
      </c>
      <c r="J104" s="13" t="s">
        <v>4713</v>
      </c>
      <c r="K104" s="13"/>
      <c r="L104" s="13" t="s">
        <v>4714</v>
      </c>
      <c r="M104" s="13">
        <v>120708486</v>
      </c>
      <c r="N104" s="18" t="s">
        <v>4399</v>
      </c>
      <c r="O104" s="18"/>
      <c r="P104" s="18" t="s">
        <v>4715</v>
      </c>
      <c r="Q104" s="19" t="s">
        <v>2143</v>
      </c>
    </row>
    <row r="105" spans="1:17">
      <c r="A105" s="17"/>
      <c r="B105" s="13" t="s">
        <v>1395</v>
      </c>
      <c r="C105" s="13" t="s">
        <v>1396</v>
      </c>
      <c r="D105" s="13" t="s">
        <v>175</v>
      </c>
      <c r="E105" s="13" t="s">
        <v>616</v>
      </c>
      <c r="F105" s="13" t="s">
        <v>844</v>
      </c>
      <c r="G105" s="13">
        <v>3300004150</v>
      </c>
      <c r="H105" s="13">
        <v>2114735</v>
      </c>
      <c r="I105" s="13">
        <v>3300004153</v>
      </c>
      <c r="J105" s="13"/>
      <c r="K105" s="13"/>
      <c r="L105" s="13" t="s">
        <v>1397</v>
      </c>
      <c r="M105" s="13">
        <v>120701388</v>
      </c>
      <c r="N105" s="18" t="s">
        <v>1188</v>
      </c>
      <c r="O105" s="18" t="s">
        <v>1398</v>
      </c>
      <c r="P105" s="18" t="s">
        <v>1399</v>
      </c>
      <c r="Q105" s="19" t="s">
        <v>1285</v>
      </c>
    </row>
    <row r="106" spans="1:17">
      <c r="A106" s="17" t="s">
        <v>839</v>
      </c>
      <c r="B106" s="13" t="s">
        <v>3013</v>
      </c>
      <c r="C106" s="13" t="s">
        <v>3014</v>
      </c>
      <c r="D106" s="13" t="s">
        <v>236</v>
      </c>
      <c r="E106" s="13" t="s">
        <v>652</v>
      </c>
      <c r="F106" s="13" t="s">
        <v>2830</v>
      </c>
      <c r="G106" s="13">
        <v>5045668</v>
      </c>
      <c r="H106" s="13" t="s">
        <v>3015</v>
      </c>
      <c r="I106" s="13">
        <v>2183602</v>
      </c>
      <c r="J106" s="13">
        <v>2171954</v>
      </c>
      <c r="K106" s="13">
        <v>3300011511</v>
      </c>
      <c r="L106" s="13" t="s">
        <v>3016</v>
      </c>
      <c r="M106" s="13">
        <v>120704364</v>
      </c>
      <c r="N106" s="18" t="s">
        <v>2436</v>
      </c>
      <c r="O106" s="18"/>
      <c r="P106" s="18" t="s">
        <v>3017</v>
      </c>
      <c r="Q106" s="19" t="s">
        <v>3018</v>
      </c>
    </row>
    <row r="107" spans="1:17">
      <c r="A107" s="17"/>
      <c r="B107" s="13" t="s">
        <v>1133</v>
      </c>
      <c r="C107" s="13" t="s">
        <v>1134</v>
      </c>
      <c r="D107" s="13" t="s">
        <v>1135</v>
      </c>
      <c r="E107" s="13" t="s">
        <v>1136</v>
      </c>
      <c r="F107" s="13" t="s">
        <v>844</v>
      </c>
      <c r="G107" s="13">
        <v>2082985</v>
      </c>
      <c r="H107" s="13">
        <v>2084739</v>
      </c>
      <c r="I107" s="13">
        <v>3300001411</v>
      </c>
      <c r="J107" s="13">
        <v>3300001425</v>
      </c>
      <c r="K107" s="13"/>
      <c r="L107" s="13" t="s">
        <v>1137</v>
      </c>
      <c r="M107" s="13">
        <v>120700523</v>
      </c>
      <c r="N107" s="18" t="s">
        <v>879</v>
      </c>
      <c r="O107" s="18" t="s">
        <v>1138</v>
      </c>
      <c r="P107" s="18" t="s">
        <v>1139</v>
      </c>
      <c r="Q107" s="19"/>
    </row>
    <row r="108" spans="1:17">
      <c r="A108" s="17"/>
      <c r="B108" s="13" t="s">
        <v>5228</v>
      </c>
      <c r="C108" s="13" t="s">
        <v>5229</v>
      </c>
      <c r="D108" s="13" t="s">
        <v>420</v>
      </c>
      <c r="E108" s="13" t="s">
        <v>758</v>
      </c>
      <c r="F108" s="13" t="s">
        <v>5164</v>
      </c>
      <c r="G108" s="13" t="s">
        <v>5230</v>
      </c>
      <c r="H108" s="13">
        <v>3300009724</v>
      </c>
      <c r="I108" s="13">
        <v>5050460</v>
      </c>
      <c r="J108" s="13">
        <v>2172025</v>
      </c>
      <c r="K108" s="13" t="s">
        <v>5231</v>
      </c>
      <c r="L108" s="13" t="s">
        <v>5232</v>
      </c>
      <c r="M108" s="13">
        <v>130702731</v>
      </c>
      <c r="N108" s="18" t="s">
        <v>4721</v>
      </c>
      <c r="O108" s="18"/>
      <c r="P108" s="18" t="s">
        <v>5233</v>
      </c>
      <c r="Q108" s="19" t="s">
        <v>1302</v>
      </c>
    </row>
    <row r="109" spans="1:17">
      <c r="A109" s="17"/>
      <c r="B109" s="13" t="s">
        <v>6016</v>
      </c>
      <c r="C109" s="13" t="s">
        <v>6017</v>
      </c>
      <c r="D109" s="13" t="s">
        <v>6018</v>
      </c>
      <c r="E109" s="13" t="s">
        <v>642</v>
      </c>
      <c r="F109" s="13" t="s">
        <v>5843</v>
      </c>
      <c r="G109" s="13">
        <v>2117084</v>
      </c>
      <c r="H109" s="13" t="s">
        <v>6019</v>
      </c>
      <c r="I109" s="13"/>
      <c r="J109" s="13"/>
      <c r="K109" s="13"/>
      <c r="L109" s="13" t="s">
        <v>6020</v>
      </c>
      <c r="M109" s="13">
        <v>120704147</v>
      </c>
      <c r="N109" s="18" t="s">
        <v>3105</v>
      </c>
      <c r="O109" s="18" t="s">
        <v>6021</v>
      </c>
      <c r="P109" s="18" t="s">
        <v>6022</v>
      </c>
      <c r="Q109" s="19" t="s">
        <v>6023</v>
      </c>
    </row>
    <row r="110" spans="1:17">
      <c r="A110" s="17"/>
      <c r="B110" s="13" t="s">
        <v>6024</v>
      </c>
      <c r="C110" s="13" t="s">
        <v>6017</v>
      </c>
      <c r="D110" s="13" t="s">
        <v>398</v>
      </c>
      <c r="E110" s="13" t="s">
        <v>642</v>
      </c>
      <c r="F110" s="13" t="s">
        <v>5843</v>
      </c>
      <c r="G110" s="13" t="s">
        <v>6025</v>
      </c>
      <c r="H110" s="13">
        <v>3300009717</v>
      </c>
      <c r="I110" s="13">
        <v>5049713</v>
      </c>
      <c r="J110" s="13">
        <v>2171950</v>
      </c>
      <c r="K110" s="13"/>
      <c r="L110" s="13" t="s">
        <v>6026</v>
      </c>
      <c r="M110" s="13">
        <v>130700637</v>
      </c>
      <c r="N110" s="18" t="s">
        <v>3105</v>
      </c>
      <c r="O110" s="18" t="s">
        <v>6027</v>
      </c>
      <c r="P110" s="18"/>
      <c r="Q110" s="19" t="s">
        <v>1302</v>
      </c>
    </row>
    <row r="111" spans="1:17">
      <c r="A111" s="17"/>
      <c r="B111" s="13" t="s">
        <v>5943</v>
      </c>
      <c r="C111" s="13" t="s">
        <v>5944</v>
      </c>
      <c r="D111" s="13" t="s">
        <v>81</v>
      </c>
      <c r="E111" s="13" t="s">
        <v>541</v>
      </c>
      <c r="F111" s="13" t="s">
        <v>5843</v>
      </c>
      <c r="G111" s="13">
        <v>2103508</v>
      </c>
      <c r="H111" s="13">
        <v>3300011792</v>
      </c>
      <c r="I111" s="13">
        <v>2103721</v>
      </c>
      <c r="J111" s="13" t="s">
        <v>5945</v>
      </c>
      <c r="K111" s="13">
        <v>5059343</v>
      </c>
      <c r="L111" s="13" t="s">
        <v>5946</v>
      </c>
      <c r="M111" s="13">
        <v>120700419</v>
      </c>
      <c r="N111" s="18" t="s">
        <v>3105</v>
      </c>
      <c r="O111" s="18" t="s">
        <v>5947</v>
      </c>
      <c r="P111" s="18" t="s">
        <v>5948</v>
      </c>
      <c r="Q111" s="19" t="s">
        <v>2494</v>
      </c>
    </row>
    <row r="112" spans="1:17">
      <c r="A112" s="17"/>
      <c r="B112" s="13" t="s">
        <v>2413</v>
      </c>
      <c r="C112" s="13" t="s">
        <v>2414</v>
      </c>
      <c r="D112" s="13" t="s">
        <v>2415</v>
      </c>
      <c r="E112" s="13" t="s">
        <v>767</v>
      </c>
      <c r="F112" s="20" t="s">
        <v>2345</v>
      </c>
      <c r="G112" s="13" t="s">
        <v>2416</v>
      </c>
      <c r="H112" s="13" t="s">
        <v>2417</v>
      </c>
      <c r="I112" s="13"/>
      <c r="J112" s="13">
        <v>5042668</v>
      </c>
      <c r="K112" s="13"/>
      <c r="L112" s="13" t="s">
        <v>2418</v>
      </c>
      <c r="M112" s="13">
        <v>120703829</v>
      </c>
      <c r="N112" s="18" t="s">
        <v>879</v>
      </c>
      <c r="O112" s="18" t="s">
        <v>2419</v>
      </c>
      <c r="P112" s="18" t="s">
        <v>2420</v>
      </c>
      <c r="Q112" s="19" t="s">
        <v>2421</v>
      </c>
    </row>
    <row r="113" spans="1:17">
      <c r="A113" s="17"/>
      <c r="B113" s="13" t="s">
        <v>4936</v>
      </c>
      <c r="C113" s="13" t="s">
        <v>4937</v>
      </c>
      <c r="D113" s="13" t="s">
        <v>438</v>
      </c>
      <c r="E113" s="13" t="s">
        <v>583</v>
      </c>
      <c r="F113" s="13" t="s">
        <v>4914</v>
      </c>
      <c r="G113" s="13">
        <v>2183527</v>
      </c>
      <c r="H113" s="13" t="s">
        <v>4938</v>
      </c>
      <c r="I113" s="13"/>
      <c r="J113" s="13"/>
      <c r="K113" s="13"/>
      <c r="L113" s="13" t="s">
        <v>4939</v>
      </c>
      <c r="M113" s="13">
        <v>130703857</v>
      </c>
      <c r="N113" s="18" t="s">
        <v>4721</v>
      </c>
      <c r="O113" s="18"/>
      <c r="P113" s="18" t="s">
        <v>4940</v>
      </c>
      <c r="Q113" s="19" t="s">
        <v>4941</v>
      </c>
    </row>
    <row r="114" spans="1:17">
      <c r="A114" s="17"/>
      <c r="B114" s="20" t="s">
        <v>5411</v>
      </c>
      <c r="C114" s="20" t="s">
        <v>5412</v>
      </c>
      <c r="D114" s="20" t="s">
        <v>5413</v>
      </c>
      <c r="E114" s="20" t="s">
        <v>812</v>
      </c>
      <c r="F114" s="13" t="s">
        <v>5164</v>
      </c>
      <c r="G114" s="20">
        <v>2103715</v>
      </c>
      <c r="H114" s="20" t="s">
        <v>5414</v>
      </c>
      <c r="I114" s="20">
        <v>3300001216</v>
      </c>
      <c r="J114" s="20">
        <v>5070887</v>
      </c>
      <c r="K114" s="20">
        <v>2103877</v>
      </c>
      <c r="L114" s="20" t="s">
        <v>5415</v>
      </c>
      <c r="M114" s="20">
        <v>141001282</v>
      </c>
      <c r="N114" s="20"/>
      <c r="O114" s="18" t="s">
        <v>5416</v>
      </c>
      <c r="P114" s="18" t="s">
        <v>5417</v>
      </c>
      <c r="Q114" s="24"/>
    </row>
    <row r="115" spans="1:17">
      <c r="A115" s="17"/>
      <c r="B115" s="13" t="s">
        <v>3165</v>
      </c>
      <c r="C115" s="13" t="s">
        <v>15</v>
      </c>
      <c r="D115" s="13" t="s">
        <v>3166</v>
      </c>
      <c r="E115" s="13" t="s">
        <v>691</v>
      </c>
      <c r="F115" s="13" t="s">
        <v>3101</v>
      </c>
      <c r="G115" s="13">
        <v>2116264</v>
      </c>
      <c r="H115" s="13" t="s">
        <v>3167</v>
      </c>
      <c r="I115" s="13">
        <v>2116240</v>
      </c>
      <c r="J115" s="13">
        <v>3300008160</v>
      </c>
      <c r="K115" s="13">
        <v>2116258</v>
      </c>
      <c r="L115" s="13" t="s">
        <v>3168</v>
      </c>
      <c r="M115" s="13">
        <v>120708132</v>
      </c>
      <c r="N115" s="18" t="s">
        <v>887</v>
      </c>
      <c r="O115" s="18" t="s">
        <v>3169</v>
      </c>
      <c r="P115" s="18" t="s">
        <v>3170</v>
      </c>
      <c r="Q115" s="19" t="s">
        <v>1265</v>
      </c>
    </row>
    <row r="116" spans="1:17">
      <c r="A116" s="17"/>
      <c r="B116" s="13" t="s">
        <v>6077</v>
      </c>
      <c r="C116" s="13" t="s">
        <v>6078</v>
      </c>
      <c r="D116" s="13" t="s">
        <v>6079</v>
      </c>
      <c r="E116" s="13" t="s">
        <v>532</v>
      </c>
      <c r="F116" s="13" t="s">
        <v>5843</v>
      </c>
      <c r="G116" s="13">
        <v>2117076</v>
      </c>
      <c r="H116" s="13">
        <v>5031906</v>
      </c>
      <c r="I116" s="13">
        <v>3300002975</v>
      </c>
      <c r="J116" s="13">
        <v>2119196</v>
      </c>
      <c r="K116" s="13" t="s">
        <v>6080</v>
      </c>
      <c r="L116" s="13" t="s">
        <v>6081</v>
      </c>
      <c r="M116" s="13">
        <v>120708207</v>
      </c>
      <c r="N116" s="18" t="s">
        <v>3187</v>
      </c>
      <c r="O116" s="18" t="s">
        <v>6082</v>
      </c>
      <c r="P116" s="18" t="s">
        <v>6083</v>
      </c>
      <c r="Q116" s="19" t="s">
        <v>3752</v>
      </c>
    </row>
    <row r="117" spans="1:17">
      <c r="A117" s="17" t="s">
        <v>839</v>
      </c>
      <c r="B117" s="13" t="s">
        <v>4481</v>
      </c>
      <c r="C117" s="13" t="s">
        <v>4482</v>
      </c>
      <c r="D117" s="13" t="s">
        <v>152</v>
      </c>
      <c r="E117" s="13" t="s">
        <v>599</v>
      </c>
      <c r="F117" s="13" t="s">
        <v>4395</v>
      </c>
      <c r="G117" s="13">
        <v>5045687</v>
      </c>
      <c r="H117" s="13" t="s">
        <v>4483</v>
      </c>
      <c r="I117" s="13">
        <v>3300001224</v>
      </c>
      <c r="J117" s="13">
        <v>2183523</v>
      </c>
      <c r="K117" s="13">
        <v>3300001226</v>
      </c>
      <c r="L117" s="13" t="s">
        <v>4484</v>
      </c>
      <c r="M117" s="13">
        <v>120701214</v>
      </c>
      <c r="N117" s="18" t="s">
        <v>4399</v>
      </c>
      <c r="O117" s="18"/>
      <c r="P117" s="18" t="s">
        <v>4485</v>
      </c>
      <c r="Q117" s="19" t="s">
        <v>1035</v>
      </c>
    </row>
    <row r="118" spans="1:17">
      <c r="A118" s="17" t="s">
        <v>839</v>
      </c>
      <c r="B118" s="13" t="s">
        <v>2616</v>
      </c>
      <c r="C118" s="13" t="s">
        <v>2617</v>
      </c>
      <c r="D118" s="13" t="s">
        <v>496</v>
      </c>
      <c r="E118" s="13" t="s">
        <v>680</v>
      </c>
      <c r="F118" s="13" t="s">
        <v>2433</v>
      </c>
      <c r="G118" s="13">
        <v>5059300</v>
      </c>
      <c r="H118" s="13">
        <v>2183581</v>
      </c>
      <c r="I118" s="13" t="s">
        <v>2618</v>
      </c>
      <c r="J118" s="13">
        <v>2171965</v>
      </c>
      <c r="K118" s="13">
        <v>3300011788</v>
      </c>
      <c r="L118" s="13" t="s">
        <v>2619</v>
      </c>
      <c r="M118" s="13">
        <v>140700107</v>
      </c>
      <c r="N118" s="18" t="s">
        <v>2436</v>
      </c>
      <c r="O118" s="18" t="s">
        <v>2620</v>
      </c>
      <c r="P118" s="18" t="s">
        <v>2621</v>
      </c>
      <c r="Q118" s="19" t="s">
        <v>2622</v>
      </c>
    </row>
    <row r="119" spans="1:17">
      <c r="A119" s="17"/>
      <c r="B119" s="13" t="s">
        <v>5603</v>
      </c>
      <c r="C119" s="13" t="s">
        <v>5604</v>
      </c>
      <c r="D119" s="13" t="s">
        <v>5605</v>
      </c>
      <c r="E119" s="13" t="s">
        <v>5606</v>
      </c>
      <c r="F119" s="13" t="s">
        <v>5164</v>
      </c>
      <c r="G119" s="13">
        <v>2183509</v>
      </c>
      <c r="H119" s="13" t="s">
        <v>5607</v>
      </c>
      <c r="I119" s="13"/>
      <c r="J119" s="13"/>
      <c r="K119" s="13"/>
      <c r="L119" s="13" t="s">
        <v>5608</v>
      </c>
      <c r="M119" s="13">
        <v>140704132</v>
      </c>
      <c r="N119" s="18"/>
      <c r="O119" s="18" t="s">
        <v>5609</v>
      </c>
      <c r="P119" s="18" t="s">
        <v>5610</v>
      </c>
      <c r="Q119" s="19">
        <v>42104</v>
      </c>
    </row>
    <row r="120" spans="1:17">
      <c r="A120" s="17"/>
      <c r="B120" s="13" t="s">
        <v>4942</v>
      </c>
      <c r="C120" s="13" t="s">
        <v>4943</v>
      </c>
      <c r="D120" s="13" t="s">
        <v>463</v>
      </c>
      <c r="E120" s="13" t="s">
        <v>583</v>
      </c>
      <c r="F120" s="13" t="s">
        <v>4914</v>
      </c>
      <c r="G120" s="13">
        <v>2183538</v>
      </c>
      <c r="H120" s="13">
        <v>5045682</v>
      </c>
      <c r="I120" s="13" t="s">
        <v>4944</v>
      </c>
      <c r="J120" s="13">
        <v>3300004114</v>
      </c>
      <c r="K120" s="13">
        <v>2183601</v>
      </c>
      <c r="L120" s="13" t="s">
        <v>4945</v>
      </c>
      <c r="M120" s="13">
        <v>130705114</v>
      </c>
      <c r="N120" s="18" t="s">
        <v>4721</v>
      </c>
      <c r="O120" s="18" t="s">
        <v>4946</v>
      </c>
      <c r="P120" s="18" t="s">
        <v>4947</v>
      </c>
      <c r="Q120" s="19">
        <v>41842</v>
      </c>
    </row>
    <row r="121" spans="1:17">
      <c r="A121" s="17"/>
      <c r="B121" s="21" t="s">
        <v>1951</v>
      </c>
      <c r="C121" s="21" t="s">
        <v>1952</v>
      </c>
      <c r="D121" s="21" t="s">
        <v>1953</v>
      </c>
      <c r="E121" s="21" t="s">
        <v>1954</v>
      </c>
      <c r="F121" s="13" t="s">
        <v>844</v>
      </c>
      <c r="G121" s="20">
        <v>5010075</v>
      </c>
      <c r="H121" s="20" t="s">
        <v>1955</v>
      </c>
      <c r="I121" s="20">
        <v>2103807</v>
      </c>
      <c r="J121" s="20" t="s">
        <v>1956</v>
      </c>
      <c r="K121" s="20">
        <v>2103827</v>
      </c>
      <c r="L121" s="20" t="s">
        <v>1957</v>
      </c>
      <c r="M121" s="22">
        <v>120700746</v>
      </c>
      <c r="N121" s="18" t="s">
        <v>896</v>
      </c>
      <c r="O121" s="18" t="s">
        <v>1958</v>
      </c>
      <c r="P121" s="18" t="s">
        <v>1959</v>
      </c>
      <c r="Q121" s="23" t="s">
        <v>899</v>
      </c>
    </row>
    <row r="122" spans="1:17">
      <c r="A122" s="17" t="s">
        <v>839</v>
      </c>
      <c r="B122" s="13" t="s">
        <v>4989</v>
      </c>
      <c r="C122" s="13" t="s">
        <v>4990</v>
      </c>
      <c r="D122" s="13" t="s">
        <v>425</v>
      </c>
      <c r="E122" s="13" t="s">
        <v>761</v>
      </c>
      <c r="F122" s="13" t="s">
        <v>4914</v>
      </c>
      <c r="G122" s="13">
        <v>2183541</v>
      </c>
      <c r="H122" s="13" t="s">
        <v>4991</v>
      </c>
      <c r="I122" s="13">
        <v>3300009763</v>
      </c>
      <c r="J122" s="13">
        <v>2183561</v>
      </c>
      <c r="K122" s="13"/>
      <c r="L122" s="13" t="s">
        <v>4992</v>
      </c>
      <c r="M122" s="13">
        <v>130703037</v>
      </c>
      <c r="N122" s="18" t="s">
        <v>4721</v>
      </c>
      <c r="O122" s="18" t="s">
        <v>4993</v>
      </c>
      <c r="P122" s="18" t="s">
        <v>4994</v>
      </c>
      <c r="Q122" s="19" t="s">
        <v>4156</v>
      </c>
    </row>
    <row r="123" spans="1:17">
      <c r="A123" s="17" t="s">
        <v>839</v>
      </c>
      <c r="B123" s="21" t="s">
        <v>1767</v>
      </c>
      <c r="C123" s="21" t="s">
        <v>1768</v>
      </c>
      <c r="D123" s="21" t="s">
        <v>185</v>
      </c>
      <c r="E123" s="21" t="s">
        <v>620</v>
      </c>
      <c r="F123" s="13" t="s">
        <v>844</v>
      </c>
      <c r="G123" s="20">
        <v>3300010100</v>
      </c>
      <c r="H123" s="20">
        <v>2168584</v>
      </c>
      <c r="I123" s="20" t="s">
        <v>1769</v>
      </c>
      <c r="J123" s="20">
        <v>5048921</v>
      </c>
      <c r="K123" s="20" t="s">
        <v>1770</v>
      </c>
      <c r="L123" s="20" t="s">
        <v>1771</v>
      </c>
      <c r="M123" s="22">
        <v>120702010</v>
      </c>
      <c r="N123" s="18" t="s">
        <v>896</v>
      </c>
      <c r="O123" s="18" t="s">
        <v>1772</v>
      </c>
      <c r="P123" s="18" t="s">
        <v>1773</v>
      </c>
      <c r="Q123" s="23" t="s">
        <v>899</v>
      </c>
    </row>
    <row r="124" spans="1:17">
      <c r="A124" s="17"/>
      <c r="B124" s="13" t="s">
        <v>5963</v>
      </c>
      <c r="C124" s="13" t="s">
        <v>5964</v>
      </c>
      <c r="D124" s="13" t="s">
        <v>5965</v>
      </c>
      <c r="E124" s="13" t="s">
        <v>611</v>
      </c>
      <c r="F124" s="13" t="s">
        <v>5843</v>
      </c>
      <c r="G124" s="13">
        <v>2114793</v>
      </c>
      <c r="H124" s="13" t="s">
        <v>5966</v>
      </c>
      <c r="I124" s="13">
        <v>2114747</v>
      </c>
      <c r="J124" s="13">
        <v>3300002957</v>
      </c>
      <c r="K124" s="13"/>
      <c r="L124" s="13" t="s">
        <v>5967</v>
      </c>
      <c r="M124" s="13">
        <v>120801398</v>
      </c>
      <c r="N124" s="18" t="s">
        <v>3105</v>
      </c>
      <c r="O124" s="18" t="s">
        <v>5968</v>
      </c>
      <c r="P124" s="18" t="s">
        <v>5969</v>
      </c>
      <c r="Q124" s="19" t="s">
        <v>1490</v>
      </c>
    </row>
    <row r="125" spans="1:17">
      <c r="A125" s="17" t="s">
        <v>839</v>
      </c>
      <c r="B125" s="13" t="s">
        <v>2034</v>
      </c>
      <c r="C125" s="13" t="s">
        <v>2035</v>
      </c>
      <c r="D125" s="13" t="s">
        <v>2036</v>
      </c>
      <c r="E125" s="13" t="s">
        <v>577</v>
      </c>
      <c r="F125" s="13" t="s">
        <v>844</v>
      </c>
      <c r="G125" s="13">
        <v>2159903</v>
      </c>
      <c r="H125" s="13">
        <v>3400001171</v>
      </c>
      <c r="I125" s="13" t="s">
        <v>2037</v>
      </c>
      <c r="J125" s="13" t="s">
        <v>2038</v>
      </c>
      <c r="K125" s="13" t="s">
        <v>2039</v>
      </c>
      <c r="L125" s="13" t="s">
        <v>2040</v>
      </c>
      <c r="M125" s="13">
        <v>120700718</v>
      </c>
      <c r="N125" s="18" t="s">
        <v>856</v>
      </c>
      <c r="O125" s="18"/>
      <c r="P125" s="18" t="s">
        <v>2041</v>
      </c>
      <c r="Q125" s="19" t="s">
        <v>1469</v>
      </c>
    </row>
    <row r="126" spans="1:17">
      <c r="A126" s="17"/>
      <c r="B126" s="13" t="s">
        <v>4959</v>
      </c>
      <c r="C126" s="13" t="s">
        <v>4960</v>
      </c>
      <c r="D126" s="13" t="s">
        <v>355</v>
      </c>
      <c r="E126" s="13" t="s">
        <v>726</v>
      </c>
      <c r="F126" s="13" t="s">
        <v>4914</v>
      </c>
      <c r="G126" s="13" t="s">
        <v>4961</v>
      </c>
      <c r="H126" s="13">
        <v>3300003618</v>
      </c>
      <c r="I126" s="13">
        <v>2172273</v>
      </c>
      <c r="J126" s="13">
        <v>3300003631</v>
      </c>
      <c r="K126" s="13" t="s">
        <v>4962</v>
      </c>
      <c r="L126" s="13" t="s">
        <v>4963</v>
      </c>
      <c r="M126" s="13">
        <v>120900797</v>
      </c>
      <c r="N126" s="18" t="s">
        <v>4721</v>
      </c>
      <c r="O126" s="18"/>
      <c r="P126" s="18" t="s">
        <v>4964</v>
      </c>
      <c r="Q126" s="19" t="s">
        <v>1623</v>
      </c>
    </row>
    <row r="127" spans="1:17">
      <c r="A127" s="17"/>
      <c r="B127" s="13" t="s">
        <v>4965</v>
      </c>
      <c r="C127" s="13" t="s">
        <v>4966</v>
      </c>
      <c r="D127" s="13" t="s">
        <v>4967</v>
      </c>
      <c r="E127" s="13" t="s">
        <v>726</v>
      </c>
      <c r="F127" s="13" t="s">
        <v>4914</v>
      </c>
      <c r="G127" s="13">
        <v>5031897</v>
      </c>
      <c r="H127" s="13"/>
      <c r="I127" s="13"/>
      <c r="J127" s="13">
        <v>2117080</v>
      </c>
      <c r="K127" s="13">
        <v>5031918</v>
      </c>
      <c r="L127" s="13" t="s">
        <v>4968</v>
      </c>
      <c r="M127" s="13">
        <v>120807532</v>
      </c>
      <c r="N127" s="18" t="s">
        <v>4721</v>
      </c>
      <c r="O127" s="18" t="s">
        <v>4969</v>
      </c>
      <c r="P127" s="18" t="s">
        <v>4970</v>
      </c>
      <c r="Q127" s="19" t="s">
        <v>2589</v>
      </c>
    </row>
    <row r="128" spans="1:17">
      <c r="A128" s="17"/>
      <c r="B128" s="13" t="s">
        <v>5760</v>
      </c>
      <c r="C128" s="13" t="s">
        <v>5761</v>
      </c>
      <c r="D128" s="13" t="s">
        <v>170</v>
      </c>
      <c r="E128" s="13" t="s">
        <v>588</v>
      </c>
      <c r="F128" s="13" t="s">
        <v>5753</v>
      </c>
      <c r="G128" s="13" t="s">
        <v>5762</v>
      </c>
      <c r="H128" s="13">
        <v>2171926</v>
      </c>
      <c r="I128" s="13">
        <v>3300001698</v>
      </c>
      <c r="J128" s="13"/>
      <c r="K128" s="13"/>
      <c r="L128" s="13" t="s">
        <v>5763</v>
      </c>
      <c r="M128" s="13">
        <v>120701344</v>
      </c>
      <c r="N128" s="18" t="s">
        <v>4472</v>
      </c>
      <c r="O128" s="18"/>
      <c r="P128" s="18" t="s">
        <v>5764</v>
      </c>
      <c r="Q128" s="19" t="s">
        <v>1105</v>
      </c>
    </row>
    <row r="129" spans="1:17">
      <c r="A129" s="17"/>
      <c r="B129" s="13" t="s">
        <v>2862</v>
      </c>
      <c r="C129" s="13" t="s">
        <v>2863</v>
      </c>
      <c r="D129" s="13" t="s">
        <v>2864</v>
      </c>
      <c r="E129" s="13" t="s">
        <v>672</v>
      </c>
      <c r="F129" s="13" t="s">
        <v>2830</v>
      </c>
      <c r="G129" s="13">
        <v>5014457</v>
      </c>
      <c r="H129" s="13" t="s">
        <v>2865</v>
      </c>
      <c r="I129" s="13">
        <v>3300005160</v>
      </c>
      <c r="J129" s="13"/>
      <c r="K129" s="13"/>
      <c r="L129" s="13" t="s">
        <v>2866</v>
      </c>
      <c r="M129" s="13">
        <v>120702187</v>
      </c>
      <c r="N129" s="18" t="s">
        <v>887</v>
      </c>
      <c r="O129" s="18" t="s">
        <v>2867</v>
      </c>
      <c r="P129" s="18" t="s">
        <v>873</v>
      </c>
      <c r="Q129" s="19" t="s">
        <v>1295</v>
      </c>
    </row>
    <row r="130" spans="1:17">
      <c r="A130" s="17"/>
      <c r="B130" s="13" t="s">
        <v>3836</v>
      </c>
      <c r="C130" s="13" t="s">
        <v>3837</v>
      </c>
      <c r="D130" s="13" t="s">
        <v>3838</v>
      </c>
      <c r="E130" s="13" t="s">
        <v>549</v>
      </c>
      <c r="F130" s="13" t="s">
        <v>3754</v>
      </c>
      <c r="G130" s="13">
        <v>2183465</v>
      </c>
      <c r="H130" s="13">
        <v>5059363</v>
      </c>
      <c r="I130" s="13" t="s">
        <v>3839</v>
      </c>
      <c r="J130" s="13">
        <v>3300009523</v>
      </c>
      <c r="K130" s="13">
        <v>2183529</v>
      </c>
      <c r="L130" s="13" t="s">
        <v>3840</v>
      </c>
      <c r="M130" s="13">
        <v>140701765</v>
      </c>
      <c r="N130" s="18" t="s">
        <v>3478</v>
      </c>
      <c r="O130" s="18" t="s">
        <v>3841</v>
      </c>
      <c r="P130" s="18" t="s">
        <v>3842</v>
      </c>
      <c r="Q130" s="19">
        <v>41869</v>
      </c>
    </row>
    <row r="131" spans="1:17">
      <c r="A131" s="17"/>
      <c r="B131" s="13" t="s">
        <v>3538</v>
      </c>
      <c r="C131" s="13" t="s">
        <v>3539</v>
      </c>
      <c r="D131" s="13" t="s">
        <v>519</v>
      </c>
      <c r="E131" s="13" t="s">
        <v>806</v>
      </c>
      <c r="F131" s="13" t="s">
        <v>3101</v>
      </c>
      <c r="G131" s="13">
        <v>5070896</v>
      </c>
      <c r="H131" s="13">
        <v>3300012818</v>
      </c>
      <c r="I131" s="13">
        <v>2183519</v>
      </c>
      <c r="J131" s="13">
        <v>5049694</v>
      </c>
      <c r="K131" s="13"/>
      <c r="L131" s="13" t="s">
        <v>3540</v>
      </c>
      <c r="M131" s="13">
        <v>140702759</v>
      </c>
      <c r="N131" s="18" t="s">
        <v>887</v>
      </c>
      <c r="O131" s="18"/>
      <c r="P131" s="18" t="s">
        <v>3541</v>
      </c>
      <c r="Q131" s="19">
        <v>41969</v>
      </c>
    </row>
    <row r="132" spans="1:17">
      <c r="A132" s="17" t="s">
        <v>839</v>
      </c>
      <c r="B132" s="13" t="s">
        <v>4143</v>
      </c>
      <c r="C132" s="13" t="s">
        <v>4144</v>
      </c>
      <c r="D132" s="13" t="s">
        <v>110</v>
      </c>
      <c r="E132" s="13" t="s">
        <v>553</v>
      </c>
      <c r="F132" s="13" t="s">
        <v>3754</v>
      </c>
      <c r="G132" s="13">
        <v>2116298</v>
      </c>
      <c r="H132" s="13" t="s">
        <v>4145</v>
      </c>
      <c r="I132" s="13">
        <v>2116287</v>
      </c>
      <c r="J132" s="13" t="s">
        <v>4146</v>
      </c>
      <c r="K132" s="13" t="s">
        <v>4147</v>
      </c>
      <c r="L132" s="13" t="s">
        <v>4148</v>
      </c>
      <c r="M132" s="13">
        <v>120700610</v>
      </c>
      <c r="N132" s="18" t="s">
        <v>1018</v>
      </c>
      <c r="O132" s="18"/>
      <c r="P132" s="18" t="s">
        <v>4149</v>
      </c>
      <c r="Q132" s="19" t="s">
        <v>4150</v>
      </c>
    </row>
    <row r="133" spans="1:17">
      <c r="A133" s="17" t="s">
        <v>839</v>
      </c>
      <c r="B133" s="13" t="s">
        <v>4486</v>
      </c>
      <c r="C133" s="13" t="s">
        <v>4487</v>
      </c>
      <c r="D133" s="13" t="s">
        <v>4488</v>
      </c>
      <c r="E133" s="13" t="s">
        <v>599</v>
      </c>
      <c r="F133" s="13" t="s">
        <v>4395</v>
      </c>
      <c r="G133" s="13">
        <v>2117077</v>
      </c>
      <c r="H133" s="13">
        <v>5031911</v>
      </c>
      <c r="I133" s="13">
        <v>2103939</v>
      </c>
      <c r="J133" s="13">
        <v>3300002967</v>
      </c>
      <c r="K133" s="13">
        <v>2119175</v>
      </c>
      <c r="L133" s="13" t="s">
        <v>4489</v>
      </c>
      <c r="M133" s="13">
        <v>120808137</v>
      </c>
      <c r="N133" s="18" t="s">
        <v>4399</v>
      </c>
      <c r="O133" s="18" t="s">
        <v>4490</v>
      </c>
      <c r="P133" s="18" t="s">
        <v>4491</v>
      </c>
      <c r="Q133" s="19" t="s">
        <v>4492</v>
      </c>
    </row>
    <row r="134" spans="1:17">
      <c r="A134" s="17"/>
      <c r="B134" s="13" t="s">
        <v>6158</v>
      </c>
      <c r="C134" s="13" t="s">
        <v>6159</v>
      </c>
      <c r="D134" s="13" t="s">
        <v>403</v>
      </c>
      <c r="E134" s="13" t="s">
        <v>747</v>
      </c>
      <c r="F134" s="13" t="s">
        <v>5843</v>
      </c>
      <c r="G134" s="13" t="s">
        <v>6160</v>
      </c>
      <c r="H134" s="13">
        <v>2110123</v>
      </c>
      <c r="I134" s="13">
        <v>3300012819</v>
      </c>
      <c r="J134" s="13"/>
      <c r="K134" s="13"/>
      <c r="L134" s="13" t="s">
        <v>6161</v>
      </c>
      <c r="M134" s="13">
        <v>130700894</v>
      </c>
      <c r="N134" s="18" t="s">
        <v>3105</v>
      </c>
      <c r="O134" s="18" t="s">
        <v>6162</v>
      </c>
      <c r="P134" s="18" t="s">
        <v>6163</v>
      </c>
      <c r="Q134" s="19" t="s">
        <v>1658</v>
      </c>
    </row>
    <row r="135" spans="1:17">
      <c r="A135" s="17"/>
      <c r="B135" s="13" t="s">
        <v>2471</v>
      </c>
      <c r="C135" s="13" t="s">
        <v>2472</v>
      </c>
      <c r="D135" s="13" t="s">
        <v>486</v>
      </c>
      <c r="E135" s="13" t="s">
        <v>670</v>
      </c>
      <c r="F135" s="13" t="s">
        <v>2433</v>
      </c>
      <c r="G135" s="13">
        <v>3300009707</v>
      </c>
      <c r="H135" s="13" t="s">
        <v>2473</v>
      </c>
      <c r="I135" s="13">
        <v>2177404</v>
      </c>
      <c r="J135" s="13">
        <v>5050456</v>
      </c>
      <c r="K135" s="13"/>
      <c r="L135" s="13" t="s">
        <v>2474</v>
      </c>
      <c r="M135" s="13">
        <v>130904683</v>
      </c>
      <c r="N135" s="18" t="s">
        <v>2436</v>
      </c>
      <c r="O135" s="18" t="s">
        <v>2475</v>
      </c>
      <c r="P135" s="18" t="s">
        <v>2476</v>
      </c>
      <c r="Q135" s="19" t="s">
        <v>2477</v>
      </c>
    </row>
    <row r="136" spans="1:17">
      <c r="A136" s="17"/>
      <c r="B136" s="13" t="s">
        <v>2755</v>
      </c>
      <c r="C136" s="13" t="s">
        <v>2756</v>
      </c>
      <c r="D136" s="13" t="s">
        <v>340</v>
      </c>
      <c r="E136" s="13" t="s">
        <v>722</v>
      </c>
      <c r="F136" s="13" t="s">
        <v>2433</v>
      </c>
      <c r="G136" s="13">
        <v>2116289</v>
      </c>
      <c r="H136" s="13" t="s">
        <v>2757</v>
      </c>
      <c r="I136" s="13">
        <v>3300002981</v>
      </c>
      <c r="J136" s="13"/>
      <c r="K136" s="13"/>
      <c r="L136" s="13" t="s">
        <v>2758</v>
      </c>
      <c r="M136" s="13">
        <v>120801404</v>
      </c>
      <c r="N136" s="18" t="s">
        <v>2436</v>
      </c>
      <c r="O136" s="18"/>
      <c r="P136" s="18" t="s">
        <v>2759</v>
      </c>
      <c r="Q136" s="19" t="s">
        <v>2760</v>
      </c>
    </row>
    <row r="137" spans="1:17">
      <c r="A137" s="17" t="s">
        <v>839</v>
      </c>
      <c r="B137" s="13" t="s">
        <v>6346</v>
      </c>
      <c r="C137" s="13" t="s">
        <v>6347</v>
      </c>
      <c r="D137" s="13" t="s">
        <v>507</v>
      </c>
      <c r="E137" s="13" t="s">
        <v>687</v>
      </c>
      <c r="F137" s="13" t="s">
        <v>5843</v>
      </c>
      <c r="G137" s="13">
        <v>5070894</v>
      </c>
      <c r="H137" s="13">
        <v>3300009753</v>
      </c>
      <c r="I137" s="13">
        <v>2171906</v>
      </c>
      <c r="J137" s="13">
        <v>5050427</v>
      </c>
      <c r="K137" s="13" t="s">
        <v>6348</v>
      </c>
      <c r="L137" s="13" t="s">
        <v>6349</v>
      </c>
      <c r="M137" s="13">
        <v>140701484</v>
      </c>
      <c r="N137" s="18" t="s">
        <v>3105</v>
      </c>
      <c r="O137" s="18" t="s">
        <v>6350</v>
      </c>
      <c r="P137" s="18" t="s">
        <v>873</v>
      </c>
      <c r="Q137" s="19">
        <v>41967</v>
      </c>
    </row>
    <row r="138" spans="1:17">
      <c r="A138" s="17"/>
      <c r="B138" s="13" t="s">
        <v>1190</v>
      </c>
      <c r="C138" s="13" t="s">
        <v>1191</v>
      </c>
      <c r="D138" s="13" t="s">
        <v>503</v>
      </c>
      <c r="E138" s="13" t="s">
        <v>578</v>
      </c>
      <c r="F138" s="13" t="s">
        <v>844</v>
      </c>
      <c r="G138" s="13">
        <v>2177364</v>
      </c>
      <c r="H138" s="13">
        <v>5059367</v>
      </c>
      <c r="I138" s="13">
        <v>3300008144</v>
      </c>
      <c r="J138" s="13"/>
      <c r="K138" s="13"/>
      <c r="L138" s="13" t="s">
        <v>1192</v>
      </c>
      <c r="M138" s="13">
        <v>140701268</v>
      </c>
      <c r="N138" s="18" t="s">
        <v>879</v>
      </c>
      <c r="O138" s="18" t="s">
        <v>1193</v>
      </c>
      <c r="P138" s="18" t="s">
        <v>1194</v>
      </c>
      <c r="Q138" s="19">
        <v>41900</v>
      </c>
    </row>
    <row r="139" spans="1:17">
      <c r="A139" s="17"/>
      <c r="B139" s="13" t="s">
        <v>5473</v>
      </c>
      <c r="C139" s="13" t="s">
        <v>5474</v>
      </c>
      <c r="D139" s="13" t="s">
        <v>299</v>
      </c>
      <c r="E139" s="13" t="s">
        <v>693</v>
      </c>
      <c r="F139" s="13" t="s">
        <v>5164</v>
      </c>
      <c r="G139" s="13" t="s">
        <v>5475</v>
      </c>
      <c r="H139" s="13" t="s">
        <v>5476</v>
      </c>
      <c r="I139" s="13">
        <v>2103941</v>
      </c>
      <c r="J139" s="13">
        <v>3300002926</v>
      </c>
      <c r="K139" s="13"/>
      <c r="L139" s="13" t="s">
        <v>5477</v>
      </c>
      <c r="M139" s="13">
        <v>120708314</v>
      </c>
      <c r="N139" s="32" t="s">
        <v>5091</v>
      </c>
      <c r="O139" s="18" t="s">
        <v>5478</v>
      </c>
      <c r="P139" s="18" t="s">
        <v>5479</v>
      </c>
      <c r="Q139" s="19" t="s">
        <v>4021</v>
      </c>
    </row>
    <row r="140" spans="1:17">
      <c r="A140" s="17" t="s">
        <v>839</v>
      </c>
      <c r="B140" s="13" t="s">
        <v>1517</v>
      </c>
      <c r="C140" s="13" t="s">
        <v>1518</v>
      </c>
      <c r="D140" s="13" t="s">
        <v>516</v>
      </c>
      <c r="E140" s="13" t="s">
        <v>794</v>
      </c>
      <c r="F140" s="13" t="s">
        <v>844</v>
      </c>
      <c r="G140" s="13">
        <v>2183537</v>
      </c>
      <c r="H140" s="13">
        <v>5059384</v>
      </c>
      <c r="I140" s="13" t="s">
        <v>1519</v>
      </c>
      <c r="J140" s="13">
        <v>3300012298</v>
      </c>
      <c r="K140" s="13">
        <v>2183551</v>
      </c>
      <c r="L140" s="13" t="s">
        <v>1520</v>
      </c>
      <c r="M140" s="13">
        <v>140702422</v>
      </c>
      <c r="N140" s="18" t="s">
        <v>1421</v>
      </c>
      <c r="O140" s="18" t="s">
        <v>1521</v>
      </c>
      <c r="P140" s="18" t="s">
        <v>873</v>
      </c>
      <c r="Q140" s="19">
        <v>41871</v>
      </c>
    </row>
    <row r="141" spans="1:17">
      <c r="A141" s="17"/>
      <c r="B141" s="13" t="s">
        <v>1286</v>
      </c>
      <c r="C141" s="13" t="s">
        <v>50</v>
      </c>
      <c r="D141" s="13" t="s">
        <v>504</v>
      </c>
      <c r="E141" s="13" t="s">
        <v>607</v>
      </c>
      <c r="F141" s="13" t="s">
        <v>844</v>
      </c>
      <c r="G141" s="13" t="s">
        <v>1287</v>
      </c>
      <c r="H141" s="13">
        <v>3300010907</v>
      </c>
      <c r="I141" s="13"/>
      <c r="J141" s="13"/>
      <c r="K141" s="13"/>
      <c r="L141" s="13" t="s">
        <v>1288</v>
      </c>
      <c r="M141" s="13">
        <v>140701365</v>
      </c>
      <c r="N141" s="18" t="s">
        <v>887</v>
      </c>
      <c r="O141" s="18" t="s">
        <v>1289</v>
      </c>
      <c r="P141" s="18" t="s">
        <v>1290</v>
      </c>
      <c r="Q141" s="19">
        <v>41933</v>
      </c>
    </row>
    <row r="142" spans="1:17">
      <c r="A142" s="17" t="s">
        <v>839</v>
      </c>
      <c r="B142" s="13" t="s">
        <v>1982</v>
      </c>
      <c r="C142" s="13" t="s">
        <v>1983</v>
      </c>
      <c r="D142" s="13" t="s">
        <v>1984</v>
      </c>
      <c r="E142" s="13" t="s">
        <v>767</v>
      </c>
      <c r="F142" s="13" t="s">
        <v>844</v>
      </c>
      <c r="G142" s="13">
        <v>2103711</v>
      </c>
      <c r="H142" s="13" t="s">
        <v>1985</v>
      </c>
      <c r="I142" s="13" t="s">
        <v>1986</v>
      </c>
      <c r="J142" s="13">
        <v>3400002454</v>
      </c>
      <c r="K142" s="13">
        <v>5059377</v>
      </c>
      <c r="L142" s="13" t="s">
        <v>1987</v>
      </c>
      <c r="M142" s="13">
        <v>120701303</v>
      </c>
      <c r="N142" s="18" t="s">
        <v>879</v>
      </c>
      <c r="O142" s="18" t="s">
        <v>1988</v>
      </c>
      <c r="P142" s="18" t="s">
        <v>1989</v>
      </c>
      <c r="Q142" s="19" t="s">
        <v>1990</v>
      </c>
    </row>
    <row r="143" spans="1:17">
      <c r="A143" s="17"/>
      <c r="B143" s="13" t="s">
        <v>1161</v>
      </c>
      <c r="C143" s="13" t="s">
        <v>1162</v>
      </c>
      <c r="D143" s="13" t="s">
        <v>375</v>
      </c>
      <c r="E143" s="13" t="s">
        <v>594</v>
      </c>
      <c r="F143" s="13" t="s">
        <v>844</v>
      </c>
      <c r="G143" s="13">
        <v>5049697</v>
      </c>
      <c r="H143" s="13" t="s">
        <v>1163</v>
      </c>
      <c r="I143" s="13">
        <v>3300002941</v>
      </c>
      <c r="J143" s="13">
        <v>2116035</v>
      </c>
      <c r="K143" s="13"/>
      <c r="L143" s="13" t="s">
        <v>1164</v>
      </c>
      <c r="M143" s="13">
        <v>120906558</v>
      </c>
      <c r="N143" s="18" t="s">
        <v>856</v>
      </c>
      <c r="O143" s="18" t="s">
        <v>1165</v>
      </c>
      <c r="P143" s="18" t="s">
        <v>1166</v>
      </c>
      <c r="Q143" s="19" t="s">
        <v>1167</v>
      </c>
    </row>
    <row r="144" spans="1:17">
      <c r="A144" s="17"/>
      <c r="B144" s="13" t="s">
        <v>5350</v>
      </c>
      <c r="C144" s="13" t="s">
        <v>5351</v>
      </c>
      <c r="D144" s="13" t="s">
        <v>235</v>
      </c>
      <c r="E144" s="13" t="s">
        <v>651</v>
      </c>
      <c r="F144" s="13" t="s">
        <v>5164</v>
      </c>
      <c r="G144" s="13">
        <v>2114754</v>
      </c>
      <c r="H144" s="13">
        <v>5001466</v>
      </c>
      <c r="I144" s="13">
        <v>2114743</v>
      </c>
      <c r="J144" s="13">
        <v>3300008135</v>
      </c>
      <c r="K144" s="13"/>
      <c r="L144" s="13" t="s">
        <v>5352</v>
      </c>
      <c r="M144" s="13">
        <v>120704257</v>
      </c>
      <c r="N144" s="18" t="s">
        <v>5091</v>
      </c>
      <c r="O144" s="18"/>
      <c r="P144" s="18" t="s">
        <v>5353</v>
      </c>
      <c r="Q144" s="19" t="s">
        <v>5354</v>
      </c>
    </row>
    <row r="145" spans="1:17">
      <c r="A145" s="17"/>
      <c r="B145" s="13" t="s">
        <v>4092</v>
      </c>
      <c r="C145" s="13" t="s">
        <v>4093</v>
      </c>
      <c r="D145" s="13" t="s">
        <v>96</v>
      </c>
      <c r="E145" s="13" t="s">
        <v>529</v>
      </c>
      <c r="F145" s="13" t="s">
        <v>3754</v>
      </c>
      <c r="G145" s="13">
        <v>3300004149</v>
      </c>
      <c r="H145" s="13">
        <v>2114768</v>
      </c>
      <c r="I145" s="13">
        <v>5059293</v>
      </c>
      <c r="J145" s="13"/>
      <c r="K145" s="13"/>
      <c r="L145" s="13" t="s">
        <v>4094</v>
      </c>
      <c r="M145" s="13">
        <v>120700522</v>
      </c>
      <c r="N145" s="18" t="s">
        <v>3117</v>
      </c>
      <c r="O145" s="18" t="s">
        <v>4095</v>
      </c>
      <c r="P145" s="18" t="s">
        <v>4096</v>
      </c>
      <c r="Q145" s="19" t="s">
        <v>4091</v>
      </c>
    </row>
    <row r="146" spans="1:17">
      <c r="A146" s="17"/>
      <c r="B146" s="13" t="s">
        <v>4151</v>
      </c>
      <c r="C146" s="13" t="s">
        <v>4152</v>
      </c>
      <c r="D146" s="13" t="s">
        <v>450</v>
      </c>
      <c r="E146" s="13" t="s">
        <v>553</v>
      </c>
      <c r="F146" s="13" t="s">
        <v>3754</v>
      </c>
      <c r="G146" s="13">
        <v>2183600</v>
      </c>
      <c r="H146" s="13" t="s">
        <v>4153</v>
      </c>
      <c r="I146" s="13"/>
      <c r="J146" s="13"/>
      <c r="K146" s="13"/>
      <c r="L146" s="13" t="s">
        <v>4154</v>
      </c>
      <c r="M146" s="13">
        <v>130704705</v>
      </c>
      <c r="N146" s="18" t="s">
        <v>1018</v>
      </c>
      <c r="O146" s="18"/>
      <c r="P146" s="18" t="s">
        <v>4155</v>
      </c>
      <c r="Q146" s="19" t="s">
        <v>4156</v>
      </c>
    </row>
    <row r="147" spans="1:17">
      <c r="A147" s="17"/>
      <c r="B147" s="13" t="s">
        <v>3322</v>
      </c>
      <c r="C147" s="13" t="s">
        <v>3323</v>
      </c>
      <c r="D147" s="13" t="s">
        <v>3324</v>
      </c>
      <c r="E147" s="13" t="s">
        <v>598</v>
      </c>
      <c r="F147" s="13" t="s">
        <v>3101</v>
      </c>
      <c r="G147" s="13">
        <v>5070891</v>
      </c>
      <c r="H147" s="13">
        <v>3300012825</v>
      </c>
      <c r="I147" s="13" t="s">
        <v>3325</v>
      </c>
      <c r="J147" s="13">
        <v>2183571</v>
      </c>
      <c r="K147" s="13" t="s">
        <v>3326</v>
      </c>
      <c r="L147" s="13" t="s">
        <v>3327</v>
      </c>
      <c r="M147" s="13">
        <v>140703510</v>
      </c>
      <c r="N147" s="18" t="s">
        <v>887</v>
      </c>
      <c r="O147" s="18" t="s">
        <v>3328</v>
      </c>
      <c r="P147" s="18" t="s">
        <v>3329</v>
      </c>
      <c r="Q147" s="19">
        <v>41989</v>
      </c>
    </row>
    <row r="148" spans="1:17">
      <c r="A148" s="17"/>
      <c r="B148" s="13" t="s">
        <v>3322</v>
      </c>
      <c r="C148" s="13" t="s">
        <v>3323</v>
      </c>
      <c r="D148" s="13" t="s">
        <v>148</v>
      </c>
      <c r="E148" s="13" t="s">
        <v>596</v>
      </c>
      <c r="F148" s="13" t="s">
        <v>3101</v>
      </c>
      <c r="G148" s="13">
        <v>2114740</v>
      </c>
      <c r="H148" s="13">
        <v>3300005146</v>
      </c>
      <c r="I148" s="13">
        <v>5006425</v>
      </c>
      <c r="J148" s="13"/>
      <c r="K148" s="13"/>
      <c r="L148" s="13" t="s">
        <v>3506</v>
      </c>
      <c r="M148" s="13">
        <v>120701203</v>
      </c>
      <c r="N148" s="18" t="s">
        <v>887</v>
      </c>
      <c r="O148" s="18"/>
      <c r="P148" s="18" t="s">
        <v>3507</v>
      </c>
      <c r="Q148" s="19" t="s">
        <v>1285</v>
      </c>
    </row>
    <row r="149" spans="1:17">
      <c r="A149" s="17"/>
      <c r="B149" s="13" t="s">
        <v>4392</v>
      </c>
      <c r="C149" s="13" t="s">
        <v>4393</v>
      </c>
      <c r="D149" s="13" t="s">
        <v>4394</v>
      </c>
      <c r="E149" s="13" t="s">
        <v>654</v>
      </c>
      <c r="F149" s="13" t="s">
        <v>4395</v>
      </c>
      <c r="G149" s="13">
        <v>2103880</v>
      </c>
      <c r="H149" s="13" t="s">
        <v>4396</v>
      </c>
      <c r="I149" s="13">
        <v>3300003609</v>
      </c>
      <c r="J149" s="13" t="s">
        <v>4397</v>
      </c>
      <c r="K149" s="13">
        <v>2103914</v>
      </c>
      <c r="L149" s="13" t="s">
        <v>4398</v>
      </c>
      <c r="M149" s="13">
        <v>120708138</v>
      </c>
      <c r="N149" s="18" t="s">
        <v>4399</v>
      </c>
      <c r="O149" s="18"/>
      <c r="P149" s="18" t="s">
        <v>4400</v>
      </c>
      <c r="Q149" s="19" t="s">
        <v>4001</v>
      </c>
    </row>
    <row r="150" spans="1:17">
      <c r="A150" s="17"/>
      <c r="B150" s="13" t="s">
        <v>4401</v>
      </c>
      <c r="C150" s="13" t="s">
        <v>4393</v>
      </c>
      <c r="D150" s="13" t="s">
        <v>4402</v>
      </c>
      <c r="E150" s="13" t="s">
        <v>654</v>
      </c>
      <c r="F150" s="13" t="s">
        <v>4395</v>
      </c>
      <c r="G150" s="13">
        <v>2103881</v>
      </c>
      <c r="H150" s="13" t="s">
        <v>4403</v>
      </c>
      <c r="I150" s="13" t="s">
        <v>4404</v>
      </c>
      <c r="J150" s="13">
        <v>3300003620</v>
      </c>
      <c r="K150" s="13"/>
      <c r="L150" s="13" t="s">
        <v>4405</v>
      </c>
      <c r="M150" s="13">
        <v>120708141</v>
      </c>
      <c r="N150" s="18" t="s">
        <v>4399</v>
      </c>
      <c r="O150" s="18"/>
      <c r="P150" s="18" t="s">
        <v>4406</v>
      </c>
      <c r="Q150" s="19" t="s">
        <v>4001</v>
      </c>
    </row>
    <row r="151" spans="1:17">
      <c r="A151" s="17" t="s">
        <v>839</v>
      </c>
      <c r="B151" s="13" t="s">
        <v>2195</v>
      </c>
      <c r="C151" s="13" t="s">
        <v>2196</v>
      </c>
      <c r="D151" s="13" t="s">
        <v>181</v>
      </c>
      <c r="E151" s="13" t="s">
        <v>537</v>
      </c>
      <c r="F151" s="20" t="s">
        <v>2191</v>
      </c>
      <c r="G151" s="13" t="s">
        <v>2197</v>
      </c>
      <c r="H151" s="13" t="s">
        <v>2198</v>
      </c>
      <c r="I151" s="13" t="s">
        <v>2199</v>
      </c>
      <c r="J151" s="13">
        <v>3300001683</v>
      </c>
      <c r="K151" s="13">
        <v>2171995</v>
      </c>
      <c r="L151" s="13" t="s">
        <v>2200</v>
      </c>
      <c r="M151" s="13">
        <v>120701450</v>
      </c>
      <c r="N151" s="18" t="s">
        <v>856</v>
      </c>
      <c r="O151" s="18"/>
      <c r="P151" s="18" t="s">
        <v>2201</v>
      </c>
      <c r="Q151" s="19" t="s">
        <v>2202</v>
      </c>
    </row>
    <row r="152" spans="1:17">
      <c r="A152" s="17"/>
      <c r="B152" s="13" t="s">
        <v>5989</v>
      </c>
      <c r="C152" s="13" t="s">
        <v>5990</v>
      </c>
      <c r="D152" s="13" t="s">
        <v>5991</v>
      </c>
      <c r="E152" s="13" t="s">
        <v>5992</v>
      </c>
      <c r="F152" s="13" t="s">
        <v>5843</v>
      </c>
      <c r="G152" s="13">
        <v>2116272</v>
      </c>
      <c r="H152" s="13" t="s">
        <v>5993</v>
      </c>
      <c r="I152" s="13">
        <v>3300012287</v>
      </c>
      <c r="J152" s="13">
        <v>5040903</v>
      </c>
      <c r="K152" s="13"/>
      <c r="L152" s="13" t="s">
        <v>5994</v>
      </c>
      <c r="M152" s="13">
        <v>120707741</v>
      </c>
      <c r="N152" s="18" t="s">
        <v>3105</v>
      </c>
      <c r="O152" s="18" t="s">
        <v>5995</v>
      </c>
      <c r="P152" s="18" t="s">
        <v>5996</v>
      </c>
      <c r="Q152" s="19" t="s">
        <v>1461</v>
      </c>
    </row>
    <row r="153" spans="1:17">
      <c r="A153" s="17"/>
      <c r="B153" s="13" t="s">
        <v>5174</v>
      </c>
      <c r="C153" s="13" t="s">
        <v>5175</v>
      </c>
      <c r="D153" s="13" t="s">
        <v>310</v>
      </c>
      <c r="E153" s="13" t="s">
        <v>697</v>
      </c>
      <c r="F153" s="13" t="s">
        <v>5164</v>
      </c>
      <c r="G153" s="13">
        <v>2183609</v>
      </c>
      <c r="H153" s="13" t="s">
        <v>5176</v>
      </c>
      <c r="I153" s="13">
        <v>3300010890</v>
      </c>
      <c r="J153" s="13">
        <v>2183526</v>
      </c>
      <c r="K153" s="13"/>
      <c r="L153" s="13" t="s">
        <v>5177</v>
      </c>
      <c r="M153" s="13">
        <v>120709099</v>
      </c>
      <c r="N153" s="18" t="s">
        <v>5091</v>
      </c>
      <c r="O153" s="18"/>
      <c r="P153" s="18" t="s">
        <v>5178</v>
      </c>
      <c r="Q153" s="19" t="s">
        <v>1234</v>
      </c>
    </row>
    <row r="154" spans="1:17">
      <c r="A154" s="17"/>
      <c r="B154" s="13" t="s">
        <v>1203</v>
      </c>
      <c r="C154" s="13" t="s">
        <v>1204</v>
      </c>
      <c r="D154" s="13" t="s">
        <v>259</v>
      </c>
      <c r="E154" s="13" t="s">
        <v>664</v>
      </c>
      <c r="F154" s="13" t="s">
        <v>844</v>
      </c>
      <c r="G154" s="13">
        <v>3300002955</v>
      </c>
      <c r="H154" s="13">
        <v>2103493</v>
      </c>
      <c r="I154" s="13">
        <v>5059310</v>
      </c>
      <c r="J154" s="13"/>
      <c r="K154" s="13"/>
      <c r="L154" s="13" t="s">
        <v>1205</v>
      </c>
      <c r="M154" s="13">
        <v>120705577</v>
      </c>
      <c r="N154" s="18" t="s">
        <v>856</v>
      </c>
      <c r="O154" s="18"/>
      <c r="P154" s="18" t="s">
        <v>1206</v>
      </c>
      <c r="Q154" s="19" t="s">
        <v>1160</v>
      </c>
    </row>
    <row r="155" spans="1:17">
      <c r="A155" s="17"/>
      <c r="B155" s="13" t="s">
        <v>4049</v>
      </c>
      <c r="C155" s="13" t="s">
        <v>4050</v>
      </c>
      <c r="D155" s="13" t="s">
        <v>219</v>
      </c>
      <c r="E155" s="13" t="s">
        <v>644</v>
      </c>
      <c r="F155" s="13" t="s">
        <v>3754</v>
      </c>
      <c r="G155" s="13" t="s">
        <v>4051</v>
      </c>
      <c r="H155" s="13">
        <v>5049688</v>
      </c>
      <c r="I155" s="13">
        <v>2172013</v>
      </c>
      <c r="J155" s="13"/>
      <c r="K155" s="13"/>
      <c r="L155" s="13" t="s">
        <v>4052</v>
      </c>
      <c r="M155" s="13">
        <v>120703341</v>
      </c>
      <c r="N155" s="18" t="s">
        <v>3117</v>
      </c>
      <c r="O155" s="18" t="s">
        <v>4053</v>
      </c>
      <c r="P155" s="18" t="s">
        <v>4054</v>
      </c>
      <c r="Q155" s="19" t="s">
        <v>3862</v>
      </c>
    </row>
    <row r="156" spans="1:17">
      <c r="A156" s="17" t="s">
        <v>839</v>
      </c>
      <c r="B156" s="13" t="s">
        <v>3843</v>
      </c>
      <c r="C156" s="13" t="s">
        <v>3844</v>
      </c>
      <c r="D156" s="13" t="s">
        <v>115</v>
      </c>
      <c r="E156" s="13" t="s">
        <v>549</v>
      </c>
      <c r="F156" s="13" t="s">
        <v>3754</v>
      </c>
      <c r="G156" s="13" t="s">
        <v>3845</v>
      </c>
      <c r="H156" s="13">
        <v>3300004145</v>
      </c>
      <c r="I156" s="13">
        <v>2103503</v>
      </c>
      <c r="J156" s="13">
        <v>3300004142</v>
      </c>
      <c r="K156" s="13" t="s">
        <v>3846</v>
      </c>
      <c r="L156" s="13" t="s">
        <v>3847</v>
      </c>
      <c r="M156" s="13">
        <v>120700661</v>
      </c>
      <c r="N156" s="18" t="s">
        <v>3478</v>
      </c>
      <c r="O156" s="18" t="s">
        <v>3848</v>
      </c>
      <c r="P156" s="18" t="s">
        <v>3849</v>
      </c>
      <c r="Q156" s="19" t="s">
        <v>1285</v>
      </c>
    </row>
    <row r="157" spans="1:17">
      <c r="A157" s="17"/>
      <c r="B157" s="13" t="s">
        <v>4103</v>
      </c>
      <c r="C157" s="13" t="s">
        <v>4104</v>
      </c>
      <c r="D157" s="13" t="s">
        <v>243</v>
      </c>
      <c r="E157" s="13" t="s">
        <v>4105</v>
      </c>
      <c r="F157" s="13" t="s">
        <v>3754</v>
      </c>
      <c r="G157" s="13">
        <v>2103780</v>
      </c>
      <c r="H157" s="13" t="s">
        <v>4106</v>
      </c>
      <c r="I157" s="13">
        <v>3300003628</v>
      </c>
      <c r="J157" s="13"/>
      <c r="K157" s="13"/>
      <c r="L157" s="13" t="s">
        <v>4107</v>
      </c>
      <c r="M157" s="13">
        <v>120704787</v>
      </c>
      <c r="N157" s="18" t="s">
        <v>1018</v>
      </c>
      <c r="O157" s="18" t="s">
        <v>4108</v>
      </c>
      <c r="P157" s="18" t="s">
        <v>4109</v>
      </c>
      <c r="Q157" s="19" t="s">
        <v>4001</v>
      </c>
    </row>
    <row r="158" spans="1:17">
      <c r="A158" s="17"/>
      <c r="B158" s="13" t="s">
        <v>2457</v>
      </c>
      <c r="C158" s="13" t="s">
        <v>46</v>
      </c>
      <c r="D158" s="13" t="s">
        <v>447</v>
      </c>
      <c r="E158" s="13" t="s">
        <v>769</v>
      </c>
      <c r="F158" s="13" t="s">
        <v>2433</v>
      </c>
      <c r="G158" s="13" t="s">
        <v>2458</v>
      </c>
      <c r="H158" s="13">
        <v>2183563</v>
      </c>
      <c r="I158" s="13">
        <v>5059350</v>
      </c>
      <c r="J158" s="13"/>
      <c r="K158" s="13"/>
      <c r="L158" s="13" t="s">
        <v>2459</v>
      </c>
      <c r="M158" s="13">
        <v>130704432</v>
      </c>
      <c r="N158" s="18" t="s">
        <v>2436</v>
      </c>
      <c r="O158" s="18" t="s">
        <v>2460</v>
      </c>
      <c r="P158" s="18" t="s">
        <v>2461</v>
      </c>
      <c r="Q158" s="19" t="s">
        <v>2462</v>
      </c>
    </row>
    <row r="159" spans="1:17">
      <c r="A159" s="17" t="s">
        <v>839</v>
      </c>
      <c r="B159" s="13" t="s">
        <v>2313</v>
      </c>
      <c r="C159" s="13" t="s">
        <v>2314</v>
      </c>
      <c r="D159" s="13" t="s">
        <v>459</v>
      </c>
      <c r="E159" s="13" t="s">
        <v>546</v>
      </c>
      <c r="F159" s="20" t="s">
        <v>2191</v>
      </c>
      <c r="G159" s="13">
        <v>2177335</v>
      </c>
      <c r="H159" s="13" t="s">
        <v>2315</v>
      </c>
      <c r="I159" s="13" t="s">
        <v>2316</v>
      </c>
      <c r="J159" s="13"/>
      <c r="K159" s="13"/>
      <c r="L159" s="13" t="s">
        <v>2317</v>
      </c>
      <c r="M159" s="13">
        <v>130704952</v>
      </c>
      <c r="N159" s="18" t="s">
        <v>856</v>
      </c>
      <c r="O159" s="18" t="s">
        <v>2318</v>
      </c>
      <c r="P159" s="18" t="s">
        <v>873</v>
      </c>
      <c r="Q159" s="19" t="s">
        <v>2319</v>
      </c>
    </row>
    <row r="160" spans="1:17">
      <c r="A160" s="17" t="s">
        <v>839</v>
      </c>
      <c r="B160" s="13" t="s">
        <v>4948</v>
      </c>
      <c r="C160" s="13" t="s">
        <v>4949</v>
      </c>
      <c r="D160" s="13" t="s">
        <v>134</v>
      </c>
      <c r="E160" s="13" t="s">
        <v>583</v>
      </c>
      <c r="F160" s="13" t="s">
        <v>4914</v>
      </c>
      <c r="G160" s="13">
        <v>1765953</v>
      </c>
      <c r="H160" s="13">
        <v>1763218</v>
      </c>
      <c r="I160" s="13">
        <v>5059328</v>
      </c>
      <c r="J160" s="13"/>
      <c r="K160" s="13"/>
      <c r="L160" s="13" t="s">
        <v>4950</v>
      </c>
      <c r="M160" s="13">
        <v>120700780</v>
      </c>
      <c r="N160" s="18" t="s">
        <v>4721</v>
      </c>
      <c r="O160" s="18" t="s">
        <v>4951</v>
      </c>
      <c r="P160" s="18" t="s">
        <v>4952</v>
      </c>
      <c r="Q160" s="19" t="s">
        <v>4953</v>
      </c>
    </row>
    <row r="161" spans="1:17">
      <c r="A161" s="17"/>
      <c r="B161" s="13" t="s">
        <v>3288</v>
      </c>
      <c r="C161" s="13" t="s">
        <v>3289</v>
      </c>
      <c r="D161" s="13" t="s">
        <v>443</v>
      </c>
      <c r="E161" s="13" t="s">
        <v>660</v>
      </c>
      <c r="F161" s="13" t="s">
        <v>3101</v>
      </c>
      <c r="G161" s="13">
        <v>3300009759</v>
      </c>
      <c r="H161" s="13" t="s">
        <v>3290</v>
      </c>
      <c r="I161" s="13"/>
      <c r="J161" s="13"/>
      <c r="K161" s="13"/>
      <c r="L161" s="13" t="s">
        <v>3291</v>
      </c>
      <c r="M161" s="13">
        <v>130704278</v>
      </c>
      <c r="N161" s="18" t="s">
        <v>887</v>
      </c>
      <c r="O161" s="18" t="s">
        <v>3292</v>
      </c>
      <c r="P161" s="18" t="s">
        <v>3293</v>
      </c>
      <c r="Q161" s="19" t="s">
        <v>3294</v>
      </c>
    </row>
    <row r="162" spans="1:17">
      <c r="A162" s="17"/>
      <c r="B162" s="13" t="s">
        <v>3976</v>
      </c>
      <c r="C162" s="13" t="s">
        <v>3977</v>
      </c>
      <c r="D162" s="13" t="s">
        <v>385</v>
      </c>
      <c r="E162" s="13" t="s">
        <v>712</v>
      </c>
      <c r="F162" s="13" t="s">
        <v>3754</v>
      </c>
      <c r="G162" s="13">
        <v>5049689</v>
      </c>
      <c r="H162" s="13" t="s">
        <v>3978</v>
      </c>
      <c r="I162" s="13">
        <v>3300009711</v>
      </c>
      <c r="J162" s="13">
        <v>2171975</v>
      </c>
      <c r="K162" s="13">
        <v>5049707</v>
      </c>
      <c r="L162" s="13" t="s">
        <v>3979</v>
      </c>
      <c r="M162" s="13">
        <v>120911413</v>
      </c>
      <c r="N162" s="18" t="s">
        <v>1018</v>
      </c>
      <c r="O162" s="18" t="s">
        <v>3980</v>
      </c>
      <c r="P162" s="18" t="s">
        <v>3981</v>
      </c>
      <c r="Q162" s="19" t="s">
        <v>2188</v>
      </c>
    </row>
    <row r="163" spans="1:17">
      <c r="A163" s="17" t="s">
        <v>839</v>
      </c>
      <c r="B163" s="13" t="s">
        <v>3377</v>
      </c>
      <c r="C163" s="13" t="s">
        <v>3378</v>
      </c>
      <c r="D163" s="13" t="s">
        <v>488</v>
      </c>
      <c r="E163" s="13" t="s">
        <v>534</v>
      </c>
      <c r="F163" s="13" t="s">
        <v>3101</v>
      </c>
      <c r="G163" s="13" t="s">
        <v>3379</v>
      </c>
      <c r="H163" s="13">
        <v>5050433</v>
      </c>
      <c r="I163" s="13">
        <v>2171952</v>
      </c>
      <c r="J163" s="13">
        <v>3300005729</v>
      </c>
      <c r="K163" s="13" t="s">
        <v>3380</v>
      </c>
      <c r="L163" s="13" t="s">
        <v>3381</v>
      </c>
      <c r="M163" s="13">
        <v>131002060</v>
      </c>
      <c r="N163" s="18" t="s">
        <v>3117</v>
      </c>
      <c r="O163" s="18"/>
      <c r="P163" s="18"/>
      <c r="Q163" s="19" t="s">
        <v>2069</v>
      </c>
    </row>
    <row r="164" spans="1:17">
      <c r="A164" s="17" t="s">
        <v>839</v>
      </c>
      <c r="B164" s="13" t="s">
        <v>2042</v>
      </c>
      <c r="C164" s="13" t="s">
        <v>2043</v>
      </c>
      <c r="D164" s="13" t="s">
        <v>2044</v>
      </c>
      <c r="E164" s="13" t="s">
        <v>577</v>
      </c>
      <c r="F164" s="13" t="s">
        <v>844</v>
      </c>
      <c r="G164" s="13" t="s">
        <v>2045</v>
      </c>
      <c r="H164" s="13">
        <v>2159890</v>
      </c>
      <c r="I164" s="13">
        <v>5049721</v>
      </c>
      <c r="J164" s="13">
        <v>3300009543</v>
      </c>
      <c r="K164" s="13" t="s">
        <v>2046</v>
      </c>
      <c r="L164" s="13" t="s">
        <v>2047</v>
      </c>
      <c r="M164" s="13">
        <v>120708400</v>
      </c>
      <c r="N164" s="18" t="s">
        <v>856</v>
      </c>
      <c r="O164" s="18" t="s">
        <v>2048</v>
      </c>
      <c r="P164" s="18" t="s">
        <v>2049</v>
      </c>
      <c r="Q164" s="19" t="s">
        <v>2050</v>
      </c>
    </row>
    <row r="165" spans="1:17">
      <c r="A165" s="17"/>
      <c r="B165" s="13" t="s">
        <v>3190</v>
      </c>
      <c r="C165" s="13" t="s">
        <v>3191</v>
      </c>
      <c r="D165" s="13" t="s">
        <v>408</v>
      </c>
      <c r="E165" s="13" t="s">
        <v>545</v>
      </c>
      <c r="F165" s="13" t="s">
        <v>3101</v>
      </c>
      <c r="G165" s="13" t="s">
        <v>3192</v>
      </c>
      <c r="H165" s="13">
        <v>5045671</v>
      </c>
      <c r="I165" s="13">
        <v>2183469</v>
      </c>
      <c r="J165" s="13">
        <v>3300011801</v>
      </c>
      <c r="K165" s="13">
        <v>5045659</v>
      </c>
      <c r="L165" s="13" t="s">
        <v>3193</v>
      </c>
      <c r="M165" s="13">
        <v>130701528</v>
      </c>
      <c r="N165" s="18" t="s">
        <v>887</v>
      </c>
      <c r="O165" s="18" t="s">
        <v>3194</v>
      </c>
      <c r="P165" s="18" t="s">
        <v>3195</v>
      </c>
      <c r="Q165" s="19" t="s">
        <v>3146</v>
      </c>
    </row>
    <row r="166" spans="1:17">
      <c r="A166" s="17"/>
      <c r="B166" s="13" t="s">
        <v>4920</v>
      </c>
      <c r="C166" s="13" t="s">
        <v>4921</v>
      </c>
      <c r="D166" s="13" t="s">
        <v>4922</v>
      </c>
      <c r="E166" s="13" t="s">
        <v>588</v>
      </c>
      <c r="F166" s="13" t="s">
        <v>4914</v>
      </c>
      <c r="G166" s="13" t="s">
        <v>4923</v>
      </c>
      <c r="H166" s="13">
        <v>2172434</v>
      </c>
      <c r="I166" s="13" t="s">
        <v>4924</v>
      </c>
      <c r="J166" s="13">
        <v>3300009788</v>
      </c>
      <c r="K166" s="13" t="s">
        <v>4925</v>
      </c>
      <c r="L166" s="13" t="s">
        <v>4926</v>
      </c>
      <c r="M166" s="13">
        <v>130700738</v>
      </c>
      <c r="N166" s="18" t="s">
        <v>4472</v>
      </c>
      <c r="O166" s="18" t="s">
        <v>4927</v>
      </c>
      <c r="P166" s="18" t="s">
        <v>4928</v>
      </c>
      <c r="Q166" s="19" t="s">
        <v>4929</v>
      </c>
    </row>
    <row r="167" spans="1:17">
      <c r="A167" s="17"/>
      <c r="B167" s="13" t="s">
        <v>5909</v>
      </c>
      <c r="C167" s="13" t="s">
        <v>5910</v>
      </c>
      <c r="D167" s="13" t="s">
        <v>5911</v>
      </c>
      <c r="E167" s="13" t="s">
        <v>5912</v>
      </c>
      <c r="F167" s="13" t="s">
        <v>5843</v>
      </c>
      <c r="G167" s="13" t="s">
        <v>5913</v>
      </c>
      <c r="H167" s="13">
        <v>3300005154</v>
      </c>
      <c r="I167" s="13" t="s">
        <v>5914</v>
      </c>
      <c r="J167" s="13">
        <v>2183570</v>
      </c>
      <c r="K167" s="13"/>
      <c r="L167" s="13" t="s">
        <v>5915</v>
      </c>
      <c r="M167" s="13">
        <v>140703156</v>
      </c>
      <c r="N167" s="18"/>
      <c r="O167" s="18" t="s">
        <v>5916</v>
      </c>
      <c r="P167" s="18" t="s">
        <v>5917</v>
      </c>
      <c r="Q167" s="19">
        <v>42109</v>
      </c>
    </row>
    <row r="168" spans="1:17">
      <c r="A168" s="17"/>
      <c r="B168" s="13" t="s">
        <v>4648</v>
      </c>
      <c r="C168" s="13" t="s">
        <v>4649</v>
      </c>
      <c r="D168" s="13" t="s">
        <v>254</v>
      </c>
      <c r="E168" s="13" t="s">
        <v>4650</v>
      </c>
      <c r="F168" s="13" t="s">
        <v>4395</v>
      </c>
      <c r="G168" s="13" t="s">
        <v>4651</v>
      </c>
      <c r="H168" s="13">
        <v>3300002819</v>
      </c>
      <c r="I168" s="13">
        <v>2114763</v>
      </c>
      <c r="J168" s="13" t="s">
        <v>4652</v>
      </c>
      <c r="K168" s="13"/>
      <c r="L168" s="13" t="s">
        <v>4653</v>
      </c>
      <c r="M168" s="13">
        <v>120705360</v>
      </c>
      <c r="N168" s="18" t="s">
        <v>4472</v>
      </c>
      <c r="O168" s="18" t="s">
        <v>4654</v>
      </c>
      <c r="P168" s="18" t="s">
        <v>4655</v>
      </c>
      <c r="Q168" s="19" t="s">
        <v>3910</v>
      </c>
    </row>
    <row r="169" spans="1:17">
      <c r="A169" s="17"/>
      <c r="B169" s="13" t="s">
        <v>2351</v>
      </c>
      <c r="C169" s="13" t="s">
        <v>2352</v>
      </c>
      <c r="D169" s="13" t="s">
        <v>2353</v>
      </c>
      <c r="E169" s="13" t="s">
        <v>557</v>
      </c>
      <c r="F169" s="20" t="s">
        <v>2345</v>
      </c>
      <c r="G169" s="13">
        <v>2177534</v>
      </c>
      <c r="H169" s="13">
        <v>3300008119</v>
      </c>
      <c r="I169" s="13" t="s">
        <v>2354</v>
      </c>
      <c r="J169" s="13">
        <v>5047879</v>
      </c>
      <c r="K169" s="13"/>
      <c r="L169" s="13" t="s">
        <v>2355</v>
      </c>
      <c r="M169" s="13">
        <v>120713099</v>
      </c>
      <c r="N169" s="18" t="s">
        <v>847</v>
      </c>
      <c r="O169" s="18" t="s">
        <v>2356</v>
      </c>
      <c r="P169" s="18" t="s">
        <v>2357</v>
      </c>
      <c r="Q169" s="19" t="s">
        <v>2358</v>
      </c>
    </row>
    <row r="170" spans="1:17">
      <c r="A170" s="17"/>
      <c r="B170" s="13" t="s">
        <v>2941</v>
      </c>
      <c r="C170" s="13" t="s">
        <v>5</v>
      </c>
      <c r="D170" s="13" t="s">
        <v>2942</v>
      </c>
      <c r="E170" s="13" t="s">
        <v>659</v>
      </c>
      <c r="F170" s="13" t="s">
        <v>2830</v>
      </c>
      <c r="G170" s="13">
        <v>2110126</v>
      </c>
      <c r="H170" s="13">
        <v>3300004130</v>
      </c>
      <c r="I170" s="13"/>
      <c r="J170" s="13"/>
      <c r="K170" s="13"/>
      <c r="L170" s="13" t="s">
        <v>2943</v>
      </c>
      <c r="M170" s="13">
        <v>120705071</v>
      </c>
      <c r="N170" s="18" t="s">
        <v>2436</v>
      </c>
      <c r="O170" s="18" t="s">
        <v>2944</v>
      </c>
      <c r="P170" s="18" t="s">
        <v>2945</v>
      </c>
      <c r="Q170" s="19" t="s">
        <v>1679</v>
      </c>
    </row>
    <row r="171" spans="1:17">
      <c r="A171" s="17" t="s">
        <v>839</v>
      </c>
      <c r="B171" s="13" t="s">
        <v>3759</v>
      </c>
      <c r="C171" s="13" t="s">
        <v>3760</v>
      </c>
      <c r="D171" s="13" t="s">
        <v>330</v>
      </c>
      <c r="E171" s="13" t="s">
        <v>716</v>
      </c>
      <c r="F171" s="13" t="s">
        <v>3754</v>
      </c>
      <c r="G171" s="13">
        <v>3300009794</v>
      </c>
      <c r="H171" s="13">
        <v>5050448</v>
      </c>
      <c r="I171" s="13" t="s">
        <v>3761</v>
      </c>
      <c r="J171" s="13">
        <v>2177158</v>
      </c>
      <c r="K171" s="13" t="s">
        <v>3762</v>
      </c>
      <c r="L171" s="13" t="s">
        <v>3763</v>
      </c>
      <c r="M171" s="13">
        <v>120712502</v>
      </c>
      <c r="N171" s="18" t="s">
        <v>1018</v>
      </c>
      <c r="O171" s="18"/>
      <c r="P171" s="18" t="s">
        <v>3764</v>
      </c>
      <c r="Q171" s="19" t="s">
        <v>2319</v>
      </c>
    </row>
    <row r="172" spans="1:17">
      <c r="A172" s="17"/>
      <c r="B172" s="13" t="s">
        <v>2828</v>
      </c>
      <c r="C172" s="13" t="s">
        <v>2829</v>
      </c>
      <c r="D172" s="13" t="s">
        <v>144</v>
      </c>
      <c r="E172" s="13" t="s">
        <v>592</v>
      </c>
      <c r="F172" s="13" t="s">
        <v>2830</v>
      </c>
      <c r="G172" s="13" t="s">
        <v>2831</v>
      </c>
      <c r="H172" s="13">
        <v>3300001691</v>
      </c>
      <c r="I172" s="13">
        <v>2171911</v>
      </c>
      <c r="J172" s="13"/>
      <c r="K172" s="13"/>
      <c r="L172" s="13" t="s">
        <v>2832</v>
      </c>
      <c r="M172" s="13">
        <v>120701180</v>
      </c>
      <c r="N172" s="18" t="s">
        <v>887</v>
      </c>
      <c r="O172" s="18" t="s">
        <v>2833</v>
      </c>
      <c r="P172" s="18" t="s">
        <v>2834</v>
      </c>
      <c r="Q172" s="19" t="s">
        <v>1506</v>
      </c>
    </row>
    <row r="173" spans="1:17">
      <c r="A173" s="17"/>
      <c r="B173" s="13" t="s">
        <v>5673</v>
      </c>
      <c r="C173" s="13" t="s">
        <v>5674</v>
      </c>
      <c r="D173" s="13" t="s">
        <v>5675</v>
      </c>
      <c r="E173" s="13" t="s">
        <v>688</v>
      </c>
      <c r="F173" s="13" t="s">
        <v>5164</v>
      </c>
      <c r="G173" s="13" t="s">
        <v>5676</v>
      </c>
      <c r="H173" s="13">
        <v>2172368</v>
      </c>
      <c r="I173" s="13">
        <v>5050447</v>
      </c>
      <c r="J173" s="13">
        <v>2171935</v>
      </c>
      <c r="K173" s="13"/>
      <c r="L173" s="13" t="s">
        <v>5677</v>
      </c>
      <c r="M173" s="13">
        <v>130700509</v>
      </c>
      <c r="N173" s="18" t="s">
        <v>4424</v>
      </c>
      <c r="O173" s="18" t="s">
        <v>5678</v>
      </c>
      <c r="P173" s="18" t="s">
        <v>5679</v>
      </c>
      <c r="Q173" s="19" t="s">
        <v>1302</v>
      </c>
    </row>
    <row r="174" spans="1:17">
      <c r="A174" s="17"/>
      <c r="B174" s="13" t="s">
        <v>4012</v>
      </c>
      <c r="C174" s="13" t="s">
        <v>4013</v>
      </c>
      <c r="D174" s="13" t="s">
        <v>4014</v>
      </c>
      <c r="E174" s="13" t="s">
        <v>543</v>
      </c>
      <c r="F174" s="13" t="s">
        <v>3754</v>
      </c>
      <c r="G174" s="13"/>
      <c r="H174" s="13"/>
      <c r="I174" s="13"/>
      <c r="J174" s="13"/>
      <c r="K174" s="13"/>
      <c r="L174" s="13"/>
      <c r="M174" s="13">
        <v>120700156</v>
      </c>
      <c r="N174" s="18" t="s">
        <v>1188</v>
      </c>
      <c r="O174" s="18"/>
      <c r="P174" s="18"/>
      <c r="Q174" s="19" t="s">
        <v>4015</v>
      </c>
    </row>
    <row r="175" spans="1:17">
      <c r="A175" s="17"/>
      <c r="B175" s="13" t="s">
        <v>1991</v>
      </c>
      <c r="C175" s="13" t="s">
        <v>1992</v>
      </c>
      <c r="D175" s="13" t="s">
        <v>1993</v>
      </c>
      <c r="E175" s="13" t="s">
        <v>767</v>
      </c>
      <c r="F175" s="13" t="s">
        <v>844</v>
      </c>
      <c r="G175" s="13">
        <v>2116291</v>
      </c>
      <c r="H175" s="13" t="s">
        <v>1994</v>
      </c>
      <c r="I175" s="13">
        <v>2116297</v>
      </c>
      <c r="J175" s="13">
        <v>3300002924</v>
      </c>
      <c r="K175" s="13">
        <v>5059342</v>
      </c>
      <c r="L175" s="13" t="s">
        <v>1995</v>
      </c>
      <c r="M175" s="13">
        <v>120708476</v>
      </c>
      <c r="N175" s="18" t="s">
        <v>879</v>
      </c>
      <c r="O175" s="18"/>
      <c r="P175" s="18" t="s">
        <v>873</v>
      </c>
      <c r="Q175" s="19" t="s">
        <v>1602</v>
      </c>
    </row>
    <row r="176" spans="1:17">
      <c r="A176" s="17"/>
      <c r="B176" s="13" t="s">
        <v>2463</v>
      </c>
      <c r="C176" s="13" t="s">
        <v>2464</v>
      </c>
      <c r="D176" s="13" t="s">
        <v>79</v>
      </c>
      <c r="E176" s="13" t="s">
        <v>539</v>
      </c>
      <c r="F176" s="13" t="s">
        <v>2433</v>
      </c>
      <c r="G176" s="13" t="s">
        <v>2465</v>
      </c>
      <c r="H176" s="13" t="s">
        <v>2466</v>
      </c>
      <c r="I176" s="13">
        <v>2084736</v>
      </c>
      <c r="J176" s="13">
        <v>3300004137</v>
      </c>
      <c r="K176" s="13" t="s">
        <v>2467</v>
      </c>
      <c r="L176" s="13" t="s">
        <v>2468</v>
      </c>
      <c r="M176" s="13">
        <v>120700408</v>
      </c>
      <c r="N176" s="18" t="s">
        <v>2436</v>
      </c>
      <c r="O176" s="18" t="s">
        <v>2469</v>
      </c>
      <c r="P176" s="18" t="s">
        <v>2470</v>
      </c>
      <c r="Q176" s="19" t="s">
        <v>1589</v>
      </c>
    </row>
    <row r="177" spans="1:17">
      <c r="A177" s="17"/>
      <c r="B177" s="13" t="s">
        <v>3108</v>
      </c>
      <c r="C177" s="13" t="s">
        <v>3109</v>
      </c>
      <c r="D177" s="13" t="s">
        <v>187</v>
      </c>
      <c r="E177" s="13" t="s">
        <v>621</v>
      </c>
      <c r="F177" s="13" t="s">
        <v>3101</v>
      </c>
      <c r="G177" s="13">
        <v>2103959</v>
      </c>
      <c r="H177" s="13">
        <v>3300011512</v>
      </c>
      <c r="I177" s="13">
        <v>5045679</v>
      </c>
      <c r="J177" s="13">
        <v>2183547</v>
      </c>
      <c r="K177" s="13" t="s">
        <v>3110</v>
      </c>
      <c r="L177" s="13" t="s">
        <v>3111</v>
      </c>
      <c r="M177" s="13">
        <v>120702025</v>
      </c>
      <c r="N177" s="18" t="s">
        <v>887</v>
      </c>
      <c r="O177" s="18"/>
      <c r="P177" s="18" t="s">
        <v>3112</v>
      </c>
      <c r="Q177" s="19" t="s">
        <v>1356</v>
      </c>
    </row>
    <row r="178" spans="1:17">
      <c r="A178" s="17"/>
      <c r="B178" s="13" t="s">
        <v>4378</v>
      </c>
      <c r="C178" s="13" t="s">
        <v>4379</v>
      </c>
      <c r="D178" s="13" t="s">
        <v>4380</v>
      </c>
      <c r="E178" s="13" t="s">
        <v>792</v>
      </c>
      <c r="F178" s="13" t="s">
        <v>3754</v>
      </c>
      <c r="G178" s="13">
        <v>2183500</v>
      </c>
      <c r="H178" s="13">
        <v>5059290</v>
      </c>
      <c r="I178" s="13" t="s">
        <v>4381</v>
      </c>
      <c r="J178" s="13"/>
      <c r="K178" s="13"/>
      <c r="L178" s="13" t="s">
        <v>4382</v>
      </c>
      <c r="M178" s="13">
        <v>140701299</v>
      </c>
      <c r="N178" s="18" t="s">
        <v>3478</v>
      </c>
      <c r="O178" s="18" t="s">
        <v>4383</v>
      </c>
      <c r="P178" s="18" t="s">
        <v>4384</v>
      </c>
      <c r="Q178" s="19">
        <v>41850</v>
      </c>
    </row>
    <row r="179" spans="1:17">
      <c r="A179" s="17"/>
      <c r="B179" s="13" t="s">
        <v>2700</v>
      </c>
      <c r="C179" s="13" t="s">
        <v>2701</v>
      </c>
      <c r="D179" s="13" t="s">
        <v>2702</v>
      </c>
      <c r="E179" s="13" t="s">
        <v>2703</v>
      </c>
      <c r="F179" s="13" t="s">
        <v>2433</v>
      </c>
      <c r="G179" s="13">
        <v>2084749</v>
      </c>
      <c r="H179" s="13" t="s">
        <v>2704</v>
      </c>
      <c r="I179" s="13">
        <v>2084815</v>
      </c>
      <c r="J179" s="13">
        <v>5059326</v>
      </c>
      <c r="K179" s="13">
        <v>3300012261</v>
      </c>
      <c r="L179" s="13" t="s">
        <v>2705</v>
      </c>
      <c r="M179" s="13">
        <v>120700177</v>
      </c>
      <c r="N179" s="18" t="s">
        <v>2436</v>
      </c>
      <c r="O179" s="18" t="s">
        <v>2706</v>
      </c>
      <c r="P179" s="18" t="s">
        <v>2707</v>
      </c>
      <c r="Q179" s="19" t="s">
        <v>850</v>
      </c>
    </row>
    <row r="180" spans="1:17">
      <c r="A180" s="17"/>
      <c r="B180" s="13" t="s">
        <v>3522</v>
      </c>
      <c r="C180" s="13" t="s">
        <v>3523</v>
      </c>
      <c r="D180" s="13" t="s">
        <v>262</v>
      </c>
      <c r="E180" s="13" t="s">
        <v>3524</v>
      </c>
      <c r="F180" s="13" t="s">
        <v>3101</v>
      </c>
      <c r="G180" s="13">
        <v>2103903</v>
      </c>
      <c r="H180" s="13" t="s">
        <v>3525</v>
      </c>
      <c r="I180" s="13">
        <v>3300003608</v>
      </c>
      <c r="J180" s="13" t="s">
        <v>3526</v>
      </c>
      <c r="K180" s="13"/>
      <c r="L180" s="13" t="s">
        <v>3527</v>
      </c>
      <c r="M180" s="13">
        <v>120705907</v>
      </c>
      <c r="N180" s="18" t="s">
        <v>887</v>
      </c>
      <c r="O180" s="18" t="s">
        <v>3528</v>
      </c>
      <c r="P180" s="18" t="s">
        <v>3529</v>
      </c>
      <c r="Q180" s="19" t="s">
        <v>2494</v>
      </c>
    </row>
    <row r="181" spans="1:17">
      <c r="A181" s="17" t="s">
        <v>839</v>
      </c>
      <c r="B181" s="13" t="s">
        <v>1960</v>
      </c>
      <c r="C181" s="13" t="s">
        <v>1961</v>
      </c>
      <c r="D181" s="13" t="s">
        <v>1962</v>
      </c>
      <c r="E181" s="13" t="s">
        <v>1954</v>
      </c>
      <c r="F181" s="13" t="s">
        <v>844</v>
      </c>
      <c r="G181" s="13" t="s">
        <v>1963</v>
      </c>
      <c r="H181" s="13">
        <v>3300009547</v>
      </c>
      <c r="I181" s="13">
        <v>2172007</v>
      </c>
      <c r="J181" s="13">
        <v>3300009558</v>
      </c>
      <c r="K181" s="13">
        <v>5031872</v>
      </c>
      <c r="L181" s="13" t="s">
        <v>1964</v>
      </c>
      <c r="M181" s="13">
        <v>131001937</v>
      </c>
      <c r="N181" s="18" t="s">
        <v>887</v>
      </c>
      <c r="O181" s="18"/>
      <c r="P181" s="18" t="s">
        <v>1965</v>
      </c>
      <c r="Q181" s="19" t="s">
        <v>1966</v>
      </c>
    </row>
    <row r="182" spans="1:17">
      <c r="A182" s="17"/>
      <c r="B182" s="13" t="s">
        <v>5516</v>
      </c>
      <c r="C182" s="13" t="s">
        <v>5517</v>
      </c>
      <c r="D182" s="13" t="s">
        <v>298</v>
      </c>
      <c r="E182" s="13" t="s">
        <v>692</v>
      </c>
      <c r="F182" s="13" t="s">
        <v>5164</v>
      </c>
      <c r="G182" s="13">
        <v>2114736</v>
      </c>
      <c r="H182" s="13" t="s">
        <v>5518</v>
      </c>
      <c r="I182" s="13">
        <v>5045693</v>
      </c>
      <c r="J182" s="13" t="s">
        <v>5519</v>
      </c>
      <c r="K182" s="13">
        <v>2114752</v>
      </c>
      <c r="L182" s="13" t="s">
        <v>5520</v>
      </c>
      <c r="M182" s="13">
        <v>120708301</v>
      </c>
      <c r="N182" s="18" t="s">
        <v>5091</v>
      </c>
      <c r="O182" s="18" t="s">
        <v>5521</v>
      </c>
      <c r="P182" s="18" t="s">
        <v>5522</v>
      </c>
      <c r="Q182" s="19" t="s">
        <v>5523</v>
      </c>
    </row>
    <row r="183" spans="1:17">
      <c r="A183" s="17"/>
      <c r="B183" s="13" t="s">
        <v>1431</v>
      </c>
      <c r="C183" s="13" t="s">
        <v>1431</v>
      </c>
      <c r="D183" s="13" t="s">
        <v>497</v>
      </c>
      <c r="E183" s="13" t="s">
        <v>566</v>
      </c>
      <c r="F183" s="13" t="s">
        <v>844</v>
      </c>
      <c r="G183" s="13">
        <v>2183484</v>
      </c>
      <c r="H183" s="13" t="s">
        <v>1432</v>
      </c>
      <c r="I183" s="13">
        <v>3300009770</v>
      </c>
      <c r="J183" s="13">
        <v>2183487</v>
      </c>
      <c r="K183" s="13"/>
      <c r="L183" s="13" t="s">
        <v>1433</v>
      </c>
      <c r="M183" s="13">
        <v>140700170</v>
      </c>
      <c r="N183" s="18" t="s">
        <v>879</v>
      </c>
      <c r="O183" s="18" t="s">
        <v>1434</v>
      </c>
      <c r="P183" s="18" t="s">
        <v>1435</v>
      </c>
      <c r="Q183" s="19" t="s">
        <v>1436</v>
      </c>
    </row>
    <row r="184" spans="1:17">
      <c r="A184" s="17"/>
      <c r="B184" s="13" t="s">
        <v>4006</v>
      </c>
      <c r="C184" s="13" t="s">
        <v>4007</v>
      </c>
      <c r="D184" s="13" t="s">
        <v>192</v>
      </c>
      <c r="E184" s="13" t="s">
        <v>625</v>
      </c>
      <c r="F184" s="13" t="s">
        <v>3754</v>
      </c>
      <c r="G184" s="13">
        <v>2119177</v>
      </c>
      <c r="H184" s="13" t="s">
        <v>4008</v>
      </c>
      <c r="I184" s="13">
        <v>5031837</v>
      </c>
      <c r="J184" s="13">
        <v>3300010898</v>
      </c>
      <c r="K184" s="13">
        <v>5059319</v>
      </c>
      <c r="L184" s="13" t="s">
        <v>4009</v>
      </c>
      <c r="M184" s="13">
        <v>120702072</v>
      </c>
      <c r="N184" s="18" t="s">
        <v>1018</v>
      </c>
      <c r="O184" s="18" t="s">
        <v>4010</v>
      </c>
      <c r="P184" s="18" t="s">
        <v>4011</v>
      </c>
      <c r="Q184" s="19" t="s">
        <v>1636</v>
      </c>
    </row>
    <row r="185" spans="1:17">
      <c r="A185" s="17"/>
      <c r="B185" s="13" t="s">
        <v>3391</v>
      </c>
      <c r="C185" s="13" t="s">
        <v>3392</v>
      </c>
      <c r="D185" s="13" t="s">
        <v>272</v>
      </c>
      <c r="E185" s="13" t="s">
        <v>673</v>
      </c>
      <c r="F185" s="13" t="s">
        <v>3101</v>
      </c>
      <c r="G185" s="13">
        <v>3300005140</v>
      </c>
      <c r="H185" s="13">
        <v>2103460</v>
      </c>
      <c r="I185" s="13">
        <v>5006424</v>
      </c>
      <c r="J185" s="13"/>
      <c r="K185" s="13"/>
      <c r="L185" s="13" t="s">
        <v>3393</v>
      </c>
      <c r="M185" s="13">
        <v>120706571</v>
      </c>
      <c r="N185" s="18" t="s">
        <v>887</v>
      </c>
      <c r="O185" s="18" t="s">
        <v>3394</v>
      </c>
      <c r="P185" s="18" t="s">
        <v>3395</v>
      </c>
      <c r="Q185" s="19" t="s">
        <v>1679</v>
      </c>
    </row>
    <row r="186" spans="1:17">
      <c r="A186" s="17" t="s">
        <v>839</v>
      </c>
      <c r="B186" s="13" t="s">
        <v>6351</v>
      </c>
      <c r="C186" s="13" t="s">
        <v>6352</v>
      </c>
      <c r="D186" s="13" t="s">
        <v>452</v>
      </c>
      <c r="E186" s="13" t="s">
        <v>687</v>
      </c>
      <c r="F186" s="13" t="s">
        <v>5843</v>
      </c>
      <c r="G186" s="13">
        <v>3300009744</v>
      </c>
      <c r="H186" s="13">
        <v>2177182</v>
      </c>
      <c r="I186" s="13" t="s">
        <v>6353</v>
      </c>
      <c r="J186" s="13">
        <v>5047874</v>
      </c>
      <c r="K186" s="13">
        <v>3300009789</v>
      </c>
      <c r="L186" s="13" t="s">
        <v>6354</v>
      </c>
      <c r="M186" s="13">
        <v>130704825</v>
      </c>
      <c r="N186" s="18" t="s">
        <v>3105</v>
      </c>
      <c r="O186" s="18" t="s">
        <v>6355</v>
      </c>
      <c r="P186" s="18" t="s">
        <v>6356</v>
      </c>
      <c r="Q186" s="19" t="s">
        <v>1475</v>
      </c>
    </row>
    <row r="187" spans="1:17">
      <c r="A187" s="17"/>
      <c r="B187" s="13" t="s">
        <v>6453</v>
      </c>
      <c r="C187" s="13" t="s">
        <v>6352</v>
      </c>
      <c r="D187" s="13" t="s">
        <v>451</v>
      </c>
      <c r="E187" s="13" t="s">
        <v>771</v>
      </c>
      <c r="F187" s="13" t="s">
        <v>5843</v>
      </c>
      <c r="G187" s="13">
        <v>2177176</v>
      </c>
      <c r="H187" s="13">
        <v>3300009738</v>
      </c>
      <c r="I187" s="13" t="s">
        <v>6454</v>
      </c>
      <c r="J187" s="13">
        <v>5047875</v>
      </c>
      <c r="K187" s="13">
        <v>2183521</v>
      </c>
      <c r="L187" s="13" t="s">
        <v>6455</v>
      </c>
      <c r="M187" s="13">
        <v>130704824</v>
      </c>
      <c r="N187" s="18" t="s">
        <v>3105</v>
      </c>
      <c r="O187" s="18" t="s">
        <v>6456</v>
      </c>
      <c r="P187" s="18" t="s">
        <v>6457</v>
      </c>
      <c r="Q187" s="19" t="s">
        <v>1475</v>
      </c>
    </row>
    <row r="188" spans="1:17">
      <c r="A188" s="17" t="s">
        <v>839</v>
      </c>
      <c r="B188" s="13" t="s">
        <v>1814</v>
      </c>
      <c r="C188" s="13" t="s">
        <v>1815</v>
      </c>
      <c r="D188" s="13" t="s">
        <v>493</v>
      </c>
      <c r="E188" s="13" t="s">
        <v>542</v>
      </c>
      <c r="F188" s="13" t="s">
        <v>844</v>
      </c>
      <c r="G188" s="13">
        <v>2183477</v>
      </c>
      <c r="H188" s="13">
        <v>3300011820</v>
      </c>
      <c r="I188" s="13" t="s">
        <v>1816</v>
      </c>
      <c r="J188" s="13">
        <v>5042669</v>
      </c>
      <c r="K188" s="13">
        <v>2183462</v>
      </c>
      <c r="L188" s="13" t="s">
        <v>1817</v>
      </c>
      <c r="M188" s="13">
        <v>131005914</v>
      </c>
      <c r="N188" s="18" t="s">
        <v>1188</v>
      </c>
      <c r="O188" s="18"/>
      <c r="P188" s="18"/>
      <c r="Q188" s="19" t="s">
        <v>1248</v>
      </c>
    </row>
    <row r="189" spans="1:17">
      <c r="A189" s="17"/>
      <c r="B189" s="13" t="s">
        <v>2320</v>
      </c>
      <c r="C189" s="13" t="s">
        <v>2320</v>
      </c>
      <c r="D189" s="13" t="s">
        <v>164</v>
      </c>
      <c r="E189" s="13" t="s">
        <v>546</v>
      </c>
      <c r="F189" s="20" t="s">
        <v>2191</v>
      </c>
      <c r="G189" s="13">
        <v>3300011484</v>
      </c>
      <c r="H189" s="13">
        <v>5045676</v>
      </c>
      <c r="I189" s="13" t="s">
        <v>2321</v>
      </c>
      <c r="J189" s="13">
        <v>3300003612</v>
      </c>
      <c r="K189" s="13">
        <v>2119185</v>
      </c>
      <c r="L189" s="13" t="s">
        <v>2322</v>
      </c>
      <c r="M189" s="13">
        <v>120701259</v>
      </c>
      <c r="N189" s="18" t="s">
        <v>856</v>
      </c>
      <c r="O189" s="18"/>
      <c r="P189" s="18" t="s">
        <v>2323</v>
      </c>
      <c r="Q189" s="19" t="s">
        <v>1021</v>
      </c>
    </row>
    <row r="190" spans="1:17">
      <c r="A190" s="17"/>
      <c r="B190" s="13" t="s">
        <v>1215</v>
      </c>
      <c r="C190" s="13" t="s">
        <v>1216</v>
      </c>
      <c r="D190" s="13" t="s">
        <v>94</v>
      </c>
      <c r="E190" s="13" t="s">
        <v>552</v>
      </c>
      <c r="F190" s="13" t="s">
        <v>844</v>
      </c>
      <c r="G190" s="13" t="s">
        <v>1217</v>
      </c>
      <c r="H190" s="13">
        <v>2171998</v>
      </c>
      <c r="I190" s="13"/>
      <c r="J190" s="13"/>
      <c r="K190" s="13"/>
      <c r="L190" s="13" t="s">
        <v>1218</v>
      </c>
      <c r="M190" s="13">
        <v>120700508</v>
      </c>
      <c r="N190" s="18" t="s">
        <v>879</v>
      </c>
      <c r="O190" s="18" t="s">
        <v>1219</v>
      </c>
      <c r="P190" s="18" t="s">
        <v>1220</v>
      </c>
      <c r="Q190" s="19" t="s">
        <v>1065</v>
      </c>
    </row>
    <row r="191" spans="1:17">
      <c r="A191" s="17"/>
      <c r="B191" s="13" t="s">
        <v>5765</v>
      </c>
      <c r="C191" s="13" t="s">
        <v>5766</v>
      </c>
      <c r="D191" s="13" t="s">
        <v>5767</v>
      </c>
      <c r="E191" s="13" t="s">
        <v>588</v>
      </c>
      <c r="F191" s="13" t="s">
        <v>5753</v>
      </c>
      <c r="G191" s="13" t="s">
        <v>5768</v>
      </c>
      <c r="H191" s="13">
        <v>3300002811</v>
      </c>
      <c r="I191" s="13">
        <v>5014440</v>
      </c>
      <c r="J191" s="13">
        <v>3300002827</v>
      </c>
      <c r="K191" s="13" t="s">
        <v>5769</v>
      </c>
      <c r="L191" s="13" t="s">
        <v>5770</v>
      </c>
      <c r="M191" s="13">
        <v>120701369</v>
      </c>
      <c r="N191" s="18" t="s">
        <v>4472</v>
      </c>
      <c r="O191" s="18"/>
      <c r="P191" s="18" t="s">
        <v>5771</v>
      </c>
      <c r="Q191" s="19" t="s">
        <v>5772</v>
      </c>
    </row>
    <row r="192" spans="1:17">
      <c r="A192" s="17"/>
      <c r="B192" s="13" t="s">
        <v>1834</v>
      </c>
      <c r="C192" s="13" t="s">
        <v>1835</v>
      </c>
      <c r="D192" s="13" t="s">
        <v>101</v>
      </c>
      <c r="E192" s="13" t="s">
        <v>558</v>
      </c>
      <c r="F192" s="13" t="s">
        <v>844</v>
      </c>
      <c r="G192" s="13">
        <v>2172008</v>
      </c>
      <c r="H192" s="13">
        <v>3300001243</v>
      </c>
      <c r="I192" s="13" t="s">
        <v>1836</v>
      </c>
      <c r="J192" s="13">
        <v>3300001246</v>
      </c>
      <c r="K192" s="13">
        <v>5033021</v>
      </c>
      <c r="L192" s="13" t="s">
        <v>1837</v>
      </c>
      <c r="M192" s="13">
        <v>120700541</v>
      </c>
      <c r="N192" s="18" t="s">
        <v>879</v>
      </c>
      <c r="O192" s="18"/>
      <c r="P192" s="18" t="s">
        <v>1838</v>
      </c>
      <c r="Q192" s="19" t="s">
        <v>1754</v>
      </c>
    </row>
    <row r="193" spans="1:17">
      <c r="A193" s="17" t="s">
        <v>839</v>
      </c>
      <c r="B193" s="13" t="s">
        <v>5179</v>
      </c>
      <c r="C193" s="13" t="s">
        <v>5180</v>
      </c>
      <c r="D193" s="13" t="s">
        <v>440</v>
      </c>
      <c r="E193" s="13" t="s">
        <v>697</v>
      </c>
      <c r="F193" s="13" t="s">
        <v>5164</v>
      </c>
      <c r="G193" s="13">
        <v>2183480</v>
      </c>
      <c r="H193" s="13">
        <v>3300009733</v>
      </c>
      <c r="I193" s="13" t="s">
        <v>5181</v>
      </c>
      <c r="J193" s="13">
        <v>5049705</v>
      </c>
      <c r="K193" s="13">
        <v>2183555</v>
      </c>
      <c r="L193" s="13" t="s">
        <v>5182</v>
      </c>
      <c r="M193" s="13">
        <v>130704130</v>
      </c>
      <c r="N193" s="18" t="s">
        <v>5091</v>
      </c>
      <c r="O193" s="18" t="s">
        <v>5183</v>
      </c>
      <c r="P193" s="18" t="s">
        <v>5184</v>
      </c>
      <c r="Q193" s="19" t="s">
        <v>1436</v>
      </c>
    </row>
    <row r="194" spans="1:17">
      <c r="A194" s="17"/>
      <c r="B194" s="13" t="s">
        <v>3245</v>
      </c>
      <c r="C194" s="13" t="s">
        <v>3246</v>
      </c>
      <c r="D194" s="13" t="s">
        <v>3247</v>
      </c>
      <c r="E194" s="13" t="s">
        <v>807</v>
      </c>
      <c r="F194" s="13" t="s">
        <v>3101</v>
      </c>
      <c r="G194" s="13" t="s">
        <v>3248</v>
      </c>
      <c r="H194" s="13">
        <v>3300012803</v>
      </c>
      <c r="I194" s="13">
        <v>2103928</v>
      </c>
      <c r="J194" s="13" t="s">
        <v>3249</v>
      </c>
      <c r="K194" s="13"/>
      <c r="L194" s="13" t="s">
        <v>3250</v>
      </c>
      <c r="M194" s="13">
        <v>140702837</v>
      </c>
      <c r="N194" s="18" t="s">
        <v>3105</v>
      </c>
      <c r="O194" s="18" t="s">
        <v>3251</v>
      </c>
      <c r="P194" s="18" t="s">
        <v>3252</v>
      </c>
      <c r="Q194" s="19">
        <v>41988</v>
      </c>
    </row>
    <row r="195" spans="1:17">
      <c r="A195" s="17" t="s">
        <v>839</v>
      </c>
      <c r="B195" s="13" t="s">
        <v>1862</v>
      </c>
      <c r="C195" s="13" t="s">
        <v>1863</v>
      </c>
      <c r="D195" s="13" t="s">
        <v>1864</v>
      </c>
      <c r="E195" s="13" t="s">
        <v>797</v>
      </c>
      <c r="F195" s="13" t="s">
        <v>844</v>
      </c>
      <c r="G195" s="13">
        <v>3400002031</v>
      </c>
      <c r="H195" s="13">
        <v>2159869</v>
      </c>
      <c r="I195" s="13">
        <v>5031821</v>
      </c>
      <c r="J195" s="13" t="s">
        <v>1865</v>
      </c>
      <c r="K195" s="13">
        <v>3400002030</v>
      </c>
      <c r="L195" s="13" t="s">
        <v>1866</v>
      </c>
      <c r="M195" s="13">
        <v>140702042</v>
      </c>
      <c r="N195" s="18" t="s">
        <v>1188</v>
      </c>
      <c r="O195" s="18"/>
      <c r="P195" s="18" t="s">
        <v>1867</v>
      </c>
      <c r="Q195" s="19">
        <v>41892</v>
      </c>
    </row>
    <row r="196" spans="1:17">
      <c r="A196" s="17"/>
      <c r="B196" s="13" t="s">
        <v>1881</v>
      </c>
      <c r="C196" s="13" t="s">
        <v>1882</v>
      </c>
      <c r="D196" s="13" t="s">
        <v>205</v>
      </c>
      <c r="E196" s="13" t="s">
        <v>632</v>
      </c>
      <c r="F196" s="13" t="s">
        <v>844</v>
      </c>
      <c r="G196" s="13">
        <v>3300009551</v>
      </c>
      <c r="H196" s="13" t="s">
        <v>1883</v>
      </c>
      <c r="I196" s="13">
        <v>5050449</v>
      </c>
      <c r="J196" s="13"/>
      <c r="K196" s="13"/>
      <c r="L196" s="13" t="s">
        <v>1884</v>
      </c>
      <c r="M196" s="13">
        <v>120702234</v>
      </c>
      <c r="N196" s="18" t="s">
        <v>879</v>
      </c>
      <c r="O196" s="18" t="s">
        <v>1885</v>
      </c>
      <c r="P196" s="18" t="s">
        <v>1886</v>
      </c>
      <c r="Q196" s="19" t="s">
        <v>1072</v>
      </c>
    </row>
    <row r="197" spans="1:17">
      <c r="A197" s="17" t="s">
        <v>839</v>
      </c>
      <c r="B197" s="13" t="s">
        <v>2501</v>
      </c>
      <c r="C197" s="13" t="s">
        <v>2502</v>
      </c>
      <c r="D197" s="13" t="s">
        <v>2503</v>
      </c>
      <c r="E197" s="13" t="s">
        <v>640</v>
      </c>
      <c r="F197" s="13" t="s">
        <v>2433</v>
      </c>
      <c r="G197" s="13" t="s">
        <v>2504</v>
      </c>
      <c r="H197" s="13" t="s">
        <v>2505</v>
      </c>
      <c r="I197" s="13">
        <v>2083282</v>
      </c>
      <c r="J197" s="13" t="s">
        <v>2506</v>
      </c>
      <c r="K197" s="13">
        <v>3300002961</v>
      </c>
      <c r="L197" s="13" t="s">
        <v>2507</v>
      </c>
      <c r="M197" s="13">
        <v>120701198</v>
      </c>
      <c r="N197" s="18" t="s">
        <v>2436</v>
      </c>
      <c r="O197" s="18" t="s">
        <v>2508</v>
      </c>
      <c r="P197" s="18" t="s">
        <v>2509</v>
      </c>
      <c r="Q197" s="19" t="s">
        <v>1636</v>
      </c>
    </row>
    <row r="198" spans="1:17">
      <c r="A198" s="17" t="s">
        <v>839</v>
      </c>
      <c r="B198" s="13" t="s">
        <v>2734</v>
      </c>
      <c r="C198" s="13" t="s">
        <v>2735</v>
      </c>
      <c r="D198" s="13" t="s">
        <v>2736</v>
      </c>
      <c r="E198" s="13" t="s">
        <v>2737</v>
      </c>
      <c r="F198" s="13" t="s">
        <v>2433</v>
      </c>
      <c r="G198" s="13">
        <v>2117091</v>
      </c>
      <c r="H198" s="13">
        <v>5031903</v>
      </c>
      <c r="I198" s="13" t="s">
        <v>2738</v>
      </c>
      <c r="J198" s="13" t="s">
        <v>2739</v>
      </c>
      <c r="K198" s="13">
        <v>3300010074</v>
      </c>
      <c r="L198" s="13" t="s">
        <v>2740</v>
      </c>
      <c r="M198" s="13">
        <v>120706978</v>
      </c>
      <c r="N198" s="18" t="s">
        <v>2436</v>
      </c>
      <c r="O198" s="18" t="s">
        <v>2741</v>
      </c>
      <c r="P198" s="18" t="s">
        <v>2742</v>
      </c>
      <c r="Q198" s="19"/>
    </row>
    <row r="199" spans="1:17">
      <c r="A199" s="17" t="s">
        <v>839</v>
      </c>
      <c r="B199" s="13" t="s">
        <v>2336</v>
      </c>
      <c r="C199" s="13" t="s">
        <v>2337</v>
      </c>
      <c r="D199" s="13" t="s">
        <v>153</v>
      </c>
      <c r="E199" s="13" t="s">
        <v>600</v>
      </c>
      <c r="F199" s="20" t="s">
        <v>2191</v>
      </c>
      <c r="G199" s="13" t="s">
        <v>2338</v>
      </c>
      <c r="H199" s="13" t="s">
        <v>2339</v>
      </c>
      <c r="I199" s="13">
        <v>3300001677</v>
      </c>
      <c r="J199" s="13">
        <v>2114744</v>
      </c>
      <c r="K199" s="13">
        <v>3300002956</v>
      </c>
      <c r="L199" s="13" t="s">
        <v>2340</v>
      </c>
      <c r="M199" s="13">
        <v>120701219</v>
      </c>
      <c r="N199" s="18" t="s">
        <v>856</v>
      </c>
      <c r="O199" s="18"/>
      <c r="P199" s="18" t="s">
        <v>2341</v>
      </c>
      <c r="Q199" s="19" t="s">
        <v>1049</v>
      </c>
    </row>
    <row r="200" spans="1:17">
      <c r="A200" s="17"/>
      <c r="B200" s="13" t="s">
        <v>5185</v>
      </c>
      <c r="C200" s="13" t="s">
        <v>5186</v>
      </c>
      <c r="D200" s="13" t="s">
        <v>324</v>
      </c>
      <c r="E200" s="13" t="s">
        <v>697</v>
      </c>
      <c r="F200" s="13" t="s">
        <v>5164</v>
      </c>
      <c r="G200" s="13">
        <v>2172356</v>
      </c>
      <c r="H200" s="13" t="s">
        <v>5187</v>
      </c>
      <c r="I200" s="13">
        <v>5014462</v>
      </c>
      <c r="J200" s="13"/>
      <c r="K200" s="13"/>
      <c r="L200" s="13" t="s">
        <v>5188</v>
      </c>
      <c r="M200" s="13">
        <v>120711159</v>
      </c>
      <c r="N200" s="18" t="s">
        <v>5091</v>
      </c>
      <c r="O200" s="18" t="s">
        <v>5189</v>
      </c>
      <c r="P200" s="18" t="s">
        <v>5190</v>
      </c>
      <c r="Q200" s="19" t="s">
        <v>2295</v>
      </c>
    </row>
    <row r="201" spans="1:17">
      <c r="A201" s="17" t="s">
        <v>839</v>
      </c>
      <c r="B201" s="13" t="s">
        <v>6248</v>
      </c>
      <c r="C201" s="13" t="s">
        <v>6249</v>
      </c>
      <c r="D201" s="13" t="s">
        <v>234</v>
      </c>
      <c r="E201" s="13" t="s">
        <v>650</v>
      </c>
      <c r="F201" s="13" t="s">
        <v>5843</v>
      </c>
      <c r="G201" s="13">
        <v>2183535</v>
      </c>
      <c r="H201" s="13" t="s">
        <v>6250</v>
      </c>
      <c r="I201" s="13">
        <v>3300009784</v>
      </c>
      <c r="J201" s="13">
        <v>2183492</v>
      </c>
      <c r="K201" s="13"/>
      <c r="L201" s="13" t="s">
        <v>6251</v>
      </c>
      <c r="M201" s="13">
        <v>120704199</v>
      </c>
      <c r="N201" s="18" t="s">
        <v>3187</v>
      </c>
      <c r="O201" s="18" t="s">
        <v>6252</v>
      </c>
      <c r="P201" s="18" t="s">
        <v>6253</v>
      </c>
      <c r="Q201" s="19" t="s">
        <v>5863</v>
      </c>
    </row>
    <row r="202" spans="1:17">
      <c r="A202" s="17"/>
      <c r="B202" s="13" t="s">
        <v>2895</v>
      </c>
      <c r="C202" s="13" t="s">
        <v>2896</v>
      </c>
      <c r="D202" s="13" t="s">
        <v>162</v>
      </c>
      <c r="E202" s="13" t="s">
        <v>593</v>
      </c>
      <c r="F202" s="13" t="s">
        <v>2830</v>
      </c>
      <c r="G202" s="13">
        <v>2171958</v>
      </c>
      <c r="H202" s="13" t="s">
        <v>2897</v>
      </c>
      <c r="I202" s="13">
        <v>3300001244</v>
      </c>
      <c r="J202" s="13"/>
      <c r="K202" s="13"/>
      <c r="L202" s="13" t="s">
        <v>2898</v>
      </c>
      <c r="M202" s="13">
        <v>120701245</v>
      </c>
      <c r="N202" s="18" t="s">
        <v>887</v>
      </c>
      <c r="O202" s="18"/>
      <c r="P202" s="18" t="s">
        <v>2899</v>
      </c>
      <c r="Q202" s="19">
        <v>41892</v>
      </c>
    </row>
    <row r="203" spans="1:17">
      <c r="A203" s="17"/>
      <c r="B203" s="13" t="s">
        <v>4157</v>
      </c>
      <c r="C203" s="13" t="s">
        <v>4158</v>
      </c>
      <c r="D203" s="13" t="s">
        <v>4159</v>
      </c>
      <c r="E203" s="13" t="s">
        <v>553</v>
      </c>
      <c r="F203" s="13" t="s">
        <v>3754</v>
      </c>
      <c r="G203" s="13" t="s">
        <v>4160</v>
      </c>
      <c r="H203" s="13">
        <v>3300010912</v>
      </c>
      <c r="I203" s="13" t="s">
        <v>4161</v>
      </c>
      <c r="J203" s="13">
        <v>2119261</v>
      </c>
      <c r="K203" s="13">
        <v>2115659</v>
      </c>
      <c r="L203" s="13" t="s">
        <v>4162</v>
      </c>
      <c r="M203" s="13">
        <v>120712139</v>
      </c>
      <c r="N203" s="18"/>
      <c r="O203" s="18"/>
      <c r="P203" s="18" t="s">
        <v>4163</v>
      </c>
      <c r="Q203" s="19">
        <v>42103</v>
      </c>
    </row>
    <row r="204" spans="1:17">
      <c r="A204" s="17"/>
      <c r="B204" s="13" t="s">
        <v>2262</v>
      </c>
      <c r="C204" s="13" t="s">
        <v>2263</v>
      </c>
      <c r="D204" s="13" t="s">
        <v>429</v>
      </c>
      <c r="E204" s="13" t="s">
        <v>763</v>
      </c>
      <c r="F204" s="20" t="s">
        <v>2191</v>
      </c>
      <c r="G204" s="13">
        <v>3300009766</v>
      </c>
      <c r="H204" s="13" t="s">
        <v>2264</v>
      </c>
      <c r="I204" s="13">
        <v>2177542</v>
      </c>
      <c r="J204" s="13"/>
      <c r="K204" s="13"/>
      <c r="L204" s="13" t="s">
        <v>2265</v>
      </c>
      <c r="M204" s="13">
        <v>130703214</v>
      </c>
      <c r="N204" s="18" t="s">
        <v>879</v>
      </c>
      <c r="O204" s="18" t="s">
        <v>2266</v>
      </c>
      <c r="P204" s="18" t="s">
        <v>2267</v>
      </c>
      <c r="Q204" s="19" t="s">
        <v>2016</v>
      </c>
    </row>
    <row r="205" spans="1:17">
      <c r="A205" s="17"/>
      <c r="B205" s="20" t="s">
        <v>6232</v>
      </c>
      <c r="C205" s="20" t="s">
        <v>6233</v>
      </c>
      <c r="D205" s="20" t="s">
        <v>6234</v>
      </c>
      <c r="E205" s="20" t="s">
        <v>3277</v>
      </c>
      <c r="F205" s="20" t="s">
        <v>5843</v>
      </c>
      <c r="G205" s="20" t="s">
        <v>6235</v>
      </c>
      <c r="H205" s="20">
        <v>2096037</v>
      </c>
      <c r="I205" s="20" t="s">
        <v>6236</v>
      </c>
      <c r="J205" s="20"/>
      <c r="K205" s="20"/>
      <c r="L205" s="20" t="s">
        <v>6237</v>
      </c>
      <c r="M205" s="20">
        <v>140704022</v>
      </c>
      <c r="N205" s="20"/>
      <c r="O205" s="20"/>
      <c r="P205" s="20"/>
      <c r="Q205" s="24">
        <v>42137</v>
      </c>
    </row>
    <row r="206" spans="1:17" s="12" customFormat="1">
      <c r="A206" s="17"/>
      <c r="B206" s="13" t="s">
        <v>1235</v>
      </c>
      <c r="C206" s="13" t="s">
        <v>1236</v>
      </c>
      <c r="D206" s="13" t="s">
        <v>1237</v>
      </c>
      <c r="E206" s="13" t="s">
        <v>703</v>
      </c>
      <c r="F206" s="13" t="s">
        <v>844</v>
      </c>
      <c r="G206" s="13" t="s">
        <v>1238</v>
      </c>
      <c r="H206" s="13">
        <v>2116246</v>
      </c>
      <c r="I206" s="13" t="s">
        <v>1239</v>
      </c>
      <c r="J206" s="13"/>
      <c r="K206" s="13"/>
      <c r="L206" s="13" t="s">
        <v>1240</v>
      </c>
      <c r="M206" s="13">
        <v>140703884</v>
      </c>
      <c r="N206" s="18"/>
      <c r="O206" s="18" t="s">
        <v>1241</v>
      </c>
      <c r="P206" s="18"/>
      <c r="Q206" s="19"/>
    </row>
    <row r="207" spans="1:17">
      <c r="A207" s="17"/>
      <c r="B207" s="13" t="s">
        <v>1242</v>
      </c>
      <c r="C207" s="13" t="s">
        <v>1243</v>
      </c>
      <c r="D207" s="13" t="s">
        <v>482</v>
      </c>
      <c r="E207" s="13" t="s">
        <v>703</v>
      </c>
      <c r="F207" s="13" t="s">
        <v>844</v>
      </c>
      <c r="G207" s="13">
        <v>2183479</v>
      </c>
      <c r="H207" s="13">
        <v>3300011819</v>
      </c>
      <c r="I207" s="13" t="s">
        <v>1244</v>
      </c>
      <c r="J207" s="13"/>
      <c r="K207" s="13"/>
      <c r="L207" s="13" t="s">
        <v>1245</v>
      </c>
      <c r="M207" s="13">
        <v>130804494</v>
      </c>
      <c r="N207" s="18" t="s">
        <v>1188</v>
      </c>
      <c r="O207" s="18" t="s">
        <v>1246</v>
      </c>
      <c r="P207" s="18" t="s">
        <v>1247</v>
      </c>
      <c r="Q207" s="19" t="s">
        <v>1248</v>
      </c>
    </row>
    <row r="208" spans="1:17">
      <c r="A208" s="17"/>
      <c r="B208" s="13" t="s">
        <v>4164</v>
      </c>
      <c r="C208" s="13" t="s">
        <v>4165</v>
      </c>
      <c r="D208" s="13" t="s">
        <v>458</v>
      </c>
      <c r="E208" s="13" t="s">
        <v>553</v>
      </c>
      <c r="F208" s="13" t="s">
        <v>3754</v>
      </c>
      <c r="G208" s="13">
        <v>3300009555</v>
      </c>
      <c r="H208" s="13" t="s">
        <v>4166</v>
      </c>
      <c r="I208" s="13">
        <v>2177142</v>
      </c>
      <c r="J208" s="13"/>
      <c r="K208" s="13"/>
      <c r="L208" s="13" t="s">
        <v>4167</v>
      </c>
      <c r="M208" s="13">
        <v>130704891</v>
      </c>
      <c r="N208" s="18" t="s">
        <v>1018</v>
      </c>
      <c r="O208" s="18" t="s">
        <v>4168</v>
      </c>
      <c r="P208" s="18" t="s">
        <v>4169</v>
      </c>
      <c r="Q208" s="19" t="s">
        <v>2319</v>
      </c>
    </row>
    <row r="209" spans="1:17" s="13" customFormat="1">
      <c r="A209" s="17"/>
      <c r="B209" s="13" t="s">
        <v>2084</v>
      </c>
      <c r="C209" s="13" t="s">
        <v>2085</v>
      </c>
      <c r="D209" s="13" t="s">
        <v>446</v>
      </c>
      <c r="E209" s="13" t="s">
        <v>768</v>
      </c>
      <c r="F209" s="13" t="s">
        <v>844</v>
      </c>
      <c r="G209" s="13" t="s">
        <v>2086</v>
      </c>
      <c r="H209" s="13">
        <v>2119195</v>
      </c>
      <c r="I209" s="13">
        <v>3300012814</v>
      </c>
      <c r="J209" s="13" t="s">
        <v>2087</v>
      </c>
      <c r="K209" s="13">
        <v>5014463</v>
      </c>
      <c r="L209" s="13" t="s">
        <v>2088</v>
      </c>
      <c r="M209" s="13">
        <v>130704399</v>
      </c>
      <c r="N209" s="18" t="s">
        <v>847</v>
      </c>
      <c r="O209" s="18" t="s">
        <v>2089</v>
      </c>
      <c r="P209" s="18" t="s">
        <v>2090</v>
      </c>
      <c r="Q209" s="19">
        <v>41989</v>
      </c>
    </row>
    <row r="210" spans="1:17" s="13" customFormat="1">
      <c r="A210" s="17"/>
      <c r="B210" s="20" t="s">
        <v>1437</v>
      </c>
      <c r="C210" s="20" t="s">
        <v>1438</v>
      </c>
      <c r="D210" s="20" t="s">
        <v>1439</v>
      </c>
      <c r="E210" s="20" t="s">
        <v>566</v>
      </c>
      <c r="F210" s="13" t="s">
        <v>844</v>
      </c>
      <c r="G210" s="20" t="s">
        <v>1440</v>
      </c>
      <c r="H210" s="20">
        <v>3400002976</v>
      </c>
      <c r="I210" s="20" t="s">
        <v>1441</v>
      </c>
      <c r="J210" s="20">
        <v>2199644</v>
      </c>
      <c r="K210" s="20">
        <v>3300012808</v>
      </c>
      <c r="L210" s="20" t="s">
        <v>1442</v>
      </c>
      <c r="M210" s="20">
        <v>131002729</v>
      </c>
      <c r="N210" s="20"/>
      <c r="O210" s="18"/>
      <c r="P210" s="18"/>
      <c r="Q210" s="24">
        <v>42121</v>
      </c>
    </row>
    <row r="211" spans="1:17" s="13" customFormat="1">
      <c r="A211" s="17"/>
      <c r="B211" s="13" t="s">
        <v>5387</v>
      </c>
      <c r="C211" s="13" t="s">
        <v>5388</v>
      </c>
      <c r="D211" s="13" t="s">
        <v>136</v>
      </c>
      <c r="E211" s="13" t="s">
        <v>584</v>
      </c>
      <c r="F211" s="13" t="s">
        <v>5164</v>
      </c>
      <c r="G211" s="13">
        <v>2114781</v>
      </c>
      <c r="H211" s="13">
        <v>5001464</v>
      </c>
      <c r="L211" s="13" t="s">
        <v>5389</v>
      </c>
      <c r="M211" s="13">
        <v>120700795</v>
      </c>
      <c r="N211" s="18" t="s">
        <v>4424</v>
      </c>
      <c r="O211" s="18"/>
      <c r="P211" s="18" t="s">
        <v>5390</v>
      </c>
      <c r="Q211" s="19" t="s">
        <v>5354</v>
      </c>
    </row>
    <row r="212" spans="1:17" s="13" customFormat="1">
      <c r="A212" s="17"/>
      <c r="B212" s="13" t="s">
        <v>3639</v>
      </c>
      <c r="C212" s="13" t="s">
        <v>3640</v>
      </c>
      <c r="D212" s="13" t="s">
        <v>478</v>
      </c>
      <c r="E212" s="13" t="s">
        <v>560</v>
      </c>
      <c r="F212" s="13" t="s">
        <v>3558</v>
      </c>
      <c r="G212" s="13">
        <v>2183539</v>
      </c>
      <c r="H212" s="13" t="s">
        <v>3641</v>
      </c>
      <c r="I212" s="13">
        <v>3300005170</v>
      </c>
      <c r="L212" s="13" t="s">
        <v>3642</v>
      </c>
      <c r="M212" s="13">
        <v>130706369</v>
      </c>
      <c r="N212" s="18" t="s">
        <v>3478</v>
      </c>
      <c r="O212" s="18"/>
      <c r="P212" s="18" t="s">
        <v>3643</v>
      </c>
      <c r="Q212" s="19" t="s">
        <v>3644</v>
      </c>
    </row>
    <row r="213" spans="1:17" s="13" customFormat="1">
      <c r="A213" s="17"/>
      <c r="B213" s="13" t="s">
        <v>3140</v>
      </c>
      <c r="C213" s="13" t="s">
        <v>3141</v>
      </c>
      <c r="D213" s="13" t="s">
        <v>483</v>
      </c>
      <c r="E213" s="13" t="s">
        <v>656</v>
      </c>
      <c r="F213" s="13" t="s">
        <v>3101</v>
      </c>
      <c r="H213" s="13" t="s">
        <v>3142</v>
      </c>
      <c r="I213" s="13">
        <v>3300003617</v>
      </c>
      <c r="J213" s="13">
        <v>2171921</v>
      </c>
      <c r="L213" s="13" t="s">
        <v>3143</v>
      </c>
      <c r="M213" s="13">
        <v>130804826</v>
      </c>
      <c r="N213" s="18" t="s">
        <v>3117</v>
      </c>
      <c r="O213" s="18" t="s">
        <v>3144</v>
      </c>
      <c r="P213" s="18" t="s">
        <v>3145</v>
      </c>
      <c r="Q213" s="19" t="s">
        <v>3146</v>
      </c>
    </row>
    <row r="214" spans="1:17" s="13" customFormat="1">
      <c r="A214" s="17" t="s">
        <v>839</v>
      </c>
      <c r="B214" s="28" t="s">
        <v>5276</v>
      </c>
      <c r="C214" s="28" t="s">
        <v>5277</v>
      </c>
      <c r="D214" s="29" t="s">
        <v>5278</v>
      </c>
      <c r="E214" s="29" t="s">
        <v>5279</v>
      </c>
      <c r="F214" s="13" t="s">
        <v>5164</v>
      </c>
      <c r="G214" s="30" t="s">
        <v>5280</v>
      </c>
      <c r="H214" s="30" t="s">
        <v>5281</v>
      </c>
      <c r="I214" s="30" t="s">
        <v>5282</v>
      </c>
      <c r="J214" s="30">
        <v>3300003009</v>
      </c>
      <c r="K214" s="30" t="s">
        <v>5283</v>
      </c>
      <c r="L214" s="31" t="s">
        <v>5284</v>
      </c>
      <c r="M214" s="31" t="s">
        <v>5285</v>
      </c>
      <c r="N214" s="18" t="s">
        <v>4424</v>
      </c>
      <c r="O214" s="18"/>
      <c r="P214" s="18" t="s">
        <v>5286</v>
      </c>
      <c r="Q214" s="19"/>
    </row>
    <row r="215" spans="1:17" s="13" customFormat="1">
      <c r="A215" s="17"/>
      <c r="B215" s="13" t="s">
        <v>3765</v>
      </c>
      <c r="C215" s="13" t="s">
        <v>56</v>
      </c>
      <c r="D215" s="13" t="s">
        <v>3766</v>
      </c>
      <c r="E215" s="13" t="s">
        <v>716</v>
      </c>
      <c r="F215" s="13" t="s">
        <v>3754</v>
      </c>
      <c r="G215" s="13" t="s">
        <v>3767</v>
      </c>
      <c r="H215" s="13" t="s">
        <v>3768</v>
      </c>
      <c r="I215" s="13">
        <v>5001479</v>
      </c>
      <c r="J215" s="13">
        <v>3300002821</v>
      </c>
      <c r="K215" s="13">
        <v>1744534</v>
      </c>
      <c r="L215" s="13" t="s">
        <v>3769</v>
      </c>
      <c r="M215" s="13">
        <v>140703074</v>
      </c>
      <c r="N215" s="18"/>
      <c r="O215" s="18" t="s">
        <v>3770</v>
      </c>
      <c r="P215" s="18" t="s">
        <v>3771</v>
      </c>
      <c r="Q215" s="19">
        <v>42101</v>
      </c>
    </row>
    <row r="216" spans="1:17" s="13" customFormat="1">
      <c r="A216" s="17"/>
      <c r="B216" s="13" t="s">
        <v>1050</v>
      </c>
      <c r="C216" s="13" t="s">
        <v>1051</v>
      </c>
      <c r="D216" s="13" t="s">
        <v>124</v>
      </c>
      <c r="E216" s="13" t="s">
        <v>574</v>
      </c>
      <c r="F216" s="13" t="s">
        <v>844</v>
      </c>
      <c r="G216" s="13">
        <v>2172028</v>
      </c>
      <c r="H216" s="13">
        <v>3300001663</v>
      </c>
      <c r="I216" s="13">
        <v>5049676</v>
      </c>
      <c r="J216" s="13" t="s">
        <v>1052</v>
      </c>
      <c r="K216" s="13" t="s">
        <v>1053</v>
      </c>
      <c r="L216" s="13" t="s">
        <v>1054</v>
      </c>
      <c r="M216" s="13">
        <v>120700693</v>
      </c>
      <c r="N216" s="18" t="s">
        <v>879</v>
      </c>
      <c r="O216" s="18" t="s">
        <v>1055</v>
      </c>
      <c r="P216" s="18" t="s">
        <v>1056</v>
      </c>
      <c r="Q216" s="19" t="s">
        <v>1057</v>
      </c>
    </row>
    <row r="217" spans="1:17" s="13" customFormat="1">
      <c r="A217" s="17"/>
      <c r="B217" s="13" t="s">
        <v>5293</v>
      </c>
      <c r="C217" s="13" t="s">
        <v>5294</v>
      </c>
      <c r="D217" s="13" t="s">
        <v>5295</v>
      </c>
      <c r="E217" s="13" t="s">
        <v>5032</v>
      </c>
      <c r="F217" s="13" t="s">
        <v>5164</v>
      </c>
      <c r="G217" s="13" t="s">
        <v>5296</v>
      </c>
      <c r="H217" s="13">
        <v>2103888</v>
      </c>
      <c r="I217" s="13" t="s">
        <v>5297</v>
      </c>
      <c r="J217" s="13">
        <v>2084131</v>
      </c>
      <c r="K217" s="13">
        <v>2086992</v>
      </c>
      <c r="L217" s="13" t="s">
        <v>5298</v>
      </c>
      <c r="M217" s="13">
        <v>120702068</v>
      </c>
      <c r="N217" s="18" t="s">
        <v>4424</v>
      </c>
      <c r="O217" s="18"/>
      <c r="P217" s="18" t="s">
        <v>5299</v>
      </c>
      <c r="Q217" s="19" t="s">
        <v>5300</v>
      </c>
    </row>
    <row r="218" spans="1:17" s="13" customFormat="1">
      <c r="A218" s="17"/>
      <c r="B218" s="13" t="s">
        <v>4457</v>
      </c>
      <c r="C218" s="13" t="s">
        <v>4458</v>
      </c>
      <c r="D218" s="13" t="s">
        <v>501</v>
      </c>
      <c r="E218" s="13" t="s">
        <v>655</v>
      </c>
      <c r="F218" s="13" t="s">
        <v>4395</v>
      </c>
      <c r="G218" s="13">
        <v>2103725</v>
      </c>
      <c r="H218" s="13" t="s">
        <v>4459</v>
      </c>
      <c r="I218" s="13">
        <v>5050422</v>
      </c>
      <c r="L218" s="13" t="s">
        <v>4460</v>
      </c>
      <c r="M218" s="13">
        <v>140700843</v>
      </c>
      <c r="N218" s="18" t="s">
        <v>4424</v>
      </c>
      <c r="O218" s="18" t="s">
        <v>4461</v>
      </c>
      <c r="P218" s="18"/>
      <c r="Q218" s="19"/>
    </row>
    <row r="219" spans="1:17" s="13" customFormat="1">
      <c r="A219" s="17"/>
      <c r="B219" s="13" t="s">
        <v>2430</v>
      </c>
      <c r="C219" s="13" t="s">
        <v>2431</v>
      </c>
      <c r="D219" s="13" t="s">
        <v>2432</v>
      </c>
      <c r="E219" s="13" t="s">
        <v>612</v>
      </c>
      <c r="F219" s="13" t="s">
        <v>2433</v>
      </c>
      <c r="G219" s="13">
        <v>2096467</v>
      </c>
      <c r="H219" s="13" t="s">
        <v>2434</v>
      </c>
      <c r="I219" s="13">
        <v>5070898</v>
      </c>
      <c r="J219" s="13">
        <v>3300009823</v>
      </c>
      <c r="K219" s="13">
        <v>5050464</v>
      </c>
      <c r="L219" s="13" t="s">
        <v>2435</v>
      </c>
      <c r="M219" s="13">
        <v>120701323</v>
      </c>
      <c r="N219" s="18" t="s">
        <v>2436</v>
      </c>
      <c r="O219" s="18" t="s">
        <v>2437</v>
      </c>
      <c r="P219" s="18" t="s">
        <v>2438</v>
      </c>
      <c r="Q219" s="19" t="s">
        <v>1295</v>
      </c>
    </row>
    <row r="220" spans="1:17" s="13" customFormat="1">
      <c r="A220" s="17"/>
      <c r="B220" s="13" t="s">
        <v>2637</v>
      </c>
      <c r="C220" s="13" t="s">
        <v>34</v>
      </c>
      <c r="D220" s="13" t="s">
        <v>2638</v>
      </c>
      <c r="E220" s="13" t="s">
        <v>2639</v>
      </c>
      <c r="F220" s="13" t="s">
        <v>2433</v>
      </c>
      <c r="G220" s="13">
        <v>5031866</v>
      </c>
      <c r="H220" s="13" t="s">
        <v>2640</v>
      </c>
      <c r="I220" s="13">
        <v>2119284</v>
      </c>
      <c r="J220" s="13">
        <v>2171927</v>
      </c>
      <c r="K220" s="13" t="s">
        <v>2641</v>
      </c>
      <c r="L220" s="13" t="s">
        <v>2642</v>
      </c>
      <c r="M220" s="13">
        <v>121001213</v>
      </c>
      <c r="N220" s="18" t="s">
        <v>1188</v>
      </c>
      <c r="O220" s="18" t="s">
        <v>2643</v>
      </c>
      <c r="P220" s="18" t="s">
        <v>2644</v>
      </c>
      <c r="Q220" s="19" t="s">
        <v>2421</v>
      </c>
    </row>
    <row r="221" spans="1:17" s="13" customFormat="1">
      <c r="A221" s="17"/>
      <c r="B221" s="13" t="s">
        <v>3548</v>
      </c>
      <c r="C221" s="13" t="s">
        <v>3549</v>
      </c>
      <c r="D221" s="13" t="s">
        <v>3550</v>
      </c>
      <c r="E221" s="13" t="s">
        <v>748</v>
      </c>
      <c r="F221" s="13" t="s">
        <v>3101</v>
      </c>
      <c r="G221" s="13">
        <v>5050440</v>
      </c>
      <c r="H221" s="13" t="s">
        <v>3551</v>
      </c>
      <c r="I221" s="13">
        <v>2103915</v>
      </c>
      <c r="L221" s="13" t="s">
        <v>3552</v>
      </c>
      <c r="M221" s="13">
        <v>130701026</v>
      </c>
      <c r="N221" s="18" t="s">
        <v>3117</v>
      </c>
      <c r="O221" s="18" t="s">
        <v>3553</v>
      </c>
      <c r="P221" s="18" t="s">
        <v>3554</v>
      </c>
      <c r="Q221" s="19" t="s">
        <v>3486</v>
      </c>
    </row>
    <row r="222" spans="1:17" s="13" customFormat="1">
      <c r="A222" s="17" t="s">
        <v>839</v>
      </c>
      <c r="B222" s="13" t="s">
        <v>4493</v>
      </c>
      <c r="C222" s="13" t="s">
        <v>4494</v>
      </c>
      <c r="D222" s="13" t="s">
        <v>4495</v>
      </c>
      <c r="E222" s="13" t="s">
        <v>599</v>
      </c>
      <c r="F222" s="13" t="s">
        <v>4395</v>
      </c>
      <c r="G222" s="13">
        <v>1721270</v>
      </c>
      <c r="H222" s="13">
        <v>2182988</v>
      </c>
      <c r="I222" s="13">
        <v>2103896</v>
      </c>
      <c r="J222" s="13">
        <v>2171969</v>
      </c>
      <c r="K222" s="13">
        <v>2103912</v>
      </c>
      <c r="L222" s="13" t="s">
        <v>4496</v>
      </c>
      <c r="M222" s="13">
        <v>120704496</v>
      </c>
      <c r="N222" s="18" t="s">
        <v>4399</v>
      </c>
      <c r="O222" s="18" t="s">
        <v>4497</v>
      </c>
      <c r="P222" s="18" t="s">
        <v>4498</v>
      </c>
      <c r="Q222" s="19" t="s">
        <v>2116</v>
      </c>
    </row>
    <row r="223" spans="1:17" s="13" customFormat="1">
      <c r="A223" s="17"/>
      <c r="B223" s="13" t="s">
        <v>6300</v>
      </c>
      <c r="C223" s="13" t="s">
        <v>6301</v>
      </c>
      <c r="D223" s="13" t="s">
        <v>6302</v>
      </c>
      <c r="E223" s="13" t="s">
        <v>6303</v>
      </c>
      <c r="F223" s="13" t="s">
        <v>5843</v>
      </c>
      <c r="G223" s="13">
        <v>2117100</v>
      </c>
      <c r="H223" s="13">
        <v>5031898</v>
      </c>
      <c r="I223" s="13">
        <v>3300008143</v>
      </c>
      <c r="J223" s="13">
        <v>2116296</v>
      </c>
      <c r="L223" s="13" t="s">
        <v>6304</v>
      </c>
      <c r="M223" s="13">
        <v>120709219</v>
      </c>
      <c r="N223" s="18" t="s">
        <v>3187</v>
      </c>
      <c r="O223" s="18" t="s">
        <v>6305</v>
      </c>
      <c r="P223" s="18" t="s">
        <v>6306</v>
      </c>
      <c r="Q223" s="19" t="s">
        <v>3752</v>
      </c>
    </row>
    <row r="224" spans="1:17" s="13" customFormat="1">
      <c r="A224" s="17"/>
      <c r="B224" s="13" t="s">
        <v>4774</v>
      </c>
      <c r="C224" s="13" t="s">
        <v>4775</v>
      </c>
      <c r="D224" s="13" t="s">
        <v>4776</v>
      </c>
      <c r="E224" s="13" t="s">
        <v>614</v>
      </c>
      <c r="F224" s="13" t="s">
        <v>4395</v>
      </c>
      <c r="G224" s="13">
        <v>2103925</v>
      </c>
      <c r="H224" s="13" t="s">
        <v>4777</v>
      </c>
      <c r="J224" s="13" t="s">
        <v>4778</v>
      </c>
      <c r="L224" s="13" t="s">
        <v>4779</v>
      </c>
      <c r="M224" s="13">
        <v>120701381</v>
      </c>
      <c r="N224" s="18" t="s">
        <v>4399</v>
      </c>
      <c r="O224" s="18"/>
      <c r="P224" s="18" t="s">
        <v>4780</v>
      </c>
      <c r="Q224" s="19" t="s">
        <v>2236</v>
      </c>
    </row>
    <row r="225" spans="1:17" s="13" customFormat="1">
      <c r="A225" s="17"/>
      <c r="B225" s="21" t="s">
        <v>1221</v>
      </c>
      <c r="C225" s="21" t="s">
        <v>1221</v>
      </c>
      <c r="D225" s="21" t="s">
        <v>1222</v>
      </c>
      <c r="E225" s="21" t="s">
        <v>1223</v>
      </c>
      <c r="F225" s="13" t="s">
        <v>844</v>
      </c>
      <c r="G225" s="20">
        <v>2103916</v>
      </c>
      <c r="H225" s="20">
        <v>3300004163</v>
      </c>
      <c r="I225" s="20">
        <v>5042651</v>
      </c>
      <c r="J225" s="20" t="s">
        <v>1224</v>
      </c>
      <c r="K225" s="20">
        <v>2117630</v>
      </c>
      <c r="L225" s="20" t="s">
        <v>1225</v>
      </c>
      <c r="M225" s="22">
        <v>130703002</v>
      </c>
      <c r="N225" s="18"/>
      <c r="O225" s="18" t="s">
        <v>1226</v>
      </c>
      <c r="P225" s="18" t="s">
        <v>1227</v>
      </c>
      <c r="Q225" s="26">
        <v>42109</v>
      </c>
    </row>
    <row r="226" spans="1:17" s="13" customFormat="1">
      <c r="A226" s="17"/>
      <c r="B226" s="13" t="s">
        <v>4552</v>
      </c>
      <c r="C226" s="13" t="s">
        <v>4553</v>
      </c>
      <c r="D226" s="13" t="s">
        <v>4554</v>
      </c>
      <c r="E226" s="13" t="s">
        <v>776</v>
      </c>
      <c r="F226" s="13" t="s">
        <v>4395</v>
      </c>
      <c r="H226" s="13" t="s">
        <v>4555</v>
      </c>
      <c r="I226" s="13">
        <v>2116274</v>
      </c>
      <c r="J226" s="13">
        <v>3300008159</v>
      </c>
      <c r="K226" s="13">
        <v>2116268</v>
      </c>
      <c r="L226" s="13" t="s">
        <v>4556</v>
      </c>
      <c r="M226" s="13">
        <v>120808123</v>
      </c>
      <c r="N226" s="18" t="s">
        <v>4399</v>
      </c>
      <c r="O226" s="18" t="s">
        <v>4557</v>
      </c>
      <c r="P226" s="18" t="s">
        <v>4558</v>
      </c>
      <c r="Q226" s="19" t="s">
        <v>1214</v>
      </c>
    </row>
    <row r="227" spans="1:17" s="13" customFormat="1">
      <c r="A227" s="17" t="s">
        <v>839</v>
      </c>
      <c r="B227" s="13" t="s">
        <v>6378</v>
      </c>
      <c r="C227" s="13" t="s">
        <v>49</v>
      </c>
      <c r="D227" s="13" t="s">
        <v>253</v>
      </c>
      <c r="E227" s="13" t="s">
        <v>6379</v>
      </c>
      <c r="F227" s="13" t="s">
        <v>5843</v>
      </c>
      <c r="G227" s="13">
        <v>3300009163</v>
      </c>
      <c r="H227" s="13">
        <v>2117476</v>
      </c>
      <c r="I227" s="13">
        <v>5031849</v>
      </c>
      <c r="L227" s="13" t="s">
        <v>6380</v>
      </c>
      <c r="M227" s="13">
        <v>140701324</v>
      </c>
      <c r="N227" s="18" t="s">
        <v>3117</v>
      </c>
      <c r="O227" s="18" t="s">
        <v>6381</v>
      </c>
      <c r="P227" s="18" t="s">
        <v>6382</v>
      </c>
      <c r="Q227" s="19"/>
    </row>
    <row r="228" spans="1:17" s="13" customFormat="1">
      <c r="A228" s="17" t="s">
        <v>839</v>
      </c>
      <c r="B228" s="13" t="s">
        <v>6084</v>
      </c>
      <c r="C228" s="13" t="s">
        <v>6085</v>
      </c>
      <c r="D228" s="13" t="s">
        <v>224</v>
      </c>
      <c r="E228" s="13" t="s">
        <v>532</v>
      </c>
      <c r="F228" s="13" t="s">
        <v>5843</v>
      </c>
      <c r="G228" s="13">
        <v>5001476</v>
      </c>
      <c r="H228" s="13">
        <v>3300003015</v>
      </c>
      <c r="I228" s="13">
        <v>5001457</v>
      </c>
      <c r="J228" s="13" t="s">
        <v>6086</v>
      </c>
      <c r="K228" s="13">
        <v>2183590</v>
      </c>
      <c r="L228" s="13" t="s">
        <v>6087</v>
      </c>
      <c r="M228" s="13">
        <v>120703796</v>
      </c>
      <c r="N228" s="18" t="s">
        <v>3187</v>
      </c>
      <c r="O228" s="18" t="s">
        <v>6088</v>
      </c>
      <c r="P228" s="18" t="s">
        <v>6089</v>
      </c>
      <c r="Q228" s="19" t="s">
        <v>6090</v>
      </c>
    </row>
    <row r="229" spans="1:17" s="13" customFormat="1">
      <c r="A229" s="17"/>
      <c r="B229" s="13" t="s">
        <v>5271</v>
      </c>
      <c r="C229" s="13" t="s">
        <v>5272</v>
      </c>
      <c r="D229" s="13" t="s">
        <v>323</v>
      </c>
      <c r="E229" s="13" t="s">
        <v>711</v>
      </c>
      <c r="F229" s="13" t="s">
        <v>5164</v>
      </c>
      <c r="G229" s="13">
        <v>2114758</v>
      </c>
      <c r="H229" s="13">
        <v>5059385</v>
      </c>
      <c r="I229" s="13">
        <v>3300008132</v>
      </c>
      <c r="L229" s="13" t="s">
        <v>5273</v>
      </c>
      <c r="M229" s="13">
        <v>120711023</v>
      </c>
      <c r="N229" s="18" t="s">
        <v>3105</v>
      </c>
      <c r="O229" s="18" t="s">
        <v>5274</v>
      </c>
      <c r="P229" s="18" t="s">
        <v>5275</v>
      </c>
      <c r="Q229" s="19">
        <v>41869</v>
      </c>
    </row>
    <row r="230" spans="1:17">
      <c r="A230" s="17"/>
      <c r="B230" s="13" t="s">
        <v>5997</v>
      </c>
      <c r="C230" s="13" t="s">
        <v>5998</v>
      </c>
      <c r="D230" s="13" t="s">
        <v>5999</v>
      </c>
      <c r="E230" s="13" t="s">
        <v>5992</v>
      </c>
      <c r="F230" s="13" t="s">
        <v>5843</v>
      </c>
      <c r="G230" s="13">
        <v>2117069</v>
      </c>
      <c r="H230" s="13">
        <v>5031905</v>
      </c>
      <c r="I230" s="13">
        <v>3300008145</v>
      </c>
      <c r="J230" s="13">
        <v>2116313</v>
      </c>
      <c r="K230" s="13"/>
      <c r="L230" s="13" t="s">
        <v>6000</v>
      </c>
      <c r="M230" s="13">
        <v>120909155</v>
      </c>
      <c r="N230" s="18" t="s">
        <v>3105</v>
      </c>
      <c r="O230" s="18" t="s">
        <v>6001</v>
      </c>
      <c r="P230" s="18" t="s">
        <v>6002</v>
      </c>
      <c r="Q230" s="19" t="s">
        <v>2063</v>
      </c>
    </row>
    <row r="231" spans="1:17">
      <c r="A231" s="17"/>
      <c r="B231" s="13" t="s">
        <v>4864</v>
      </c>
      <c r="C231" s="13" t="s">
        <v>4865</v>
      </c>
      <c r="D231" s="13" t="s">
        <v>3962</v>
      </c>
      <c r="E231" s="13" t="s">
        <v>4866</v>
      </c>
      <c r="F231" s="13" t="s">
        <v>4395</v>
      </c>
      <c r="G231" s="13">
        <v>2183525</v>
      </c>
      <c r="H231" s="13">
        <v>5012469</v>
      </c>
      <c r="I231" s="13">
        <v>3300009772</v>
      </c>
      <c r="J231" s="13" t="s">
        <v>4867</v>
      </c>
      <c r="K231" s="13">
        <v>2114764</v>
      </c>
      <c r="L231" s="13" t="s">
        <v>4868</v>
      </c>
      <c r="M231" s="13">
        <v>120810900</v>
      </c>
      <c r="N231" s="18" t="s">
        <v>4399</v>
      </c>
      <c r="O231" s="18" t="s">
        <v>4869</v>
      </c>
      <c r="P231" s="18" t="s">
        <v>4870</v>
      </c>
      <c r="Q231" s="19" t="s">
        <v>2050</v>
      </c>
    </row>
    <row r="232" spans="1:17">
      <c r="A232" s="17" t="s">
        <v>839</v>
      </c>
      <c r="B232" s="13" t="s">
        <v>6028</v>
      </c>
      <c r="C232" s="13" t="s">
        <v>6029</v>
      </c>
      <c r="D232" s="13" t="s">
        <v>333</v>
      </c>
      <c r="E232" s="13" t="s">
        <v>642</v>
      </c>
      <c r="F232" s="13" t="s">
        <v>5843</v>
      </c>
      <c r="G232" s="13">
        <v>5059291</v>
      </c>
      <c r="H232" s="13">
        <v>3300009728</v>
      </c>
      <c r="I232" s="13">
        <v>2171982</v>
      </c>
      <c r="J232" s="13" t="s">
        <v>6030</v>
      </c>
      <c r="K232" s="13"/>
      <c r="L232" s="13" t="s">
        <v>6031</v>
      </c>
      <c r="M232" s="13">
        <v>120712912</v>
      </c>
      <c r="N232" s="18" t="s">
        <v>3105</v>
      </c>
      <c r="O232" s="18" t="s">
        <v>6032</v>
      </c>
      <c r="P232" s="18" t="s">
        <v>6033</v>
      </c>
      <c r="Q232" s="19" t="s">
        <v>6034</v>
      </c>
    </row>
    <row r="233" spans="1:17">
      <c r="A233" s="17"/>
      <c r="B233" s="28" t="s">
        <v>5062</v>
      </c>
      <c r="C233" s="28" t="s">
        <v>5063</v>
      </c>
      <c r="D233" s="29" t="s">
        <v>5064</v>
      </c>
      <c r="E233" s="29" t="s">
        <v>671</v>
      </c>
      <c r="F233" s="13" t="s">
        <v>4914</v>
      </c>
      <c r="G233" s="30" t="s">
        <v>5065</v>
      </c>
      <c r="H233" s="30">
        <v>3300009773</v>
      </c>
      <c r="I233" s="30" t="s">
        <v>5066</v>
      </c>
      <c r="J233" s="30" t="s">
        <v>5067</v>
      </c>
      <c r="K233" s="30" t="s">
        <v>5068</v>
      </c>
      <c r="L233" s="30" t="s">
        <v>5069</v>
      </c>
      <c r="M233" s="31" t="s">
        <v>5070</v>
      </c>
      <c r="N233" s="18" t="s">
        <v>4472</v>
      </c>
      <c r="O233" s="18" t="s">
        <v>5071</v>
      </c>
      <c r="P233" s="18" t="s">
        <v>5072</v>
      </c>
      <c r="Q233" s="19"/>
    </row>
    <row r="234" spans="1:17">
      <c r="A234" s="17" t="s">
        <v>839</v>
      </c>
      <c r="B234" s="13" t="s">
        <v>1788</v>
      </c>
      <c r="C234" s="13" t="s">
        <v>1789</v>
      </c>
      <c r="D234" s="13" t="s">
        <v>419</v>
      </c>
      <c r="E234" s="13" t="s">
        <v>587</v>
      </c>
      <c r="F234" s="13" t="s">
        <v>844</v>
      </c>
      <c r="G234" s="13">
        <v>2171978</v>
      </c>
      <c r="H234" s="13">
        <v>5049715</v>
      </c>
      <c r="I234" s="13" t="s">
        <v>1790</v>
      </c>
      <c r="J234" s="13">
        <v>3300009822</v>
      </c>
      <c r="K234" s="13"/>
      <c r="L234" s="13" t="s">
        <v>1791</v>
      </c>
      <c r="M234" s="13">
        <v>130702728</v>
      </c>
      <c r="N234" s="18" t="s">
        <v>879</v>
      </c>
      <c r="O234" s="18" t="s">
        <v>1792</v>
      </c>
      <c r="P234" s="18" t="s">
        <v>1793</v>
      </c>
      <c r="Q234" s="19" t="s">
        <v>1794</v>
      </c>
    </row>
    <row r="235" spans="1:17">
      <c r="A235" s="17"/>
      <c r="B235" s="20" t="s">
        <v>5334</v>
      </c>
      <c r="C235" s="20" t="s">
        <v>5335</v>
      </c>
      <c r="D235" s="20" t="s">
        <v>5336</v>
      </c>
      <c r="E235" s="20" t="s">
        <v>5337</v>
      </c>
      <c r="F235" s="20" t="s">
        <v>5164</v>
      </c>
      <c r="G235" s="20" t="s">
        <v>5338</v>
      </c>
      <c r="H235" s="20">
        <v>3300008163</v>
      </c>
      <c r="I235" s="20">
        <v>5033025</v>
      </c>
      <c r="J235" s="20">
        <v>2199637</v>
      </c>
      <c r="K235" s="20">
        <v>2115665</v>
      </c>
      <c r="L235" s="20" t="s">
        <v>5339</v>
      </c>
      <c r="M235" s="20">
        <v>141002323</v>
      </c>
      <c r="N235" s="20"/>
      <c r="O235" s="18"/>
      <c r="P235" s="18"/>
      <c r="Q235" s="24"/>
    </row>
    <row r="236" spans="1:17">
      <c r="A236" s="17"/>
      <c r="B236" s="13" t="s">
        <v>1106</v>
      </c>
      <c r="C236" s="13" t="s">
        <v>1107</v>
      </c>
      <c r="D236" s="13" t="s">
        <v>381</v>
      </c>
      <c r="E236" s="13" t="s">
        <v>597</v>
      </c>
      <c r="F236" s="13" t="s">
        <v>844</v>
      </c>
      <c r="G236" s="13">
        <v>5042649</v>
      </c>
      <c r="H236" s="13" t="s">
        <v>1108</v>
      </c>
      <c r="I236" s="13">
        <v>3300006814</v>
      </c>
      <c r="J236" s="13">
        <v>2119271</v>
      </c>
      <c r="K236" s="13"/>
      <c r="L236" s="13" t="s">
        <v>1109</v>
      </c>
      <c r="M236" s="13">
        <v>120909983</v>
      </c>
      <c r="N236" s="18" t="s">
        <v>879</v>
      </c>
      <c r="O236" s="18" t="s">
        <v>1110</v>
      </c>
      <c r="P236" s="18" t="s">
        <v>1111</v>
      </c>
      <c r="Q236" s="19" t="s">
        <v>1112</v>
      </c>
    </row>
    <row r="237" spans="1:17">
      <c r="A237" s="17"/>
      <c r="B237" s="13" t="s">
        <v>2408</v>
      </c>
      <c r="C237" s="13" t="s">
        <v>2408</v>
      </c>
      <c r="D237" s="13" t="s">
        <v>518</v>
      </c>
      <c r="E237" s="13" t="s">
        <v>803</v>
      </c>
      <c r="F237" s="20" t="s">
        <v>2345</v>
      </c>
      <c r="G237" s="13">
        <v>5070897</v>
      </c>
      <c r="H237" s="13">
        <v>3300009726</v>
      </c>
      <c r="I237" s="13" t="s">
        <v>2409</v>
      </c>
      <c r="J237" s="13" t="s">
        <v>2410</v>
      </c>
      <c r="K237" s="13">
        <v>2171913</v>
      </c>
      <c r="L237" s="13" t="s">
        <v>2411</v>
      </c>
      <c r="M237" s="13">
        <v>140702467</v>
      </c>
      <c r="N237" s="18" t="s">
        <v>847</v>
      </c>
      <c r="O237" s="18" t="s">
        <v>2412</v>
      </c>
      <c r="P237" s="18" t="s">
        <v>873</v>
      </c>
      <c r="Q237" s="19">
        <v>41981</v>
      </c>
    </row>
    <row r="238" spans="1:17">
      <c r="A238" s="17" t="s">
        <v>839</v>
      </c>
      <c r="B238" s="13" t="s">
        <v>1168</v>
      </c>
      <c r="C238" s="13" t="s">
        <v>1169</v>
      </c>
      <c r="D238" s="12" t="s">
        <v>1170</v>
      </c>
      <c r="E238" s="13" t="s">
        <v>809</v>
      </c>
      <c r="F238" s="13" t="s">
        <v>844</v>
      </c>
      <c r="G238" s="13">
        <v>2117460</v>
      </c>
      <c r="H238" s="13">
        <v>3300005978</v>
      </c>
      <c r="I238" s="13">
        <v>5051827</v>
      </c>
      <c r="J238" s="13">
        <v>3300010682</v>
      </c>
      <c r="K238" s="13">
        <v>2180551</v>
      </c>
      <c r="L238" s="13" t="s">
        <v>1171</v>
      </c>
      <c r="M238" s="13">
        <v>130702814</v>
      </c>
      <c r="N238" s="18" t="s">
        <v>879</v>
      </c>
      <c r="O238" s="18" t="s">
        <v>1172</v>
      </c>
      <c r="P238" s="18" t="s">
        <v>1173</v>
      </c>
      <c r="Q238" s="19"/>
    </row>
    <row r="239" spans="1:17">
      <c r="A239" s="17"/>
      <c r="B239" s="13" t="s">
        <v>5073</v>
      </c>
      <c r="C239" s="13" t="s">
        <v>5074</v>
      </c>
      <c r="D239" s="13" t="s">
        <v>348</v>
      </c>
      <c r="E239" s="13" t="s">
        <v>671</v>
      </c>
      <c r="F239" s="13" t="s">
        <v>4914</v>
      </c>
      <c r="G239" s="13">
        <v>5031885</v>
      </c>
      <c r="H239" s="13" t="s">
        <v>5075</v>
      </c>
      <c r="I239" s="13">
        <v>3300006794</v>
      </c>
      <c r="J239" s="13">
        <v>2114728</v>
      </c>
      <c r="K239" s="13">
        <v>5031875</v>
      </c>
      <c r="L239" s="13" t="s">
        <v>5076</v>
      </c>
      <c r="M239" s="13">
        <v>120807426</v>
      </c>
      <c r="N239" s="18" t="s">
        <v>4721</v>
      </c>
      <c r="O239" s="18" t="s">
        <v>5077</v>
      </c>
      <c r="P239" s="18" t="s">
        <v>5078</v>
      </c>
      <c r="Q239" s="19" t="s">
        <v>5079</v>
      </c>
    </row>
    <row r="240" spans="1:17">
      <c r="A240" s="17"/>
      <c r="B240" s="13" t="s">
        <v>5042</v>
      </c>
      <c r="C240" s="13" t="s">
        <v>5043</v>
      </c>
      <c r="D240" s="13" t="s">
        <v>349</v>
      </c>
      <c r="E240" s="13" t="s">
        <v>749</v>
      </c>
      <c r="F240" s="13" t="s">
        <v>4914</v>
      </c>
      <c r="G240" s="13">
        <v>2103956</v>
      </c>
      <c r="H240" s="13" t="s">
        <v>5044</v>
      </c>
      <c r="I240" s="13">
        <v>3300002830</v>
      </c>
      <c r="J240" s="13"/>
      <c r="K240" s="13">
        <v>2103904</v>
      </c>
      <c r="L240" s="13" t="s">
        <v>5045</v>
      </c>
      <c r="M240" s="13">
        <v>120808029</v>
      </c>
      <c r="N240" s="18" t="s">
        <v>4472</v>
      </c>
      <c r="O240" s="18" t="s">
        <v>5046</v>
      </c>
      <c r="P240" s="18" t="s">
        <v>5047</v>
      </c>
      <c r="Q240" s="19" t="s">
        <v>1469</v>
      </c>
    </row>
    <row r="241" spans="1:17">
      <c r="A241" s="17"/>
      <c r="B241" s="13" t="s">
        <v>4170</v>
      </c>
      <c r="C241" s="13" t="s">
        <v>4171</v>
      </c>
      <c r="D241" s="13" t="s">
        <v>397</v>
      </c>
      <c r="E241" s="13" t="s">
        <v>553</v>
      </c>
      <c r="F241" s="13" t="s">
        <v>3754</v>
      </c>
      <c r="G241" s="13" t="s">
        <v>4172</v>
      </c>
      <c r="H241" s="13" t="s">
        <v>4173</v>
      </c>
      <c r="I241" s="13">
        <v>2096482</v>
      </c>
      <c r="J241" s="13">
        <v>5042667</v>
      </c>
      <c r="K241" s="13"/>
      <c r="L241" s="13" t="s">
        <v>4174</v>
      </c>
      <c r="M241" s="13">
        <v>130700464</v>
      </c>
      <c r="N241" s="18" t="s">
        <v>1018</v>
      </c>
      <c r="O241" s="18" t="s">
        <v>4175</v>
      </c>
      <c r="P241" s="18" t="s">
        <v>4176</v>
      </c>
      <c r="Q241" s="19" t="s">
        <v>2407</v>
      </c>
    </row>
    <row r="242" spans="1:17">
      <c r="A242" s="17" t="s">
        <v>839</v>
      </c>
      <c r="B242" s="13" t="s">
        <v>2268</v>
      </c>
      <c r="C242" s="13" t="s">
        <v>2269</v>
      </c>
      <c r="D242" s="13" t="s">
        <v>434</v>
      </c>
      <c r="E242" s="13" t="s">
        <v>763</v>
      </c>
      <c r="F242" s="20" t="s">
        <v>2191</v>
      </c>
      <c r="G242" s="13">
        <v>3300009721</v>
      </c>
      <c r="H242" s="13" t="s">
        <v>2270</v>
      </c>
      <c r="I242" s="13"/>
      <c r="J242" s="13"/>
      <c r="K242" s="13"/>
      <c r="L242" s="13" t="s">
        <v>2271</v>
      </c>
      <c r="M242" s="13">
        <v>130703422</v>
      </c>
      <c r="N242" s="18" t="s">
        <v>879</v>
      </c>
      <c r="O242" s="18" t="s">
        <v>2272</v>
      </c>
      <c r="P242" s="18" t="s">
        <v>2273</v>
      </c>
      <c r="Q242" s="19" t="s">
        <v>2274</v>
      </c>
    </row>
    <row r="243" spans="1:17">
      <c r="A243" s="17"/>
      <c r="B243" s="13" t="s">
        <v>5931</v>
      </c>
      <c r="C243" s="13" t="s">
        <v>5932</v>
      </c>
      <c r="D243" s="13" t="s">
        <v>278</v>
      </c>
      <c r="E243" s="13" t="s">
        <v>679</v>
      </c>
      <c r="F243" s="13" t="s">
        <v>5843</v>
      </c>
      <c r="G243" s="13">
        <v>3300009709</v>
      </c>
      <c r="H243" s="13">
        <v>5050467</v>
      </c>
      <c r="I243" s="13" t="s">
        <v>5933</v>
      </c>
      <c r="J243" s="13">
        <v>2177400</v>
      </c>
      <c r="K243" s="13">
        <v>3300009554</v>
      </c>
      <c r="L243" s="13" t="s">
        <v>5934</v>
      </c>
      <c r="M243" s="13">
        <v>120707001</v>
      </c>
      <c r="N243" s="18" t="s">
        <v>3187</v>
      </c>
      <c r="O243" s="18" t="s">
        <v>5935</v>
      </c>
      <c r="P243" s="18"/>
      <c r="Q243" s="19" t="s">
        <v>4335</v>
      </c>
    </row>
    <row r="244" spans="1:17">
      <c r="A244" s="17" t="s">
        <v>839</v>
      </c>
      <c r="B244" s="13" t="s">
        <v>1363</v>
      </c>
      <c r="C244" s="13" t="s">
        <v>1364</v>
      </c>
      <c r="D244" s="13" t="s">
        <v>384</v>
      </c>
      <c r="E244" s="13" t="s">
        <v>737</v>
      </c>
      <c r="F244" s="13" t="s">
        <v>844</v>
      </c>
      <c r="G244" s="13" t="s">
        <v>1365</v>
      </c>
      <c r="H244" s="13">
        <v>3300005142</v>
      </c>
      <c r="I244" s="13" t="s">
        <v>1366</v>
      </c>
      <c r="J244" s="13">
        <v>5045666</v>
      </c>
      <c r="K244" s="13" t="s">
        <v>1367</v>
      </c>
      <c r="L244" s="13" t="s">
        <v>1368</v>
      </c>
      <c r="M244" s="13">
        <v>120910861</v>
      </c>
      <c r="N244" s="18" t="s">
        <v>856</v>
      </c>
      <c r="O244" s="18" t="s">
        <v>1369</v>
      </c>
      <c r="P244" s="18" t="s">
        <v>1370</v>
      </c>
      <c r="Q244" s="19" t="s">
        <v>1371</v>
      </c>
    </row>
    <row r="245" spans="1:17">
      <c r="A245" s="17" t="s">
        <v>839</v>
      </c>
      <c r="B245" s="13" t="s">
        <v>48</v>
      </c>
      <c r="C245" s="13" t="s">
        <v>3147</v>
      </c>
      <c r="D245" s="13" t="s">
        <v>490</v>
      </c>
      <c r="E245" s="13" t="s">
        <v>656</v>
      </c>
      <c r="F245" s="13" t="s">
        <v>3101</v>
      </c>
      <c r="G245" s="13" t="s">
        <v>3148</v>
      </c>
      <c r="H245" s="13">
        <v>3300003000</v>
      </c>
      <c r="I245" s="13">
        <v>2171910</v>
      </c>
      <c r="J245" s="13">
        <v>5047871</v>
      </c>
      <c r="K245" s="13" t="s">
        <v>3149</v>
      </c>
      <c r="L245" s="13" t="s">
        <v>3150</v>
      </c>
      <c r="M245" s="13">
        <v>131002308</v>
      </c>
      <c r="N245" s="18" t="s">
        <v>3117</v>
      </c>
      <c r="O245" s="18"/>
      <c r="P245" s="18" t="s">
        <v>3151</v>
      </c>
      <c r="Q245" s="19" t="s">
        <v>1042</v>
      </c>
    </row>
    <row r="246" spans="1:17">
      <c r="A246" s="17"/>
      <c r="B246" s="13" t="s">
        <v>3403</v>
      </c>
      <c r="C246" s="13" t="s">
        <v>3404</v>
      </c>
      <c r="D246" s="13" t="s">
        <v>344</v>
      </c>
      <c r="E246" s="13" t="s">
        <v>603</v>
      </c>
      <c r="F246" s="13" t="s">
        <v>3101</v>
      </c>
      <c r="G246" s="13">
        <v>5045662</v>
      </c>
      <c r="H246" s="13" t="s">
        <v>3405</v>
      </c>
      <c r="I246" s="13">
        <v>2103491</v>
      </c>
      <c r="J246" s="13"/>
      <c r="K246" s="13"/>
      <c r="L246" s="13" t="s">
        <v>3406</v>
      </c>
      <c r="M246" s="13">
        <v>120805501</v>
      </c>
      <c r="N246" s="18" t="s">
        <v>3117</v>
      </c>
      <c r="O246" s="18" t="s">
        <v>3407</v>
      </c>
      <c r="P246" s="18" t="s">
        <v>3408</v>
      </c>
      <c r="Q246" s="19" t="s">
        <v>3409</v>
      </c>
    </row>
    <row r="247" spans="1:17">
      <c r="A247" s="17"/>
      <c r="B247" s="21" t="s">
        <v>1774</v>
      </c>
      <c r="C247" s="21" t="s">
        <v>1774</v>
      </c>
      <c r="D247" s="21" t="s">
        <v>1775</v>
      </c>
      <c r="E247" s="21" t="s">
        <v>620</v>
      </c>
      <c r="F247" s="13" t="s">
        <v>844</v>
      </c>
      <c r="G247" s="20">
        <v>3300012247</v>
      </c>
      <c r="H247" s="20">
        <v>2182997</v>
      </c>
      <c r="I247" s="20" t="s">
        <v>1776</v>
      </c>
      <c r="J247" s="20">
        <v>5050545</v>
      </c>
      <c r="K247" s="20" t="s">
        <v>1777</v>
      </c>
      <c r="L247" s="20" t="s">
        <v>1778</v>
      </c>
      <c r="M247" s="25">
        <v>140706265</v>
      </c>
      <c r="N247" s="18" t="s">
        <v>896</v>
      </c>
      <c r="O247" s="18" t="s">
        <v>1779</v>
      </c>
      <c r="P247" s="18" t="s">
        <v>1780</v>
      </c>
      <c r="Q247" s="23" t="s">
        <v>899</v>
      </c>
    </row>
    <row r="248" spans="1:17">
      <c r="A248" s="17"/>
      <c r="B248" s="20" t="s">
        <v>5048</v>
      </c>
      <c r="C248" s="20" t="s">
        <v>5049</v>
      </c>
      <c r="D248" s="20" t="s">
        <v>5050</v>
      </c>
      <c r="E248" s="20" t="s">
        <v>749</v>
      </c>
      <c r="F248" s="20" t="s">
        <v>4914</v>
      </c>
      <c r="G248" s="20">
        <v>2180499</v>
      </c>
      <c r="H248" s="20" t="s">
        <v>5051</v>
      </c>
      <c r="I248" s="20" t="s">
        <v>5052</v>
      </c>
      <c r="J248" s="20">
        <v>2087329</v>
      </c>
      <c r="K248" s="20"/>
      <c r="L248" s="20" t="s">
        <v>5053</v>
      </c>
      <c r="M248" s="20">
        <v>140703414</v>
      </c>
      <c r="N248" s="20"/>
      <c r="O248" s="18"/>
      <c r="P248" s="18" t="s">
        <v>5054</v>
      </c>
      <c r="Q248" s="24">
        <v>42128</v>
      </c>
    </row>
    <row r="249" spans="1:17">
      <c r="A249" s="17"/>
      <c r="B249" s="13" t="s">
        <v>3555</v>
      </c>
      <c r="C249" s="13" t="s">
        <v>3556</v>
      </c>
      <c r="D249" s="13" t="s">
        <v>3557</v>
      </c>
      <c r="E249" s="13" t="s">
        <v>572</v>
      </c>
      <c r="F249" s="13" t="s">
        <v>3558</v>
      </c>
      <c r="G249" s="13" t="s">
        <v>3559</v>
      </c>
      <c r="H249" s="13">
        <v>3300012834</v>
      </c>
      <c r="I249" s="13">
        <v>2114787</v>
      </c>
      <c r="J249" s="13" t="s">
        <v>3560</v>
      </c>
      <c r="K249" s="13"/>
      <c r="L249" s="13" t="s">
        <v>3561</v>
      </c>
      <c r="M249" s="13">
        <v>140702406</v>
      </c>
      <c r="N249" s="18" t="s">
        <v>3478</v>
      </c>
      <c r="O249" s="18" t="s">
        <v>3562</v>
      </c>
      <c r="P249" s="18" t="s">
        <v>3563</v>
      </c>
      <c r="Q249" s="19">
        <v>41932</v>
      </c>
    </row>
    <row r="250" spans="1:17">
      <c r="A250" s="17" t="s">
        <v>839</v>
      </c>
      <c r="B250" s="13" t="s">
        <v>2918</v>
      </c>
      <c r="C250" s="13" t="s">
        <v>2919</v>
      </c>
      <c r="D250" s="13" t="s">
        <v>103</v>
      </c>
      <c r="E250" s="13" t="s">
        <v>562</v>
      </c>
      <c r="F250" s="13" t="s">
        <v>2830</v>
      </c>
      <c r="G250" s="13" t="s">
        <v>2920</v>
      </c>
      <c r="H250" s="13">
        <v>2172027</v>
      </c>
      <c r="I250" s="13">
        <v>5045699</v>
      </c>
      <c r="J250" s="13">
        <v>3300001245</v>
      </c>
      <c r="K250" s="13">
        <v>2083231</v>
      </c>
      <c r="L250" s="13" t="s">
        <v>2921</v>
      </c>
      <c r="M250" s="13">
        <v>120700581</v>
      </c>
      <c r="N250" s="18" t="s">
        <v>2436</v>
      </c>
      <c r="O250" s="18"/>
      <c r="P250" s="18" t="s">
        <v>2922</v>
      </c>
      <c r="Q250" s="19" t="s">
        <v>1506</v>
      </c>
    </row>
    <row r="251" spans="1:17">
      <c r="A251" s="17" t="s">
        <v>839</v>
      </c>
      <c r="B251" s="13" t="s">
        <v>5644</v>
      </c>
      <c r="C251" s="13" t="s">
        <v>5645</v>
      </c>
      <c r="D251" s="13" t="s">
        <v>5646</v>
      </c>
      <c r="E251" s="13" t="s">
        <v>786</v>
      </c>
      <c r="F251" s="13" t="s">
        <v>5164</v>
      </c>
      <c r="G251" s="13">
        <v>3300009729</v>
      </c>
      <c r="H251" s="13" t="s">
        <v>5647</v>
      </c>
      <c r="I251" s="13">
        <v>2177377</v>
      </c>
      <c r="J251" s="13">
        <v>5042665</v>
      </c>
      <c r="K251" s="13">
        <v>3300009736</v>
      </c>
      <c r="L251" s="13" t="s">
        <v>5648</v>
      </c>
      <c r="M251" s="13">
        <v>131004385</v>
      </c>
      <c r="N251" s="18" t="s">
        <v>1188</v>
      </c>
      <c r="O251" s="18" t="s">
        <v>5649</v>
      </c>
      <c r="P251" s="18" t="s">
        <v>5650</v>
      </c>
      <c r="Q251" s="19" t="s">
        <v>5554</v>
      </c>
    </row>
    <row r="252" spans="1:17">
      <c r="A252" s="17"/>
      <c r="B252" s="13" t="s">
        <v>4724</v>
      </c>
      <c r="C252" s="13" t="s">
        <v>4725</v>
      </c>
      <c r="D252" s="13" t="s">
        <v>389</v>
      </c>
      <c r="E252" s="13" t="s">
        <v>4726</v>
      </c>
      <c r="F252" s="13" t="s">
        <v>4395</v>
      </c>
      <c r="G252" s="13">
        <v>2103949</v>
      </c>
      <c r="H252" s="13" t="s">
        <v>4727</v>
      </c>
      <c r="I252" s="13">
        <v>3300003626</v>
      </c>
      <c r="J252" s="13" t="s">
        <v>4728</v>
      </c>
      <c r="K252" s="13">
        <v>2103951</v>
      </c>
      <c r="L252" s="13" t="s">
        <v>4729</v>
      </c>
      <c r="M252" s="13">
        <v>121005176</v>
      </c>
      <c r="N252" s="18" t="s">
        <v>4424</v>
      </c>
      <c r="O252" s="18" t="s">
        <v>4730</v>
      </c>
      <c r="P252" s="18" t="s">
        <v>4731</v>
      </c>
      <c r="Q252" s="19" t="s">
        <v>4732</v>
      </c>
    </row>
    <row r="253" spans="1:17">
      <c r="A253" s="17"/>
      <c r="B253" s="20" t="s">
        <v>1637</v>
      </c>
      <c r="C253" s="20" t="s">
        <v>1638</v>
      </c>
      <c r="D253" s="20" t="s">
        <v>1639</v>
      </c>
      <c r="E253" s="20" t="s">
        <v>1640</v>
      </c>
      <c r="F253" s="13" t="s">
        <v>844</v>
      </c>
      <c r="G253" s="20" t="s">
        <v>1641</v>
      </c>
      <c r="H253" s="20">
        <v>3300009742</v>
      </c>
      <c r="I253" s="20" t="s">
        <v>1642</v>
      </c>
      <c r="J253" s="20">
        <v>2084132</v>
      </c>
      <c r="K253" s="20">
        <v>2096040</v>
      </c>
      <c r="L253" s="20" t="s">
        <v>1643</v>
      </c>
      <c r="M253" s="20">
        <v>150700126</v>
      </c>
      <c r="N253" s="20"/>
      <c r="O253" s="18" t="s">
        <v>1644</v>
      </c>
      <c r="P253" s="18" t="s">
        <v>1645</v>
      </c>
      <c r="Q253" s="24">
        <v>42129</v>
      </c>
    </row>
    <row r="254" spans="1:17">
      <c r="A254" s="17" t="s">
        <v>839</v>
      </c>
      <c r="B254" s="13" t="s">
        <v>1996</v>
      </c>
      <c r="C254" s="13" t="s">
        <v>1997</v>
      </c>
      <c r="D254" s="13" t="s">
        <v>1998</v>
      </c>
      <c r="E254" s="13" t="s">
        <v>767</v>
      </c>
      <c r="F254" s="13" t="s">
        <v>844</v>
      </c>
      <c r="G254" s="13" t="s">
        <v>1999</v>
      </c>
      <c r="H254" s="13">
        <v>3300005182</v>
      </c>
      <c r="I254" s="13" t="s">
        <v>2000</v>
      </c>
      <c r="J254" s="13">
        <v>3300002805</v>
      </c>
      <c r="K254" s="13" t="s">
        <v>2001</v>
      </c>
      <c r="L254" s="13" t="s">
        <v>2002</v>
      </c>
      <c r="M254" s="13">
        <v>120708474</v>
      </c>
      <c r="N254" s="18" t="s">
        <v>879</v>
      </c>
      <c r="O254" s="18"/>
      <c r="P254" s="18" t="s">
        <v>2003</v>
      </c>
      <c r="Q254" s="19" t="s">
        <v>1698</v>
      </c>
    </row>
    <row r="255" spans="1:17">
      <c r="A255" s="17"/>
      <c r="B255" s="13" t="s">
        <v>3440</v>
      </c>
      <c r="C255" s="13" t="s">
        <v>3441</v>
      </c>
      <c r="D255" s="13" t="s">
        <v>428</v>
      </c>
      <c r="E255" s="13" t="s">
        <v>762</v>
      </c>
      <c r="F255" s="13" t="s">
        <v>3101</v>
      </c>
      <c r="G255" s="13" t="s">
        <v>3442</v>
      </c>
      <c r="H255" s="13">
        <v>3300009727</v>
      </c>
      <c r="I255" s="13">
        <v>2171985</v>
      </c>
      <c r="J255" s="13">
        <v>5049703</v>
      </c>
      <c r="K255" s="13" t="s">
        <v>3443</v>
      </c>
      <c r="L255" s="13" t="s">
        <v>3444</v>
      </c>
      <c r="M255" s="13">
        <v>130703191</v>
      </c>
      <c r="N255" s="18" t="s">
        <v>879</v>
      </c>
      <c r="O255" s="18"/>
      <c r="P255" s="18" t="s">
        <v>3445</v>
      </c>
      <c r="Q255" s="19" t="s">
        <v>1302</v>
      </c>
    </row>
    <row r="256" spans="1:17">
      <c r="A256" s="17"/>
      <c r="B256" s="13" t="s">
        <v>2510</v>
      </c>
      <c r="C256" s="13" t="s">
        <v>2511</v>
      </c>
      <c r="D256" s="13" t="s">
        <v>2512</v>
      </c>
      <c r="E256" s="13" t="s">
        <v>640</v>
      </c>
      <c r="F256" s="13" t="s">
        <v>2433</v>
      </c>
      <c r="G256" s="13">
        <v>2177163</v>
      </c>
      <c r="H256" s="13">
        <v>5059386</v>
      </c>
      <c r="I256" s="13" t="s">
        <v>2513</v>
      </c>
      <c r="J256" s="13"/>
      <c r="K256" s="13"/>
      <c r="L256" s="13" t="s">
        <v>2514</v>
      </c>
      <c r="M256" s="13">
        <v>120708649</v>
      </c>
      <c r="N256" s="18" t="s">
        <v>2436</v>
      </c>
      <c r="O256" s="18" t="s">
        <v>2515</v>
      </c>
      <c r="P256" s="18" t="s">
        <v>2516</v>
      </c>
      <c r="Q256" s="19" t="s">
        <v>2517</v>
      </c>
    </row>
    <row r="257" spans="1:17">
      <c r="A257" s="17"/>
      <c r="B257" s="21" t="s">
        <v>1325</v>
      </c>
      <c r="C257" s="21" t="s">
        <v>44</v>
      </c>
      <c r="D257" s="21" t="s">
        <v>1326</v>
      </c>
      <c r="E257" s="21" t="s">
        <v>1327</v>
      </c>
      <c r="F257" s="13" t="s">
        <v>844</v>
      </c>
      <c r="G257" s="20" t="s">
        <v>1328</v>
      </c>
      <c r="H257" s="20">
        <v>3300010098</v>
      </c>
      <c r="I257" s="20">
        <v>2168144</v>
      </c>
      <c r="J257" s="20">
        <v>5053843</v>
      </c>
      <c r="K257" s="20"/>
      <c r="L257" s="20" t="s">
        <v>1329</v>
      </c>
      <c r="M257" s="22">
        <v>130704163</v>
      </c>
      <c r="N257" s="18" t="s">
        <v>896</v>
      </c>
      <c r="O257" s="18" t="s">
        <v>1330</v>
      </c>
      <c r="P257" s="18" t="s">
        <v>1331</v>
      </c>
      <c r="Q257" s="23" t="s">
        <v>899</v>
      </c>
    </row>
    <row r="258" spans="1:17">
      <c r="A258" s="17"/>
      <c r="B258" s="13" t="s">
        <v>4878</v>
      </c>
      <c r="C258" s="13" t="s">
        <v>4879</v>
      </c>
      <c r="D258" s="13" t="s">
        <v>190</v>
      </c>
      <c r="E258" s="13" t="s">
        <v>624</v>
      </c>
      <c r="F258" s="13" t="s">
        <v>4873</v>
      </c>
      <c r="G258" s="13" t="s">
        <v>4880</v>
      </c>
      <c r="H258" s="13">
        <v>3300001241</v>
      </c>
      <c r="I258" s="13"/>
      <c r="J258" s="13"/>
      <c r="K258" s="13"/>
      <c r="L258" s="13" t="s">
        <v>4881</v>
      </c>
      <c r="M258" s="13">
        <v>120702065</v>
      </c>
      <c r="N258" s="18" t="s">
        <v>4472</v>
      </c>
      <c r="O258" s="18" t="s">
        <v>4882</v>
      </c>
      <c r="P258" s="18" t="s">
        <v>4883</v>
      </c>
      <c r="Q258" s="19" t="s">
        <v>1385</v>
      </c>
    </row>
    <row r="259" spans="1:17">
      <c r="A259" s="17"/>
      <c r="B259" s="20" t="s">
        <v>2004</v>
      </c>
      <c r="C259" s="20" t="s">
        <v>2005</v>
      </c>
      <c r="D259" s="20" t="s">
        <v>2006</v>
      </c>
      <c r="E259" s="20" t="s">
        <v>767</v>
      </c>
      <c r="F259" s="13" t="s">
        <v>844</v>
      </c>
      <c r="G259" s="20">
        <v>2087359</v>
      </c>
      <c r="H259" s="20">
        <v>3300003018</v>
      </c>
      <c r="I259" s="20" t="s">
        <v>2007</v>
      </c>
      <c r="J259" s="20" t="s">
        <v>2008</v>
      </c>
      <c r="K259" s="20">
        <v>2084092</v>
      </c>
      <c r="L259" s="20" t="s">
        <v>2009</v>
      </c>
      <c r="M259" s="20">
        <v>140703999</v>
      </c>
      <c r="N259" s="20"/>
      <c r="O259" s="18" t="s">
        <v>2010</v>
      </c>
      <c r="P259" s="18" t="s">
        <v>873</v>
      </c>
      <c r="Q259" s="24"/>
    </row>
    <row r="260" spans="1:17">
      <c r="A260" s="17" t="s">
        <v>839</v>
      </c>
      <c r="B260" s="13" t="s">
        <v>2275</v>
      </c>
      <c r="C260" s="13" t="s">
        <v>21</v>
      </c>
      <c r="D260" s="13" t="s">
        <v>315</v>
      </c>
      <c r="E260" s="13" t="s">
        <v>2276</v>
      </c>
      <c r="F260" s="20" t="s">
        <v>2191</v>
      </c>
      <c r="G260" s="13" t="s">
        <v>2277</v>
      </c>
      <c r="H260" s="13">
        <v>5042642</v>
      </c>
      <c r="I260" s="13" t="s">
        <v>2278</v>
      </c>
      <c r="J260" s="13">
        <v>3300006816</v>
      </c>
      <c r="K260" s="13">
        <v>2159826</v>
      </c>
      <c r="L260" s="13" t="s">
        <v>2279</v>
      </c>
      <c r="M260" s="13">
        <v>120709425</v>
      </c>
      <c r="N260" s="18" t="s">
        <v>856</v>
      </c>
      <c r="O260" s="18"/>
      <c r="P260" s="18" t="s">
        <v>2280</v>
      </c>
      <c r="Q260" s="19" t="s">
        <v>1616</v>
      </c>
    </row>
    <row r="261" spans="1:17">
      <c r="A261" s="17"/>
      <c r="B261" s="13" t="s">
        <v>3564</v>
      </c>
      <c r="C261" s="13" t="s">
        <v>3565</v>
      </c>
      <c r="D261" s="13" t="s">
        <v>184</v>
      </c>
      <c r="E261" s="13" t="s">
        <v>572</v>
      </c>
      <c r="F261" s="13" t="s">
        <v>3558</v>
      </c>
      <c r="G261" s="13">
        <v>5049696</v>
      </c>
      <c r="H261" s="13" t="s">
        <v>3566</v>
      </c>
      <c r="I261" s="13">
        <v>2171977</v>
      </c>
      <c r="J261" s="13">
        <v>5049702</v>
      </c>
      <c r="K261" s="13"/>
      <c r="L261" s="13" t="s">
        <v>3567</v>
      </c>
      <c r="M261" s="13">
        <v>120701984</v>
      </c>
      <c r="N261" s="18" t="s">
        <v>3478</v>
      </c>
      <c r="O261" s="18" t="s">
        <v>3568</v>
      </c>
      <c r="P261" s="18" t="s">
        <v>3569</v>
      </c>
      <c r="Q261" s="19" t="s">
        <v>1147</v>
      </c>
    </row>
    <row r="262" spans="1:17">
      <c r="A262" s="17"/>
      <c r="B262" s="13" t="s">
        <v>4995</v>
      </c>
      <c r="C262" s="13" t="s">
        <v>4996</v>
      </c>
      <c r="D262" s="13" t="s">
        <v>464</v>
      </c>
      <c r="E262" s="13" t="s">
        <v>761</v>
      </c>
      <c r="F262" s="13" t="s">
        <v>4914</v>
      </c>
      <c r="G262" s="13">
        <v>2183536</v>
      </c>
      <c r="H262" s="13" t="s">
        <v>4997</v>
      </c>
      <c r="I262" s="13">
        <v>3300009775</v>
      </c>
      <c r="J262" s="13" t="s">
        <v>4998</v>
      </c>
      <c r="K262" s="13">
        <v>2183550</v>
      </c>
      <c r="L262" s="13" t="s">
        <v>4999</v>
      </c>
      <c r="M262" s="13">
        <v>130705126</v>
      </c>
      <c r="N262" s="18" t="s">
        <v>4721</v>
      </c>
      <c r="O262" s="18" t="s">
        <v>5000</v>
      </c>
      <c r="P262" s="18" t="s">
        <v>5001</v>
      </c>
      <c r="Q262" s="19" t="s">
        <v>4156</v>
      </c>
    </row>
    <row r="263" spans="1:17">
      <c r="A263" s="17"/>
      <c r="B263" s="13" t="s">
        <v>4462</v>
      </c>
      <c r="C263" s="13" t="s">
        <v>4463</v>
      </c>
      <c r="D263" s="13" t="s">
        <v>4464</v>
      </c>
      <c r="E263" s="13" t="s">
        <v>655</v>
      </c>
      <c r="F263" s="13" t="s">
        <v>4395</v>
      </c>
      <c r="G263" s="13">
        <v>2170078</v>
      </c>
      <c r="H263" s="13">
        <v>5059359</v>
      </c>
      <c r="I263" s="13">
        <v>3300009714</v>
      </c>
      <c r="J263" s="13"/>
      <c r="K263" s="13"/>
      <c r="L263" s="13" t="s">
        <v>4465</v>
      </c>
      <c r="M263" s="13">
        <v>140701865</v>
      </c>
      <c r="N263" s="18" t="s">
        <v>4424</v>
      </c>
      <c r="O263" s="18" t="s">
        <v>4466</v>
      </c>
      <c r="P263" s="18" t="s">
        <v>4467</v>
      </c>
      <c r="Q263" s="19">
        <v>41905</v>
      </c>
    </row>
    <row r="264" spans="1:17">
      <c r="A264" s="17"/>
      <c r="B264" s="20" t="s">
        <v>6164</v>
      </c>
      <c r="C264" s="20" t="s">
        <v>6164</v>
      </c>
      <c r="D264" s="20" t="s">
        <v>6165</v>
      </c>
      <c r="E264" s="20" t="s">
        <v>747</v>
      </c>
      <c r="F264" s="20" t="s">
        <v>5843</v>
      </c>
      <c r="G264" s="20" t="s">
        <v>6166</v>
      </c>
      <c r="H264" s="20" t="s">
        <v>6167</v>
      </c>
      <c r="I264" s="20">
        <v>3300010914</v>
      </c>
      <c r="J264" s="20"/>
      <c r="K264" s="20"/>
      <c r="L264" s="20" t="s">
        <v>6168</v>
      </c>
      <c r="M264" s="20">
        <v>140703709</v>
      </c>
      <c r="N264" s="20"/>
      <c r="O264" s="18"/>
      <c r="P264" s="18" t="s">
        <v>6169</v>
      </c>
      <c r="Q264" s="18" t="s">
        <v>6170</v>
      </c>
    </row>
    <row r="265" spans="1:17">
      <c r="A265" s="17" t="s">
        <v>839</v>
      </c>
      <c r="B265" s="13" t="s">
        <v>4123</v>
      </c>
      <c r="C265" s="13" t="s">
        <v>4124</v>
      </c>
      <c r="D265" s="13" t="s">
        <v>376</v>
      </c>
      <c r="E265" s="13" t="s">
        <v>732</v>
      </c>
      <c r="F265" s="13" t="s">
        <v>3754</v>
      </c>
      <c r="G265" s="13">
        <v>3300009556</v>
      </c>
      <c r="H265" s="13">
        <v>5050423</v>
      </c>
      <c r="I265" s="13" t="s">
        <v>4125</v>
      </c>
      <c r="J265" s="13">
        <v>2177369</v>
      </c>
      <c r="K265" s="13"/>
      <c r="L265" s="13" t="s">
        <v>4126</v>
      </c>
      <c r="M265" s="13">
        <v>120906735</v>
      </c>
      <c r="N265" s="18" t="s">
        <v>3117</v>
      </c>
      <c r="O265" s="18" t="s">
        <v>4127</v>
      </c>
      <c r="P265" s="18" t="s">
        <v>4128</v>
      </c>
      <c r="Q265" s="19" t="s">
        <v>4129</v>
      </c>
    </row>
    <row r="266" spans="1:17">
      <c r="A266" s="17"/>
      <c r="B266" s="13" t="s">
        <v>5418</v>
      </c>
      <c r="C266" s="13" t="s">
        <v>5419</v>
      </c>
      <c r="D266" s="13" t="s">
        <v>5420</v>
      </c>
      <c r="E266" s="13" t="s">
        <v>812</v>
      </c>
      <c r="F266" s="13" t="s">
        <v>5164</v>
      </c>
      <c r="G266" s="13" t="s">
        <v>5421</v>
      </c>
      <c r="H266" s="13">
        <v>2171999</v>
      </c>
      <c r="I266" s="13"/>
      <c r="J266" s="13"/>
      <c r="K266" s="13"/>
      <c r="L266" s="13" t="s">
        <v>5422</v>
      </c>
      <c r="M266" s="13">
        <v>120705647</v>
      </c>
      <c r="N266" s="18" t="s">
        <v>4721</v>
      </c>
      <c r="O266" s="18" t="s">
        <v>5423</v>
      </c>
      <c r="P266" s="18" t="s">
        <v>5424</v>
      </c>
      <c r="Q266" s="19" t="s">
        <v>4048</v>
      </c>
    </row>
    <row r="267" spans="1:17">
      <c r="A267" s="17"/>
      <c r="B267" s="13" t="s">
        <v>5721</v>
      </c>
      <c r="C267" s="13" t="s">
        <v>5722</v>
      </c>
      <c r="D267" s="13" t="s">
        <v>89</v>
      </c>
      <c r="E267" s="13" t="s">
        <v>548</v>
      </c>
      <c r="F267" s="13" t="s">
        <v>5709</v>
      </c>
      <c r="G267" s="13">
        <v>2115661</v>
      </c>
      <c r="H267" s="13">
        <v>3300004135</v>
      </c>
      <c r="I267" s="13">
        <v>2103496</v>
      </c>
      <c r="J267" s="13">
        <v>3300004156</v>
      </c>
      <c r="K267" s="13"/>
      <c r="L267" s="13" t="s">
        <v>5723</v>
      </c>
      <c r="M267" s="13">
        <v>120700493</v>
      </c>
      <c r="N267" s="18" t="s">
        <v>4721</v>
      </c>
      <c r="O267" s="18" t="s">
        <v>5724</v>
      </c>
      <c r="P267" s="18" t="s">
        <v>5725</v>
      </c>
      <c r="Q267" s="19" t="s">
        <v>5523</v>
      </c>
    </row>
    <row r="268" spans="1:17">
      <c r="A268" s="17"/>
      <c r="B268" s="20" t="s">
        <v>5055</v>
      </c>
      <c r="C268" s="20" t="s">
        <v>5056</v>
      </c>
      <c r="D268" s="20" t="s">
        <v>405</v>
      </c>
      <c r="E268" s="20" t="s">
        <v>749</v>
      </c>
      <c r="F268" s="13" t="s">
        <v>4914</v>
      </c>
      <c r="G268" s="20" t="s">
        <v>5057</v>
      </c>
      <c r="H268" s="20" t="s">
        <v>5058</v>
      </c>
      <c r="I268" s="20"/>
      <c r="J268" s="20"/>
      <c r="K268" s="20"/>
      <c r="L268" s="20" t="s">
        <v>5059</v>
      </c>
      <c r="M268" s="20">
        <v>130701186</v>
      </c>
      <c r="N268" s="18" t="s">
        <v>4472</v>
      </c>
      <c r="O268" s="18" t="s">
        <v>5060</v>
      </c>
      <c r="P268" s="18" t="s">
        <v>5061</v>
      </c>
      <c r="Q268" s="24"/>
    </row>
    <row r="269" spans="1:17">
      <c r="A269" s="17"/>
      <c r="B269" s="13" t="s">
        <v>6254</v>
      </c>
      <c r="C269" s="13" t="s">
        <v>6255</v>
      </c>
      <c r="D269" s="13" t="s">
        <v>233</v>
      </c>
      <c r="E269" s="13" t="s">
        <v>650</v>
      </c>
      <c r="F269" s="13" t="s">
        <v>5843</v>
      </c>
      <c r="G269" s="13">
        <v>3300003008</v>
      </c>
      <c r="H269" s="13">
        <v>5001459</v>
      </c>
      <c r="I269" s="13" t="s">
        <v>6256</v>
      </c>
      <c r="J269" s="13"/>
      <c r="K269" s="13"/>
      <c r="L269" s="13" t="s">
        <v>6257</v>
      </c>
      <c r="M269" s="13">
        <v>120704193</v>
      </c>
      <c r="N269" s="18" t="s">
        <v>3187</v>
      </c>
      <c r="O269" s="18" t="s">
        <v>6258</v>
      </c>
      <c r="P269" s="18" t="s">
        <v>6259</v>
      </c>
      <c r="Q269" s="19" t="s">
        <v>1595</v>
      </c>
    </row>
    <row r="270" spans="1:17">
      <c r="A270" s="17" t="s">
        <v>839</v>
      </c>
      <c r="B270" s="13" t="s">
        <v>1748</v>
      </c>
      <c r="C270" s="13" t="s">
        <v>1749</v>
      </c>
      <c r="D270" s="13" t="s">
        <v>138</v>
      </c>
      <c r="E270" s="13" t="s">
        <v>586</v>
      </c>
      <c r="F270" s="13" t="s">
        <v>844</v>
      </c>
      <c r="G270" s="13" t="s">
        <v>1750</v>
      </c>
      <c r="H270" s="13">
        <v>3300001242</v>
      </c>
      <c r="I270" s="13">
        <v>3300001249</v>
      </c>
      <c r="J270" s="13">
        <v>2103910</v>
      </c>
      <c r="K270" s="13">
        <v>5042670</v>
      </c>
      <c r="L270" s="13" t="s">
        <v>1751</v>
      </c>
      <c r="M270" s="13">
        <v>120701151</v>
      </c>
      <c r="N270" s="18" t="s">
        <v>856</v>
      </c>
      <c r="O270" s="18" t="s">
        <v>1752</v>
      </c>
      <c r="P270" s="18" t="s">
        <v>1753</v>
      </c>
      <c r="Q270" s="19" t="s">
        <v>1754</v>
      </c>
    </row>
    <row r="271" spans="1:17">
      <c r="A271" s="17"/>
      <c r="B271" s="13" t="s">
        <v>1536</v>
      </c>
      <c r="C271" s="13" t="s">
        <v>1537</v>
      </c>
      <c r="D271" s="13" t="s">
        <v>1538</v>
      </c>
      <c r="E271" s="13" t="s">
        <v>559</v>
      </c>
      <c r="F271" s="13" t="s">
        <v>844</v>
      </c>
      <c r="G271" s="13">
        <v>2084705</v>
      </c>
      <c r="H271" s="13">
        <v>3300001429</v>
      </c>
      <c r="I271" s="13">
        <v>3300001433</v>
      </c>
      <c r="J271" s="13">
        <v>5043109</v>
      </c>
      <c r="K271" s="13">
        <v>3300010669</v>
      </c>
      <c r="L271" s="13" t="s">
        <v>1539</v>
      </c>
      <c r="M271" s="13">
        <v>120700543</v>
      </c>
      <c r="N271" s="18" t="s">
        <v>879</v>
      </c>
      <c r="O271" s="18"/>
      <c r="P271" s="18" t="s">
        <v>1540</v>
      </c>
      <c r="Q271" s="19"/>
    </row>
    <row r="272" spans="1:17">
      <c r="A272" s="17"/>
      <c r="B272" s="13" t="s">
        <v>4664</v>
      </c>
      <c r="C272" s="13" t="s">
        <v>4665</v>
      </c>
      <c r="D272" s="13" t="s">
        <v>4666</v>
      </c>
      <c r="E272" s="13" t="s">
        <v>582</v>
      </c>
      <c r="F272" s="13" t="s">
        <v>4395</v>
      </c>
      <c r="G272" s="13">
        <v>2110129</v>
      </c>
      <c r="H272" s="13" t="s">
        <v>4667</v>
      </c>
      <c r="I272" s="13">
        <v>3300002939</v>
      </c>
      <c r="J272" s="13" t="s">
        <v>4668</v>
      </c>
      <c r="K272" s="13"/>
      <c r="L272" s="13" t="s">
        <v>4669</v>
      </c>
      <c r="M272" s="13">
        <v>120806564</v>
      </c>
      <c r="N272" s="18" t="s">
        <v>4399</v>
      </c>
      <c r="O272" s="18"/>
      <c r="P272" s="18" t="s">
        <v>4670</v>
      </c>
      <c r="Q272" s="19" t="s">
        <v>4671</v>
      </c>
    </row>
    <row r="273" spans="1:17">
      <c r="A273" s="17"/>
      <c r="B273" s="13" t="s">
        <v>29</v>
      </c>
      <c r="C273" s="13" t="s">
        <v>5773</v>
      </c>
      <c r="D273" s="13" t="s">
        <v>339</v>
      </c>
      <c r="E273" s="13" t="s">
        <v>588</v>
      </c>
      <c r="F273" s="13" t="s">
        <v>5753</v>
      </c>
      <c r="G273" s="13">
        <v>2103899</v>
      </c>
      <c r="H273" s="13" t="s">
        <v>5774</v>
      </c>
      <c r="I273" s="13" t="s">
        <v>5775</v>
      </c>
      <c r="J273" s="13" t="s">
        <v>5776</v>
      </c>
      <c r="K273" s="13">
        <v>3300003005</v>
      </c>
      <c r="L273" s="13" t="s">
        <v>5777</v>
      </c>
      <c r="M273" s="13">
        <v>120801366</v>
      </c>
      <c r="N273" s="18" t="s">
        <v>4472</v>
      </c>
      <c r="O273" s="18" t="s">
        <v>5778</v>
      </c>
      <c r="P273" s="18" t="s">
        <v>5779</v>
      </c>
      <c r="Q273" s="19" t="s">
        <v>997</v>
      </c>
    </row>
    <row r="274" spans="1:17">
      <c r="A274" s="17" t="s">
        <v>839</v>
      </c>
      <c r="B274" s="13" t="s">
        <v>2623</v>
      </c>
      <c r="C274" s="13" t="s">
        <v>2624</v>
      </c>
      <c r="D274" s="13" t="s">
        <v>280</v>
      </c>
      <c r="E274" s="13" t="s">
        <v>680</v>
      </c>
      <c r="F274" s="13" t="s">
        <v>2433</v>
      </c>
      <c r="G274" s="13" t="s">
        <v>2625</v>
      </c>
      <c r="H274" s="13">
        <v>3300009787</v>
      </c>
      <c r="I274" s="13">
        <v>2116046</v>
      </c>
      <c r="J274" s="13" t="s">
        <v>2626</v>
      </c>
      <c r="K274" s="13">
        <v>5012461</v>
      </c>
      <c r="L274" s="13" t="s">
        <v>2627</v>
      </c>
      <c r="M274" s="13">
        <v>120707309</v>
      </c>
      <c r="N274" s="18" t="s">
        <v>2436</v>
      </c>
      <c r="O274" s="18"/>
      <c r="P274" s="18" t="s">
        <v>2628</v>
      </c>
      <c r="Q274" s="19" t="s">
        <v>2629</v>
      </c>
    </row>
    <row r="275" spans="1:17">
      <c r="A275" s="17" t="s">
        <v>839</v>
      </c>
      <c r="B275" s="13" t="s">
        <v>1548</v>
      </c>
      <c r="C275" s="13" t="s">
        <v>1549</v>
      </c>
      <c r="D275" s="13" t="s">
        <v>165</v>
      </c>
      <c r="E275" s="13" t="s">
        <v>608</v>
      </c>
      <c r="F275" s="13" t="s">
        <v>844</v>
      </c>
      <c r="G275" s="13">
        <v>3300001680</v>
      </c>
      <c r="H275" s="13">
        <v>2171925</v>
      </c>
      <c r="I275" s="13">
        <v>5059358</v>
      </c>
      <c r="J275" s="13" t="s">
        <v>1550</v>
      </c>
      <c r="K275" s="13"/>
      <c r="L275" s="13" t="s">
        <v>1551</v>
      </c>
      <c r="M275" s="13">
        <v>120701261</v>
      </c>
      <c r="N275" s="18" t="s">
        <v>879</v>
      </c>
      <c r="O275" s="18"/>
      <c r="P275" s="18" t="s">
        <v>1552</v>
      </c>
      <c r="Q275" s="19" t="s">
        <v>1049</v>
      </c>
    </row>
    <row r="276" spans="1:17">
      <c r="A276" s="17"/>
      <c r="B276" s="13" t="s">
        <v>3919</v>
      </c>
      <c r="C276" s="13" t="s">
        <v>3920</v>
      </c>
      <c r="D276" s="13" t="s">
        <v>98</v>
      </c>
      <c r="E276" s="13" t="s">
        <v>555</v>
      </c>
      <c r="F276" s="13" t="s">
        <v>3754</v>
      </c>
      <c r="G276" s="13">
        <v>3300008149</v>
      </c>
      <c r="H276" s="13">
        <v>2103478</v>
      </c>
      <c r="I276" s="13">
        <v>5006423</v>
      </c>
      <c r="J276" s="13"/>
      <c r="K276" s="13"/>
      <c r="L276" s="13" t="s">
        <v>3921</v>
      </c>
      <c r="M276" s="13">
        <v>120700530</v>
      </c>
      <c r="N276" s="18" t="s">
        <v>1421</v>
      </c>
      <c r="O276" s="18" t="s">
        <v>3922</v>
      </c>
      <c r="P276" s="18" t="s">
        <v>3923</v>
      </c>
      <c r="Q276" s="19" t="s">
        <v>1295</v>
      </c>
    </row>
    <row r="277" spans="1:17">
      <c r="A277" s="17"/>
      <c r="B277" s="20" t="s">
        <v>2786</v>
      </c>
      <c r="C277" s="20" t="s">
        <v>62</v>
      </c>
      <c r="D277" s="20" t="s">
        <v>525</v>
      </c>
      <c r="E277" s="20" t="s">
        <v>2787</v>
      </c>
      <c r="F277" s="13" t="s">
        <v>2433</v>
      </c>
      <c r="G277" s="20" t="s">
        <v>2788</v>
      </c>
      <c r="H277" s="20" t="s">
        <v>2789</v>
      </c>
      <c r="I277" s="20">
        <v>2082656</v>
      </c>
      <c r="J277" s="20"/>
      <c r="K277" s="20"/>
      <c r="L277" s="20" t="s">
        <v>2790</v>
      </c>
      <c r="M277" s="20">
        <v>141003210</v>
      </c>
      <c r="N277" s="20"/>
      <c r="O277" s="18"/>
      <c r="P277" s="18" t="s">
        <v>2791</v>
      </c>
      <c r="Q277" s="24">
        <v>42104</v>
      </c>
    </row>
    <row r="278" spans="1:17">
      <c r="A278" s="17"/>
      <c r="B278" s="13" t="s">
        <v>4971</v>
      </c>
      <c r="C278" s="13" t="s">
        <v>4972</v>
      </c>
      <c r="D278" s="13" t="s">
        <v>4973</v>
      </c>
      <c r="E278" s="13" t="s">
        <v>726</v>
      </c>
      <c r="F278" s="13" t="s">
        <v>4914</v>
      </c>
      <c r="G278" s="13">
        <v>5042659</v>
      </c>
      <c r="H278" s="13"/>
      <c r="I278" s="13">
        <v>3300006796</v>
      </c>
      <c r="J278" s="13"/>
      <c r="K278" s="13"/>
      <c r="L278" s="13" t="s">
        <v>4974</v>
      </c>
      <c r="M278" s="13">
        <v>120708022</v>
      </c>
      <c r="N278" s="18" t="s">
        <v>4721</v>
      </c>
      <c r="O278" s="18"/>
      <c r="P278" s="18" t="s">
        <v>4975</v>
      </c>
      <c r="Q278" s="19" t="s">
        <v>4300</v>
      </c>
    </row>
    <row r="279" spans="1:17">
      <c r="A279" s="17"/>
      <c r="B279" s="13" t="s">
        <v>5250</v>
      </c>
      <c r="C279" s="13" t="s">
        <v>5251</v>
      </c>
      <c r="D279" s="13" t="s">
        <v>73</v>
      </c>
      <c r="E279" s="13" t="s">
        <v>533</v>
      </c>
      <c r="F279" s="13" t="s">
        <v>5164</v>
      </c>
      <c r="G279" s="13">
        <v>2183512</v>
      </c>
      <c r="H279" s="13">
        <v>5059355</v>
      </c>
      <c r="I279" s="13"/>
      <c r="J279" s="13"/>
      <c r="K279" s="13"/>
      <c r="L279" s="13" t="s">
        <v>5252</v>
      </c>
      <c r="M279" s="13">
        <v>120700357</v>
      </c>
      <c r="N279" s="18" t="s">
        <v>5091</v>
      </c>
      <c r="O279" s="18" t="s">
        <v>5253</v>
      </c>
      <c r="P279" s="18" t="s">
        <v>5254</v>
      </c>
      <c r="Q279" s="19"/>
    </row>
    <row r="280" spans="1:17">
      <c r="A280" s="17"/>
      <c r="B280" s="13" t="s">
        <v>2518</v>
      </c>
      <c r="C280" s="13" t="s">
        <v>2519</v>
      </c>
      <c r="D280" s="13" t="s">
        <v>457</v>
      </c>
      <c r="E280" s="13" t="s">
        <v>640</v>
      </c>
      <c r="F280" s="13" t="s">
        <v>2433</v>
      </c>
      <c r="G280" s="13">
        <v>3300009792</v>
      </c>
      <c r="H280" s="13" t="s">
        <v>2520</v>
      </c>
      <c r="I280" s="13">
        <v>2119252</v>
      </c>
      <c r="J280" s="13" t="s">
        <v>2521</v>
      </c>
      <c r="K280" s="13"/>
      <c r="L280" s="13" t="s">
        <v>2522</v>
      </c>
      <c r="M280" s="13">
        <v>130704888</v>
      </c>
      <c r="N280" s="18" t="s">
        <v>2436</v>
      </c>
      <c r="O280" s="18" t="s">
        <v>2523</v>
      </c>
      <c r="P280" s="18" t="s">
        <v>2524</v>
      </c>
      <c r="Q280" s="19" t="s">
        <v>2525</v>
      </c>
    </row>
    <row r="281" spans="1:17">
      <c r="A281" s="17"/>
      <c r="B281" s="20" t="s">
        <v>4499</v>
      </c>
      <c r="C281" s="20" t="s">
        <v>4500</v>
      </c>
      <c r="D281" s="20" t="s">
        <v>4501</v>
      </c>
      <c r="E281" s="13" t="s">
        <v>599</v>
      </c>
      <c r="F281" s="13" t="s">
        <v>4395</v>
      </c>
      <c r="G281" s="20">
        <v>2096030</v>
      </c>
      <c r="H281" s="20">
        <v>3300001666</v>
      </c>
      <c r="I281" s="20" t="s">
        <v>4502</v>
      </c>
      <c r="J281" s="20">
        <v>3300011791</v>
      </c>
      <c r="K281" s="20">
        <v>5040890</v>
      </c>
      <c r="L281" s="20" t="s">
        <v>4503</v>
      </c>
      <c r="M281" s="20">
        <v>150700559</v>
      </c>
      <c r="N281" s="20"/>
      <c r="O281" s="20"/>
      <c r="P281" s="20"/>
      <c r="Q281" s="24">
        <v>42131</v>
      </c>
    </row>
    <row r="282" spans="1:17">
      <c r="A282" s="17"/>
      <c r="B282" s="13" t="s">
        <v>2851</v>
      </c>
      <c r="C282" s="13" t="s">
        <v>2852</v>
      </c>
      <c r="D282" s="13" t="s">
        <v>521</v>
      </c>
      <c r="E282" s="13" t="s">
        <v>808</v>
      </c>
      <c r="F282" s="13" t="s">
        <v>2830</v>
      </c>
      <c r="G282" s="13" t="s">
        <v>2853</v>
      </c>
      <c r="H282" s="13">
        <v>3300012276</v>
      </c>
      <c r="I282" s="13" t="s">
        <v>2854</v>
      </c>
      <c r="J282" s="13">
        <v>2183595</v>
      </c>
      <c r="K282" s="13"/>
      <c r="L282" s="13" t="s">
        <v>2855</v>
      </c>
      <c r="M282" s="13">
        <v>140703046</v>
      </c>
      <c r="N282" s="18"/>
      <c r="O282" s="18"/>
      <c r="P282" s="18" t="s">
        <v>2856</v>
      </c>
      <c r="Q282" s="19">
        <v>42100</v>
      </c>
    </row>
    <row r="283" spans="1:17">
      <c r="A283" s="17"/>
      <c r="B283" s="21" t="s">
        <v>1706</v>
      </c>
      <c r="C283" s="21" t="s">
        <v>1707</v>
      </c>
      <c r="D283" s="21" t="s">
        <v>1708</v>
      </c>
      <c r="E283" s="21" t="s">
        <v>817</v>
      </c>
      <c r="F283" s="13" t="s">
        <v>844</v>
      </c>
      <c r="G283" s="20" t="s">
        <v>1709</v>
      </c>
      <c r="H283" s="20">
        <v>2160455</v>
      </c>
      <c r="I283" s="20" t="s">
        <v>1710</v>
      </c>
      <c r="J283" s="20">
        <v>5036848</v>
      </c>
      <c r="K283" s="20">
        <v>3300009510</v>
      </c>
      <c r="L283" s="20" t="s">
        <v>1711</v>
      </c>
      <c r="M283" s="22">
        <v>120711374</v>
      </c>
      <c r="N283" s="18" t="s">
        <v>896</v>
      </c>
      <c r="O283" s="18" t="s">
        <v>1712</v>
      </c>
      <c r="P283" s="18" t="s">
        <v>1713</v>
      </c>
      <c r="Q283" s="23" t="s">
        <v>899</v>
      </c>
    </row>
    <row r="284" spans="1:17">
      <c r="A284" s="17"/>
      <c r="B284" s="13" t="s">
        <v>5234</v>
      </c>
      <c r="C284" s="13" t="s">
        <v>5235</v>
      </c>
      <c r="D284" s="13" t="s">
        <v>5236</v>
      </c>
      <c r="E284" s="13" t="s">
        <v>758</v>
      </c>
      <c r="F284" s="13" t="s">
        <v>5164</v>
      </c>
      <c r="G284" s="13" t="s">
        <v>5237</v>
      </c>
      <c r="H284" s="13">
        <v>3300002948</v>
      </c>
      <c r="I284" s="13" t="s">
        <v>5238</v>
      </c>
      <c r="J284" s="13">
        <v>2199642</v>
      </c>
      <c r="K284" s="13">
        <v>2103940</v>
      </c>
      <c r="L284" s="13" t="s">
        <v>5239</v>
      </c>
      <c r="M284" s="13">
        <v>140704287</v>
      </c>
      <c r="N284" s="18"/>
      <c r="O284" s="18" t="s">
        <v>5240</v>
      </c>
      <c r="P284" s="18"/>
      <c r="Q284" s="19">
        <v>42100</v>
      </c>
    </row>
    <row r="285" spans="1:17">
      <c r="A285" s="17"/>
      <c r="B285" s="13" t="s">
        <v>5486</v>
      </c>
      <c r="C285" s="13" t="s">
        <v>5487</v>
      </c>
      <c r="D285" s="13" t="s">
        <v>5488</v>
      </c>
      <c r="E285" s="13" t="s">
        <v>816</v>
      </c>
      <c r="F285" s="13" t="s">
        <v>5164</v>
      </c>
      <c r="G285" s="13">
        <v>5070892</v>
      </c>
      <c r="H285" s="13">
        <v>3300012833</v>
      </c>
      <c r="I285" s="13">
        <v>2170079</v>
      </c>
      <c r="J285" s="13">
        <v>5059352</v>
      </c>
      <c r="K285" s="13"/>
      <c r="L285" s="13" t="s">
        <v>5489</v>
      </c>
      <c r="M285" s="13">
        <v>141003203</v>
      </c>
      <c r="N285" s="18" t="s">
        <v>5490</v>
      </c>
      <c r="O285" s="18"/>
      <c r="P285" s="18" t="s">
        <v>5491</v>
      </c>
      <c r="Q285" s="19">
        <v>41960</v>
      </c>
    </row>
    <row r="286" spans="1:17">
      <c r="A286" s="17" t="s">
        <v>839</v>
      </c>
      <c r="B286" s="13" t="s">
        <v>4177</v>
      </c>
      <c r="C286" s="13" t="s">
        <v>4178</v>
      </c>
      <c r="D286" s="13" t="s">
        <v>4179</v>
      </c>
      <c r="E286" s="13" t="s">
        <v>553</v>
      </c>
      <c r="F286" s="13" t="s">
        <v>3754</v>
      </c>
      <c r="G286" s="13">
        <v>5050421</v>
      </c>
      <c r="H286" s="13" t="s">
        <v>4180</v>
      </c>
      <c r="I286" s="13">
        <v>3300001696</v>
      </c>
      <c r="J286" s="13">
        <v>2114757</v>
      </c>
      <c r="K286" s="13" t="s">
        <v>4181</v>
      </c>
      <c r="L286" s="13" t="s">
        <v>4182</v>
      </c>
      <c r="M286" s="13">
        <v>120702991</v>
      </c>
      <c r="N286" s="18" t="s">
        <v>1018</v>
      </c>
      <c r="O286" s="18"/>
      <c r="P286" s="18" t="s">
        <v>4183</v>
      </c>
      <c r="Q286" s="19" t="s">
        <v>1385</v>
      </c>
    </row>
    <row r="287" spans="1:17">
      <c r="A287" s="17" t="s">
        <v>839</v>
      </c>
      <c r="B287" s="13" t="s">
        <v>6458</v>
      </c>
      <c r="C287" s="13" t="s">
        <v>6459</v>
      </c>
      <c r="D287" s="13" t="s">
        <v>99</v>
      </c>
      <c r="E287" s="13" t="s">
        <v>556</v>
      </c>
      <c r="F287" s="13" t="s">
        <v>5843</v>
      </c>
      <c r="G287" s="13">
        <v>5050430</v>
      </c>
      <c r="H287" s="13" t="s">
        <v>6460</v>
      </c>
      <c r="I287" s="13">
        <v>2171979</v>
      </c>
      <c r="J287" s="13"/>
      <c r="K287" s="13"/>
      <c r="L287" s="13" t="s">
        <v>6461</v>
      </c>
      <c r="M287" s="13">
        <v>120700532</v>
      </c>
      <c r="N287" s="18" t="s">
        <v>3105</v>
      </c>
      <c r="O287" s="18" t="s">
        <v>6462</v>
      </c>
      <c r="P287" s="18" t="s">
        <v>6463</v>
      </c>
      <c r="Q287" s="19" t="s">
        <v>1658</v>
      </c>
    </row>
    <row r="288" spans="1:17">
      <c r="A288" s="17"/>
      <c r="B288" s="13" t="s">
        <v>1140</v>
      </c>
      <c r="C288" s="13" t="s">
        <v>1141</v>
      </c>
      <c r="D288" s="13" t="s">
        <v>407</v>
      </c>
      <c r="E288" s="13" t="s">
        <v>662</v>
      </c>
      <c r="F288" s="13" t="s">
        <v>844</v>
      </c>
      <c r="G288" s="13" t="s">
        <v>1142</v>
      </c>
      <c r="H288" s="13">
        <v>5014464</v>
      </c>
      <c r="I288" s="13">
        <v>2171955</v>
      </c>
      <c r="J288" s="13">
        <v>2183495</v>
      </c>
      <c r="K288" s="13" t="s">
        <v>1143</v>
      </c>
      <c r="L288" s="13" t="s">
        <v>1144</v>
      </c>
      <c r="M288" s="13">
        <v>130701388</v>
      </c>
      <c r="N288" s="18" t="s">
        <v>856</v>
      </c>
      <c r="O288" s="18" t="s">
        <v>1145</v>
      </c>
      <c r="P288" s="18" t="s">
        <v>1146</v>
      </c>
      <c r="Q288" s="19" t="s">
        <v>1147</v>
      </c>
    </row>
    <row r="289" spans="1:17">
      <c r="A289" s="17" t="s">
        <v>839</v>
      </c>
      <c r="B289" s="13" t="s">
        <v>1128</v>
      </c>
      <c r="C289" s="13" t="s">
        <v>1129</v>
      </c>
      <c r="D289" s="13" t="s">
        <v>114</v>
      </c>
      <c r="E289" s="13" t="s">
        <v>569</v>
      </c>
      <c r="F289" s="13" t="s">
        <v>844</v>
      </c>
      <c r="G289" s="13">
        <v>3300002945</v>
      </c>
      <c r="H289" s="13">
        <v>2103526</v>
      </c>
      <c r="I289" s="13">
        <v>3300005139</v>
      </c>
      <c r="J289" s="13"/>
      <c r="K289" s="13"/>
      <c r="L289" s="13" t="s">
        <v>1130</v>
      </c>
      <c r="M289" s="13">
        <v>120700657</v>
      </c>
      <c r="N289" s="18" t="s">
        <v>847</v>
      </c>
      <c r="O289" s="18"/>
      <c r="P289" s="18" t="s">
        <v>1131</v>
      </c>
      <c r="Q289" s="19" t="s">
        <v>1132</v>
      </c>
    </row>
    <row r="290" spans="1:17">
      <c r="A290" s="17"/>
      <c r="B290" s="13" t="s">
        <v>2946</v>
      </c>
      <c r="C290" s="13" t="s">
        <v>2947</v>
      </c>
      <c r="D290" s="13" t="s">
        <v>390</v>
      </c>
      <c r="E290" s="13" t="s">
        <v>740</v>
      </c>
      <c r="F290" s="13" t="s">
        <v>2830</v>
      </c>
      <c r="G290" s="13">
        <v>2172024</v>
      </c>
      <c r="H290" s="13">
        <v>5049677</v>
      </c>
      <c r="I290" s="13">
        <v>3300002970</v>
      </c>
      <c r="J290" s="13" t="s">
        <v>2948</v>
      </c>
      <c r="K290" s="13"/>
      <c r="L290" s="13" t="s">
        <v>2949</v>
      </c>
      <c r="M290" s="13">
        <v>130700183</v>
      </c>
      <c r="N290" s="18" t="s">
        <v>2436</v>
      </c>
      <c r="O290" s="18"/>
      <c r="P290" s="18"/>
      <c r="Q290" s="19" t="s">
        <v>2950</v>
      </c>
    </row>
    <row r="291" spans="1:17">
      <c r="A291" s="17"/>
      <c r="B291" s="13" t="s">
        <v>3570</v>
      </c>
      <c r="C291" s="13" t="s">
        <v>3571</v>
      </c>
      <c r="D291" s="13" t="s">
        <v>179</v>
      </c>
      <c r="E291" s="13" t="s">
        <v>572</v>
      </c>
      <c r="F291" s="13" t="s">
        <v>3558</v>
      </c>
      <c r="G291" s="13">
        <v>5045664</v>
      </c>
      <c r="H291" s="13" t="s">
        <v>3572</v>
      </c>
      <c r="I291" s="13">
        <v>2171930</v>
      </c>
      <c r="J291" s="13">
        <v>3300011506</v>
      </c>
      <c r="K291" s="13"/>
      <c r="L291" s="13" t="s">
        <v>3573</v>
      </c>
      <c r="M291" s="13">
        <v>120701414</v>
      </c>
      <c r="N291" s="18" t="s">
        <v>3478</v>
      </c>
      <c r="O291" s="18" t="s">
        <v>3574</v>
      </c>
      <c r="P291" s="18" t="s">
        <v>3575</v>
      </c>
      <c r="Q291" s="19" t="s">
        <v>1356</v>
      </c>
    </row>
    <row r="292" spans="1:17">
      <c r="A292" s="17"/>
      <c r="B292" s="13" t="s">
        <v>1590</v>
      </c>
      <c r="C292" s="13" t="s">
        <v>1591</v>
      </c>
      <c r="D292" s="13" t="s">
        <v>157</v>
      </c>
      <c r="E292" s="13" t="s">
        <v>602</v>
      </c>
      <c r="F292" s="13" t="s">
        <v>844</v>
      </c>
      <c r="G292" s="13">
        <v>3300008118</v>
      </c>
      <c r="H292" s="13">
        <v>5050457</v>
      </c>
      <c r="I292" s="13">
        <v>2103482</v>
      </c>
      <c r="J292" s="13" t="s">
        <v>1592</v>
      </c>
      <c r="K292" s="13"/>
      <c r="L292" s="13" t="s">
        <v>1593</v>
      </c>
      <c r="M292" s="13">
        <v>120701228</v>
      </c>
      <c r="N292" s="18" t="s">
        <v>856</v>
      </c>
      <c r="O292" s="18"/>
      <c r="P292" s="18" t="s">
        <v>1594</v>
      </c>
      <c r="Q292" s="19" t="s">
        <v>1595</v>
      </c>
    </row>
    <row r="293" spans="1:17">
      <c r="A293" s="17"/>
      <c r="B293" s="13" t="s">
        <v>5780</v>
      </c>
      <c r="C293" s="13" t="s">
        <v>5781</v>
      </c>
      <c r="D293" s="13" t="s">
        <v>176</v>
      </c>
      <c r="E293" s="13" t="s">
        <v>588</v>
      </c>
      <c r="F293" s="13" t="s">
        <v>5753</v>
      </c>
      <c r="G293" s="13">
        <v>2103918</v>
      </c>
      <c r="H293" s="13" t="s">
        <v>5782</v>
      </c>
      <c r="I293" s="13">
        <v>3300003616</v>
      </c>
      <c r="J293" s="13">
        <v>5042650</v>
      </c>
      <c r="K293" s="13"/>
      <c r="L293" s="13" t="s">
        <v>5783</v>
      </c>
      <c r="M293" s="13">
        <v>120701401</v>
      </c>
      <c r="N293" s="18" t="s">
        <v>4472</v>
      </c>
      <c r="O293" s="18" t="s">
        <v>5784</v>
      </c>
      <c r="P293" s="18" t="s">
        <v>5785</v>
      </c>
      <c r="Q293" s="19" t="s">
        <v>2494</v>
      </c>
    </row>
    <row r="294" spans="1:17">
      <c r="A294" s="17" t="s">
        <v>839</v>
      </c>
      <c r="B294" s="13" t="s">
        <v>6396</v>
      </c>
      <c r="C294" s="13" t="s">
        <v>6397</v>
      </c>
      <c r="D294" s="13" t="s">
        <v>250</v>
      </c>
      <c r="E294" s="13" t="s">
        <v>658</v>
      </c>
      <c r="F294" s="13" t="s">
        <v>5843</v>
      </c>
      <c r="G294" s="13">
        <v>5014447</v>
      </c>
      <c r="H294" s="13" t="s">
        <v>6398</v>
      </c>
      <c r="I294" s="13">
        <v>3300002809</v>
      </c>
      <c r="J294" s="13"/>
      <c r="K294" s="13"/>
      <c r="L294" s="13" t="s">
        <v>6399</v>
      </c>
      <c r="M294" s="13">
        <v>120704955</v>
      </c>
      <c r="N294" s="18" t="s">
        <v>3187</v>
      </c>
      <c r="O294" s="18"/>
      <c r="P294" s="18" t="s">
        <v>6400</v>
      </c>
      <c r="Q294" s="19" t="s">
        <v>2622</v>
      </c>
    </row>
    <row r="295" spans="1:17">
      <c r="A295" s="17"/>
      <c r="B295" s="13" t="s">
        <v>6091</v>
      </c>
      <c r="C295" s="13" t="s">
        <v>6092</v>
      </c>
      <c r="D295" s="13" t="s">
        <v>229</v>
      </c>
      <c r="E295" s="13" t="s">
        <v>532</v>
      </c>
      <c r="F295" s="13" t="s">
        <v>5843</v>
      </c>
      <c r="G295" s="13">
        <v>3300002992</v>
      </c>
      <c r="H295" s="13">
        <v>5001443</v>
      </c>
      <c r="I295" s="13" t="s">
        <v>6093</v>
      </c>
      <c r="J295" s="13"/>
      <c r="K295" s="13"/>
      <c r="L295" s="13" t="s">
        <v>6094</v>
      </c>
      <c r="M295" s="13">
        <v>120704055</v>
      </c>
      <c r="N295" s="18" t="s">
        <v>3187</v>
      </c>
      <c r="O295" s="18"/>
      <c r="P295" s="18" t="s">
        <v>6095</v>
      </c>
      <c r="Q295" s="19" t="s">
        <v>4225</v>
      </c>
    </row>
    <row r="296" spans="1:17">
      <c r="A296" s="17" t="s">
        <v>839</v>
      </c>
      <c r="B296" s="13" t="s">
        <v>1378</v>
      </c>
      <c r="C296" s="13" t="s">
        <v>1379</v>
      </c>
      <c r="D296" s="13" t="s">
        <v>143</v>
      </c>
      <c r="E296" s="13" t="s">
        <v>591</v>
      </c>
      <c r="F296" s="13" t="s">
        <v>844</v>
      </c>
      <c r="G296" s="13">
        <v>2171939</v>
      </c>
      <c r="H296" s="13" t="s">
        <v>1380</v>
      </c>
      <c r="I296" s="13" t="s">
        <v>1381</v>
      </c>
      <c r="J296" s="13">
        <v>2103532</v>
      </c>
      <c r="K296" s="13">
        <v>3300001256</v>
      </c>
      <c r="L296" s="13" t="s">
        <v>1382</v>
      </c>
      <c r="M296" s="13">
        <v>120701170</v>
      </c>
      <c r="N296" s="18" t="s">
        <v>856</v>
      </c>
      <c r="O296" s="18" t="s">
        <v>1383</v>
      </c>
      <c r="P296" s="18" t="s">
        <v>1384</v>
      </c>
      <c r="Q296" s="19" t="s">
        <v>1385</v>
      </c>
    </row>
    <row r="297" spans="1:17">
      <c r="A297" s="17"/>
      <c r="B297" s="13" t="s">
        <v>2324</v>
      </c>
      <c r="C297" s="13" t="s">
        <v>2325</v>
      </c>
      <c r="D297" s="13" t="s">
        <v>127</v>
      </c>
      <c r="E297" s="13" t="s">
        <v>546</v>
      </c>
      <c r="F297" s="20" t="s">
        <v>2191</v>
      </c>
      <c r="G297" s="13" t="s">
        <v>2326</v>
      </c>
      <c r="H297" s="13">
        <v>2103433</v>
      </c>
      <c r="I297" s="13">
        <v>3300005147</v>
      </c>
      <c r="J297" s="13">
        <v>2183596</v>
      </c>
      <c r="K297" s="13" t="s">
        <v>2327</v>
      </c>
      <c r="L297" s="13" t="s">
        <v>2328</v>
      </c>
      <c r="M297" s="13">
        <v>120700710</v>
      </c>
      <c r="N297" s="18" t="s">
        <v>856</v>
      </c>
      <c r="O297" s="18"/>
      <c r="P297" s="18" t="s">
        <v>2329</v>
      </c>
      <c r="Q297" s="19" t="s">
        <v>2289</v>
      </c>
    </row>
    <row r="298" spans="1:17">
      <c r="A298" s="17"/>
      <c r="B298" s="13" t="s">
        <v>3645</v>
      </c>
      <c r="C298" s="13" t="s">
        <v>3646</v>
      </c>
      <c r="D298" s="13" t="s">
        <v>3647</v>
      </c>
      <c r="E298" s="13" t="s">
        <v>560</v>
      </c>
      <c r="F298" s="13" t="s">
        <v>3558</v>
      </c>
      <c r="G298" s="13">
        <v>5045655</v>
      </c>
      <c r="H298" s="13">
        <v>2171883</v>
      </c>
      <c r="I298" s="13"/>
      <c r="J298" s="13"/>
      <c r="K298" s="13"/>
      <c r="L298" s="13" t="s">
        <v>3648</v>
      </c>
      <c r="M298" s="13">
        <v>120702202</v>
      </c>
      <c r="N298" s="18" t="s">
        <v>3478</v>
      </c>
      <c r="O298" s="18" t="s">
        <v>3649</v>
      </c>
      <c r="P298" s="18" t="s">
        <v>3650</v>
      </c>
      <c r="Q298" s="19" t="s">
        <v>1589</v>
      </c>
    </row>
    <row r="299" spans="1:17">
      <c r="A299" s="17"/>
      <c r="B299" s="13" t="s">
        <v>2176</v>
      </c>
      <c r="C299" s="13" t="s">
        <v>2177</v>
      </c>
      <c r="D299" s="13" t="s">
        <v>506</v>
      </c>
      <c r="E299" s="13" t="s">
        <v>557</v>
      </c>
      <c r="F299" s="20" t="s">
        <v>2178</v>
      </c>
      <c r="G299" s="13">
        <v>2183501</v>
      </c>
      <c r="H299" s="13">
        <v>5059314</v>
      </c>
      <c r="I299" s="13" t="s">
        <v>2179</v>
      </c>
      <c r="J299" s="13"/>
      <c r="K299" s="13"/>
      <c r="L299" s="13" t="s">
        <v>2180</v>
      </c>
      <c r="M299" s="13">
        <v>140701398</v>
      </c>
      <c r="N299" s="18" t="s">
        <v>847</v>
      </c>
      <c r="O299" s="18" t="s">
        <v>2181</v>
      </c>
      <c r="P299" s="18"/>
      <c r="Q299" s="19"/>
    </row>
    <row r="300" spans="1:17">
      <c r="A300" s="17"/>
      <c r="B300" s="28" t="s">
        <v>5255</v>
      </c>
      <c r="C300" s="28" t="s">
        <v>5256</v>
      </c>
      <c r="D300" s="29" t="s">
        <v>5257</v>
      </c>
      <c r="E300" s="29" t="s">
        <v>790</v>
      </c>
      <c r="F300" s="13" t="s">
        <v>5164</v>
      </c>
      <c r="G300" s="30" t="s">
        <v>5258</v>
      </c>
      <c r="H300" s="30" t="s">
        <v>5259</v>
      </c>
      <c r="I300" s="30">
        <v>3300012806</v>
      </c>
      <c r="J300" s="30" t="s">
        <v>5260</v>
      </c>
      <c r="K300" s="30" t="s">
        <v>5261</v>
      </c>
      <c r="L300" s="30" t="s">
        <v>5262</v>
      </c>
      <c r="M300" s="31" t="s">
        <v>5263</v>
      </c>
      <c r="N300" s="18" t="s">
        <v>4721</v>
      </c>
      <c r="O300" s="18" t="s">
        <v>5264</v>
      </c>
      <c r="P300" s="18" t="s">
        <v>5265</v>
      </c>
      <c r="Q300" s="19"/>
    </row>
    <row r="301" spans="1:17">
      <c r="A301" s="17"/>
      <c r="B301" s="13" t="s">
        <v>4184</v>
      </c>
      <c r="C301" s="13" t="s">
        <v>4185</v>
      </c>
      <c r="D301" s="13" t="s">
        <v>191</v>
      </c>
      <c r="E301" s="13" t="s">
        <v>553</v>
      </c>
      <c r="F301" s="13" t="s">
        <v>3754</v>
      </c>
      <c r="G301" s="13">
        <v>2103917</v>
      </c>
      <c r="H301" s="13" t="s">
        <v>4186</v>
      </c>
      <c r="I301" s="13">
        <v>3400001168</v>
      </c>
      <c r="J301" s="13">
        <v>5031863</v>
      </c>
      <c r="K301" s="13">
        <v>2103926</v>
      </c>
      <c r="L301" s="13" t="s">
        <v>4187</v>
      </c>
      <c r="M301" s="13">
        <v>120702066</v>
      </c>
      <c r="N301" s="18" t="s">
        <v>1018</v>
      </c>
      <c r="O301" s="18" t="s">
        <v>4188</v>
      </c>
      <c r="P301" s="18" t="s">
        <v>4189</v>
      </c>
      <c r="Q301" s="19" t="s">
        <v>2143</v>
      </c>
    </row>
    <row r="302" spans="1:17">
      <c r="A302" s="17"/>
      <c r="B302" s="13" t="s">
        <v>6445</v>
      </c>
      <c r="C302" s="13" t="s">
        <v>6446</v>
      </c>
      <c r="D302" s="13" t="s">
        <v>6447</v>
      </c>
      <c r="E302" s="13" t="s">
        <v>6448</v>
      </c>
      <c r="F302" s="13" t="s">
        <v>5843</v>
      </c>
      <c r="G302" s="13">
        <v>2103435</v>
      </c>
      <c r="H302" s="13">
        <v>5012465</v>
      </c>
      <c r="I302" s="13">
        <v>5012466</v>
      </c>
      <c r="J302" s="13">
        <v>3300001280</v>
      </c>
      <c r="K302" s="13">
        <v>3300001286</v>
      </c>
      <c r="L302" s="13" t="s">
        <v>6449</v>
      </c>
      <c r="M302" s="13">
        <v>120705649</v>
      </c>
      <c r="N302" s="18" t="s">
        <v>3187</v>
      </c>
      <c r="O302" s="18" t="s">
        <v>6450</v>
      </c>
      <c r="P302" s="18" t="s">
        <v>6451</v>
      </c>
      <c r="Q302" s="19" t="s">
        <v>6452</v>
      </c>
    </row>
    <row r="303" spans="1:17">
      <c r="A303" s="17" t="s">
        <v>839</v>
      </c>
      <c r="B303" s="13" t="s">
        <v>3772</v>
      </c>
      <c r="C303" s="13" t="s">
        <v>3773</v>
      </c>
      <c r="D303" s="13" t="s">
        <v>334</v>
      </c>
      <c r="E303" s="13" t="s">
        <v>716</v>
      </c>
      <c r="F303" s="13" t="s">
        <v>3754</v>
      </c>
      <c r="G303" s="13">
        <v>2177126</v>
      </c>
      <c r="H303" s="13" t="s">
        <v>3774</v>
      </c>
      <c r="I303" s="13">
        <v>3300006566</v>
      </c>
      <c r="J303" s="13">
        <v>2115663</v>
      </c>
      <c r="K303" s="13">
        <v>5033028</v>
      </c>
      <c r="L303" s="13" t="s">
        <v>3775</v>
      </c>
      <c r="M303" s="13">
        <v>120712919</v>
      </c>
      <c r="N303" s="18" t="s">
        <v>1018</v>
      </c>
      <c r="O303" s="18" t="s">
        <v>3776</v>
      </c>
      <c r="P303" s="18" t="s">
        <v>873</v>
      </c>
      <c r="Q303" s="19" t="s">
        <v>1671</v>
      </c>
    </row>
    <row r="304" spans="1:17">
      <c r="A304" s="17"/>
      <c r="B304" s="13" t="s">
        <v>2011</v>
      </c>
      <c r="C304" s="13" t="s">
        <v>2012</v>
      </c>
      <c r="D304" s="13" t="s">
        <v>441</v>
      </c>
      <c r="E304" s="13" t="s">
        <v>767</v>
      </c>
      <c r="F304" s="13" t="s">
        <v>844</v>
      </c>
      <c r="G304" s="13">
        <v>3300009745</v>
      </c>
      <c r="H304" s="13" t="s">
        <v>2013</v>
      </c>
      <c r="I304" s="13">
        <v>2177166</v>
      </c>
      <c r="J304" s="13"/>
      <c r="K304" s="13"/>
      <c r="L304" s="13" t="s">
        <v>2014</v>
      </c>
      <c r="M304" s="13">
        <v>130704136</v>
      </c>
      <c r="N304" s="18" t="s">
        <v>879</v>
      </c>
      <c r="O304" s="18"/>
      <c r="P304" s="18" t="s">
        <v>2015</v>
      </c>
      <c r="Q304" s="19" t="s">
        <v>2016</v>
      </c>
    </row>
    <row r="305" spans="1:17">
      <c r="A305" s="17"/>
      <c r="B305" s="13" t="s">
        <v>2403</v>
      </c>
      <c r="C305" s="13" t="s">
        <v>2404</v>
      </c>
      <c r="D305" s="13" t="s">
        <v>476</v>
      </c>
      <c r="E305" s="13" t="s">
        <v>623</v>
      </c>
      <c r="F305" s="20" t="s">
        <v>2345</v>
      </c>
      <c r="G305" s="13">
        <v>3300002808</v>
      </c>
      <c r="H305" s="13" t="s">
        <v>2405</v>
      </c>
      <c r="I305" s="13">
        <v>5050454</v>
      </c>
      <c r="J305" s="13"/>
      <c r="K305" s="13"/>
      <c r="L305" s="13" t="s">
        <v>2406</v>
      </c>
      <c r="M305" s="13">
        <v>130706212</v>
      </c>
      <c r="N305" s="18" t="s">
        <v>847</v>
      </c>
      <c r="O305" s="18"/>
      <c r="P305" s="18"/>
      <c r="Q305" s="19" t="s">
        <v>2407</v>
      </c>
    </row>
    <row r="306" spans="1:17">
      <c r="A306" s="17"/>
      <c r="B306" s="13" t="s">
        <v>3282</v>
      </c>
      <c r="C306" s="13" t="s">
        <v>12</v>
      </c>
      <c r="D306" s="13" t="s">
        <v>277</v>
      </c>
      <c r="E306" s="13" t="s">
        <v>678</v>
      </c>
      <c r="F306" s="13" t="s">
        <v>3101</v>
      </c>
      <c r="G306" s="13">
        <v>5040901</v>
      </c>
      <c r="H306" s="13" t="s">
        <v>3283</v>
      </c>
      <c r="I306" s="13">
        <v>3300006808</v>
      </c>
      <c r="J306" s="13">
        <v>2159887</v>
      </c>
      <c r="K306" s="13" t="s">
        <v>3284</v>
      </c>
      <c r="L306" s="13" t="s">
        <v>3285</v>
      </c>
      <c r="M306" s="13">
        <v>120706845</v>
      </c>
      <c r="N306" s="18" t="s">
        <v>879</v>
      </c>
      <c r="O306" s="18" t="s">
        <v>3286</v>
      </c>
      <c r="P306" s="18" t="s">
        <v>3287</v>
      </c>
      <c r="Q306" s="19" t="s">
        <v>850</v>
      </c>
    </row>
    <row r="307" spans="1:17">
      <c r="A307" s="17" t="s">
        <v>839</v>
      </c>
      <c r="B307" s="13" t="s">
        <v>3019</v>
      </c>
      <c r="C307" s="13" t="s">
        <v>3020</v>
      </c>
      <c r="D307" s="13" t="s">
        <v>3021</v>
      </c>
      <c r="E307" s="13" t="s">
        <v>652</v>
      </c>
      <c r="F307" s="13" t="s">
        <v>2830</v>
      </c>
      <c r="G307" s="13">
        <v>2117092</v>
      </c>
      <c r="H307" s="13">
        <v>5031917</v>
      </c>
      <c r="I307" s="13">
        <v>3300008141</v>
      </c>
      <c r="J307" s="13" t="s">
        <v>3022</v>
      </c>
      <c r="K307" s="13">
        <v>5040891</v>
      </c>
      <c r="L307" s="13" t="s">
        <v>3023</v>
      </c>
      <c r="M307" s="13">
        <v>120907842</v>
      </c>
      <c r="N307" s="18" t="s">
        <v>2436</v>
      </c>
      <c r="O307" s="18" t="s">
        <v>3024</v>
      </c>
      <c r="P307" s="18" t="s">
        <v>3025</v>
      </c>
      <c r="Q307" s="19" t="s">
        <v>2494</v>
      </c>
    </row>
    <row r="308" spans="1:17">
      <c r="A308" s="17"/>
      <c r="B308" s="13" t="s">
        <v>2526</v>
      </c>
      <c r="C308" s="13" t="s">
        <v>2527</v>
      </c>
      <c r="D308" s="13" t="s">
        <v>285</v>
      </c>
      <c r="E308" s="13" t="s">
        <v>640</v>
      </c>
      <c r="F308" s="13" t="s">
        <v>2433</v>
      </c>
      <c r="G308" s="13">
        <v>2103874</v>
      </c>
      <c r="H308" s="13" t="s">
        <v>2528</v>
      </c>
      <c r="I308" s="13">
        <v>2103954</v>
      </c>
      <c r="J308" s="13">
        <v>3300003632</v>
      </c>
      <c r="K308" s="13" t="s">
        <v>2529</v>
      </c>
      <c r="L308" s="13" t="s">
        <v>2530</v>
      </c>
      <c r="M308" s="13">
        <v>120707529</v>
      </c>
      <c r="N308" s="18" t="s">
        <v>2436</v>
      </c>
      <c r="O308" s="18" t="s">
        <v>2531</v>
      </c>
      <c r="P308" s="18" t="s">
        <v>2532</v>
      </c>
      <c r="Q308" s="19" t="s">
        <v>1295</v>
      </c>
    </row>
    <row r="309" spans="1:17">
      <c r="A309" s="17"/>
      <c r="B309" s="13" t="s">
        <v>6471</v>
      </c>
      <c r="C309" s="13" t="s">
        <v>6472</v>
      </c>
      <c r="D309" s="13" t="s">
        <v>261</v>
      </c>
      <c r="E309" s="13" t="s">
        <v>665</v>
      </c>
      <c r="F309" s="13" t="s">
        <v>5843</v>
      </c>
      <c r="G309" s="13">
        <v>2103533</v>
      </c>
      <c r="H309" s="13" t="s">
        <v>6473</v>
      </c>
      <c r="I309" s="13"/>
      <c r="J309" s="13"/>
      <c r="K309" s="13"/>
      <c r="L309" s="13" t="s">
        <v>6474</v>
      </c>
      <c r="M309" s="13">
        <v>120705745</v>
      </c>
      <c r="N309" s="18" t="s">
        <v>3105</v>
      </c>
      <c r="O309" s="18" t="s">
        <v>6475</v>
      </c>
      <c r="P309" s="18" t="s">
        <v>6476</v>
      </c>
      <c r="Q309" s="19" t="s">
        <v>1990</v>
      </c>
    </row>
    <row r="310" spans="1:17">
      <c r="A310" s="17"/>
      <c r="B310" s="13" t="s">
        <v>5900</v>
      </c>
      <c r="C310" s="13" t="s">
        <v>5901</v>
      </c>
      <c r="D310" s="13" t="s">
        <v>5902</v>
      </c>
      <c r="E310" s="13" t="s">
        <v>5903</v>
      </c>
      <c r="F310" s="13" t="s">
        <v>5843</v>
      </c>
      <c r="G310" s="13" t="s">
        <v>5904</v>
      </c>
      <c r="H310" s="13" t="s">
        <v>5905</v>
      </c>
      <c r="I310" s="13">
        <v>5031830</v>
      </c>
      <c r="J310" s="13">
        <v>3300008158</v>
      </c>
      <c r="K310" s="13">
        <v>2119217</v>
      </c>
      <c r="L310" s="13" t="s">
        <v>5906</v>
      </c>
      <c r="M310" s="13">
        <v>120705947</v>
      </c>
      <c r="N310" s="18" t="s">
        <v>3105</v>
      </c>
      <c r="O310" s="18" t="s">
        <v>5907</v>
      </c>
      <c r="P310" s="18" t="s">
        <v>5908</v>
      </c>
      <c r="Q310" s="19" t="s">
        <v>3321</v>
      </c>
    </row>
    <row r="311" spans="1:17">
      <c r="A311" s="17"/>
      <c r="B311" s="13" t="s">
        <v>3330</v>
      </c>
      <c r="C311" s="13" t="s">
        <v>3331</v>
      </c>
      <c r="D311" s="13" t="s">
        <v>151</v>
      </c>
      <c r="E311" s="13" t="s">
        <v>598</v>
      </c>
      <c r="F311" s="13" t="s">
        <v>3101</v>
      </c>
      <c r="G311" s="13" t="s">
        <v>3332</v>
      </c>
      <c r="H311" s="13">
        <v>2171946</v>
      </c>
      <c r="I311" s="13">
        <v>5045654</v>
      </c>
      <c r="J311" s="13"/>
      <c r="K311" s="13"/>
      <c r="L311" s="13" t="s">
        <v>3333</v>
      </c>
      <c r="M311" s="13">
        <v>120701206</v>
      </c>
      <c r="N311" s="18" t="s">
        <v>887</v>
      </c>
      <c r="O311" s="18"/>
      <c r="P311" s="18" t="s">
        <v>3334</v>
      </c>
      <c r="Q311" s="19" t="s">
        <v>1761</v>
      </c>
    </row>
    <row r="312" spans="1:17">
      <c r="A312" s="17" t="s">
        <v>839</v>
      </c>
      <c r="B312" s="13" t="s">
        <v>4016</v>
      </c>
      <c r="C312" s="13" t="s">
        <v>4017</v>
      </c>
      <c r="D312" s="13" t="s">
        <v>180</v>
      </c>
      <c r="E312" s="13" t="s">
        <v>543</v>
      </c>
      <c r="F312" s="13" t="s">
        <v>3754</v>
      </c>
      <c r="G312" s="13">
        <v>3300005167</v>
      </c>
      <c r="H312" s="13">
        <v>2115662</v>
      </c>
      <c r="I312" s="13">
        <v>3300005180</v>
      </c>
      <c r="J312" s="13"/>
      <c r="K312" s="13"/>
      <c r="L312" s="13" t="s">
        <v>4018</v>
      </c>
      <c r="M312" s="13">
        <v>120701426</v>
      </c>
      <c r="N312" s="18" t="s">
        <v>1188</v>
      </c>
      <c r="O312" s="18" t="s">
        <v>4019</v>
      </c>
      <c r="P312" s="18" t="s">
        <v>4020</v>
      </c>
      <c r="Q312" s="19" t="s">
        <v>4021</v>
      </c>
    </row>
    <row r="313" spans="1:17">
      <c r="A313" s="17"/>
      <c r="B313" s="13" t="s">
        <v>3274</v>
      </c>
      <c r="C313" s="13" t="s">
        <v>3275</v>
      </c>
      <c r="D313" s="13" t="s">
        <v>3276</v>
      </c>
      <c r="E313" s="13" t="s">
        <v>3277</v>
      </c>
      <c r="F313" s="13" t="s">
        <v>3101</v>
      </c>
      <c r="G313" s="13" t="s">
        <v>3278</v>
      </c>
      <c r="H313" s="13">
        <v>2115904</v>
      </c>
      <c r="I313" s="13" t="s">
        <v>3279</v>
      </c>
      <c r="J313" s="13"/>
      <c r="K313" s="13"/>
      <c r="L313" s="13" t="s">
        <v>3280</v>
      </c>
      <c r="M313" s="13">
        <v>120709278</v>
      </c>
      <c r="N313" s="18" t="s">
        <v>3117</v>
      </c>
      <c r="O313" s="18"/>
      <c r="P313" s="18" t="s">
        <v>3281</v>
      </c>
      <c r="Q313" s="19" t="s">
        <v>2589</v>
      </c>
    </row>
    <row r="314" spans="1:17">
      <c r="A314" s="17"/>
      <c r="B314" s="13" t="s">
        <v>4190</v>
      </c>
      <c r="C314" s="13" t="s">
        <v>4191</v>
      </c>
      <c r="D314" s="13" t="s">
        <v>4192</v>
      </c>
      <c r="E314" s="13" t="s">
        <v>553</v>
      </c>
      <c r="F314" s="13" t="s">
        <v>3754</v>
      </c>
      <c r="G314" s="13" t="s">
        <v>4193</v>
      </c>
      <c r="H314" s="13">
        <v>5049714</v>
      </c>
      <c r="I314" s="13">
        <v>2172021</v>
      </c>
      <c r="J314" s="13">
        <v>3300009533</v>
      </c>
      <c r="K314" s="13" t="s">
        <v>4194</v>
      </c>
      <c r="L314" s="13" t="s">
        <v>4195</v>
      </c>
      <c r="M314" s="13">
        <v>120713088</v>
      </c>
      <c r="N314" s="18" t="s">
        <v>1018</v>
      </c>
      <c r="O314" s="18"/>
      <c r="P314" s="18" t="s">
        <v>4196</v>
      </c>
      <c r="Q314" s="19" t="s">
        <v>4197</v>
      </c>
    </row>
    <row r="315" spans="1:17">
      <c r="A315" s="17" t="s">
        <v>839</v>
      </c>
      <c r="B315" s="13" t="s">
        <v>1733</v>
      </c>
      <c r="C315" s="13" t="s">
        <v>1734</v>
      </c>
      <c r="D315" s="13" t="s">
        <v>485</v>
      </c>
      <c r="E315" s="13" t="s">
        <v>784</v>
      </c>
      <c r="F315" s="13" t="s">
        <v>844</v>
      </c>
      <c r="G315" s="13">
        <v>5049708</v>
      </c>
      <c r="H315" s="13" t="s">
        <v>1735</v>
      </c>
      <c r="I315" s="13">
        <v>3300009716</v>
      </c>
      <c r="J315" s="13">
        <v>2171912</v>
      </c>
      <c r="K315" s="13">
        <v>5049710</v>
      </c>
      <c r="L315" s="13" t="s">
        <v>1736</v>
      </c>
      <c r="M315" s="13">
        <v>130902134</v>
      </c>
      <c r="N315" s="18" t="s">
        <v>879</v>
      </c>
      <c r="O315" s="18" t="s">
        <v>1737</v>
      </c>
      <c r="P315" s="18" t="s">
        <v>1738</v>
      </c>
      <c r="Q315" s="19" t="s">
        <v>1317</v>
      </c>
    </row>
    <row r="316" spans="1:17">
      <c r="A316" s="17"/>
      <c r="B316" s="13" t="s">
        <v>6185</v>
      </c>
      <c r="C316" s="13" t="s">
        <v>6186</v>
      </c>
      <c r="D316" s="13" t="s">
        <v>6187</v>
      </c>
      <c r="E316" s="13" t="s">
        <v>6188</v>
      </c>
      <c r="F316" s="13" t="s">
        <v>5843</v>
      </c>
      <c r="G316" s="13">
        <v>2116273</v>
      </c>
      <c r="H316" s="13" t="s">
        <v>6189</v>
      </c>
      <c r="I316" s="13">
        <v>2116259</v>
      </c>
      <c r="J316" s="13">
        <v>3300008122</v>
      </c>
      <c r="K316" s="13">
        <v>5050452</v>
      </c>
      <c r="L316" s="13" t="s">
        <v>6190</v>
      </c>
      <c r="M316" s="13">
        <v>120908212</v>
      </c>
      <c r="N316" s="18" t="s">
        <v>3105</v>
      </c>
      <c r="O316" s="18" t="s">
        <v>6191</v>
      </c>
      <c r="P316" s="18" t="s">
        <v>6192</v>
      </c>
      <c r="Q316" s="19" t="s">
        <v>1461</v>
      </c>
    </row>
    <row r="317" spans="1:17">
      <c r="A317" s="17"/>
      <c r="B317" s="13" t="s">
        <v>4110</v>
      </c>
      <c r="C317" s="13" t="s">
        <v>4111</v>
      </c>
      <c r="D317" s="13" t="s">
        <v>4112</v>
      </c>
      <c r="E317" s="13" t="s">
        <v>4105</v>
      </c>
      <c r="F317" s="13" t="s">
        <v>3754</v>
      </c>
      <c r="G317" s="13"/>
      <c r="H317" s="13">
        <v>5059306</v>
      </c>
      <c r="I317" s="13" t="s">
        <v>4113</v>
      </c>
      <c r="J317" s="13">
        <v>2103471</v>
      </c>
      <c r="K317" s="13"/>
      <c r="L317" s="13" t="s">
        <v>4114</v>
      </c>
      <c r="M317" s="13">
        <v>120702036</v>
      </c>
      <c r="N317" s="18" t="s">
        <v>1018</v>
      </c>
      <c r="O317" s="18" t="s">
        <v>4115</v>
      </c>
      <c r="P317" s="18" t="s">
        <v>4116</v>
      </c>
      <c r="Q317" s="19" t="s">
        <v>4117</v>
      </c>
    </row>
    <row r="318" spans="1:17">
      <c r="A318" s="17"/>
      <c r="B318" s="13" t="s">
        <v>2091</v>
      </c>
      <c r="C318" s="13" t="s">
        <v>2092</v>
      </c>
      <c r="D318" s="13" t="s">
        <v>2093</v>
      </c>
      <c r="E318" s="13" t="s">
        <v>696</v>
      </c>
      <c r="F318" s="13" t="s">
        <v>844</v>
      </c>
      <c r="G318" s="13" t="s">
        <v>2094</v>
      </c>
      <c r="H318" s="13">
        <v>2114796</v>
      </c>
      <c r="I318" s="13"/>
      <c r="J318" s="13"/>
      <c r="K318" s="13"/>
      <c r="L318" s="13" t="s">
        <v>2095</v>
      </c>
      <c r="M318" s="13">
        <v>120708410</v>
      </c>
      <c r="N318" s="18" t="s">
        <v>879</v>
      </c>
      <c r="O318" s="18" t="s">
        <v>2096</v>
      </c>
      <c r="P318" s="18" t="s">
        <v>2097</v>
      </c>
      <c r="Q318" s="19" t="s">
        <v>1371</v>
      </c>
    </row>
    <row r="319" spans="1:17">
      <c r="A319" s="17"/>
      <c r="B319" s="13" t="s">
        <v>6211</v>
      </c>
      <c r="C319" s="13" t="s">
        <v>6211</v>
      </c>
      <c r="D319" s="13" t="s">
        <v>6212</v>
      </c>
      <c r="E319" s="13" t="s">
        <v>6213</v>
      </c>
      <c r="F319" s="13" t="s">
        <v>5843</v>
      </c>
      <c r="G319" s="13">
        <v>2170075</v>
      </c>
      <c r="H319" s="13">
        <v>3300009818</v>
      </c>
      <c r="I319" s="13">
        <v>5042673</v>
      </c>
      <c r="J319" s="13" t="s">
        <v>6214</v>
      </c>
      <c r="K319" s="13"/>
      <c r="L319" s="13" t="s">
        <v>6215</v>
      </c>
      <c r="M319" s="13">
        <v>130700866</v>
      </c>
      <c r="N319" s="18" t="s">
        <v>3105</v>
      </c>
      <c r="O319" s="18" t="s">
        <v>6216</v>
      </c>
      <c r="P319" s="18" t="s">
        <v>873</v>
      </c>
      <c r="Q319" s="19" t="s">
        <v>4988</v>
      </c>
    </row>
    <row r="320" spans="1:17">
      <c r="A320" s="17" t="s">
        <v>839</v>
      </c>
      <c r="B320" s="13" t="s">
        <v>4672</v>
      </c>
      <c r="C320" s="13" t="s">
        <v>4673</v>
      </c>
      <c r="D320" s="13" t="s">
        <v>133</v>
      </c>
      <c r="E320" s="13" t="s">
        <v>582</v>
      </c>
      <c r="F320" s="13" t="s">
        <v>4395</v>
      </c>
      <c r="G320" s="13" t="s">
        <v>4674</v>
      </c>
      <c r="H320" s="13">
        <v>5045690</v>
      </c>
      <c r="I320" s="13">
        <v>3300001253</v>
      </c>
      <c r="J320" s="13" t="s">
        <v>4675</v>
      </c>
      <c r="K320" s="13" t="s">
        <v>4676</v>
      </c>
      <c r="L320" s="13" t="s">
        <v>4677</v>
      </c>
      <c r="M320" s="13">
        <v>120700760</v>
      </c>
      <c r="N320" s="18" t="s">
        <v>4399</v>
      </c>
      <c r="O320" s="18"/>
      <c r="P320" s="18" t="s">
        <v>4678</v>
      </c>
      <c r="Q320" s="19" t="s">
        <v>1761</v>
      </c>
    </row>
    <row r="321" spans="1:17">
      <c r="A321" s="17"/>
      <c r="B321" s="13" t="s">
        <v>3461</v>
      </c>
      <c r="C321" s="13" t="s">
        <v>3462</v>
      </c>
      <c r="D321" s="13" t="s">
        <v>318</v>
      </c>
      <c r="E321" s="13" t="s">
        <v>709</v>
      </c>
      <c r="F321" s="13" t="s">
        <v>3101</v>
      </c>
      <c r="G321" s="13">
        <v>5040900</v>
      </c>
      <c r="H321" s="13" t="s">
        <v>3463</v>
      </c>
      <c r="I321" s="13">
        <v>3300006812</v>
      </c>
      <c r="J321" s="13">
        <v>2116209</v>
      </c>
      <c r="K321" s="13"/>
      <c r="L321" s="13" t="s">
        <v>3464</v>
      </c>
      <c r="M321" s="13">
        <v>120709906</v>
      </c>
      <c r="N321" s="18" t="s">
        <v>1018</v>
      </c>
      <c r="O321" s="18" t="s">
        <v>3465</v>
      </c>
      <c r="P321" s="18" t="s">
        <v>3466</v>
      </c>
      <c r="Q321" s="19" t="s">
        <v>850</v>
      </c>
    </row>
    <row r="322" spans="1:17">
      <c r="A322" s="17"/>
      <c r="B322" s="13" t="s">
        <v>3745</v>
      </c>
      <c r="C322" s="13" t="s">
        <v>3746</v>
      </c>
      <c r="D322" s="13" t="s">
        <v>3747</v>
      </c>
      <c r="E322" s="13" t="s">
        <v>3748</v>
      </c>
      <c r="F322" s="13" t="s">
        <v>3558</v>
      </c>
      <c r="G322" s="13">
        <v>2116282</v>
      </c>
      <c r="H322" s="13">
        <v>5031832</v>
      </c>
      <c r="I322" s="13"/>
      <c r="J322" s="13"/>
      <c r="K322" s="13"/>
      <c r="L322" s="13" t="s">
        <v>3749</v>
      </c>
      <c r="M322" s="13">
        <v>120706185</v>
      </c>
      <c r="N322" s="18" t="s">
        <v>3478</v>
      </c>
      <c r="O322" s="18" t="s">
        <v>3750</v>
      </c>
      <c r="P322" s="18" t="s">
        <v>3751</v>
      </c>
      <c r="Q322" s="19" t="s">
        <v>3752</v>
      </c>
    </row>
    <row r="323" spans="1:17">
      <c r="A323" s="17"/>
      <c r="B323" s="13" t="s">
        <v>6326</v>
      </c>
      <c r="C323" s="13" t="s">
        <v>6327</v>
      </c>
      <c r="D323" s="13" t="s">
        <v>178</v>
      </c>
      <c r="E323" s="13" t="s">
        <v>610</v>
      </c>
      <c r="F323" s="13" t="s">
        <v>5843</v>
      </c>
      <c r="G323" s="13">
        <v>2116070</v>
      </c>
      <c r="H323" s="13" t="s">
        <v>6328</v>
      </c>
      <c r="I323" s="13">
        <v>3300001261</v>
      </c>
      <c r="J323" s="13">
        <v>3300001252</v>
      </c>
      <c r="K323" s="13">
        <v>5031851</v>
      </c>
      <c r="L323" s="13" t="s">
        <v>6329</v>
      </c>
      <c r="M323" s="13">
        <v>120701409</v>
      </c>
      <c r="N323" s="18" t="s">
        <v>3105</v>
      </c>
      <c r="O323" s="18" t="s">
        <v>6330</v>
      </c>
      <c r="P323" s="18" t="s">
        <v>6331</v>
      </c>
      <c r="Q323" s="19" t="s">
        <v>1105</v>
      </c>
    </row>
    <row r="324" spans="1:17">
      <c r="A324" s="17"/>
      <c r="B324" s="13" t="s">
        <v>5191</v>
      </c>
      <c r="C324" s="13" t="s">
        <v>5192</v>
      </c>
      <c r="D324" s="13" t="s">
        <v>5193</v>
      </c>
      <c r="E324" s="13" t="s">
        <v>697</v>
      </c>
      <c r="F324" s="13" t="s">
        <v>5164</v>
      </c>
      <c r="G324" s="13">
        <v>5059370</v>
      </c>
      <c r="H324" s="13">
        <v>3300008151</v>
      </c>
      <c r="I324" s="13">
        <v>2103732</v>
      </c>
      <c r="J324" s="13"/>
      <c r="K324" s="13"/>
      <c r="L324" s="13" t="s">
        <v>5194</v>
      </c>
      <c r="M324" s="13">
        <v>120704198</v>
      </c>
      <c r="N324" s="18" t="s">
        <v>5091</v>
      </c>
      <c r="O324" s="18"/>
      <c r="P324" s="18"/>
      <c r="Q324" s="19">
        <v>41876</v>
      </c>
    </row>
    <row r="325" spans="1:17">
      <c r="A325" s="17"/>
      <c r="B325" s="13" t="s">
        <v>2980</v>
      </c>
      <c r="C325" s="13" t="s">
        <v>2981</v>
      </c>
      <c r="D325" s="13" t="s">
        <v>159</v>
      </c>
      <c r="E325" s="13" t="s">
        <v>604</v>
      </c>
      <c r="F325" s="13" t="s">
        <v>2830</v>
      </c>
      <c r="G325" s="13" t="s">
        <v>2982</v>
      </c>
      <c r="H325" s="13">
        <v>2171959</v>
      </c>
      <c r="I325" s="13">
        <v>3300009769</v>
      </c>
      <c r="J325" s="13">
        <v>5059312</v>
      </c>
      <c r="K325" s="13"/>
      <c r="L325" s="13" t="s">
        <v>2983</v>
      </c>
      <c r="M325" s="13">
        <v>120701235</v>
      </c>
      <c r="N325" s="18" t="s">
        <v>887</v>
      </c>
      <c r="O325" s="18" t="s">
        <v>2984</v>
      </c>
      <c r="P325" s="18" t="s">
        <v>2985</v>
      </c>
      <c r="Q325" s="19" t="s">
        <v>2986</v>
      </c>
    </row>
    <row r="326" spans="1:17">
      <c r="A326" s="17"/>
      <c r="B326" s="13" t="s">
        <v>6413</v>
      </c>
      <c r="C326" s="13" t="s">
        <v>6414</v>
      </c>
      <c r="D326" s="13" t="s">
        <v>230</v>
      </c>
      <c r="E326" s="13" t="s">
        <v>649</v>
      </c>
      <c r="F326" s="13" t="s">
        <v>5843</v>
      </c>
      <c r="G326" s="13" t="s">
        <v>6415</v>
      </c>
      <c r="H326" s="13">
        <v>5045657</v>
      </c>
      <c r="I326" s="13"/>
      <c r="J326" s="13">
        <v>2171962</v>
      </c>
      <c r="K326" s="13"/>
      <c r="L326" s="13" t="s">
        <v>6416</v>
      </c>
      <c r="M326" s="13">
        <v>120704070</v>
      </c>
      <c r="N326" s="18" t="s">
        <v>3187</v>
      </c>
      <c r="O326" s="18"/>
      <c r="P326" s="18" t="s">
        <v>6417</v>
      </c>
      <c r="Q326" s="19" t="s">
        <v>2972</v>
      </c>
    </row>
    <row r="327" spans="1:17">
      <c r="A327" s="17"/>
      <c r="B327" s="13" t="s">
        <v>1400</v>
      </c>
      <c r="C327" s="13" t="s">
        <v>1401</v>
      </c>
      <c r="D327" s="13" t="s">
        <v>1402</v>
      </c>
      <c r="E327" s="13" t="s">
        <v>1403</v>
      </c>
      <c r="F327" s="13" t="s">
        <v>844</v>
      </c>
      <c r="G327" s="13">
        <v>5014454</v>
      </c>
      <c r="H327" s="13" t="s">
        <v>1404</v>
      </c>
      <c r="I327" s="13">
        <v>3300005168</v>
      </c>
      <c r="J327" s="13">
        <v>2183582</v>
      </c>
      <c r="K327" s="13"/>
      <c r="L327" s="13" t="s">
        <v>1405</v>
      </c>
      <c r="M327" s="13">
        <v>120900762</v>
      </c>
      <c r="N327" s="18" t="s">
        <v>856</v>
      </c>
      <c r="O327" s="18" t="s">
        <v>1406</v>
      </c>
      <c r="P327" s="18" t="s">
        <v>1407</v>
      </c>
      <c r="Q327" s="19" t="s">
        <v>1408</v>
      </c>
    </row>
    <row r="328" spans="1:17">
      <c r="A328" s="17"/>
      <c r="B328" s="13" t="s">
        <v>4418</v>
      </c>
      <c r="C328" s="13" t="s">
        <v>4419</v>
      </c>
      <c r="D328" s="13" t="s">
        <v>401</v>
      </c>
      <c r="E328" s="13" t="s">
        <v>4420</v>
      </c>
      <c r="F328" s="13" t="s">
        <v>4395</v>
      </c>
      <c r="G328" s="13" t="s">
        <v>4421</v>
      </c>
      <c r="H328" s="13" t="s">
        <v>4422</v>
      </c>
      <c r="I328" s="13"/>
      <c r="J328" s="13"/>
      <c r="K328" s="13"/>
      <c r="L328" s="13" t="s">
        <v>4423</v>
      </c>
      <c r="M328" s="13">
        <v>130700707</v>
      </c>
      <c r="N328" s="18" t="s">
        <v>4424</v>
      </c>
      <c r="O328" s="18"/>
      <c r="P328" s="18" t="s">
        <v>4425</v>
      </c>
      <c r="Q328" s="19" t="s">
        <v>4426</v>
      </c>
    </row>
    <row r="329" spans="1:17">
      <c r="A329" s="17" t="s">
        <v>839</v>
      </c>
      <c r="B329" s="13" t="s">
        <v>5564</v>
      </c>
      <c r="C329" s="13" t="s">
        <v>5565</v>
      </c>
      <c r="D329" s="13" t="s">
        <v>471</v>
      </c>
      <c r="E329" s="13" t="s">
        <v>780</v>
      </c>
      <c r="F329" s="13" t="s">
        <v>5164</v>
      </c>
      <c r="G329" s="13">
        <v>3300005157</v>
      </c>
      <c r="H329" s="13" t="s">
        <v>5566</v>
      </c>
      <c r="I329" s="13"/>
      <c r="J329" s="13"/>
      <c r="K329" s="13"/>
      <c r="L329" s="13" t="s">
        <v>5567</v>
      </c>
      <c r="M329" s="13">
        <v>130705686</v>
      </c>
      <c r="N329" s="18" t="s">
        <v>5490</v>
      </c>
      <c r="O329" s="18" t="s">
        <v>5568</v>
      </c>
      <c r="P329" s="18" t="s">
        <v>5569</v>
      </c>
      <c r="Q329" s="19" t="s">
        <v>5570</v>
      </c>
    </row>
    <row r="330" spans="1:17">
      <c r="A330" s="17" t="s">
        <v>839</v>
      </c>
      <c r="B330" s="13" t="s">
        <v>4434</v>
      </c>
      <c r="C330" s="13" t="s">
        <v>4435</v>
      </c>
      <c r="D330" s="13" t="s">
        <v>417</v>
      </c>
      <c r="E330" s="13" t="s">
        <v>756</v>
      </c>
      <c r="F330" s="13" t="s">
        <v>4395</v>
      </c>
      <c r="G330" s="13" t="s">
        <v>4436</v>
      </c>
      <c r="H330" s="13">
        <v>3300009549</v>
      </c>
      <c r="I330" s="13">
        <v>2172004</v>
      </c>
      <c r="J330" s="13">
        <v>5059347</v>
      </c>
      <c r="K330" s="13" t="s">
        <v>4437</v>
      </c>
      <c r="L330" s="13" t="s">
        <v>4438</v>
      </c>
      <c r="M330" s="13">
        <v>130702689</v>
      </c>
      <c r="N330" s="18" t="s">
        <v>4399</v>
      </c>
      <c r="O330" s="18" t="s">
        <v>4439</v>
      </c>
      <c r="P330" s="18" t="s">
        <v>4440</v>
      </c>
      <c r="Q330" s="19" t="s">
        <v>1180</v>
      </c>
    </row>
    <row r="331" spans="1:17">
      <c r="A331" s="17"/>
      <c r="B331" s="13" t="s">
        <v>5571</v>
      </c>
      <c r="C331" s="13" t="s">
        <v>5572</v>
      </c>
      <c r="D331" s="13" t="s">
        <v>472</v>
      </c>
      <c r="E331" s="13" t="s">
        <v>780</v>
      </c>
      <c r="F331" s="13" t="s">
        <v>5164</v>
      </c>
      <c r="G331" s="13">
        <v>2171984</v>
      </c>
      <c r="H331" s="13" t="s">
        <v>5573</v>
      </c>
      <c r="I331" s="13"/>
      <c r="J331" s="13"/>
      <c r="K331" s="13"/>
      <c r="L331" s="13" t="s">
        <v>5574</v>
      </c>
      <c r="M331" s="13">
        <v>130705801</v>
      </c>
      <c r="N331" s="18" t="s">
        <v>5490</v>
      </c>
      <c r="O331" s="18" t="s">
        <v>5575</v>
      </c>
      <c r="P331" s="18" t="s">
        <v>5576</v>
      </c>
      <c r="Q331" s="19" t="s">
        <v>5577</v>
      </c>
    </row>
    <row r="332" spans="1:17">
      <c r="A332" s="17"/>
      <c r="B332" s="20" t="s">
        <v>5002</v>
      </c>
      <c r="C332" s="20" t="s">
        <v>5003</v>
      </c>
      <c r="D332" s="20" t="s">
        <v>5004</v>
      </c>
      <c r="E332" s="20" t="s">
        <v>761</v>
      </c>
      <c r="F332" s="20" t="s">
        <v>4914</v>
      </c>
      <c r="G332" s="20" t="s">
        <v>5005</v>
      </c>
      <c r="H332" s="20">
        <v>3300001695</v>
      </c>
      <c r="I332" s="20">
        <v>2087341</v>
      </c>
      <c r="J332" s="20" t="s">
        <v>5006</v>
      </c>
      <c r="K332" s="20"/>
      <c r="L332" s="20" t="s">
        <v>5007</v>
      </c>
      <c r="M332" s="20">
        <v>140702619</v>
      </c>
      <c r="N332" s="20"/>
      <c r="O332" s="18" t="s">
        <v>5008</v>
      </c>
      <c r="P332" s="18" t="s">
        <v>5009</v>
      </c>
      <c r="Q332" s="24">
        <v>42128</v>
      </c>
    </row>
    <row r="333" spans="1:17">
      <c r="A333" s="17"/>
      <c r="B333" s="13" t="s">
        <v>1443</v>
      </c>
      <c r="C333" s="13" t="s">
        <v>1444</v>
      </c>
      <c r="D333" s="13" t="s">
        <v>169</v>
      </c>
      <c r="E333" s="13" t="s">
        <v>566</v>
      </c>
      <c r="F333" s="13" t="s">
        <v>844</v>
      </c>
      <c r="G333" s="13" t="s">
        <v>1445</v>
      </c>
      <c r="H333" s="13">
        <v>2171900</v>
      </c>
      <c r="I333" s="13">
        <v>3300001247</v>
      </c>
      <c r="J333" s="13"/>
      <c r="K333" s="13"/>
      <c r="L333" s="13" t="s">
        <v>1446</v>
      </c>
      <c r="M333" s="13">
        <v>120701322</v>
      </c>
      <c r="N333" s="18" t="s">
        <v>847</v>
      </c>
      <c r="O333" s="18" t="s">
        <v>1447</v>
      </c>
      <c r="P333" s="18" t="s">
        <v>1448</v>
      </c>
      <c r="Q333" s="19" t="s">
        <v>1394</v>
      </c>
    </row>
    <row r="334" spans="1:17">
      <c r="A334" s="17"/>
      <c r="B334" s="13" t="s">
        <v>921</v>
      </c>
      <c r="C334" s="13" t="s">
        <v>922</v>
      </c>
      <c r="D334" s="13" t="s">
        <v>923</v>
      </c>
      <c r="E334" s="13" t="s">
        <v>547</v>
      </c>
      <c r="F334" s="13" t="s">
        <v>844</v>
      </c>
      <c r="G334" s="13" t="s">
        <v>924</v>
      </c>
      <c r="H334" s="13">
        <v>2103879</v>
      </c>
      <c r="I334" s="13">
        <v>3300011793</v>
      </c>
      <c r="J334" s="13"/>
      <c r="K334" s="13"/>
      <c r="L334" s="13" t="s">
        <v>925</v>
      </c>
      <c r="M334" s="13">
        <v>140702487</v>
      </c>
      <c r="N334" s="18" t="s">
        <v>887</v>
      </c>
      <c r="O334" s="18" t="s">
        <v>926</v>
      </c>
      <c r="P334" s="18" t="s">
        <v>927</v>
      </c>
      <c r="Q334" s="19">
        <v>41974</v>
      </c>
    </row>
    <row r="335" spans="1:17">
      <c r="A335" s="17"/>
      <c r="B335" s="13" t="s">
        <v>3924</v>
      </c>
      <c r="C335" s="13" t="s">
        <v>3925</v>
      </c>
      <c r="D335" s="13" t="s">
        <v>3926</v>
      </c>
      <c r="E335" s="13" t="s">
        <v>555</v>
      </c>
      <c r="F335" s="13" t="s">
        <v>3754</v>
      </c>
      <c r="G335" s="13" t="s">
        <v>3927</v>
      </c>
      <c r="H335" s="13">
        <v>3300010906</v>
      </c>
      <c r="I335" s="13" t="s">
        <v>3928</v>
      </c>
      <c r="J335" s="13" t="s">
        <v>3929</v>
      </c>
      <c r="K335" s="13" t="s">
        <v>3930</v>
      </c>
      <c r="L335" s="13" t="s">
        <v>3931</v>
      </c>
      <c r="M335" s="13">
        <v>130702061</v>
      </c>
      <c r="N335" s="18" t="s">
        <v>847</v>
      </c>
      <c r="O335" s="18" t="s">
        <v>3932</v>
      </c>
      <c r="P335" s="18" t="s">
        <v>3933</v>
      </c>
      <c r="Q335" s="19" t="s">
        <v>3934</v>
      </c>
    </row>
    <row r="336" spans="1:17">
      <c r="A336" s="17"/>
      <c r="B336" s="13" t="s">
        <v>2478</v>
      </c>
      <c r="C336" s="13" t="s">
        <v>2479</v>
      </c>
      <c r="D336" s="13" t="s">
        <v>2480</v>
      </c>
      <c r="E336" s="13" t="s">
        <v>670</v>
      </c>
      <c r="F336" s="13" t="s">
        <v>2433</v>
      </c>
      <c r="G336" s="13">
        <v>2103889</v>
      </c>
      <c r="H336" s="13" t="s">
        <v>2481</v>
      </c>
      <c r="I336" s="13">
        <v>2103933</v>
      </c>
      <c r="J336" s="13">
        <v>3300010700</v>
      </c>
      <c r="K336" s="13" t="s">
        <v>2482</v>
      </c>
      <c r="L336" s="13" t="s">
        <v>2483</v>
      </c>
      <c r="M336" s="13">
        <v>120706254</v>
      </c>
      <c r="N336" s="18" t="s">
        <v>2436</v>
      </c>
      <c r="O336" s="18" t="s">
        <v>2484</v>
      </c>
      <c r="P336" s="18" t="s">
        <v>2485</v>
      </c>
      <c r="Q336" s="19" t="s">
        <v>2055</v>
      </c>
    </row>
    <row r="337" spans="1:17">
      <c r="A337" s="17"/>
      <c r="B337" s="13" t="s">
        <v>4976</v>
      </c>
      <c r="C337" s="13" t="s">
        <v>4976</v>
      </c>
      <c r="D337" s="13" t="s">
        <v>442</v>
      </c>
      <c r="E337" s="13" t="s">
        <v>726</v>
      </c>
      <c r="F337" s="13" t="s">
        <v>4914</v>
      </c>
      <c r="G337" s="13">
        <v>2183548</v>
      </c>
      <c r="H337" s="13">
        <v>3300011777</v>
      </c>
      <c r="I337" s="13">
        <v>5059388</v>
      </c>
      <c r="J337" s="13" t="s">
        <v>4977</v>
      </c>
      <c r="K337" s="13"/>
      <c r="L337" s="13" t="s">
        <v>4978</v>
      </c>
      <c r="M337" s="13">
        <v>130704276</v>
      </c>
      <c r="N337" s="18" t="s">
        <v>4721</v>
      </c>
      <c r="O337" s="18" t="s">
        <v>4979</v>
      </c>
      <c r="P337" s="18"/>
      <c r="Q337" s="19" t="s">
        <v>4980</v>
      </c>
    </row>
    <row r="338" spans="1:17">
      <c r="A338" s="17"/>
      <c r="B338" s="13" t="s">
        <v>5010</v>
      </c>
      <c r="C338" s="13" t="s">
        <v>5011</v>
      </c>
      <c r="D338" s="13" t="s">
        <v>5012</v>
      </c>
      <c r="E338" s="13" t="s">
        <v>761</v>
      </c>
      <c r="F338" s="13" t="s">
        <v>4914</v>
      </c>
      <c r="G338" s="13">
        <v>2177373</v>
      </c>
      <c r="H338" s="13" t="s">
        <v>5013</v>
      </c>
      <c r="I338" s="13">
        <v>3300002938</v>
      </c>
      <c r="J338" s="13"/>
      <c r="K338" s="13"/>
      <c r="L338" s="13" t="s">
        <v>5014</v>
      </c>
      <c r="M338" s="13">
        <v>130701413</v>
      </c>
      <c r="N338" s="18" t="s">
        <v>4721</v>
      </c>
      <c r="O338" s="18"/>
      <c r="P338" s="18" t="s">
        <v>5015</v>
      </c>
      <c r="Q338" s="19" t="s">
        <v>5016</v>
      </c>
    </row>
    <row r="339" spans="1:17">
      <c r="A339" s="17"/>
      <c r="B339" s="13" t="s">
        <v>2533</v>
      </c>
      <c r="C339" s="13" t="s">
        <v>61</v>
      </c>
      <c r="D339" s="13" t="s">
        <v>2534</v>
      </c>
      <c r="E339" s="13" t="s">
        <v>640</v>
      </c>
      <c r="F339" s="13" t="s">
        <v>2433</v>
      </c>
      <c r="G339" s="13" t="s">
        <v>2535</v>
      </c>
      <c r="H339" s="13">
        <v>2114751</v>
      </c>
      <c r="I339" s="13" t="s">
        <v>2536</v>
      </c>
      <c r="J339" s="13"/>
      <c r="K339" s="13"/>
      <c r="L339" s="13" t="s">
        <v>2537</v>
      </c>
      <c r="M339" s="13">
        <v>140801899</v>
      </c>
      <c r="N339" s="18"/>
      <c r="O339" s="18" t="s">
        <v>2538</v>
      </c>
      <c r="P339" s="18" t="s">
        <v>2539</v>
      </c>
      <c r="Q339" s="19">
        <v>42100</v>
      </c>
    </row>
    <row r="340" spans="1:17">
      <c r="A340" s="17"/>
      <c r="B340" s="13" t="s">
        <v>2540</v>
      </c>
      <c r="C340" s="13" t="s">
        <v>2541</v>
      </c>
      <c r="D340" s="13" t="s">
        <v>295</v>
      </c>
      <c r="E340" s="13" t="s">
        <v>640</v>
      </c>
      <c r="F340" s="13" t="s">
        <v>2433</v>
      </c>
      <c r="G340" s="13">
        <v>5045691</v>
      </c>
      <c r="H340" s="13">
        <v>3300004116</v>
      </c>
      <c r="I340" s="13" t="s">
        <v>2542</v>
      </c>
      <c r="J340" s="13">
        <v>3300005172</v>
      </c>
      <c r="K340" s="13">
        <v>2171890</v>
      </c>
      <c r="L340" s="13" t="s">
        <v>2543</v>
      </c>
      <c r="M340" s="13">
        <v>120708009</v>
      </c>
      <c r="N340" s="18" t="s">
        <v>2436</v>
      </c>
      <c r="O340" s="18" t="s">
        <v>2544</v>
      </c>
      <c r="P340" s="18" t="s">
        <v>2545</v>
      </c>
      <c r="Q340" s="19" t="s">
        <v>1167</v>
      </c>
    </row>
    <row r="341" spans="1:17">
      <c r="A341" s="17"/>
      <c r="B341" s="20" t="s">
        <v>3238</v>
      </c>
      <c r="C341" s="20" t="s">
        <v>3239</v>
      </c>
      <c r="D341" s="20" t="s">
        <v>3240</v>
      </c>
      <c r="E341" s="20" t="s">
        <v>683</v>
      </c>
      <c r="F341" s="13" t="s">
        <v>3101</v>
      </c>
      <c r="G341" s="20" t="s">
        <v>3241</v>
      </c>
      <c r="H341" s="20">
        <v>41758</v>
      </c>
      <c r="I341" s="20"/>
      <c r="J341" s="20"/>
      <c r="K341" s="20"/>
      <c r="L341" s="20" t="s">
        <v>3242</v>
      </c>
      <c r="M341" s="20">
        <v>120707517</v>
      </c>
      <c r="N341" s="18" t="s">
        <v>887</v>
      </c>
      <c r="O341" s="18" t="s">
        <v>3243</v>
      </c>
      <c r="P341" s="18" t="s">
        <v>3244</v>
      </c>
      <c r="Q341" s="24">
        <v>41995</v>
      </c>
    </row>
    <row r="342" spans="1:17">
      <c r="A342" s="17" t="s">
        <v>839</v>
      </c>
      <c r="B342" s="13" t="s">
        <v>4198</v>
      </c>
      <c r="C342" s="13" t="s">
        <v>4199</v>
      </c>
      <c r="D342" s="13" t="s">
        <v>268</v>
      </c>
      <c r="E342" s="13" t="s">
        <v>553</v>
      </c>
      <c r="F342" s="13" t="s">
        <v>3754</v>
      </c>
      <c r="G342" s="13">
        <v>2103911</v>
      </c>
      <c r="H342" s="13" t="s">
        <v>4200</v>
      </c>
      <c r="I342" s="13">
        <v>3300003623</v>
      </c>
      <c r="J342" s="13" t="s">
        <v>4201</v>
      </c>
      <c r="K342" s="13">
        <v>2103905</v>
      </c>
      <c r="L342" s="13" t="s">
        <v>4202</v>
      </c>
      <c r="M342" s="13">
        <v>120706382</v>
      </c>
      <c r="N342" s="18" t="s">
        <v>1018</v>
      </c>
      <c r="O342" s="18" t="s">
        <v>4203</v>
      </c>
      <c r="P342" s="18" t="s">
        <v>4204</v>
      </c>
      <c r="Q342" s="19" t="s">
        <v>4001</v>
      </c>
    </row>
    <row r="343" spans="1:17">
      <c r="A343" s="17"/>
      <c r="B343" s="13" t="s">
        <v>4504</v>
      </c>
      <c r="C343" s="13" t="s">
        <v>4505</v>
      </c>
      <c r="D343" s="13" t="s">
        <v>300</v>
      </c>
      <c r="E343" s="13" t="s">
        <v>599</v>
      </c>
      <c r="F343" s="13" t="s">
        <v>4395</v>
      </c>
      <c r="G343" s="13">
        <v>2103716</v>
      </c>
      <c r="H343" s="13" t="s">
        <v>4506</v>
      </c>
      <c r="I343" s="13">
        <v>3300002929</v>
      </c>
      <c r="J343" s="13" t="s">
        <v>4507</v>
      </c>
      <c r="K343" s="13">
        <v>2103755</v>
      </c>
      <c r="L343" s="13" t="s">
        <v>4508</v>
      </c>
      <c r="M343" s="13">
        <v>120708407</v>
      </c>
      <c r="N343" s="18" t="s">
        <v>4399</v>
      </c>
      <c r="O343" s="18"/>
      <c r="P343" s="18" t="s">
        <v>4509</v>
      </c>
      <c r="Q343" s="19" t="s">
        <v>2116</v>
      </c>
    </row>
    <row r="344" spans="1:17">
      <c r="A344" s="17" t="s">
        <v>839</v>
      </c>
      <c r="B344" s="21" t="s">
        <v>1022</v>
      </c>
      <c r="C344" s="21" t="s">
        <v>1023</v>
      </c>
      <c r="D344" s="21" t="s">
        <v>1024</v>
      </c>
      <c r="E344" s="21" t="s">
        <v>1025</v>
      </c>
      <c r="F344" s="13" t="s">
        <v>844</v>
      </c>
      <c r="G344" s="20" t="s">
        <v>1026</v>
      </c>
      <c r="H344" s="20">
        <v>5046333</v>
      </c>
      <c r="I344" s="20">
        <v>2119564</v>
      </c>
      <c r="J344" s="20">
        <v>3300010087</v>
      </c>
      <c r="K344" s="20">
        <v>2183006</v>
      </c>
      <c r="L344" s="20" t="s">
        <v>1027</v>
      </c>
      <c r="M344" s="22">
        <v>120703008</v>
      </c>
      <c r="N344" s="18" t="s">
        <v>896</v>
      </c>
      <c r="O344" s="18" t="s">
        <v>1028</v>
      </c>
      <c r="P344" s="18" t="s">
        <v>1029</v>
      </c>
      <c r="Q344" s="23" t="s">
        <v>899</v>
      </c>
    </row>
    <row r="345" spans="1:17">
      <c r="A345" s="17"/>
      <c r="B345" s="13" t="s">
        <v>4781</v>
      </c>
      <c r="C345" s="13" t="s">
        <v>4782</v>
      </c>
      <c r="D345" s="13" t="s">
        <v>173</v>
      </c>
      <c r="E345" s="13" t="s">
        <v>614</v>
      </c>
      <c r="F345" s="13" t="s">
        <v>4395</v>
      </c>
      <c r="G345" s="13">
        <v>2103895</v>
      </c>
      <c r="H345" s="13" t="s">
        <v>4783</v>
      </c>
      <c r="I345" s="13" t="s">
        <v>4784</v>
      </c>
      <c r="J345" s="13">
        <v>2115642</v>
      </c>
      <c r="K345" s="13"/>
      <c r="L345" s="13" t="s">
        <v>4785</v>
      </c>
      <c r="M345" s="13">
        <v>120701373</v>
      </c>
      <c r="N345" s="18" t="s">
        <v>4399</v>
      </c>
      <c r="O345" s="18" t="s">
        <v>4786</v>
      </c>
      <c r="P345" s="18" t="s">
        <v>4787</v>
      </c>
      <c r="Q345" s="19" t="s">
        <v>2236</v>
      </c>
    </row>
    <row r="346" spans="1:17">
      <c r="A346" s="17"/>
      <c r="B346" s="13" t="s">
        <v>1332</v>
      </c>
      <c r="C346" s="13" t="s">
        <v>1333</v>
      </c>
      <c r="D346" s="13" t="s">
        <v>1334</v>
      </c>
      <c r="E346" s="13" t="s">
        <v>1327</v>
      </c>
      <c r="F346" s="13" t="s">
        <v>844</v>
      </c>
      <c r="G346" s="13">
        <v>5031861</v>
      </c>
      <c r="H346" s="13">
        <v>2119267</v>
      </c>
      <c r="I346" s="13">
        <v>3300012293</v>
      </c>
      <c r="J346" s="13"/>
      <c r="K346" s="13"/>
      <c r="L346" s="13" t="s">
        <v>1335</v>
      </c>
      <c r="M346" s="13">
        <v>120700542</v>
      </c>
      <c r="N346" s="18" t="s">
        <v>847</v>
      </c>
      <c r="O346" s="18" t="s">
        <v>1336</v>
      </c>
      <c r="P346" s="18" t="s">
        <v>1337</v>
      </c>
      <c r="Q346" s="19" t="s">
        <v>1338</v>
      </c>
    </row>
    <row r="347" spans="1:17">
      <c r="A347" s="17" t="s">
        <v>839</v>
      </c>
      <c r="B347" s="13" t="s">
        <v>1449</v>
      </c>
      <c r="C347" s="13" t="s">
        <v>1450</v>
      </c>
      <c r="D347" s="13" t="s">
        <v>109</v>
      </c>
      <c r="E347" s="13" t="s">
        <v>566</v>
      </c>
      <c r="F347" s="13" t="s">
        <v>844</v>
      </c>
      <c r="G347" s="13">
        <v>3300001214</v>
      </c>
      <c r="H347" s="13">
        <v>3300001215</v>
      </c>
      <c r="I347" s="13" t="s">
        <v>1451</v>
      </c>
      <c r="J347" s="13">
        <v>3300001217</v>
      </c>
      <c r="K347" s="13">
        <v>3300001218</v>
      </c>
      <c r="L347" s="13" t="s">
        <v>1452</v>
      </c>
      <c r="M347" s="13">
        <v>120700604</v>
      </c>
      <c r="N347" s="18" t="s">
        <v>879</v>
      </c>
      <c r="O347" s="18"/>
      <c r="P347" s="18" t="s">
        <v>1453</v>
      </c>
      <c r="Q347" s="19" t="s">
        <v>1454</v>
      </c>
    </row>
    <row r="348" spans="1:17">
      <c r="A348" s="17" t="s">
        <v>839</v>
      </c>
      <c r="B348" s="13" t="s">
        <v>4118</v>
      </c>
      <c r="C348" s="13" t="s">
        <v>4119</v>
      </c>
      <c r="D348" s="13" t="s">
        <v>4120</v>
      </c>
      <c r="E348" s="13" t="s">
        <v>788</v>
      </c>
      <c r="F348" s="13" t="s">
        <v>3754</v>
      </c>
      <c r="G348" s="13">
        <v>2183493</v>
      </c>
      <c r="H348" s="13">
        <v>5059354</v>
      </c>
      <c r="I348" s="13" t="s">
        <v>4121</v>
      </c>
      <c r="J348" s="13">
        <v>2115090</v>
      </c>
      <c r="K348" s="13">
        <v>2115088</v>
      </c>
      <c r="L348" s="13" t="s">
        <v>4122</v>
      </c>
      <c r="M348" s="13">
        <v>131006213</v>
      </c>
      <c r="N348" s="18" t="s">
        <v>1018</v>
      </c>
      <c r="O348" s="18"/>
      <c r="P348" s="18"/>
      <c r="Q348" s="19"/>
    </row>
    <row r="349" spans="1:17">
      <c r="A349" s="17" t="s">
        <v>839</v>
      </c>
      <c r="B349" s="13" t="s">
        <v>2873</v>
      </c>
      <c r="C349" s="13" t="s">
        <v>2874</v>
      </c>
      <c r="D349" s="13" t="s">
        <v>415</v>
      </c>
      <c r="E349" s="13" t="s">
        <v>754</v>
      </c>
      <c r="F349" s="13" t="s">
        <v>2830</v>
      </c>
      <c r="G349" s="13">
        <v>3300009559</v>
      </c>
      <c r="H349" s="13" t="s">
        <v>2875</v>
      </c>
      <c r="I349" s="13">
        <v>2177144</v>
      </c>
      <c r="J349" s="13">
        <v>5059353</v>
      </c>
      <c r="K349" s="13"/>
      <c r="L349" s="13" t="s">
        <v>2876</v>
      </c>
      <c r="M349" s="13">
        <v>130702315</v>
      </c>
      <c r="N349" s="18" t="s">
        <v>2436</v>
      </c>
      <c r="O349" s="18" t="s">
        <v>2877</v>
      </c>
      <c r="P349" s="18" t="s">
        <v>2878</v>
      </c>
      <c r="Q349" s="19">
        <v>41834</v>
      </c>
    </row>
    <row r="350" spans="1:17">
      <c r="A350" s="17"/>
      <c r="B350" s="20" t="s">
        <v>3669</v>
      </c>
      <c r="C350" s="20" t="s">
        <v>23</v>
      </c>
      <c r="D350" s="20" t="s">
        <v>3670</v>
      </c>
      <c r="E350" s="20" t="s">
        <v>3671</v>
      </c>
      <c r="F350" s="13" t="s">
        <v>3558</v>
      </c>
      <c r="G350" s="20">
        <v>5031841</v>
      </c>
      <c r="H350" s="20"/>
      <c r="I350" s="20" t="s">
        <v>3672</v>
      </c>
      <c r="J350" s="20"/>
      <c r="K350" s="20"/>
      <c r="L350" s="20" t="s">
        <v>3673</v>
      </c>
      <c r="M350" s="20">
        <v>120709649</v>
      </c>
      <c r="N350" s="18" t="s">
        <v>3478</v>
      </c>
      <c r="O350" s="18" t="s">
        <v>3674</v>
      </c>
      <c r="P350" s="18" t="s">
        <v>3675</v>
      </c>
      <c r="Q350" s="24"/>
    </row>
    <row r="351" spans="1:17">
      <c r="A351" s="17" t="s">
        <v>839</v>
      </c>
      <c r="B351" s="13" t="s">
        <v>1938</v>
      </c>
      <c r="C351" s="13" t="s">
        <v>1939</v>
      </c>
      <c r="D351" s="13" t="s">
        <v>155</v>
      </c>
      <c r="E351" s="13" t="s">
        <v>601</v>
      </c>
      <c r="F351" s="13" t="s">
        <v>844</v>
      </c>
      <c r="G351" s="13">
        <v>2114741</v>
      </c>
      <c r="H351" s="13" t="s">
        <v>1940</v>
      </c>
      <c r="I351" s="13">
        <v>3300001685</v>
      </c>
      <c r="J351" s="13">
        <v>5031838</v>
      </c>
      <c r="K351" s="13"/>
      <c r="L351" s="13" t="s">
        <v>1941</v>
      </c>
      <c r="M351" s="13">
        <v>120701226</v>
      </c>
      <c r="N351" s="18" t="s">
        <v>856</v>
      </c>
      <c r="O351" s="18" t="s">
        <v>1942</v>
      </c>
      <c r="P351" s="18" t="s">
        <v>1943</v>
      </c>
      <c r="Q351" s="19" t="s">
        <v>1944</v>
      </c>
    </row>
    <row r="352" spans="1:17">
      <c r="A352" s="17"/>
      <c r="B352" s="13" t="s">
        <v>4981</v>
      </c>
      <c r="C352" s="13" t="s">
        <v>4982</v>
      </c>
      <c r="D352" s="13" t="s">
        <v>392</v>
      </c>
      <c r="E352" s="13" t="s">
        <v>726</v>
      </c>
      <c r="F352" s="13" t="s">
        <v>4914</v>
      </c>
      <c r="G352" s="13" t="s">
        <v>4983</v>
      </c>
      <c r="H352" s="13">
        <v>3300003624</v>
      </c>
      <c r="I352" s="13">
        <v>2171963</v>
      </c>
      <c r="J352" s="13" t="s">
        <v>4984</v>
      </c>
      <c r="K352" s="13"/>
      <c r="L352" s="13" t="s">
        <v>4985</v>
      </c>
      <c r="M352" s="13">
        <v>130700373</v>
      </c>
      <c r="N352" s="18" t="s">
        <v>4721</v>
      </c>
      <c r="O352" s="18" t="s">
        <v>4986</v>
      </c>
      <c r="P352" s="18" t="s">
        <v>4987</v>
      </c>
      <c r="Q352" s="19" t="s">
        <v>4988</v>
      </c>
    </row>
    <row r="353" spans="1:17">
      <c r="A353" s="17"/>
      <c r="B353" s="13" t="s">
        <v>5430</v>
      </c>
      <c r="C353" s="13" t="s">
        <v>5431</v>
      </c>
      <c r="D353" s="13" t="s">
        <v>353</v>
      </c>
      <c r="E353" s="13" t="s">
        <v>576</v>
      </c>
      <c r="F353" s="13" t="s">
        <v>5164</v>
      </c>
      <c r="G353" s="13" t="s">
        <v>5432</v>
      </c>
      <c r="H353" s="13">
        <v>5001474</v>
      </c>
      <c r="I353" s="13" t="s">
        <v>5433</v>
      </c>
      <c r="J353" s="13">
        <v>5001455</v>
      </c>
      <c r="K353" s="13">
        <v>3300003629</v>
      </c>
      <c r="L353" s="13" t="s">
        <v>5434</v>
      </c>
      <c r="M353" s="13">
        <v>120900705</v>
      </c>
      <c r="N353" s="18" t="s">
        <v>5091</v>
      </c>
      <c r="O353" s="18"/>
      <c r="P353" s="18" t="s">
        <v>5435</v>
      </c>
      <c r="Q353" s="19" t="s">
        <v>5354</v>
      </c>
    </row>
    <row r="354" spans="1:17">
      <c r="A354" s="17"/>
      <c r="B354" s="13" t="s">
        <v>5080</v>
      </c>
      <c r="C354" s="13" t="s">
        <v>5081</v>
      </c>
      <c r="D354" s="13" t="s">
        <v>294</v>
      </c>
      <c r="E354" s="13" t="s">
        <v>671</v>
      </c>
      <c r="F354" s="13" t="s">
        <v>4914</v>
      </c>
      <c r="G354" s="13">
        <v>2103923</v>
      </c>
      <c r="H354" s="13">
        <v>3300002816</v>
      </c>
      <c r="I354" s="13" t="s">
        <v>5082</v>
      </c>
      <c r="J354" s="13">
        <v>3300002812</v>
      </c>
      <c r="K354" s="13">
        <v>2103897</v>
      </c>
      <c r="L354" s="13" t="s">
        <v>5083</v>
      </c>
      <c r="M354" s="13">
        <v>120707918</v>
      </c>
      <c r="N354" s="18" t="s">
        <v>4721</v>
      </c>
      <c r="O354" s="18" t="s">
        <v>5084</v>
      </c>
      <c r="P354" s="18" t="s">
        <v>5085</v>
      </c>
      <c r="Q354" s="19" t="s">
        <v>5086</v>
      </c>
    </row>
    <row r="355" spans="1:17">
      <c r="A355" s="17" t="s">
        <v>839</v>
      </c>
      <c r="B355" s="13" t="s">
        <v>2258</v>
      </c>
      <c r="C355" s="13" t="s">
        <v>2259</v>
      </c>
      <c r="D355" s="13" t="s">
        <v>141</v>
      </c>
      <c r="E355" s="13" t="s">
        <v>589</v>
      </c>
      <c r="F355" s="20" t="s">
        <v>2191</v>
      </c>
      <c r="G355" s="13">
        <v>5031826</v>
      </c>
      <c r="H355" s="13">
        <v>2119199</v>
      </c>
      <c r="I355" s="13">
        <v>3300001213</v>
      </c>
      <c r="J355" s="13"/>
      <c r="K355" s="13"/>
      <c r="L355" s="13" t="s">
        <v>2260</v>
      </c>
      <c r="M355" s="13">
        <v>120701165</v>
      </c>
      <c r="N355" s="18" t="s">
        <v>856</v>
      </c>
      <c r="O355" s="18"/>
      <c r="P355" s="18" t="s">
        <v>2261</v>
      </c>
      <c r="Q355" s="19" t="s">
        <v>1080</v>
      </c>
    </row>
    <row r="356" spans="1:17">
      <c r="A356" s="17"/>
      <c r="B356" s="13" t="s">
        <v>4205</v>
      </c>
      <c r="C356" s="13" t="s">
        <v>4206</v>
      </c>
      <c r="D356" s="13" t="s">
        <v>4207</v>
      </c>
      <c r="E356" s="13" t="s">
        <v>553</v>
      </c>
      <c r="F356" s="13" t="s">
        <v>3754</v>
      </c>
      <c r="G356" s="13">
        <v>5070883</v>
      </c>
      <c r="H356" s="13">
        <v>3300010073</v>
      </c>
      <c r="I356" s="13" t="s">
        <v>4208</v>
      </c>
      <c r="J356" s="13">
        <v>2183559</v>
      </c>
      <c r="K356" s="13" t="s">
        <v>4209</v>
      </c>
      <c r="L356" s="13" t="s">
        <v>4210</v>
      </c>
      <c r="M356" s="13">
        <v>140702846</v>
      </c>
      <c r="N356" s="18" t="s">
        <v>1018</v>
      </c>
      <c r="O356" s="18" t="s">
        <v>4211</v>
      </c>
      <c r="P356" s="18" t="s">
        <v>4212</v>
      </c>
      <c r="Q356" s="19">
        <v>41967</v>
      </c>
    </row>
    <row r="357" spans="1:17">
      <c r="A357" s="17"/>
      <c r="B357" s="13" t="s">
        <v>5936</v>
      </c>
      <c r="C357" s="13" t="s">
        <v>17</v>
      </c>
      <c r="D357" s="13" t="s">
        <v>5937</v>
      </c>
      <c r="E357" s="13" t="s">
        <v>705</v>
      </c>
      <c r="F357" s="13" t="s">
        <v>5843</v>
      </c>
      <c r="G357" s="13" t="s">
        <v>5938</v>
      </c>
      <c r="H357" s="13">
        <v>2103737</v>
      </c>
      <c r="I357" s="13" t="s">
        <v>5939</v>
      </c>
      <c r="J357" s="13"/>
      <c r="K357" s="13"/>
      <c r="L357" s="13" t="s">
        <v>5940</v>
      </c>
      <c r="M357" s="13">
        <v>120708738</v>
      </c>
      <c r="N357" s="18" t="s">
        <v>3105</v>
      </c>
      <c r="O357" s="18" t="s">
        <v>5941</v>
      </c>
      <c r="P357" s="18" t="s">
        <v>5942</v>
      </c>
      <c r="Q357" s="19">
        <v>41957</v>
      </c>
    </row>
    <row r="358" spans="1:17">
      <c r="A358" s="17"/>
      <c r="B358" s="13" t="s">
        <v>4679</v>
      </c>
      <c r="C358" s="13" t="s">
        <v>4680</v>
      </c>
      <c r="D358" s="13" t="s">
        <v>4681</v>
      </c>
      <c r="E358" s="13" t="s">
        <v>582</v>
      </c>
      <c r="F358" s="13" t="s">
        <v>4395</v>
      </c>
      <c r="G358" s="13">
        <v>2115649</v>
      </c>
      <c r="H358" s="13" t="s">
        <v>4682</v>
      </c>
      <c r="I358" s="13">
        <v>2115656</v>
      </c>
      <c r="J358" s="13">
        <v>3300002930</v>
      </c>
      <c r="K358" s="13"/>
      <c r="L358" s="13" t="s">
        <v>4683</v>
      </c>
      <c r="M358" s="13">
        <v>120902325</v>
      </c>
      <c r="N358" s="18" t="s">
        <v>4399</v>
      </c>
      <c r="O358" s="18" t="s">
        <v>4684</v>
      </c>
      <c r="P358" s="18" t="s">
        <v>4685</v>
      </c>
      <c r="Q358" s="19" t="s">
        <v>4663</v>
      </c>
    </row>
    <row r="359" spans="1:17">
      <c r="A359" s="17" t="s">
        <v>839</v>
      </c>
      <c r="B359" s="13" t="s">
        <v>2228</v>
      </c>
      <c r="C359" s="13" t="s">
        <v>2229</v>
      </c>
      <c r="D359" s="13" t="s">
        <v>2230</v>
      </c>
      <c r="E359" s="13" t="s">
        <v>594</v>
      </c>
      <c r="F359" s="20" t="s">
        <v>2191</v>
      </c>
      <c r="G359" s="13">
        <v>2103906</v>
      </c>
      <c r="H359" s="13">
        <v>3300003630</v>
      </c>
      <c r="I359" s="13">
        <v>2103952</v>
      </c>
      <c r="J359" s="13" t="s">
        <v>2231</v>
      </c>
      <c r="K359" s="13" t="s">
        <v>2232</v>
      </c>
      <c r="L359" s="13" t="s">
        <v>2233</v>
      </c>
      <c r="M359" s="13">
        <v>120705732</v>
      </c>
      <c r="N359" s="18" t="s">
        <v>856</v>
      </c>
      <c r="O359" s="18" t="s">
        <v>2234</v>
      </c>
      <c r="P359" s="18" t="s">
        <v>2235</v>
      </c>
      <c r="Q359" s="19" t="s">
        <v>2236</v>
      </c>
    </row>
    <row r="360" spans="1:17">
      <c r="A360" s="17"/>
      <c r="B360" s="13" t="s">
        <v>6058</v>
      </c>
      <c r="C360" s="13" t="s">
        <v>6058</v>
      </c>
      <c r="D360" s="13" t="s">
        <v>6059</v>
      </c>
      <c r="E360" s="13" t="s">
        <v>774</v>
      </c>
      <c r="F360" s="13" t="s">
        <v>5843</v>
      </c>
      <c r="G360" s="13">
        <v>3300009749</v>
      </c>
      <c r="H360" s="13" t="s">
        <v>6060</v>
      </c>
      <c r="I360" s="13" t="s">
        <v>6061</v>
      </c>
      <c r="J360" s="13"/>
      <c r="K360" s="13"/>
      <c r="L360" s="13" t="s">
        <v>6062</v>
      </c>
      <c r="M360" s="13">
        <v>130705130</v>
      </c>
      <c r="N360" s="18" t="s">
        <v>3105</v>
      </c>
      <c r="O360" s="18" t="s">
        <v>6063</v>
      </c>
      <c r="P360" s="18" t="s">
        <v>6064</v>
      </c>
      <c r="Q360" s="19" t="s">
        <v>4335</v>
      </c>
    </row>
    <row r="361" spans="1:17">
      <c r="A361" s="17"/>
      <c r="B361" s="13" t="s">
        <v>4352</v>
      </c>
      <c r="C361" s="13" t="s">
        <v>4353</v>
      </c>
      <c r="D361" s="13" t="s">
        <v>212</v>
      </c>
      <c r="E361" s="13" t="s">
        <v>639</v>
      </c>
      <c r="F361" s="13" t="s">
        <v>3754</v>
      </c>
      <c r="G361" s="13">
        <v>2183481</v>
      </c>
      <c r="H361" s="13" t="s">
        <v>4354</v>
      </c>
      <c r="I361" s="13"/>
      <c r="J361" s="13"/>
      <c r="K361" s="13"/>
      <c r="L361" s="13" t="s">
        <v>4355</v>
      </c>
      <c r="M361" s="13">
        <v>120702987</v>
      </c>
      <c r="N361" s="18" t="s">
        <v>3117</v>
      </c>
      <c r="O361" s="18" t="s">
        <v>4356</v>
      </c>
      <c r="P361" s="18" t="s">
        <v>4357</v>
      </c>
      <c r="Q361" s="19" t="s">
        <v>2595</v>
      </c>
    </row>
    <row r="362" spans="1:17">
      <c r="A362" s="17"/>
      <c r="B362" s="13" t="s">
        <v>3410</v>
      </c>
      <c r="C362" s="13" t="s">
        <v>3411</v>
      </c>
      <c r="D362" s="13" t="s">
        <v>373</v>
      </c>
      <c r="E362" s="13" t="s">
        <v>603</v>
      </c>
      <c r="F362" s="13" t="s">
        <v>3101</v>
      </c>
      <c r="G362" s="13">
        <v>2171992</v>
      </c>
      <c r="H362" s="13">
        <v>5059303</v>
      </c>
      <c r="I362" s="13" t="s">
        <v>3412</v>
      </c>
      <c r="J362" s="13"/>
      <c r="K362" s="13"/>
      <c r="L362" s="13" t="s">
        <v>3413</v>
      </c>
      <c r="M362" s="13">
        <v>120905593</v>
      </c>
      <c r="N362" s="18" t="s">
        <v>3117</v>
      </c>
      <c r="O362" s="18" t="s">
        <v>3414</v>
      </c>
      <c r="P362" s="18" t="s">
        <v>3415</v>
      </c>
      <c r="Q362" s="19"/>
    </row>
    <row r="363" spans="1:17">
      <c r="A363" s="17"/>
      <c r="B363" s="13" t="s">
        <v>4510</v>
      </c>
      <c r="C363" s="13" t="s">
        <v>4511</v>
      </c>
      <c r="D363" s="13" t="s">
        <v>309</v>
      </c>
      <c r="E363" s="13" t="s">
        <v>599</v>
      </c>
      <c r="F363" s="13" t="s">
        <v>4395</v>
      </c>
      <c r="G363" s="13"/>
      <c r="H363" s="13">
        <v>5050425</v>
      </c>
      <c r="I363" s="13" t="s">
        <v>4512</v>
      </c>
      <c r="J363" s="13">
        <v>2171947</v>
      </c>
      <c r="K363" s="13"/>
      <c r="L363" s="13" t="s">
        <v>4513</v>
      </c>
      <c r="M363" s="13">
        <v>120708739</v>
      </c>
      <c r="N363" s="18" t="s">
        <v>4399</v>
      </c>
      <c r="O363" s="18" t="s">
        <v>4514</v>
      </c>
      <c r="P363" s="18" t="s">
        <v>4515</v>
      </c>
      <c r="Q363" s="19" t="s">
        <v>3486</v>
      </c>
    </row>
    <row r="364" spans="1:17">
      <c r="A364" s="17" t="s">
        <v>839</v>
      </c>
      <c r="B364" s="13" t="s">
        <v>2237</v>
      </c>
      <c r="C364" s="13" t="s">
        <v>2238</v>
      </c>
      <c r="D364" s="13" t="s">
        <v>146</v>
      </c>
      <c r="E364" s="13" t="s">
        <v>594</v>
      </c>
      <c r="F364" s="20" t="s">
        <v>2191</v>
      </c>
      <c r="G364" s="13" t="s">
        <v>2239</v>
      </c>
      <c r="H364" s="13">
        <v>2183514</v>
      </c>
      <c r="I364" s="13">
        <v>3300001678</v>
      </c>
      <c r="J364" s="13">
        <v>5045652</v>
      </c>
      <c r="K364" s="13">
        <v>2171894</v>
      </c>
      <c r="L364" s="13" t="s">
        <v>2240</v>
      </c>
      <c r="M364" s="13">
        <v>120701200</v>
      </c>
      <c r="N364" s="18" t="s">
        <v>856</v>
      </c>
      <c r="O364" s="18" t="s">
        <v>2241</v>
      </c>
      <c r="P364" s="18" t="s">
        <v>2242</v>
      </c>
      <c r="Q364" s="19" t="s">
        <v>2243</v>
      </c>
    </row>
    <row r="365" spans="1:17">
      <c r="A365" s="17"/>
      <c r="B365" s="13" t="s">
        <v>2546</v>
      </c>
      <c r="C365" s="13" t="s">
        <v>14</v>
      </c>
      <c r="D365" s="13" t="s">
        <v>2547</v>
      </c>
      <c r="E365" s="13" t="s">
        <v>640</v>
      </c>
      <c r="F365" s="13" t="s">
        <v>2433</v>
      </c>
      <c r="G365" s="13">
        <v>2117081</v>
      </c>
      <c r="H365" s="13">
        <v>5031895</v>
      </c>
      <c r="I365" s="13" t="s">
        <v>2548</v>
      </c>
      <c r="J365" s="13">
        <v>3300002982</v>
      </c>
      <c r="K365" s="13"/>
      <c r="L365" s="13" t="s">
        <v>2549</v>
      </c>
      <c r="M365" s="13">
        <v>120708026</v>
      </c>
      <c r="N365" s="18" t="s">
        <v>2436</v>
      </c>
      <c r="O365" s="18" t="s">
        <v>2550</v>
      </c>
      <c r="P365" s="18" t="s">
        <v>2551</v>
      </c>
      <c r="Q365" s="19" t="s">
        <v>2552</v>
      </c>
    </row>
    <row r="366" spans="1:17">
      <c r="A366" s="17"/>
      <c r="B366" s="13" t="s">
        <v>1455</v>
      </c>
      <c r="C366" s="13" t="s">
        <v>1</v>
      </c>
      <c r="D366" s="13" t="s">
        <v>1456</v>
      </c>
      <c r="E366" s="13" t="s">
        <v>566</v>
      </c>
      <c r="F366" s="13" t="s">
        <v>844</v>
      </c>
      <c r="G366" s="13">
        <v>2116304</v>
      </c>
      <c r="H366" s="13">
        <v>3300002951</v>
      </c>
      <c r="I366" s="13">
        <v>2116310</v>
      </c>
      <c r="J366" s="13" t="s">
        <v>1457</v>
      </c>
      <c r="K366" s="13"/>
      <c r="L366" s="13" t="s">
        <v>1458</v>
      </c>
      <c r="M366" s="13">
        <v>120702076</v>
      </c>
      <c r="N366" s="18" t="s">
        <v>847</v>
      </c>
      <c r="O366" s="18" t="s">
        <v>1459</v>
      </c>
      <c r="P366" s="18" t="s">
        <v>1460</v>
      </c>
      <c r="Q366" s="19" t="s">
        <v>1461</v>
      </c>
    </row>
    <row r="367" spans="1:17">
      <c r="A367" s="17"/>
      <c r="B367" s="13" t="s">
        <v>1113</v>
      </c>
      <c r="C367" s="13" t="s">
        <v>1114</v>
      </c>
      <c r="D367" s="13" t="s">
        <v>1115</v>
      </c>
      <c r="E367" s="13" t="s">
        <v>597</v>
      </c>
      <c r="F367" s="13" t="s">
        <v>844</v>
      </c>
      <c r="G367" s="13">
        <v>3400001164</v>
      </c>
      <c r="H367" s="13">
        <v>2119286</v>
      </c>
      <c r="I367" s="13">
        <v>5040883</v>
      </c>
      <c r="J367" s="13" t="s">
        <v>1116</v>
      </c>
      <c r="K367" s="13"/>
      <c r="L367" s="13" t="s">
        <v>1117</v>
      </c>
      <c r="M367" s="13">
        <v>120710095</v>
      </c>
      <c r="N367" s="18" t="s">
        <v>879</v>
      </c>
      <c r="O367" s="18" t="s">
        <v>1118</v>
      </c>
      <c r="P367" s="18" t="s">
        <v>1119</v>
      </c>
      <c r="Q367" s="19" t="s">
        <v>850</v>
      </c>
    </row>
    <row r="368" spans="1:17">
      <c r="A368" s="17"/>
      <c r="B368" s="13" t="s">
        <v>1036</v>
      </c>
      <c r="C368" s="13" t="s">
        <v>1037</v>
      </c>
      <c r="D368" s="13" t="s">
        <v>316</v>
      </c>
      <c r="E368" s="13" t="s">
        <v>537</v>
      </c>
      <c r="F368" s="13" t="s">
        <v>844</v>
      </c>
      <c r="G368" s="13">
        <v>5049678</v>
      </c>
      <c r="H368" s="13" t="s">
        <v>1038</v>
      </c>
      <c r="I368" s="13">
        <v>2171916</v>
      </c>
      <c r="J368" s="13">
        <v>5049675</v>
      </c>
      <c r="K368" s="13"/>
      <c r="L368" s="13" t="s">
        <v>1039</v>
      </c>
      <c r="M368" s="13">
        <v>120709655</v>
      </c>
      <c r="N368" s="18" t="s">
        <v>879</v>
      </c>
      <c r="O368" s="18" t="s">
        <v>1040</v>
      </c>
      <c r="P368" s="18" t="s">
        <v>1041</v>
      </c>
      <c r="Q368" s="19" t="s">
        <v>1042</v>
      </c>
    </row>
    <row r="369" spans="1:17">
      <c r="A369" s="17"/>
      <c r="B369" s="13" t="s">
        <v>4637</v>
      </c>
      <c r="C369" s="13" t="s">
        <v>4638</v>
      </c>
      <c r="D369" s="13" t="s">
        <v>380</v>
      </c>
      <c r="E369" s="13" t="s">
        <v>725</v>
      </c>
      <c r="F369" s="13" t="s">
        <v>4395</v>
      </c>
      <c r="G369" s="13">
        <v>2103727</v>
      </c>
      <c r="H369" s="13" t="s">
        <v>4639</v>
      </c>
      <c r="I369" s="13">
        <v>3300009761</v>
      </c>
      <c r="J369" s="13">
        <v>2119255</v>
      </c>
      <c r="K369" s="13"/>
      <c r="L369" s="13" t="s">
        <v>4640</v>
      </c>
      <c r="M369" s="13">
        <v>120909879</v>
      </c>
      <c r="N369" s="18" t="s">
        <v>4399</v>
      </c>
      <c r="O369" s="18" t="s">
        <v>4641</v>
      </c>
      <c r="P369" s="18"/>
      <c r="Q369" s="19" t="s">
        <v>4642</v>
      </c>
    </row>
    <row r="370" spans="1:17">
      <c r="A370" s="17" t="s">
        <v>839</v>
      </c>
      <c r="B370" s="13" t="s">
        <v>1529</v>
      </c>
      <c r="C370" s="13" t="s">
        <v>27</v>
      </c>
      <c r="D370" s="13" t="s">
        <v>1530</v>
      </c>
      <c r="E370" s="13" t="s">
        <v>1531</v>
      </c>
      <c r="F370" s="13" t="s">
        <v>844</v>
      </c>
      <c r="G370" s="13">
        <v>2119265</v>
      </c>
      <c r="H370" s="13" t="s">
        <v>1532</v>
      </c>
      <c r="I370" s="13">
        <v>3300008146</v>
      </c>
      <c r="J370" s="13">
        <v>5031877</v>
      </c>
      <c r="K370" s="13"/>
      <c r="L370" s="13" t="s">
        <v>1533</v>
      </c>
      <c r="M370" s="13">
        <v>120712600</v>
      </c>
      <c r="N370" s="18" t="s">
        <v>856</v>
      </c>
      <c r="O370" s="18" t="s">
        <v>1534</v>
      </c>
      <c r="P370" s="18" t="s">
        <v>1535</v>
      </c>
      <c r="Q370" s="19" t="s">
        <v>850</v>
      </c>
    </row>
    <row r="371" spans="1:17">
      <c r="A371" s="17"/>
      <c r="B371" s="13" t="s">
        <v>3196</v>
      </c>
      <c r="C371" s="13" t="s">
        <v>3197</v>
      </c>
      <c r="D371" s="13" t="s">
        <v>85</v>
      </c>
      <c r="E371" s="13" t="s">
        <v>545</v>
      </c>
      <c r="F371" s="13" t="s">
        <v>3101</v>
      </c>
      <c r="G371" s="13" t="s">
        <v>3198</v>
      </c>
      <c r="H371" s="13">
        <v>2103717</v>
      </c>
      <c r="I371" s="13" t="s">
        <v>3199</v>
      </c>
      <c r="J371" s="13"/>
      <c r="K371" s="13"/>
      <c r="L371" s="13" t="s">
        <v>3200</v>
      </c>
      <c r="M371" s="13">
        <v>120700477</v>
      </c>
      <c r="N371" s="18" t="s">
        <v>887</v>
      </c>
      <c r="O371" s="18"/>
      <c r="P371" s="18" t="s">
        <v>3201</v>
      </c>
      <c r="Q371" s="19" t="s">
        <v>1558</v>
      </c>
    </row>
    <row r="372" spans="1:17">
      <c r="A372" s="17"/>
      <c r="B372" s="13" t="s">
        <v>4620</v>
      </c>
      <c r="C372" s="13" t="s">
        <v>4593</v>
      </c>
      <c r="D372" s="13" t="s">
        <v>4621</v>
      </c>
      <c r="E372" s="13" t="s">
        <v>4622</v>
      </c>
      <c r="F372" s="13" t="s">
        <v>4395</v>
      </c>
      <c r="G372" s="13">
        <v>5070886</v>
      </c>
      <c r="H372" s="13">
        <v>3300008120</v>
      </c>
      <c r="I372" s="13" t="s">
        <v>4623</v>
      </c>
      <c r="J372" s="13">
        <v>2171976</v>
      </c>
      <c r="K372" s="13" t="s">
        <v>4624</v>
      </c>
      <c r="L372" s="13" t="s">
        <v>4625</v>
      </c>
      <c r="M372" s="13">
        <v>131002980</v>
      </c>
      <c r="N372" s="18" t="s">
        <v>4399</v>
      </c>
      <c r="O372" s="18" t="s">
        <v>4626</v>
      </c>
      <c r="P372" s="18" t="s">
        <v>873</v>
      </c>
      <c r="Q372" s="19">
        <v>41975</v>
      </c>
    </row>
    <row r="373" spans="1:17">
      <c r="A373" s="17"/>
      <c r="B373" s="13" t="s">
        <v>3097</v>
      </c>
      <c r="C373" s="13" t="s">
        <v>3098</v>
      </c>
      <c r="D373" s="13" t="s">
        <v>3099</v>
      </c>
      <c r="E373" s="13" t="s">
        <v>3100</v>
      </c>
      <c r="F373" s="13" t="s">
        <v>3101</v>
      </c>
      <c r="G373" s="13" t="s">
        <v>3102</v>
      </c>
      <c r="H373" s="13">
        <v>2103497</v>
      </c>
      <c r="I373" s="13" t="s">
        <v>3103</v>
      </c>
      <c r="J373" s="13"/>
      <c r="K373" s="13"/>
      <c r="L373" s="13" t="s">
        <v>3104</v>
      </c>
      <c r="M373" s="13">
        <v>120710512</v>
      </c>
      <c r="N373" s="18" t="s">
        <v>3105</v>
      </c>
      <c r="O373" s="18" t="s">
        <v>3106</v>
      </c>
      <c r="P373" s="18" t="s">
        <v>3107</v>
      </c>
      <c r="Q373" s="19">
        <v>41961</v>
      </c>
    </row>
    <row r="374" spans="1:17">
      <c r="A374" s="17" t="s">
        <v>839</v>
      </c>
      <c r="B374" s="13" t="s">
        <v>2658</v>
      </c>
      <c r="C374" s="13" t="s">
        <v>2659</v>
      </c>
      <c r="D374" s="13" t="s">
        <v>2660</v>
      </c>
      <c r="E374" s="13" t="s">
        <v>694</v>
      </c>
      <c r="F374" s="13" t="s">
        <v>2433</v>
      </c>
      <c r="G374" s="13">
        <v>2119208</v>
      </c>
      <c r="H374" s="13">
        <v>5031912</v>
      </c>
      <c r="I374" s="13" t="s">
        <v>2661</v>
      </c>
      <c r="J374" s="13">
        <v>3300006799</v>
      </c>
      <c r="K374" s="13">
        <v>2117105</v>
      </c>
      <c r="L374" s="13" t="s">
        <v>2662</v>
      </c>
      <c r="M374" s="13">
        <v>120708315</v>
      </c>
      <c r="N374" s="18" t="s">
        <v>2436</v>
      </c>
      <c r="O374" s="18" t="s">
        <v>2663</v>
      </c>
      <c r="P374" s="18" t="s">
        <v>2664</v>
      </c>
      <c r="Q374" s="19" t="s">
        <v>2665</v>
      </c>
    </row>
    <row r="375" spans="1:17">
      <c r="A375" s="17"/>
      <c r="B375" s="13" t="s">
        <v>3815</v>
      </c>
      <c r="C375" s="13" t="s">
        <v>3816</v>
      </c>
      <c r="D375" s="13" t="s">
        <v>3817</v>
      </c>
      <c r="E375" s="13" t="s">
        <v>606</v>
      </c>
      <c r="F375" s="13" t="s">
        <v>3754</v>
      </c>
      <c r="G375" s="13">
        <v>3300005163</v>
      </c>
      <c r="H375" s="13">
        <v>2114755</v>
      </c>
      <c r="I375" s="13">
        <v>3300005165</v>
      </c>
      <c r="J375" s="13" t="s">
        <v>3818</v>
      </c>
      <c r="K375" s="13"/>
      <c r="L375" s="13" t="s">
        <v>3819</v>
      </c>
      <c r="M375" s="13">
        <v>120701252</v>
      </c>
      <c r="N375" s="18" t="s">
        <v>3117</v>
      </c>
      <c r="O375" s="18" t="s">
        <v>3820</v>
      </c>
      <c r="P375" s="18" t="s">
        <v>3821</v>
      </c>
      <c r="Q375" s="19" t="s">
        <v>1132</v>
      </c>
    </row>
    <row r="376" spans="1:17">
      <c r="A376" s="17"/>
      <c r="B376" s="13" t="s">
        <v>3230</v>
      </c>
      <c r="C376" s="13" t="s">
        <v>3231</v>
      </c>
      <c r="D376" s="13" t="s">
        <v>3232</v>
      </c>
      <c r="E376" s="13" t="s">
        <v>3233</v>
      </c>
      <c r="F376" s="13" t="s">
        <v>3101</v>
      </c>
      <c r="G376" s="13" t="s">
        <v>3234</v>
      </c>
      <c r="H376" s="13">
        <v>3300009553</v>
      </c>
      <c r="I376" s="13">
        <v>2172003</v>
      </c>
      <c r="J376" s="13"/>
      <c r="K376" s="13"/>
      <c r="L376" s="13" t="s">
        <v>3235</v>
      </c>
      <c r="M376" s="13">
        <v>140704354</v>
      </c>
      <c r="N376" s="18"/>
      <c r="O376" s="18" t="s">
        <v>3236</v>
      </c>
      <c r="P376" s="18" t="s">
        <v>3237</v>
      </c>
      <c r="Q376" s="19">
        <v>42103</v>
      </c>
    </row>
    <row r="377" spans="1:17">
      <c r="A377" s="17"/>
      <c r="B377" s="13" t="s">
        <v>3603</v>
      </c>
      <c r="C377" s="13" t="s">
        <v>3604</v>
      </c>
      <c r="D377" s="13" t="s">
        <v>130</v>
      </c>
      <c r="E377" s="13" t="s">
        <v>579</v>
      </c>
      <c r="F377" s="13" t="s">
        <v>3558</v>
      </c>
      <c r="G377" s="13" t="s">
        <v>3605</v>
      </c>
      <c r="H377" s="13">
        <v>2177146</v>
      </c>
      <c r="I377" s="13" t="s">
        <v>3606</v>
      </c>
      <c r="J377" s="13"/>
      <c r="K377" s="13"/>
      <c r="L377" s="13" t="s">
        <v>3607</v>
      </c>
      <c r="M377" s="13">
        <v>120700754</v>
      </c>
      <c r="N377" s="18" t="s">
        <v>3478</v>
      </c>
      <c r="O377" s="18"/>
      <c r="P377" s="18" t="s">
        <v>3608</v>
      </c>
      <c r="Q377" s="19" t="s">
        <v>3012</v>
      </c>
    </row>
    <row r="378" spans="1:17">
      <c r="A378" s="17" t="s">
        <v>839</v>
      </c>
      <c r="B378" s="13" t="s">
        <v>2820</v>
      </c>
      <c r="C378" s="13" t="s">
        <v>2821</v>
      </c>
      <c r="D378" s="13" t="s">
        <v>296</v>
      </c>
      <c r="E378" s="13" t="s">
        <v>690</v>
      </c>
      <c r="F378" s="13" t="s">
        <v>2433</v>
      </c>
      <c r="G378" s="13">
        <v>2117094</v>
      </c>
      <c r="H378" s="13">
        <v>5040886</v>
      </c>
      <c r="I378" s="13" t="s">
        <v>2822</v>
      </c>
      <c r="J378" s="13">
        <v>3300009522</v>
      </c>
      <c r="K378" s="13" t="s">
        <v>2823</v>
      </c>
      <c r="L378" s="13" t="s">
        <v>2824</v>
      </c>
      <c r="M378" s="13">
        <v>120708010</v>
      </c>
      <c r="N378" s="18" t="s">
        <v>2436</v>
      </c>
      <c r="O378" s="18" t="s">
        <v>2825</v>
      </c>
      <c r="P378" s="18" t="s">
        <v>2826</v>
      </c>
      <c r="Q378" s="19" t="s">
        <v>2827</v>
      </c>
    </row>
    <row r="379" spans="1:17">
      <c r="A379" s="17" t="s">
        <v>839</v>
      </c>
      <c r="B379" s="13" t="s">
        <v>2900</v>
      </c>
      <c r="C379" s="13" t="s">
        <v>2901</v>
      </c>
      <c r="D379" s="13" t="s">
        <v>387</v>
      </c>
      <c r="E379" s="13" t="s">
        <v>593</v>
      </c>
      <c r="F379" s="13" t="s">
        <v>2830</v>
      </c>
      <c r="G379" s="13" t="s">
        <v>2902</v>
      </c>
      <c r="H379" s="13">
        <v>3300001266</v>
      </c>
      <c r="I379" s="13">
        <v>2171938</v>
      </c>
      <c r="J379" s="13">
        <v>3300001250</v>
      </c>
      <c r="K379" s="13"/>
      <c r="L379" s="13" t="s">
        <v>2903</v>
      </c>
      <c r="M379" s="13">
        <v>121001190</v>
      </c>
      <c r="N379" s="18" t="s">
        <v>887</v>
      </c>
      <c r="O379" s="18"/>
      <c r="P379" s="18" t="s">
        <v>2904</v>
      </c>
      <c r="Q379" s="19" t="s">
        <v>1049</v>
      </c>
    </row>
    <row r="380" spans="1:17">
      <c r="A380" s="17"/>
      <c r="B380" s="13" t="s">
        <v>2553</v>
      </c>
      <c r="C380" s="13" t="s">
        <v>2554</v>
      </c>
      <c r="D380" s="13" t="s">
        <v>2555</v>
      </c>
      <c r="E380" s="13" t="s">
        <v>640</v>
      </c>
      <c r="F380" s="13" t="s">
        <v>2433</v>
      </c>
      <c r="G380" s="13">
        <v>2117068</v>
      </c>
      <c r="H380" s="13">
        <v>5031899</v>
      </c>
      <c r="I380" s="13">
        <v>3300006806</v>
      </c>
      <c r="J380" s="13" t="s">
        <v>2556</v>
      </c>
      <c r="K380" s="13"/>
      <c r="L380" s="13" t="s">
        <v>2557</v>
      </c>
      <c r="M380" s="13">
        <v>120708120</v>
      </c>
      <c r="N380" s="18" t="s">
        <v>2436</v>
      </c>
      <c r="O380" s="18" t="s">
        <v>2558</v>
      </c>
      <c r="P380" s="18" t="s">
        <v>2559</v>
      </c>
      <c r="Q380" s="19" t="s">
        <v>2560</v>
      </c>
    </row>
    <row r="381" spans="1:17">
      <c r="A381" s="17"/>
      <c r="B381" s="13" t="s">
        <v>4740</v>
      </c>
      <c r="C381" s="13" t="s">
        <v>4741</v>
      </c>
      <c r="D381" s="13" t="s">
        <v>4742</v>
      </c>
      <c r="E381" s="13" t="s">
        <v>757</v>
      </c>
      <c r="F381" s="13" t="s">
        <v>4395</v>
      </c>
      <c r="G381" s="13">
        <v>5059292</v>
      </c>
      <c r="H381" s="13" t="s">
        <v>4743</v>
      </c>
      <c r="I381" s="13">
        <v>2114738</v>
      </c>
      <c r="J381" s="13"/>
      <c r="K381" s="13"/>
      <c r="L381" s="13" t="s">
        <v>4744</v>
      </c>
      <c r="M381" s="13">
        <v>140710728</v>
      </c>
      <c r="N381" s="18" t="s">
        <v>4399</v>
      </c>
      <c r="O381" s="18" t="s">
        <v>4745</v>
      </c>
      <c r="P381" s="18" t="s">
        <v>4746</v>
      </c>
      <c r="Q381" s="19"/>
    </row>
    <row r="382" spans="1:17">
      <c r="A382" s="17"/>
      <c r="B382" s="13" t="s">
        <v>3177</v>
      </c>
      <c r="C382" s="13" t="s">
        <v>3178</v>
      </c>
      <c r="D382" s="13" t="s">
        <v>266</v>
      </c>
      <c r="E382" s="13" t="s">
        <v>669</v>
      </c>
      <c r="F382" s="13" t="s">
        <v>3101</v>
      </c>
      <c r="G382" s="13">
        <v>3300004160</v>
      </c>
      <c r="H382" s="13">
        <v>2110274</v>
      </c>
      <c r="I382" s="13">
        <v>5004782</v>
      </c>
      <c r="J382" s="13"/>
      <c r="K382" s="13"/>
      <c r="L382" s="13" t="s">
        <v>3179</v>
      </c>
      <c r="M382" s="13">
        <v>120706160</v>
      </c>
      <c r="N382" s="18" t="s">
        <v>887</v>
      </c>
      <c r="O382" s="18" t="s">
        <v>3180</v>
      </c>
      <c r="P382" s="18" t="s">
        <v>3181</v>
      </c>
      <c r="Q382" s="19" t="s">
        <v>2733</v>
      </c>
    </row>
    <row r="383" spans="1:17">
      <c r="A383" s="17"/>
      <c r="B383" s="13" t="s">
        <v>5467</v>
      </c>
      <c r="C383" s="13" t="s">
        <v>5468</v>
      </c>
      <c r="D383" s="13" t="s">
        <v>329</v>
      </c>
      <c r="E383" s="13" t="s">
        <v>715</v>
      </c>
      <c r="F383" s="13" t="s">
        <v>5164</v>
      </c>
      <c r="G383" s="13">
        <v>2171945</v>
      </c>
      <c r="H383" s="13" t="s">
        <v>5469</v>
      </c>
      <c r="I383" s="13"/>
      <c r="J383" s="13"/>
      <c r="K383" s="13"/>
      <c r="L383" s="13" t="s">
        <v>5470</v>
      </c>
      <c r="M383" s="13">
        <v>120712308</v>
      </c>
      <c r="N383" s="18" t="s">
        <v>4721</v>
      </c>
      <c r="O383" s="18" t="s">
        <v>5471</v>
      </c>
      <c r="P383" s="18" t="s">
        <v>5472</v>
      </c>
      <c r="Q383" s="19" t="s">
        <v>3910</v>
      </c>
    </row>
    <row r="384" spans="1:17">
      <c r="A384" s="17"/>
      <c r="B384" s="13" t="s">
        <v>3576</v>
      </c>
      <c r="C384" s="13" t="s">
        <v>3577</v>
      </c>
      <c r="D384" s="13" t="s">
        <v>125</v>
      </c>
      <c r="E384" s="13" t="s">
        <v>572</v>
      </c>
      <c r="F384" s="13" t="s">
        <v>3558</v>
      </c>
      <c r="G384" s="13">
        <v>2115633</v>
      </c>
      <c r="H384" s="13" t="s">
        <v>3578</v>
      </c>
      <c r="I384" s="13">
        <v>3300001705</v>
      </c>
      <c r="J384" s="13">
        <v>3300001707</v>
      </c>
      <c r="K384" s="13"/>
      <c r="L384" s="13" t="s">
        <v>3579</v>
      </c>
      <c r="M384" s="13">
        <v>120700694</v>
      </c>
      <c r="N384" s="18" t="s">
        <v>3478</v>
      </c>
      <c r="O384" s="18"/>
      <c r="P384" s="18" t="s">
        <v>3580</v>
      </c>
      <c r="Q384" s="19" t="s">
        <v>1356</v>
      </c>
    </row>
    <row r="385" spans="1:17">
      <c r="A385" s="17"/>
      <c r="B385" s="13" t="s">
        <v>3508</v>
      </c>
      <c r="C385" s="13" t="s">
        <v>3509</v>
      </c>
      <c r="D385" s="13" t="s">
        <v>253</v>
      </c>
      <c r="E385" s="13" t="s">
        <v>661</v>
      </c>
      <c r="F385" s="13" t="s">
        <v>3101</v>
      </c>
      <c r="G385" s="13">
        <v>2117067</v>
      </c>
      <c r="H385" s="13" t="s">
        <v>3510</v>
      </c>
      <c r="I385" s="13">
        <v>5031857</v>
      </c>
      <c r="J385" s="13">
        <v>5059368</v>
      </c>
      <c r="K385" s="13">
        <v>3300009734</v>
      </c>
      <c r="L385" s="13" t="s">
        <v>3511</v>
      </c>
      <c r="M385" s="13">
        <v>120705210</v>
      </c>
      <c r="N385" s="18" t="s">
        <v>3117</v>
      </c>
      <c r="O385" s="18" t="s">
        <v>3512</v>
      </c>
      <c r="P385" s="18" t="s">
        <v>3513</v>
      </c>
      <c r="Q385" s="19" t="s">
        <v>882</v>
      </c>
    </row>
    <row r="386" spans="1:17">
      <c r="A386" s="17" t="s">
        <v>4627</v>
      </c>
      <c r="B386" s="13" t="s">
        <v>4628</v>
      </c>
      <c r="C386" s="13" t="s">
        <v>4629</v>
      </c>
      <c r="D386" s="13" t="s">
        <v>4630</v>
      </c>
      <c r="E386" s="13" t="s">
        <v>4631</v>
      </c>
      <c r="F386" s="13" t="s">
        <v>4395</v>
      </c>
      <c r="G386" s="13">
        <v>2103913</v>
      </c>
      <c r="H386" s="13" t="s">
        <v>4632</v>
      </c>
      <c r="I386" s="13">
        <v>3300003610</v>
      </c>
      <c r="J386" s="13"/>
      <c r="K386" s="13">
        <v>2103934</v>
      </c>
      <c r="L386" s="13" t="s">
        <v>4633</v>
      </c>
      <c r="M386" s="13">
        <v>120706060</v>
      </c>
      <c r="N386" s="18" t="s">
        <v>4399</v>
      </c>
      <c r="O386" s="18" t="s">
        <v>4634</v>
      </c>
      <c r="P386" s="18" t="s">
        <v>4635</v>
      </c>
      <c r="Q386" s="19" t="s">
        <v>4636</v>
      </c>
    </row>
    <row r="387" spans="1:17">
      <c r="A387" s="17"/>
      <c r="B387" s="20" t="s">
        <v>6193</v>
      </c>
      <c r="C387" s="20" t="s">
        <v>6194</v>
      </c>
      <c r="D387" s="20" t="s">
        <v>319</v>
      </c>
      <c r="E387" s="20" t="s">
        <v>6188</v>
      </c>
      <c r="F387" s="13" t="s">
        <v>5843</v>
      </c>
      <c r="G387" s="20">
        <v>5014456</v>
      </c>
      <c r="H387" s="20">
        <v>2176445</v>
      </c>
      <c r="I387" s="20">
        <v>3300008142</v>
      </c>
      <c r="J387" s="20"/>
      <c r="K387" s="20"/>
      <c r="L387" s="20" t="s">
        <v>6195</v>
      </c>
      <c r="M387" s="20">
        <v>120710165</v>
      </c>
      <c r="N387" s="18" t="s">
        <v>3105</v>
      </c>
      <c r="O387" s="18"/>
      <c r="P387" s="18" t="s">
        <v>6196</v>
      </c>
      <c r="Q387" s="24"/>
    </row>
    <row r="388" spans="1:17">
      <c r="A388" s="17"/>
      <c r="B388" s="13" t="s">
        <v>1311</v>
      </c>
      <c r="C388" s="13" t="s">
        <v>1312</v>
      </c>
      <c r="D388" s="13" t="s">
        <v>414</v>
      </c>
      <c r="E388" s="13" t="s">
        <v>561</v>
      </c>
      <c r="F388" s="13" t="s">
        <v>844</v>
      </c>
      <c r="G388" s="13">
        <v>2103929</v>
      </c>
      <c r="H388" s="13" t="s">
        <v>1313</v>
      </c>
      <c r="I388" s="13">
        <v>3300009519</v>
      </c>
      <c r="J388" s="13">
        <v>5032248</v>
      </c>
      <c r="K388" s="13"/>
      <c r="L388" s="13" t="s">
        <v>1314</v>
      </c>
      <c r="M388" s="13">
        <v>130702153</v>
      </c>
      <c r="N388" s="18" t="s">
        <v>887</v>
      </c>
      <c r="O388" s="18" t="s">
        <v>1315</v>
      </c>
      <c r="P388" s="18" t="s">
        <v>1316</v>
      </c>
      <c r="Q388" s="19" t="s">
        <v>1317</v>
      </c>
    </row>
    <row r="389" spans="1:17">
      <c r="A389" s="17"/>
      <c r="B389" s="13" t="s">
        <v>5821</v>
      </c>
      <c r="C389" s="13" t="s">
        <v>5822</v>
      </c>
      <c r="D389" s="13" t="s">
        <v>225</v>
      </c>
      <c r="E389" s="13" t="s">
        <v>766</v>
      </c>
      <c r="F389" s="13" t="s">
        <v>5753</v>
      </c>
      <c r="G389" s="13"/>
      <c r="H389" s="13" t="s">
        <v>5823</v>
      </c>
      <c r="I389" s="13">
        <v>3300006792</v>
      </c>
      <c r="J389" s="13"/>
      <c r="K389" s="13"/>
      <c r="L389" s="13" t="s">
        <v>5824</v>
      </c>
      <c r="M389" s="13">
        <v>120704005</v>
      </c>
      <c r="N389" s="18" t="s">
        <v>4721</v>
      </c>
      <c r="O389" s="18" t="s">
        <v>5825</v>
      </c>
      <c r="P389" s="18" t="s">
        <v>5826</v>
      </c>
      <c r="Q389" s="19" t="s">
        <v>4910</v>
      </c>
    </row>
    <row r="390" spans="1:17">
      <c r="A390" s="17"/>
      <c r="B390" s="13" t="s">
        <v>5213</v>
      </c>
      <c r="C390" s="13" t="s">
        <v>5214</v>
      </c>
      <c r="D390" s="13" t="s">
        <v>5215</v>
      </c>
      <c r="E390" s="13" t="s">
        <v>695</v>
      </c>
      <c r="F390" s="13" t="s">
        <v>5164</v>
      </c>
      <c r="G390" s="13">
        <v>2116247</v>
      </c>
      <c r="H390" s="13" t="s">
        <v>5216</v>
      </c>
      <c r="I390" s="13">
        <v>2116263</v>
      </c>
      <c r="J390" s="13">
        <v>3300002934</v>
      </c>
      <c r="K390" s="13"/>
      <c r="L390" s="13" t="s">
        <v>5217</v>
      </c>
      <c r="M390" s="13">
        <v>120707989</v>
      </c>
      <c r="N390" s="18" t="s">
        <v>5091</v>
      </c>
      <c r="O390" s="18" t="s">
        <v>5218</v>
      </c>
      <c r="P390" s="18" t="s">
        <v>5219</v>
      </c>
      <c r="Q390" s="19" t="s">
        <v>5220</v>
      </c>
    </row>
    <row r="391" spans="1:17">
      <c r="A391" s="17"/>
      <c r="B391" s="13" t="s">
        <v>3542</v>
      </c>
      <c r="C391" s="13" t="s">
        <v>3543</v>
      </c>
      <c r="D391" s="13" t="s">
        <v>284</v>
      </c>
      <c r="E391" s="13" t="s">
        <v>682</v>
      </c>
      <c r="F391" s="13" t="s">
        <v>3101</v>
      </c>
      <c r="G391" s="13">
        <v>3300002954</v>
      </c>
      <c r="H391" s="13">
        <v>2103449</v>
      </c>
      <c r="I391" s="13" t="s">
        <v>3544</v>
      </c>
      <c r="J391" s="13"/>
      <c r="K391" s="13"/>
      <c r="L391" s="13" t="s">
        <v>3545</v>
      </c>
      <c r="M391" s="13">
        <v>120707419</v>
      </c>
      <c r="N391" s="18" t="s">
        <v>3117</v>
      </c>
      <c r="O391" s="18" t="s">
        <v>3546</v>
      </c>
      <c r="P391" s="18" t="s">
        <v>3547</v>
      </c>
      <c r="Q391" s="19" t="s">
        <v>3120</v>
      </c>
    </row>
    <row r="392" spans="1:17">
      <c r="A392" s="17"/>
      <c r="B392" s="13" t="s">
        <v>5195</v>
      </c>
      <c r="C392" s="13" t="s">
        <v>5088</v>
      </c>
      <c r="D392" s="13" t="s">
        <v>302</v>
      </c>
      <c r="E392" s="13" t="s">
        <v>697</v>
      </c>
      <c r="F392" s="13" t="s">
        <v>5164</v>
      </c>
      <c r="G392" s="13">
        <v>3300002978</v>
      </c>
      <c r="H392" s="13" t="s">
        <v>5196</v>
      </c>
      <c r="I392" s="13">
        <v>2177350</v>
      </c>
      <c r="J392" s="13"/>
      <c r="K392" s="13"/>
      <c r="L392" s="13" t="s">
        <v>5197</v>
      </c>
      <c r="M392" s="13">
        <v>120708462</v>
      </c>
      <c r="N392" s="18" t="s">
        <v>5091</v>
      </c>
      <c r="O392" s="18" t="s">
        <v>5198</v>
      </c>
      <c r="P392" s="18" t="s">
        <v>5199</v>
      </c>
      <c r="Q392" s="19" t="s">
        <v>1345</v>
      </c>
    </row>
    <row r="393" spans="1:17">
      <c r="A393" s="17"/>
      <c r="B393" s="13" t="s">
        <v>5087</v>
      </c>
      <c r="C393" s="13" t="s">
        <v>5088</v>
      </c>
      <c r="D393" s="13" t="s">
        <v>303</v>
      </c>
      <c r="E393" s="13" t="s">
        <v>671</v>
      </c>
      <c r="F393" s="13" t="s">
        <v>4914</v>
      </c>
      <c r="G393" s="13">
        <v>3300009737</v>
      </c>
      <c r="H393" s="13" t="s">
        <v>5089</v>
      </c>
      <c r="I393" s="13">
        <v>2177348</v>
      </c>
      <c r="J393" s="13"/>
      <c r="K393" s="13"/>
      <c r="L393" s="13" t="s">
        <v>5090</v>
      </c>
      <c r="M393" s="13">
        <v>120708463</v>
      </c>
      <c r="N393" s="18" t="s">
        <v>5091</v>
      </c>
      <c r="O393" s="18" t="s">
        <v>5092</v>
      </c>
      <c r="P393" s="18" t="s">
        <v>5093</v>
      </c>
      <c r="Q393" s="19" t="s">
        <v>5094</v>
      </c>
    </row>
    <row r="394" spans="1:17">
      <c r="A394" s="17"/>
      <c r="B394" s="13" t="s">
        <v>4613</v>
      </c>
      <c r="C394" s="13" t="s">
        <v>4614</v>
      </c>
      <c r="D394" s="13" t="s">
        <v>308</v>
      </c>
      <c r="E394" s="13" t="s">
        <v>704</v>
      </c>
      <c r="F394" s="13" t="s">
        <v>4395</v>
      </c>
      <c r="G394" s="13">
        <v>2114725</v>
      </c>
      <c r="H394" s="13">
        <v>5006421</v>
      </c>
      <c r="I394" s="13" t="s">
        <v>4615</v>
      </c>
      <c r="J394" s="13">
        <v>3300009771</v>
      </c>
      <c r="K394" s="13">
        <v>2172440</v>
      </c>
      <c r="L394" s="13" t="s">
        <v>4616</v>
      </c>
      <c r="M394" s="13">
        <v>120708728</v>
      </c>
      <c r="N394" s="18" t="s">
        <v>4399</v>
      </c>
      <c r="O394" s="18" t="s">
        <v>4617</v>
      </c>
      <c r="P394" s="18" t="s">
        <v>4618</v>
      </c>
      <c r="Q394" s="19" t="s">
        <v>4619</v>
      </c>
    </row>
    <row r="395" spans="1:17">
      <c r="A395" s="17"/>
      <c r="B395" s="13" t="s">
        <v>3723</v>
      </c>
      <c r="C395" s="13" t="s">
        <v>3724</v>
      </c>
      <c r="D395" s="13" t="s">
        <v>247</v>
      </c>
      <c r="E395" s="13" t="s">
        <v>657</v>
      </c>
      <c r="F395" s="13" t="s">
        <v>3558</v>
      </c>
      <c r="G395" s="13" t="s">
        <v>3725</v>
      </c>
      <c r="H395" s="13" t="s">
        <v>3726</v>
      </c>
      <c r="I395" s="13"/>
      <c r="J395" s="13"/>
      <c r="K395" s="13"/>
      <c r="L395" s="13" t="s">
        <v>3727</v>
      </c>
      <c r="M395" s="13">
        <v>120704943</v>
      </c>
      <c r="N395" s="18" t="s">
        <v>3478</v>
      </c>
      <c r="O395" s="18"/>
      <c r="P395" s="18" t="s">
        <v>3728</v>
      </c>
      <c r="Q395" s="19" t="s">
        <v>3729</v>
      </c>
    </row>
    <row r="396" spans="1:17">
      <c r="A396" s="17" t="s">
        <v>839</v>
      </c>
      <c r="B396" s="21" t="s">
        <v>928</v>
      </c>
      <c r="C396" s="21" t="s">
        <v>7</v>
      </c>
      <c r="D396" s="21" t="s">
        <v>929</v>
      </c>
      <c r="E396" s="21" t="s">
        <v>547</v>
      </c>
      <c r="F396" s="13" t="s">
        <v>844</v>
      </c>
      <c r="G396" s="20">
        <v>3300009471</v>
      </c>
      <c r="H396" s="20">
        <v>2110066</v>
      </c>
      <c r="I396" s="20" t="s">
        <v>930</v>
      </c>
      <c r="J396" s="20">
        <v>2110079</v>
      </c>
      <c r="K396" s="20" t="s">
        <v>931</v>
      </c>
      <c r="L396" s="20" t="s">
        <v>932</v>
      </c>
      <c r="M396" s="22">
        <v>120706562</v>
      </c>
      <c r="N396" s="18" t="s">
        <v>896</v>
      </c>
      <c r="O396" s="18" t="s">
        <v>933</v>
      </c>
      <c r="P396" s="18" t="s">
        <v>934</v>
      </c>
      <c r="Q396" s="23" t="s">
        <v>899</v>
      </c>
    </row>
    <row r="397" spans="1:17">
      <c r="A397" s="17"/>
      <c r="B397" s="21" t="s">
        <v>935</v>
      </c>
      <c r="C397" s="21" t="s">
        <v>936</v>
      </c>
      <c r="D397" s="21" t="s">
        <v>937</v>
      </c>
      <c r="E397" s="21" t="s">
        <v>547</v>
      </c>
      <c r="F397" s="13" t="s">
        <v>844</v>
      </c>
      <c r="G397" s="20">
        <v>3300010086</v>
      </c>
      <c r="H397" s="20">
        <v>2116003</v>
      </c>
      <c r="I397" s="20" t="s">
        <v>938</v>
      </c>
      <c r="J397" s="20">
        <v>5046329</v>
      </c>
      <c r="K397" s="20" t="s">
        <v>939</v>
      </c>
      <c r="L397" s="20" t="s">
        <v>940</v>
      </c>
      <c r="M397" s="22">
        <v>120708740</v>
      </c>
      <c r="N397" s="18" t="s">
        <v>896</v>
      </c>
      <c r="O397" s="18" t="s">
        <v>941</v>
      </c>
      <c r="P397" s="18" t="s">
        <v>942</v>
      </c>
      <c r="Q397" s="23" t="s">
        <v>899</v>
      </c>
    </row>
    <row r="398" spans="1:17">
      <c r="A398" s="17"/>
      <c r="B398" s="13" t="s">
        <v>3947</v>
      </c>
      <c r="C398" s="13" t="s">
        <v>3948</v>
      </c>
      <c r="D398" s="13" t="s">
        <v>3949</v>
      </c>
      <c r="E398" s="13" t="s">
        <v>3950</v>
      </c>
      <c r="F398" s="13" t="s">
        <v>3754</v>
      </c>
      <c r="G398" s="13">
        <v>2103502</v>
      </c>
      <c r="H398" s="13" t="s">
        <v>3951</v>
      </c>
      <c r="I398" s="13" t="s">
        <v>3952</v>
      </c>
      <c r="J398" s="13"/>
      <c r="K398" s="13"/>
      <c r="L398" s="13" t="s">
        <v>3953</v>
      </c>
      <c r="M398" s="13">
        <v>150700222</v>
      </c>
      <c r="N398" s="18"/>
      <c r="O398" s="18" t="s">
        <v>3954</v>
      </c>
      <c r="P398" s="18" t="s">
        <v>3955</v>
      </c>
      <c r="Q398" s="19"/>
    </row>
    <row r="399" spans="1:17">
      <c r="A399" s="17"/>
      <c r="B399" s="13" t="s">
        <v>4407</v>
      </c>
      <c r="C399" s="13" t="s">
        <v>4408</v>
      </c>
      <c r="D399" s="13" t="s">
        <v>241</v>
      </c>
      <c r="E399" s="13" t="s">
        <v>654</v>
      </c>
      <c r="F399" s="13" t="s">
        <v>4395</v>
      </c>
      <c r="G399" s="13">
        <v>2115637</v>
      </c>
      <c r="H399" s="13" t="s">
        <v>4409</v>
      </c>
      <c r="I399" s="13" t="s">
        <v>4410</v>
      </c>
      <c r="J399" s="13">
        <v>3300009757</v>
      </c>
      <c r="K399" s="13">
        <v>2115650</v>
      </c>
      <c r="L399" s="13" t="s">
        <v>4411</v>
      </c>
      <c r="M399" s="13">
        <v>120704750</v>
      </c>
      <c r="N399" s="18" t="s">
        <v>4399</v>
      </c>
      <c r="O399" s="18" t="s">
        <v>4412</v>
      </c>
      <c r="P399" s="18" t="s">
        <v>4413</v>
      </c>
      <c r="Q399" s="19" t="s">
        <v>1132</v>
      </c>
    </row>
    <row r="400" spans="1:17">
      <c r="A400" s="17"/>
      <c r="B400" s="20" t="s">
        <v>4374</v>
      </c>
      <c r="C400" s="20" t="s">
        <v>65</v>
      </c>
      <c r="D400" s="20" t="s">
        <v>528</v>
      </c>
      <c r="E400" s="20" t="s">
        <v>818</v>
      </c>
      <c r="F400" s="13" t="s">
        <v>3754</v>
      </c>
      <c r="G400" s="20">
        <v>2087319</v>
      </c>
      <c r="H400" s="20" t="s">
        <v>4375</v>
      </c>
      <c r="I400" s="20">
        <v>3300002833</v>
      </c>
      <c r="J400" s="20" t="s">
        <v>4376</v>
      </c>
      <c r="K400" s="20">
        <v>2087286</v>
      </c>
      <c r="L400" s="20" t="s">
        <v>4377</v>
      </c>
      <c r="M400" s="13">
        <v>150701184</v>
      </c>
      <c r="N400" s="20"/>
      <c r="O400" s="18"/>
      <c r="P400" s="18"/>
      <c r="Q400" s="24">
        <v>42129</v>
      </c>
    </row>
    <row r="401" spans="1:17">
      <c r="A401" s="17" t="s">
        <v>839</v>
      </c>
      <c r="B401" s="13" t="s">
        <v>5876</v>
      </c>
      <c r="C401" s="13" t="s">
        <v>5877</v>
      </c>
      <c r="D401" s="13" t="s">
        <v>68</v>
      </c>
      <c r="E401" s="13" t="s">
        <v>530</v>
      </c>
      <c r="F401" s="13" t="s">
        <v>5843</v>
      </c>
      <c r="G401" s="13">
        <v>3300001708</v>
      </c>
      <c r="H401" s="13">
        <v>5045689</v>
      </c>
      <c r="I401" s="13">
        <v>3300001709</v>
      </c>
      <c r="J401" s="13" t="s">
        <v>5878</v>
      </c>
      <c r="K401" s="13" t="s">
        <v>5879</v>
      </c>
      <c r="L401" s="13" t="s">
        <v>5880</v>
      </c>
      <c r="M401" s="13">
        <v>120700296</v>
      </c>
      <c r="N401" s="18" t="s">
        <v>3105</v>
      </c>
      <c r="O401" s="18" t="s">
        <v>5881</v>
      </c>
      <c r="P401" s="18" t="s">
        <v>5882</v>
      </c>
      <c r="Q401" s="19" t="s">
        <v>5883</v>
      </c>
    </row>
    <row r="402" spans="1:17">
      <c r="A402" s="17" t="s">
        <v>839</v>
      </c>
      <c r="B402" s="13" t="s">
        <v>4213</v>
      </c>
      <c r="C402" s="13" t="s">
        <v>4214</v>
      </c>
      <c r="D402" s="13" t="s">
        <v>199</v>
      </c>
      <c r="E402" s="13" t="s">
        <v>553</v>
      </c>
      <c r="F402" s="13" t="s">
        <v>3754</v>
      </c>
      <c r="G402" s="13">
        <v>5039008</v>
      </c>
      <c r="H402" s="13">
        <v>3300011494</v>
      </c>
      <c r="I402" s="13" t="s">
        <v>4215</v>
      </c>
      <c r="J402" s="13">
        <v>5045663</v>
      </c>
      <c r="K402" s="13">
        <v>2171903</v>
      </c>
      <c r="L402" s="13" t="s">
        <v>4216</v>
      </c>
      <c r="M402" s="13">
        <v>120702149</v>
      </c>
      <c r="N402" s="18" t="s">
        <v>1018</v>
      </c>
      <c r="O402" s="18" t="s">
        <v>4217</v>
      </c>
      <c r="P402" s="18" t="s">
        <v>4218</v>
      </c>
      <c r="Q402" s="19" t="s">
        <v>1080</v>
      </c>
    </row>
    <row r="403" spans="1:17">
      <c r="A403" s="17" t="s">
        <v>839</v>
      </c>
      <c r="B403" s="13" t="s">
        <v>4219</v>
      </c>
      <c r="C403" s="13" t="s">
        <v>4214</v>
      </c>
      <c r="D403" s="13" t="s">
        <v>4220</v>
      </c>
      <c r="E403" s="13" t="s">
        <v>553</v>
      </c>
      <c r="F403" s="13" t="s">
        <v>3754</v>
      </c>
      <c r="G403" s="13">
        <v>2115634</v>
      </c>
      <c r="H403" s="13" t="s">
        <v>4221</v>
      </c>
      <c r="I403" s="13">
        <v>2115639</v>
      </c>
      <c r="J403" s="13">
        <v>5001444</v>
      </c>
      <c r="K403" s="13">
        <v>3300004123</v>
      </c>
      <c r="L403" s="13" t="s">
        <v>4222</v>
      </c>
      <c r="M403" s="13">
        <v>120701990</v>
      </c>
      <c r="N403" s="18" t="s">
        <v>1018</v>
      </c>
      <c r="O403" s="18" t="s">
        <v>4223</v>
      </c>
      <c r="P403" s="18" t="s">
        <v>4224</v>
      </c>
      <c r="Q403" s="19" t="s">
        <v>4225</v>
      </c>
    </row>
    <row r="404" spans="1:17">
      <c r="A404" s="17"/>
      <c r="B404" s="13" t="s">
        <v>1148</v>
      </c>
      <c r="C404" s="13" t="s">
        <v>1149</v>
      </c>
      <c r="D404" s="13" t="s">
        <v>1150</v>
      </c>
      <c r="E404" s="13" t="s">
        <v>662</v>
      </c>
      <c r="F404" s="13" t="s">
        <v>844</v>
      </c>
      <c r="G404" s="13">
        <v>2183589</v>
      </c>
      <c r="H404" s="13">
        <v>5059330</v>
      </c>
      <c r="I404" s="13" t="s">
        <v>1151</v>
      </c>
      <c r="J404" s="13"/>
      <c r="K404" s="13"/>
      <c r="L404" s="13" t="s">
        <v>1152</v>
      </c>
      <c r="M404" s="13">
        <v>130706243</v>
      </c>
      <c r="N404" s="18" t="s">
        <v>856</v>
      </c>
      <c r="O404" s="18" t="s">
        <v>1153</v>
      </c>
      <c r="P404" s="18" t="s">
        <v>1154</v>
      </c>
      <c r="Q404" s="19">
        <v>41842</v>
      </c>
    </row>
    <row r="405" spans="1:17">
      <c r="A405" s="17"/>
      <c r="B405" s="13" t="s">
        <v>3956</v>
      </c>
      <c r="C405" s="13" t="s">
        <v>3957</v>
      </c>
      <c r="D405" s="13" t="s">
        <v>423</v>
      </c>
      <c r="E405" s="13" t="s">
        <v>759</v>
      </c>
      <c r="F405" s="13" t="s">
        <v>3754</v>
      </c>
      <c r="G405" s="13">
        <v>5031835</v>
      </c>
      <c r="H405" s="13">
        <v>2171980</v>
      </c>
      <c r="I405" s="13">
        <v>3300009527</v>
      </c>
      <c r="J405" s="13"/>
      <c r="K405" s="13"/>
      <c r="L405" s="13" t="s">
        <v>3958</v>
      </c>
      <c r="M405" s="13">
        <v>130703004</v>
      </c>
      <c r="N405" s="18" t="s">
        <v>3117</v>
      </c>
      <c r="O405" s="18" t="s">
        <v>3959</v>
      </c>
      <c r="P405" s="18"/>
      <c r="Q405" s="19" t="s">
        <v>866</v>
      </c>
    </row>
    <row r="406" spans="1:17">
      <c r="A406" s="17"/>
      <c r="B406" s="13" t="s">
        <v>4871</v>
      </c>
      <c r="C406" s="13" t="s">
        <v>4872</v>
      </c>
      <c r="D406" s="13" t="s">
        <v>140</v>
      </c>
      <c r="E406" s="13" t="s">
        <v>588</v>
      </c>
      <c r="F406" s="13" t="s">
        <v>4873</v>
      </c>
      <c r="G406" s="13">
        <v>3300003611</v>
      </c>
      <c r="H406" s="13" t="s">
        <v>4874</v>
      </c>
      <c r="I406" s="13">
        <v>2103453</v>
      </c>
      <c r="J406" s="13" t="s">
        <v>4875</v>
      </c>
      <c r="K406" s="13">
        <v>3300003622</v>
      </c>
      <c r="L406" s="13" t="s">
        <v>4876</v>
      </c>
      <c r="M406" s="13">
        <v>120701164</v>
      </c>
      <c r="N406" s="18" t="s">
        <v>4472</v>
      </c>
      <c r="O406" s="18"/>
      <c r="P406" s="18" t="s">
        <v>4877</v>
      </c>
      <c r="Q406" s="19" t="s">
        <v>997</v>
      </c>
    </row>
    <row r="407" spans="1:17">
      <c r="A407" s="17"/>
      <c r="B407" s="13" t="s">
        <v>6401</v>
      </c>
      <c r="C407" s="13" t="s">
        <v>6402</v>
      </c>
      <c r="D407" s="13" t="s">
        <v>6403</v>
      </c>
      <c r="E407" s="13" t="s">
        <v>798</v>
      </c>
      <c r="F407" s="13" t="s">
        <v>5843</v>
      </c>
      <c r="G407" s="13" t="s">
        <v>6404</v>
      </c>
      <c r="H407" s="13">
        <v>5032241</v>
      </c>
      <c r="I407" s="13">
        <v>2103479</v>
      </c>
      <c r="J407" s="13"/>
      <c r="K407" s="13"/>
      <c r="L407" s="13" t="s">
        <v>6405</v>
      </c>
      <c r="M407" s="13">
        <v>120709903</v>
      </c>
      <c r="N407" s="18" t="s">
        <v>3117</v>
      </c>
      <c r="O407" s="18" t="s">
        <v>6406</v>
      </c>
      <c r="P407" s="18" t="s">
        <v>6407</v>
      </c>
      <c r="Q407" s="19" t="s">
        <v>6408</v>
      </c>
    </row>
    <row r="408" spans="1:17">
      <c r="A408" s="17"/>
      <c r="B408" s="13" t="s">
        <v>3661</v>
      </c>
      <c r="C408" s="13" t="s">
        <v>3662</v>
      </c>
      <c r="D408" s="13" t="s">
        <v>3663</v>
      </c>
      <c r="E408" s="13" t="s">
        <v>799</v>
      </c>
      <c r="F408" s="13" t="s">
        <v>3558</v>
      </c>
      <c r="G408" s="13">
        <v>2103523</v>
      </c>
      <c r="H408" s="13" t="s">
        <v>3664</v>
      </c>
      <c r="I408" s="13">
        <v>3300003635</v>
      </c>
      <c r="J408" s="13" t="s">
        <v>3665</v>
      </c>
      <c r="K408" s="13"/>
      <c r="L408" s="13" t="s">
        <v>3666</v>
      </c>
      <c r="M408" s="13">
        <v>120706858</v>
      </c>
      <c r="N408" s="18" t="s">
        <v>3478</v>
      </c>
      <c r="O408" s="18" t="s">
        <v>3667</v>
      </c>
      <c r="P408" s="18" t="s">
        <v>3668</v>
      </c>
      <c r="Q408" s="19" t="s">
        <v>1698</v>
      </c>
    </row>
    <row r="409" spans="1:17">
      <c r="A409" s="17"/>
      <c r="B409" s="28" t="s">
        <v>5699</v>
      </c>
      <c r="C409" s="28" t="s">
        <v>5700</v>
      </c>
      <c r="D409" s="29" t="s">
        <v>5701</v>
      </c>
      <c r="E409" s="29" t="s">
        <v>5702</v>
      </c>
      <c r="F409" s="13" t="s">
        <v>5164</v>
      </c>
      <c r="G409" s="30" t="s">
        <v>5703</v>
      </c>
      <c r="H409" s="30">
        <v>3300012816</v>
      </c>
      <c r="I409" s="30" t="s">
        <v>5704</v>
      </c>
      <c r="J409" s="22"/>
      <c r="K409" s="22"/>
      <c r="L409" s="30" t="s">
        <v>5705</v>
      </c>
      <c r="M409" s="31" t="s">
        <v>5706</v>
      </c>
      <c r="N409" s="18" t="s">
        <v>5091</v>
      </c>
      <c r="O409" s="18"/>
      <c r="P409" s="18" t="s">
        <v>873</v>
      </c>
      <c r="Q409" s="19"/>
    </row>
    <row r="410" spans="1:17">
      <c r="A410" s="17"/>
      <c r="B410" s="13" t="s">
        <v>3783</v>
      </c>
      <c r="C410" s="13" t="s">
        <v>3784</v>
      </c>
      <c r="D410" s="13" t="s">
        <v>391</v>
      </c>
      <c r="E410" s="13" t="s">
        <v>742</v>
      </c>
      <c r="F410" s="13" t="s">
        <v>3754</v>
      </c>
      <c r="G410" s="13">
        <v>2183606</v>
      </c>
      <c r="H410" s="13" t="s">
        <v>3785</v>
      </c>
      <c r="I410" s="13"/>
      <c r="J410" s="13"/>
      <c r="K410" s="13"/>
      <c r="L410" s="13" t="s">
        <v>3786</v>
      </c>
      <c r="M410" s="13">
        <v>130700319</v>
      </c>
      <c r="N410" s="18" t="s">
        <v>3117</v>
      </c>
      <c r="O410" s="18" t="s">
        <v>3787</v>
      </c>
      <c r="P410" s="18" t="s">
        <v>3788</v>
      </c>
      <c r="Q410" s="19" t="s">
        <v>2123</v>
      </c>
    </row>
    <row r="411" spans="1:17">
      <c r="A411" s="17" t="s">
        <v>839</v>
      </c>
      <c r="B411" s="13" t="s">
        <v>2439</v>
      </c>
      <c r="C411" s="13" t="s">
        <v>2440</v>
      </c>
      <c r="D411" s="13" t="s">
        <v>2441</v>
      </c>
      <c r="E411" s="13" t="s">
        <v>2442</v>
      </c>
      <c r="F411" s="13" t="s">
        <v>2433</v>
      </c>
      <c r="G411" s="13">
        <v>1769583</v>
      </c>
      <c r="H411" s="13" t="s">
        <v>2443</v>
      </c>
      <c r="I411" s="13">
        <v>3300002987</v>
      </c>
      <c r="J411" s="13">
        <v>3300011812</v>
      </c>
      <c r="K411" s="13"/>
      <c r="L411" s="13" t="s">
        <v>2444</v>
      </c>
      <c r="M411" s="13">
        <v>120705966</v>
      </c>
      <c r="N411" s="18" t="s">
        <v>2436</v>
      </c>
      <c r="O411" s="18" t="s">
        <v>2445</v>
      </c>
      <c r="P411" s="18" t="s">
        <v>2446</v>
      </c>
      <c r="Q411" s="19" t="s">
        <v>882</v>
      </c>
    </row>
    <row r="412" spans="1:17">
      <c r="A412" s="17" t="s">
        <v>839</v>
      </c>
      <c r="B412" s="13" t="s">
        <v>5970</v>
      </c>
      <c r="C412" s="13" t="s">
        <v>5971</v>
      </c>
      <c r="D412" s="13" t="s">
        <v>270</v>
      </c>
      <c r="E412" s="13" t="s">
        <v>611</v>
      </c>
      <c r="F412" s="13" t="s">
        <v>5843</v>
      </c>
      <c r="G412" s="13">
        <v>2110074</v>
      </c>
      <c r="H412" s="13" t="s">
        <v>5972</v>
      </c>
      <c r="I412" s="13">
        <v>2103950</v>
      </c>
      <c r="J412" s="13">
        <v>3300003613</v>
      </c>
      <c r="K412" s="13">
        <v>2103862</v>
      </c>
      <c r="L412" s="13" t="s">
        <v>5973</v>
      </c>
      <c r="M412" s="13">
        <v>120706452</v>
      </c>
      <c r="N412" s="18" t="s">
        <v>3105</v>
      </c>
      <c r="O412" s="18" t="s">
        <v>5974</v>
      </c>
      <c r="P412" s="18" t="s">
        <v>5975</v>
      </c>
      <c r="Q412" s="19" t="s">
        <v>1990</v>
      </c>
    </row>
    <row r="413" spans="1:17">
      <c r="A413" s="17"/>
      <c r="B413" s="13" t="s">
        <v>5480</v>
      </c>
      <c r="C413" s="13" t="s">
        <v>5481</v>
      </c>
      <c r="D413" s="13" t="s">
        <v>5482</v>
      </c>
      <c r="E413" s="13" t="s">
        <v>693</v>
      </c>
      <c r="F413" s="13" t="s">
        <v>5164</v>
      </c>
      <c r="G413" s="13">
        <v>5042653</v>
      </c>
      <c r="H413" s="13">
        <v>2119184</v>
      </c>
      <c r="I413" s="13" t="s">
        <v>5483</v>
      </c>
      <c r="J413" s="13">
        <v>5042648</v>
      </c>
      <c r="K413" s="13"/>
      <c r="L413" s="13" t="s">
        <v>5484</v>
      </c>
      <c r="M413" s="13">
        <v>120708411</v>
      </c>
      <c r="N413" s="18" t="s">
        <v>5091</v>
      </c>
      <c r="O413" s="18"/>
      <c r="P413" s="18" t="s">
        <v>5485</v>
      </c>
      <c r="Q413" s="19" t="s">
        <v>1616</v>
      </c>
    </row>
    <row r="414" spans="1:17">
      <c r="A414" s="17" t="s">
        <v>839</v>
      </c>
      <c r="B414" s="13" t="s">
        <v>4686</v>
      </c>
      <c r="C414" s="13" t="s">
        <v>4687</v>
      </c>
      <c r="D414" s="13" t="s">
        <v>388</v>
      </c>
      <c r="E414" s="13" t="s">
        <v>708</v>
      </c>
      <c r="F414" s="13" t="s">
        <v>4395</v>
      </c>
      <c r="G414" s="13">
        <v>2103729</v>
      </c>
      <c r="H414" s="13">
        <v>5001440</v>
      </c>
      <c r="I414" s="13" t="s">
        <v>4688</v>
      </c>
      <c r="J414" s="13" t="s">
        <v>4689</v>
      </c>
      <c r="K414" s="13">
        <v>2110114</v>
      </c>
      <c r="L414" s="13" t="s">
        <v>4690</v>
      </c>
      <c r="M414" s="13">
        <v>121003629</v>
      </c>
      <c r="N414" s="18" t="s">
        <v>4399</v>
      </c>
      <c r="O414" s="18" t="s">
        <v>4691</v>
      </c>
      <c r="P414" s="18"/>
      <c r="Q414" s="19" t="s">
        <v>4225</v>
      </c>
    </row>
    <row r="415" spans="1:17">
      <c r="A415" s="17" t="s">
        <v>839</v>
      </c>
      <c r="B415" s="13" t="s">
        <v>2561</v>
      </c>
      <c r="C415" s="13" t="s">
        <v>2562</v>
      </c>
      <c r="D415" s="13" t="s">
        <v>520</v>
      </c>
      <c r="E415" s="13" t="s">
        <v>640</v>
      </c>
      <c r="F415" s="13" t="s">
        <v>2433</v>
      </c>
      <c r="G415" s="13" t="s">
        <v>2563</v>
      </c>
      <c r="H415" s="13">
        <v>3300001668</v>
      </c>
      <c r="I415" s="13">
        <v>2114772</v>
      </c>
      <c r="J415" s="13" t="s">
        <v>2564</v>
      </c>
      <c r="K415" s="13">
        <v>5031820</v>
      </c>
      <c r="L415" s="13" t="s">
        <v>2565</v>
      </c>
      <c r="M415" s="13">
        <v>120701335</v>
      </c>
      <c r="N415" s="18" t="s">
        <v>2436</v>
      </c>
      <c r="O415" s="18" t="s">
        <v>2566</v>
      </c>
      <c r="P415" s="18" t="s">
        <v>2567</v>
      </c>
      <c r="Q415" s="19" t="s">
        <v>1285</v>
      </c>
    </row>
    <row r="416" spans="1:17">
      <c r="A416" s="17"/>
      <c r="B416" s="13" t="s">
        <v>2051</v>
      </c>
      <c r="C416" s="13" t="s">
        <v>2051</v>
      </c>
      <c r="D416" s="13" t="s">
        <v>445</v>
      </c>
      <c r="E416" s="13" t="s">
        <v>577</v>
      </c>
      <c r="F416" s="13" t="s">
        <v>844</v>
      </c>
      <c r="G416" s="13">
        <v>3300009534</v>
      </c>
      <c r="H416" s="13" t="s">
        <v>2052</v>
      </c>
      <c r="I416" s="13">
        <v>5050432</v>
      </c>
      <c r="J416" s="13">
        <v>2084077</v>
      </c>
      <c r="K416" s="13"/>
      <c r="L416" s="13" t="s">
        <v>2053</v>
      </c>
      <c r="M416" s="13">
        <v>130704318</v>
      </c>
      <c r="N416" s="18" t="s">
        <v>856</v>
      </c>
      <c r="O416" s="18" t="s">
        <v>2054</v>
      </c>
      <c r="P416" s="18" t="s">
        <v>873</v>
      </c>
      <c r="Q416" s="19" t="s">
        <v>2055</v>
      </c>
    </row>
    <row r="417" spans="1:17">
      <c r="A417" s="17"/>
      <c r="B417" s="20" t="s">
        <v>4813</v>
      </c>
      <c r="C417" s="20" t="s">
        <v>4813</v>
      </c>
      <c r="D417" s="20" t="s">
        <v>4814</v>
      </c>
      <c r="E417" s="13" t="s">
        <v>700</v>
      </c>
      <c r="F417" s="13" t="s">
        <v>4395</v>
      </c>
      <c r="G417" s="20">
        <v>5049687</v>
      </c>
      <c r="H417" s="20">
        <v>2177329</v>
      </c>
      <c r="I417" s="20">
        <v>3300003621</v>
      </c>
      <c r="J417" s="20"/>
      <c r="K417" s="20"/>
      <c r="L417" s="20" t="s">
        <v>4815</v>
      </c>
      <c r="M417" s="20">
        <v>120708492</v>
      </c>
      <c r="N417" s="18" t="s">
        <v>4399</v>
      </c>
      <c r="O417" s="18"/>
      <c r="P417" s="18" t="s">
        <v>4816</v>
      </c>
      <c r="Q417" s="24">
        <v>41996</v>
      </c>
    </row>
    <row r="418" spans="1:17">
      <c r="A418" s="17" t="s">
        <v>839</v>
      </c>
      <c r="B418" s="13" t="s">
        <v>3295</v>
      </c>
      <c r="C418" s="13" t="s">
        <v>3296</v>
      </c>
      <c r="D418" s="13" t="s">
        <v>252</v>
      </c>
      <c r="E418" s="13" t="s">
        <v>660</v>
      </c>
      <c r="F418" s="13" t="s">
        <v>3101</v>
      </c>
      <c r="G418" s="13">
        <v>3300004159</v>
      </c>
      <c r="H418" s="13">
        <v>2096443</v>
      </c>
      <c r="I418" s="13">
        <v>5004783</v>
      </c>
      <c r="J418" s="13" t="s">
        <v>3297</v>
      </c>
      <c r="K418" s="13" t="s">
        <v>3298</v>
      </c>
      <c r="L418" s="13" t="s">
        <v>3299</v>
      </c>
      <c r="M418" s="13">
        <v>120705175</v>
      </c>
      <c r="N418" s="18" t="s">
        <v>887</v>
      </c>
      <c r="O418" s="18" t="s">
        <v>3300</v>
      </c>
      <c r="P418" s="18" t="s">
        <v>3301</v>
      </c>
      <c r="Q418" s="19" t="s">
        <v>1295</v>
      </c>
    </row>
    <row r="419" spans="1:17">
      <c r="A419" s="17"/>
      <c r="B419" s="13" t="s">
        <v>4692</v>
      </c>
      <c r="C419" s="13" t="s">
        <v>4693</v>
      </c>
      <c r="D419" s="13" t="s">
        <v>4694</v>
      </c>
      <c r="E419" s="13" t="s">
        <v>708</v>
      </c>
      <c r="F419" s="13" t="s">
        <v>4395</v>
      </c>
      <c r="G419" s="13">
        <v>2114760</v>
      </c>
      <c r="H419" s="13" t="s">
        <v>4695</v>
      </c>
      <c r="I419" s="13">
        <v>5059307</v>
      </c>
      <c r="J419" s="13"/>
      <c r="K419" s="13"/>
      <c r="L419" s="13" t="s">
        <v>4696</v>
      </c>
      <c r="M419" s="13">
        <v>131003783</v>
      </c>
      <c r="N419" s="18" t="s">
        <v>4399</v>
      </c>
      <c r="O419" s="18" t="s">
        <v>4697</v>
      </c>
      <c r="P419" s="18" t="s">
        <v>873</v>
      </c>
      <c r="Q419" s="19">
        <v>41842</v>
      </c>
    </row>
    <row r="420" spans="1:17">
      <c r="A420" s="17"/>
      <c r="B420" s="13" t="s">
        <v>1174</v>
      </c>
      <c r="C420" s="13" t="s">
        <v>1175</v>
      </c>
      <c r="D420" s="13" t="s">
        <v>1176</v>
      </c>
      <c r="E420" s="13" t="s">
        <v>809</v>
      </c>
      <c r="F420" s="13" t="s">
        <v>844</v>
      </c>
      <c r="G420" s="13">
        <v>3300009824</v>
      </c>
      <c r="H420" s="13"/>
      <c r="I420" s="13">
        <v>2171919</v>
      </c>
      <c r="J420" s="13">
        <v>5049679</v>
      </c>
      <c r="K420" s="13"/>
      <c r="L420" s="13" t="s">
        <v>1177</v>
      </c>
      <c r="M420" s="13">
        <v>130702618</v>
      </c>
      <c r="N420" s="18" t="s">
        <v>856</v>
      </c>
      <c r="O420" s="18" t="s">
        <v>1178</v>
      </c>
      <c r="P420" s="18" t="s">
        <v>1179</v>
      </c>
      <c r="Q420" s="19" t="s">
        <v>1180</v>
      </c>
    </row>
    <row r="421" spans="1:17">
      <c r="A421" s="17" t="s">
        <v>839</v>
      </c>
      <c r="B421" s="13" t="s">
        <v>3850</v>
      </c>
      <c r="C421" s="13" t="s">
        <v>3851</v>
      </c>
      <c r="D421" s="13" t="s">
        <v>317</v>
      </c>
      <c r="E421" s="13" t="s">
        <v>549</v>
      </c>
      <c r="F421" s="13" t="s">
        <v>3754</v>
      </c>
      <c r="G421" s="13" t="s">
        <v>3852</v>
      </c>
      <c r="H421" s="13">
        <v>5050455</v>
      </c>
      <c r="I421" s="13">
        <v>2171907</v>
      </c>
      <c r="J421" s="13">
        <v>3300002810</v>
      </c>
      <c r="K421" s="13" t="s">
        <v>3853</v>
      </c>
      <c r="L421" s="13" t="s">
        <v>3854</v>
      </c>
      <c r="M421" s="13">
        <v>120709723</v>
      </c>
      <c r="N421" s="18" t="s">
        <v>3478</v>
      </c>
      <c r="O421" s="18"/>
      <c r="P421" s="18" t="s">
        <v>3855</v>
      </c>
      <c r="Q421" s="19" t="s">
        <v>3828</v>
      </c>
    </row>
    <row r="422" spans="1:17">
      <c r="A422" s="17"/>
      <c r="B422" s="13" t="s">
        <v>4733</v>
      </c>
      <c r="C422" s="13" t="s">
        <v>4733</v>
      </c>
      <c r="D422" s="13" t="s">
        <v>4734</v>
      </c>
      <c r="E422" s="13" t="s">
        <v>4735</v>
      </c>
      <c r="F422" s="13" t="s">
        <v>4395</v>
      </c>
      <c r="G422" s="13" t="s">
        <v>4736</v>
      </c>
      <c r="H422" s="13">
        <v>3300002832</v>
      </c>
      <c r="I422" s="13">
        <v>2183513</v>
      </c>
      <c r="J422" s="13" t="s">
        <v>4737</v>
      </c>
      <c r="K422" s="13">
        <v>2199638</v>
      </c>
      <c r="L422" s="13" t="s">
        <v>4738</v>
      </c>
      <c r="M422" s="13">
        <v>140703136</v>
      </c>
      <c r="N422" s="18"/>
      <c r="O422" s="18" t="s">
        <v>4739</v>
      </c>
      <c r="P422" s="18"/>
      <c r="Q422" s="19">
        <v>42110</v>
      </c>
    </row>
    <row r="423" spans="1:17">
      <c r="A423" s="17"/>
      <c r="B423" s="28" t="s">
        <v>4733</v>
      </c>
      <c r="C423" s="28" t="s">
        <v>4733</v>
      </c>
      <c r="D423" s="29" t="s">
        <v>4798</v>
      </c>
      <c r="E423" s="29" t="s">
        <v>4799</v>
      </c>
      <c r="F423" s="22" t="s">
        <v>4395</v>
      </c>
      <c r="G423" s="30" t="s">
        <v>4800</v>
      </c>
      <c r="H423" s="30" t="s">
        <v>4801</v>
      </c>
      <c r="I423" s="30">
        <v>3300011493</v>
      </c>
      <c r="J423" s="30" t="s">
        <v>4802</v>
      </c>
      <c r="K423" s="30" t="s">
        <v>4803</v>
      </c>
      <c r="L423" s="30" t="s">
        <v>4804</v>
      </c>
      <c r="M423" s="31" t="s">
        <v>4805</v>
      </c>
      <c r="N423" s="18" t="s">
        <v>4472</v>
      </c>
      <c r="O423" s="18"/>
      <c r="P423" s="18" t="s">
        <v>4806</v>
      </c>
      <c r="Q423" s="19"/>
    </row>
    <row r="424" spans="1:17">
      <c r="A424" s="17"/>
      <c r="B424" s="13" t="s">
        <v>5266</v>
      </c>
      <c r="C424" s="13" t="s">
        <v>5267</v>
      </c>
      <c r="D424" s="13" t="s">
        <v>5268</v>
      </c>
      <c r="E424" s="13" t="s">
        <v>790</v>
      </c>
      <c r="F424" s="13" t="s">
        <v>5164</v>
      </c>
      <c r="G424" s="13">
        <v>5070884</v>
      </c>
      <c r="H424" s="13">
        <v>2103861</v>
      </c>
      <c r="I424" s="13">
        <v>3300008164</v>
      </c>
      <c r="J424" s="13"/>
      <c r="K424" s="13"/>
      <c r="L424" s="13" t="s">
        <v>5269</v>
      </c>
      <c r="M424" s="13">
        <v>140700027</v>
      </c>
      <c r="N424" s="18" t="s">
        <v>4721</v>
      </c>
      <c r="O424" s="18"/>
      <c r="P424" s="18" t="s">
        <v>5270</v>
      </c>
      <c r="Q424" s="19">
        <v>41982</v>
      </c>
    </row>
    <row r="425" spans="1:17">
      <c r="A425" s="17"/>
      <c r="B425" s="13" t="s">
        <v>2244</v>
      </c>
      <c r="C425" s="13" t="s">
        <v>55</v>
      </c>
      <c r="D425" s="13" t="s">
        <v>2245</v>
      </c>
      <c r="E425" s="13" t="s">
        <v>805</v>
      </c>
      <c r="F425" s="20" t="s">
        <v>2191</v>
      </c>
      <c r="G425" s="13">
        <v>5031876</v>
      </c>
      <c r="H425" s="13">
        <v>3300002936</v>
      </c>
      <c r="I425" s="13" t="s">
        <v>2246</v>
      </c>
      <c r="J425" s="13">
        <v>2114724</v>
      </c>
      <c r="K425" s="13">
        <v>5004781</v>
      </c>
      <c r="L425" s="13" t="s">
        <v>2247</v>
      </c>
      <c r="M425" s="13">
        <v>140702743</v>
      </c>
      <c r="N425" s="18" t="s">
        <v>847</v>
      </c>
      <c r="O425" s="18" t="s">
        <v>2248</v>
      </c>
      <c r="P425" s="18" t="s">
        <v>2249</v>
      </c>
      <c r="Q425" s="19">
        <v>41927</v>
      </c>
    </row>
    <row r="426" spans="1:17">
      <c r="A426" s="17" t="s">
        <v>839</v>
      </c>
      <c r="B426" s="13" t="s">
        <v>1462</v>
      </c>
      <c r="C426" s="13" t="s">
        <v>1463</v>
      </c>
      <c r="D426" s="13" t="s">
        <v>1464</v>
      </c>
      <c r="E426" s="13" t="s">
        <v>566</v>
      </c>
      <c r="F426" s="13" t="s">
        <v>844</v>
      </c>
      <c r="G426" s="13">
        <v>2103884</v>
      </c>
      <c r="H426" s="13">
        <v>2103892</v>
      </c>
      <c r="I426" s="13">
        <v>3300009746</v>
      </c>
      <c r="J426" s="13">
        <v>5050439</v>
      </c>
      <c r="K426" s="13" t="s">
        <v>1465</v>
      </c>
      <c r="L426" s="13" t="s">
        <v>1466</v>
      </c>
      <c r="M426" s="13">
        <v>120701375</v>
      </c>
      <c r="N426" s="18" t="s">
        <v>879</v>
      </c>
      <c r="O426" s="18" t="s">
        <v>1467</v>
      </c>
      <c r="P426" s="18" t="s">
        <v>1468</v>
      </c>
      <c r="Q426" s="19" t="s">
        <v>1469</v>
      </c>
    </row>
    <row r="427" spans="1:17">
      <c r="A427" s="17"/>
      <c r="B427" s="28" t="s">
        <v>5127</v>
      </c>
      <c r="C427" s="28" t="s">
        <v>5128</v>
      </c>
      <c r="D427" s="29" t="s">
        <v>5129</v>
      </c>
      <c r="E427" s="29" t="s">
        <v>686</v>
      </c>
      <c r="F427" s="13" t="s">
        <v>4914</v>
      </c>
      <c r="G427" s="30">
        <v>41740</v>
      </c>
      <c r="H427" s="30" t="s">
        <v>5130</v>
      </c>
      <c r="I427" s="30"/>
      <c r="J427" s="30"/>
      <c r="K427" s="30" t="s">
        <v>5131</v>
      </c>
      <c r="L427" s="30" t="s">
        <v>5132</v>
      </c>
      <c r="M427" s="31" t="s">
        <v>5133</v>
      </c>
      <c r="N427" s="18" t="s">
        <v>4721</v>
      </c>
      <c r="O427" s="18" t="s">
        <v>5134</v>
      </c>
      <c r="P427" s="18" t="s">
        <v>5135</v>
      </c>
      <c r="Q427" s="19"/>
    </row>
    <row r="428" spans="1:17">
      <c r="A428" s="17"/>
      <c r="B428" s="13" t="s">
        <v>1896</v>
      </c>
      <c r="C428" s="13" t="s">
        <v>1897</v>
      </c>
      <c r="D428" s="13" t="s">
        <v>337</v>
      </c>
      <c r="E428" s="13" t="s">
        <v>721</v>
      </c>
      <c r="F428" s="13" t="s">
        <v>844</v>
      </c>
      <c r="G428" s="13" t="s">
        <v>1898</v>
      </c>
      <c r="H428" s="13">
        <v>3300002829</v>
      </c>
      <c r="I428" s="13" t="s">
        <v>1899</v>
      </c>
      <c r="J428" s="13">
        <v>2103872</v>
      </c>
      <c r="K428" s="13">
        <v>5045673</v>
      </c>
      <c r="L428" s="13" t="s">
        <v>1900</v>
      </c>
      <c r="M428" s="13">
        <v>120800431</v>
      </c>
      <c r="N428" s="18" t="s">
        <v>887</v>
      </c>
      <c r="O428" s="18" t="s">
        <v>1901</v>
      </c>
      <c r="P428" s="18" t="s">
        <v>1902</v>
      </c>
      <c r="Q428" s="19" t="s">
        <v>1127</v>
      </c>
    </row>
    <row r="429" spans="1:17">
      <c r="A429" s="17"/>
      <c r="B429" s="13" t="s">
        <v>5715</v>
      </c>
      <c r="C429" s="13" t="s">
        <v>5716</v>
      </c>
      <c r="D429" s="13" t="s">
        <v>5717</v>
      </c>
      <c r="E429" s="13" t="s">
        <v>720</v>
      </c>
      <c r="F429" s="13" t="s">
        <v>5709</v>
      </c>
      <c r="G429" s="13">
        <v>2114723</v>
      </c>
      <c r="H429" s="13">
        <v>3300002962</v>
      </c>
      <c r="I429" s="13">
        <v>2114769</v>
      </c>
      <c r="J429" s="13"/>
      <c r="K429" s="13"/>
      <c r="L429" s="13" t="s">
        <v>5718</v>
      </c>
      <c r="M429" s="13">
        <v>120804264</v>
      </c>
      <c r="N429" s="18" t="s">
        <v>4399</v>
      </c>
      <c r="O429" s="18" t="s">
        <v>5719</v>
      </c>
      <c r="P429" s="18" t="s">
        <v>5720</v>
      </c>
      <c r="Q429" s="19" t="s">
        <v>1490</v>
      </c>
    </row>
    <row r="430" spans="1:17">
      <c r="A430" s="17" t="s">
        <v>839</v>
      </c>
      <c r="B430" s="13" t="s">
        <v>1868</v>
      </c>
      <c r="C430" s="13" t="s">
        <v>31</v>
      </c>
      <c r="D430" s="13" t="s">
        <v>1869</v>
      </c>
      <c r="E430" s="13" t="s">
        <v>797</v>
      </c>
      <c r="F430" s="13" t="s">
        <v>844</v>
      </c>
      <c r="G430" s="13">
        <v>2116295</v>
      </c>
      <c r="H430" s="13" t="s">
        <v>1870</v>
      </c>
      <c r="I430" s="13">
        <v>2116293</v>
      </c>
      <c r="J430" s="13">
        <v>3300002944</v>
      </c>
      <c r="K430" s="13" t="s">
        <v>1871</v>
      </c>
      <c r="L430" s="13" t="s">
        <v>1872</v>
      </c>
      <c r="M430" s="13">
        <v>120807841</v>
      </c>
      <c r="N430" s="18" t="s">
        <v>879</v>
      </c>
      <c r="O430" s="18"/>
      <c r="P430" s="18" t="s">
        <v>1873</v>
      </c>
      <c r="Q430" s="19" t="s">
        <v>1874</v>
      </c>
    </row>
    <row r="431" spans="1:17">
      <c r="A431" s="17" t="s">
        <v>839</v>
      </c>
      <c r="B431" s="13" t="s">
        <v>4329</v>
      </c>
      <c r="C431" s="13" t="s">
        <v>4330</v>
      </c>
      <c r="D431" s="13" t="s">
        <v>431</v>
      </c>
      <c r="E431" s="13" t="s">
        <v>765</v>
      </c>
      <c r="F431" s="13" t="s">
        <v>3754</v>
      </c>
      <c r="G431" s="13">
        <v>2177693</v>
      </c>
      <c r="H431" s="13" t="s">
        <v>4331</v>
      </c>
      <c r="I431" s="13" t="s">
        <v>4332</v>
      </c>
      <c r="J431" s="13">
        <v>3400001175</v>
      </c>
      <c r="K431" s="13">
        <v>3400001161</v>
      </c>
      <c r="L431" s="13" t="s">
        <v>4333</v>
      </c>
      <c r="M431" s="13">
        <v>130703265</v>
      </c>
      <c r="N431" s="18" t="s">
        <v>1018</v>
      </c>
      <c r="O431" s="18" t="s">
        <v>4334</v>
      </c>
      <c r="P431" s="18"/>
      <c r="Q431" s="19" t="s">
        <v>4335</v>
      </c>
    </row>
    <row r="432" spans="1:17">
      <c r="A432" s="17" t="s">
        <v>839</v>
      </c>
      <c r="B432" s="13" t="s">
        <v>4336</v>
      </c>
      <c r="C432" s="13" t="s">
        <v>4337</v>
      </c>
      <c r="D432" s="13" t="s">
        <v>4338</v>
      </c>
      <c r="E432" s="13" t="s">
        <v>765</v>
      </c>
      <c r="F432" s="13" t="s">
        <v>3754</v>
      </c>
      <c r="G432" s="13">
        <v>2183593</v>
      </c>
      <c r="H432" s="13">
        <v>3300009751</v>
      </c>
      <c r="I432" s="13" t="s">
        <v>4339</v>
      </c>
      <c r="J432" s="13">
        <v>5031840</v>
      </c>
      <c r="K432" s="13">
        <v>2183542</v>
      </c>
      <c r="L432" s="13" t="s">
        <v>4340</v>
      </c>
      <c r="M432" s="13">
        <v>140702586</v>
      </c>
      <c r="N432" s="18" t="s">
        <v>1018</v>
      </c>
      <c r="O432" s="18" t="s">
        <v>4341</v>
      </c>
      <c r="P432" s="18"/>
      <c r="Q432" s="19">
        <v>41891</v>
      </c>
    </row>
    <row r="433" spans="1:17">
      <c r="A433" s="17" t="s">
        <v>839</v>
      </c>
      <c r="B433" s="13" t="s">
        <v>2017</v>
      </c>
      <c r="C433" s="13" t="s">
        <v>2018</v>
      </c>
      <c r="D433" s="13" t="s">
        <v>2019</v>
      </c>
      <c r="E433" s="13" t="s">
        <v>767</v>
      </c>
      <c r="F433" s="13" t="s">
        <v>844</v>
      </c>
      <c r="G433" s="13" t="s">
        <v>2020</v>
      </c>
      <c r="H433" s="13">
        <v>3300009530</v>
      </c>
      <c r="I433" s="13">
        <v>2172000</v>
      </c>
      <c r="J433" s="13">
        <v>5049681</v>
      </c>
      <c r="K433" s="13">
        <v>2103724</v>
      </c>
      <c r="L433" s="13" t="s">
        <v>2021</v>
      </c>
      <c r="M433" s="13">
        <v>130702547</v>
      </c>
      <c r="N433" s="18" t="s">
        <v>847</v>
      </c>
      <c r="O433" s="18"/>
      <c r="P433" s="18"/>
      <c r="Q433" s="19" t="s">
        <v>1180</v>
      </c>
    </row>
    <row r="434" spans="1:17">
      <c r="A434" s="17"/>
      <c r="B434" s="13" t="s">
        <v>4884</v>
      </c>
      <c r="C434" s="13" t="s">
        <v>4885</v>
      </c>
      <c r="D434" s="13" t="s">
        <v>4886</v>
      </c>
      <c r="E434" s="13" t="s">
        <v>800</v>
      </c>
      <c r="F434" s="13" t="s">
        <v>4873</v>
      </c>
      <c r="G434" s="13" t="s">
        <v>4887</v>
      </c>
      <c r="H434" s="13">
        <v>3300009528</v>
      </c>
      <c r="I434" s="13">
        <v>2171989</v>
      </c>
      <c r="J434" s="13"/>
      <c r="K434" s="13"/>
      <c r="L434" s="13" t="s">
        <v>4888</v>
      </c>
      <c r="M434" s="13">
        <v>130701774</v>
      </c>
      <c r="N434" s="18" t="s">
        <v>4472</v>
      </c>
      <c r="O434" s="18" t="s">
        <v>4889</v>
      </c>
      <c r="P434" s="18" t="s">
        <v>4890</v>
      </c>
      <c r="Q434" s="19" t="s">
        <v>866</v>
      </c>
    </row>
    <row r="435" spans="1:17">
      <c r="A435" s="17"/>
      <c r="B435" s="13" t="s">
        <v>6042</v>
      </c>
      <c r="C435" s="13" t="s">
        <v>6043</v>
      </c>
      <c r="D435" s="13" t="s">
        <v>264</v>
      </c>
      <c r="E435" s="13" t="s">
        <v>667</v>
      </c>
      <c r="F435" s="13" t="s">
        <v>5843</v>
      </c>
      <c r="G435" s="13">
        <v>2103719</v>
      </c>
      <c r="H435" s="13" t="s">
        <v>6044</v>
      </c>
      <c r="I435" s="13">
        <v>2110153</v>
      </c>
      <c r="J435" s="13"/>
      <c r="K435" s="13"/>
      <c r="L435" s="13" t="s">
        <v>6045</v>
      </c>
      <c r="M435" s="13">
        <v>120706063</v>
      </c>
      <c r="N435" s="18" t="s">
        <v>3105</v>
      </c>
      <c r="O435" s="18" t="s">
        <v>6046</v>
      </c>
      <c r="P435" s="18" t="s">
        <v>6047</v>
      </c>
      <c r="Q435" s="19" t="s">
        <v>2494</v>
      </c>
    </row>
    <row r="436" spans="1:17">
      <c r="A436" s="17"/>
      <c r="B436" s="13" t="s">
        <v>5355</v>
      </c>
      <c r="C436" s="13" t="s">
        <v>5356</v>
      </c>
      <c r="D436" s="13" t="s">
        <v>5357</v>
      </c>
      <c r="E436" s="13" t="s">
        <v>651</v>
      </c>
      <c r="F436" s="13" t="s">
        <v>5164</v>
      </c>
      <c r="G436" s="13">
        <v>2115870</v>
      </c>
      <c r="H436" s="13">
        <v>3300002925</v>
      </c>
      <c r="I436" s="13" t="s">
        <v>5358</v>
      </c>
      <c r="J436" s="13">
        <v>5014442</v>
      </c>
      <c r="K436" s="13">
        <v>2114770</v>
      </c>
      <c r="L436" s="13" t="s">
        <v>5359</v>
      </c>
      <c r="M436" s="13">
        <v>140704335</v>
      </c>
      <c r="N436" s="18"/>
      <c r="O436" s="18" t="s">
        <v>5360</v>
      </c>
      <c r="P436" s="18" t="s">
        <v>5361</v>
      </c>
      <c r="Q436" s="19">
        <v>42101</v>
      </c>
    </row>
    <row r="437" spans="1:17">
      <c r="A437" s="17"/>
      <c r="B437" s="21" t="s">
        <v>943</v>
      </c>
      <c r="C437" s="21" t="s">
        <v>944</v>
      </c>
      <c r="D437" s="21" t="s">
        <v>945</v>
      </c>
      <c r="E437" s="21" t="s">
        <v>547</v>
      </c>
      <c r="F437" s="13" t="s">
        <v>844</v>
      </c>
      <c r="G437" s="20">
        <v>3300010698</v>
      </c>
      <c r="H437" s="20">
        <v>2177125</v>
      </c>
      <c r="I437" s="20" t="s">
        <v>946</v>
      </c>
      <c r="J437" s="20">
        <v>5050502</v>
      </c>
      <c r="K437" s="20" t="s">
        <v>947</v>
      </c>
      <c r="L437" s="20" t="s">
        <v>948</v>
      </c>
      <c r="M437" s="22">
        <v>120713093</v>
      </c>
      <c r="N437" s="18" t="s">
        <v>896</v>
      </c>
      <c r="O437" s="18" t="s">
        <v>949</v>
      </c>
      <c r="P437" s="18" t="s">
        <v>950</v>
      </c>
      <c r="Q437" s="23" t="s">
        <v>899</v>
      </c>
    </row>
    <row r="438" spans="1:17">
      <c r="A438" s="17"/>
      <c r="B438" s="28" t="s">
        <v>5301</v>
      </c>
      <c r="C438" s="28" t="s">
        <v>5302</v>
      </c>
      <c r="D438" s="29" t="s">
        <v>5303</v>
      </c>
      <c r="E438" s="29" t="s">
        <v>5032</v>
      </c>
      <c r="F438" s="13" t="s">
        <v>5164</v>
      </c>
      <c r="G438" s="30" t="s">
        <v>5304</v>
      </c>
      <c r="H438" s="30" t="s">
        <v>5305</v>
      </c>
      <c r="I438" s="30" t="s">
        <v>5306</v>
      </c>
      <c r="J438" s="30" t="s">
        <v>5307</v>
      </c>
      <c r="K438" s="30">
        <v>3300012285</v>
      </c>
      <c r="L438" s="30" t="s">
        <v>5308</v>
      </c>
      <c r="M438" s="31" t="s">
        <v>5309</v>
      </c>
      <c r="N438" s="18" t="s">
        <v>4424</v>
      </c>
      <c r="O438" s="18" t="s">
        <v>5310</v>
      </c>
      <c r="P438" s="18" t="s">
        <v>5311</v>
      </c>
      <c r="Q438" s="19"/>
    </row>
    <row r="439" spans="1:17">
      <c r="A439" s="17"/>
      <c r="B439" s="13" t="s">
        <v>1351</v>
      </c>
      <c r="C439" s="13" t="s">
        <v>1216</v>
      </c>
      <c r="D439" s="13" t="s">
        <v>92</v>
      </c>
      <c r="E439" s="13" t="s">
        <v>551</v>
      </c>
      <c r="F439" s="13" t="s">
        <v>844</v>
      </c>
      <c r="G439" s="13" t="s">
        <v>1352</v>
      </c>
      <c r="H439" s="13">
        <v>2171924</v>
      </c>
      <c r="I439" s="13">
        <v>5045665</v>
      </c>
      <c r="J439" s="13">
        <v>3300002983</v>
      </c>
      <c r="K439" s="13"/>
      <c r="L439" s="13" t="s">
        <v>1353</v>
      </c>
      <c r="M439" s="13">
        <v>120700498</v>
      </c>
      <c r="N439" s="18" t="s">
        <v>879</v>
      </c>
      <c r="O439" s="18" t="s">
        <v>1354</v>
      </c>
      <c r="P439" s="18" t="s">
        <v>1355</v>
      </c>
      <c r="Q439" s="19" t="s">
        <v>1356</v>
      </c>
    </row>
    <row r="440" spans="1:17">
      <c r="A440" s="17"/>
      <c r="B440" s="13" t="s">
        <v>1617</v>
      </c>
      <c r="C440" s="13" t="s">
        <v>1618</v>
      </c>
      <c r="D440" s="13" t="s">
        <v>1619</v>
      </c>
      <c r="E440" s="13" t="s">
        <v>568</v>
      </c>
      <c r="F440" s="13" t="s">
        <v>844</v>
      </c>
      <c r="G440" s="13">
        <v>2171943</v>
      </c>
      <c r="H440" s="13">
        <v>3300010055</v>
      </c>
      <c r="I440" s="13"/>
      <c r="J440" s="13"/>
      <c r="K440" s="13"/>
      <c r="L440" s="13" t="s">
        <v>1620</v>
      </c>
      <c r="M440" s="13">
        <v>120700638</v>
      </c>
      <c r="N440" s="18" t="s">
        <v>847</v>
      </c>
      <c r="O440" s="18" t="s">
        <v>1621</v>
      </c>
      <c r="P440" s="18" t="s">
        <v>1622</v>
      </c>
      <c r="Q440" s="19" t="s">
        <v>1623</v>
      </c>
    </row>
    <row r="441" spans="1:17">
      <c r="A441" s="17"/>
      <c r="B441" s="13" t="s">
        <v>3152</v>
      </c>
      <c r="C441" s="13" t="s">
        <v>3153</v>
      </c>
      <c r="D441" s="13" t="s">
        <v>3154</v>
      </c>
      <c r="E441" s="13" t="s">
        <v>656</v>
      </c>
      <c r="F441" s="13" t="s">
        <v>3101</v>
      </c>
      <c r="G441" s="13" t="s">
        <v>3155</v>
      </c>
      <c r="H441" s="13">
        <v>2115671</v>
      </c>
      <c r="I441" s="13">
        <v>3300009819</v>
      </c>
      <c r="J441" s="13"/>
      <c r="K441" s="13"/>
      <c r="L441" s="13" t="s">
        <v>3156</v>
      </c>
      <c r="M441" s="13">
        <v>140701123</v>
      </c>
      <c r="N441" s="18" t="s">
        <v>3117</v>
      </c>
      <c r="O441" s="18" t="s">
        <v>3157</v>
      </c>
      <c r="P441" s="18" t="s">
        <v>3158</v>
      </c>
      <c r="Q441" s="19">
        <v>41977</v>
      </c>
    </row>
    <row r="442" spans="1:17">
      <c r="A442" s="17"/>
      <c r="B442" s="13" t="s">
        <v>1875</v>
      </c>
      <c r="C442" s="13" t="s">
        <v>1876</v>
      </c>
      <c r="D442" s="13" t="s">
        <v>410</v>
      </c>
      <c r="E442" s="13" t="s">
        <v>751</v>
      </c>
      <c r="F442" s="13" t="s">
        <v>844</v>
      </c>
      <c r="G442" s="13">
        <v>2116283</v>
      </c>
      <c r="H442" s="13" t="s">
        <v>1877</v>
      </c>
      <c r="I442" s="13">
        <v>3300006525</v>
      </c>
      <c r="J442" s="13">
        <v>2119232</v>
      </c>
      <c r="K442" s="13"/>
      <c r="L442" s="13" t="s">
        <v>1878</v>
      </c>
      <c r="M442" s="13">
        <v>130701827</v>
      </c>
      <c r="N442" s="18" t="s">
        <v>856</v>
      </c>
      <c r="O442" s="18"/>
      <c r="P442" s="18" t="s">
        <v>1879</v>
      </c>
      <c r="Q442" s="19" t="s">
        <v>1880</v>
      </c>
    </row>
    <row r="443" spans="1:17">
      <c r="A443" s="17"/>
      <c r="B443" s="13" t="s">
        <v>3474</v>
      </c>
      <c r="C443" s="13" t="s">
        <v>3475</v>
      </c>
      <c r="D443" s="13" t="s">
        <v>475</v>
      </c>
      <c r="E443" s="13" t="s">
        <v>538</v>
      </c>
      <c r="F443" s="13" t="s">
        <v>3101</v>
      </c>
      <c r="G443" s="13">
        <v>2183461</v>
      </c>
      <c r="H443" s="13" t="s">
        <v>3476</v>
      </c>
      <c r="I443" s="13">
        <v>3300010893</v>
      </c>
      <c r="J443" s="13">
        <v>2183603</v>
      </c>
      <c r="K443" s="13"/>
      <c r="L443" s="13" t="s">
        <v>3477</v>
      </c>
      <c r="M443" s="13">
        <v>130706154</v>
      </c>
      <c r="N443" s="18" t="s">
        <v>3478</v>
      </c>
      <c r="O443" s="18" t="s">
        <v>3479</v>
      </c>
      <c r="P443" s="18"/>
      <c r="Q443" s="19" t="s">
        <v>1234</v>
      </c>
    </row>
    <row r="444" spans="1:17">
      <c r="A444" s="17"/>
      <c r="B444" s="13" t="s">
        <v>3682</v>
      </c>
      <c r="C444" s="13" t="s">
        <v>3683</v>
      </c>
      <c r="D444" s="13" t="s">
        <v>107</v>
      </c>
      <c r="E444" s="13" t="s">
        <v>563</v>
      </c>
      <c r="F444" s="13" t="s">
        <v>3558</v>
      </c>
      <c r="G444" s="13">
        <v>3400001165</v>
      </c>
      <c r="H444" s="13">
        <v>1781365</v>
      </c>
      <c r="I444" s="13">
        <v>3400001166</v>
      </c>
      <c r="J444" s="13" t="s">
        <v>3684</v>
      </c>
      <c r="K444" s="13">
        <v>5070895</v>
      </c>
      <c r="L444" s="13" t="s">
        <v>3685</v>
      </c>
      <c r="M444" s="13">
        <v>120700601</v>
      </c>
      <c r="N444" s="18" t="s">
        <v>3478</v>
      </c>
      <c r="O444" s="18" t="s">
        <v>3686</v>
      </c>
      <c r="P444" s="18" t="s">
        <v>3687</v>
      </c>
      <c r="Q444" s="19" t="s">
        <v>2143</v>
      </c>
    </row>
    <row r="445" spans="1:17">
      <c r="A445" s="17" t="s">
        <v>839</v>
      </c>
      <c r="B445" s="13" t="s">
        <v>3856</v>
      </c>
      <c r="C445" s="13" t="s">
        <v>3857</v>
      </c>
      <c r="D445" s="13" t="s">
        <v>321</v>
      </c>
      <c r="E445" s="13" t="s">
        <v>549</v>
      </c>
      <c r="F445" s="13" t="s">
        <v>3754</v>
      </c>
      <c r="G445" s="13" t="s">
        <v>3858</v>
      </c>
      <c r="H445" s="13">
        <v>5049685</v>
      </c>
      <c r="I445" s="13">
        <v>2171973</v>
      </c>
      <c r="J445" s="13"/>
      <c r="K445" s="13"/>
      <c r="L445" s="13" t="s">
        <v>3859</v>
      </c>
      <c r="M445" s="13">
        <v>120710778</v>
      </c>
      <c r="N445" s="18" t="s">
        <v>3478</v>
      </c>
      <c r="O445" s="18" t="s">
        <v>3860</v>
      </c>
      <c r="P445" s="18" t="s">
        <v>3861</v>
      </c>
      <c r="Q445" s="19" t="s">
        <v>3862</v>
      </c>
    </row>
    <row r="446" spans="1:17">
      <c r="A446" s="17" t="s">
        <v>839</v>
      </c>
      <c r="B446" s="13" t="s">
        <v>3072</v>
      </c>
      <c r="C446" s="13" t="s">
        <v>3073</v>
      </c>
      <c r="D446" s="13" t="s">
        <v>202</v>
      </c>
      <c r="E446" s="13" t="s">
        <v>595</v>
      </c>
      <c r="F446" s="13" t="s">
        <v>2830</v>
      </c>
      <c r="G446" s="13">
        <v>3300011501</v>
      </c>
      <c r="H446" s="13" t="s">
        <v>3074</v>
      </c>
      <c r="I446" s="13">
        <v>2119280</v>
      </c>
      <c r="J446" s="13">
        <v>5031865</v>
      </c>
      <c r="K446" s="13">
        <v>2119597</v>
      </c>
      <c r="L446" s="13" t="s">
        <v>3075</v>
      </c>
      <c r="M446" s="13">
        <v>120702200</v>
      </c>
      <c r="N446" s="18" t="s">
        <v>887</v>
      </c>
      <c r="O446" s="18" t="s">
        <v>3076</v>
      </c>
      <c r="P446" s="18" t="s">
        <v>3077</v>
      </c>
      <c r="Q446" s="19" t="s">
        <v>2780</v>
      </c>
    </row>
    <row r="447" spans="1:17">
      <c r="A447" s="17"/>
      <c r="B447" s="13" t="s">
        <v>3616</v>
      </c>
      <c r="C447" s="13" t="s">
        <v>3617</v>
      </c>
      <c r="D447" s="13" t="s">
        <v>106</v>
      </c>
      <c r="E447" s="13" t="s">
        <v>544</v>
      </c>
      <c r="F447" s="13" t="s">
        <v>3558</v>
      </c>
      <c r="G447" s="13">
        <v>3300002943</v>
      </c>
      <c r="H447" s="13">
        <v>2103529</v>
      </c>
      <c r="I447" s="13" t="s">
        <v>3618</v>
      </c>
      <c r="J447" s="13"/>
      <c r="K447" s="13"/>
      <c r="L447" s="13" t="s">
        <v>3619</v>
      </c>
      <c r="M447" s="13">
        <v>120700592</v>
      </c>
      <c r="N447" s="18" t="s">
        <v>3478</v>
      </c>
      <c r="O447" s="18" t="s">
        <v>3620</v>
      </c>
      <c r="P447" s="18" t="s">
        <v>3621</v>
      </c>
      <c r="Q447" s="19" t="s">
        <v>3622</v>
      </c>
    </row>
    <row r="448" spans="1:17">
      <c r="A448" s="17" t="s">
        <v>839</v>
      </c>
      <c r="B448" s="13" t="s">
        <v>1559</v>
      </c>
      <c r="C448" s="13" t="s">
        <v>1560</v>
      </c>
      <c r="D448" s="13" t="s">
        <v>362</v>
      </c>
      <c r="E448" s="13" t="s">
        <v>580</v>
      </c>
      <c r="F448" s="13" t="s">
        <v>844</v>
      </c>
      <c r="G448" s="13">
        <v>2183517</v>
      </c>
      <c r="H448" s="13">
        <v>3300011502</v>
      </c>
      <c r="I448" s="13">
        <v>5040892</v>
      </c>
      <c r="J448" s="13" t="s">
        <v>1561</v>
      </c>
      <c r="K448" s="13">
        <v>2159893</v>
      </c>
      <c r="L448" s="13" t="s">
        <v>1562</v>
      </c>
      <c r="M448" s="13">
        <v>120902941</v>
      </c>
      <c r="N448" s="18" t="s">
        <v>879</v>
      </c>
      <c r="O448" s="18" t="s">
        <v>1563</v>
      </c>
      <c r="P448" s="18" t="s">
        <v>1564</v>
      </c>
      <c r="Q448" s="19" t="s">
        <v>1065</v>
      </c>
    </row>
    <row r="449" spans="1:17">
      <c r="A449" s="17"/>
      <c r="B449" s="21" t="s">
        <v>1577</v>
      </c>
      <c r="C449" s="21" t="s">
        <v>1578</v>
      </c>
      <c r="D449" s="21" t="s">
        <v>281</v>
      </c>
      <c r="E449" s="21" t="s">
        <v>1579</v>
      </c>
      <c r="F449" s="13" t="s">
        <v>844</v>
      </c>
      <c r="G449" s="20" t="s">
        <v>1580</v>
      </c>
      <c r="H449" s="20">
        <v>2116188</v>
      </c>
      <c r="I449" s="20" t="s">
        <v>1581</v>
      </c>
      <c r="J449" s="20">
        <v>3300010088</v>
      </c>
      <c r="K449" s="20"/>
      <c r="L449" s="20" t="s">
        <v>1582</v>
      </c>
      <c r="M449" s="22">
        <v>120702053</v>
      </c>
      <c r="N449" s="18" t="s">
        <v>896</v>
      </c>
      <c r="O449" s="18" t="s">
        <v>1583</v>
      </c>
      <c r="P449" s="18" t="s">
        <v>1584</v>
      </c>
      <c r="Q449" s="23" t="s">
        <v>899</v>
      </c>
    </row>
    <row r="450" spans="1:17">
      <c r="A450" s="17"/>
      <c r="B450" s="13" t="s">
        <v>1714</v>
      </c>
      <c r="C450" s="13" t="s">
        <v>63</v>
      </c>
      <c r="D450" s="13" t="s">
        <v>1715</v>
      </c>
      <c r="E450" s="13" t="s">
        <v>817</v>
      </c>
      <c r="F450" s="13" t="s">
        <v>844</v>
      </c>
      <c r="G450" s="13" t="s">
        <v>1716</v>
      </c>
      <c r="H450" s="13">
        <v>3300012802</v>
      </c>
      <c r="I450" s="13">
        <v>2117432</v>
      </c>
      <c r="J450" s="13" t="s">
        <v>1717</v>
      </c>
      <c r="K450" s="13"/>
      <c r="L450" s="13" t="s">
        <v>1718</v>
      </c>
      <c r="M450" s="13">
        <v>141003875</v>
      </c>
      <c r="N450" s="18"/>
      <c r="O450" s="18"/>
      <c r="P450" s="18"/>
      <c r="Q450" s="19">
        <v>42102</v>
      </c>
    </row>
    <row r="451" spans="1:17">
      <c r="A451" s="17"/>
      <c r="B451" s="13" t="s">
        <v>5241</v>
      </c>
      <c r="C451" s="13" t="s">
        <v>5242</v>
      </c>
      <c r="D451" s="13" t="s">
        <v>5243</v>
      </c>
      <c r="E451" s="13" t="s">
        <v>758</v>
      </c>
      <c r="F451" s="13" t="s">
        <v>5164</v>
      </c>
      <c r="G451" s="13" t="s">
        <v>5244</v>
      </c>
      <c r="H451" s="13">
        <v>3300001664</v>
      </c>
      <c r="I451" s="13" t="s">
        <v>5245</v>
      </c>
      <c r="J451" s="13">
        <v>2159930</v>
      </c>
      <c r="K451" s="13" t="s">
        <v>5246</v>
      </c>
      <c r="L451" s="13" t="s">
        <v>5247</v>
      </c>
      <c r="M451" s="13">
        <v>130704752</v>
      </c>
      <c r="N451" s="18"/>
      <c r="O451" s="18" t="s">
        <v>5248</v>
      </c>
      <c r="P451" s="18" t="s">
        <v>5249</v>
      </c>
      <c r="Q451" s="19">
        <v>42100</v>
      </c>
    </row>
    <row r="452" spans="1:17">
      <c r="A452" s="17"/>
      <c r="B452" s="13" t="s">
        <v>4716</v>
      </c>
      <c r="C452" s="13" t="s">
        <v>4717</v>
      </c>
      <c r="D452" s="13" t="s">
        <v>4718</v>
      </c>
      <c r="E452" s="13" t="s">
        <v>796</v>
      </c>
      <c r="F452" s="13" t="s">
        <v>4395</v>
      </c>
      <c r="G452" s="13">
        <v>2114753</v>
      </c>
      <c r="H452" s="13" t="s">
        <v>4719</v>
      </c>
      <c r="I452" s="13">
        <v>5059318</v>
      </c>
      <c r="J452" s="13"/>
      <c r="K452" s="13"/>
      <c r="L452" s="13" t="s">
        <v>4720</v>
      </c>
      <c r="M452" s="13">
        <v>140701994</v>
      </c>
      <c r="N452" s="18" t="s">
        <v>4721</v>
      </c>
      <c r="O452" s="18" t="s">
        <v>4722</v>
      </c>
      <c r="P452" s="18" t="s">
        <v>4723</v>
      </c>
      <c r="Q452" s="19">
        <v>41848</v>
      </c>
    </row>
    <row r="453" spans="1:17">
      <c r="A453" s="17"/>
      <c r="B453" s="13" t="s">
        <v>4930</v>
      </c>
      <c r="C453" s="13" t="s">
        <v>4931</v>
      </c>
      <c r="D453" s="13" t="s">
        <v>436</v>
      </c>
      <c r="E453" s="13" t="s">
        <v>588</v>
      </c>
      <c r="F453" s="13" t="s">
        <v>4914</v>
      </c>
      <c r="G453" s="13">
        <v>3300005136</v>
      </c>
      <c r="H453" s="13" t="s">
        <v>4932</v>
      </c>
      <c r="I453" s="13">
        <v>2119233</v>
      </c>
      <c r="J453" s="13">
        <v>5001458</v>
      </c>
      <c r="K453" s="13"/>
      <c r="L453" s="13" t="s">
        <v>4933</v>
      </c>
      <c r="M453" s="13">
        <v>130703488</v>
      </c>
      <c r="N453" s="18" t="s">
        <v>4472</v>
      </c>
      <c r="O453" s="18" t="s">
        <v>4934</v>
      </c>
      <c r="P453" s="18" t="s">
        <v>4935</v>
      </c>
      <c r="Q453" s="19" t="s">
        <v>4426</v>
      </c>
    </row>
    <row r="454" spans="1:17">
      <c r="A454" s="17"/>
      <c r="B454" s="13" t="s">
        <v>6260</v>
      </c>
      <c r="C454" s="13" t="s">
        <v>6261</v>
      </c>
      <c r="D454" s="13" t="s">
        <v>368</v>
      </c>
      <c r="E454" s="13" t="s">
        <v>650</v>
      </c>
      <c r="F454" s="13" t="s">
        <v>5843</v>
      </c>
      <c r="G454" s="13">
        <v>2183505</v>
      </c>
      <c r="H454" s="13">
        <v>5001472</v>
      </c>
      <c r="I454" s="13" t="s">
        <v>6262</v>
      </c>
      <c r="J454" s="13"/>
      <c r="K454" s="13"/>
      <c r="L454" s="13" t="s">
        <v>6263</v>
      </c>
      <c r="M454" s="13">
        <v>120904784</v>
      </c>
      <c r="N454" s="18" t="s">
        <v>3187</v>
      </c>
      <c r="O454" s="18" t="s">
        <v>6264</v>
      </c>
      <c r="P454" s="18" t="s">
        <v>6265</v>
      </c>
      <c r="Q454" s="19" t="s">
        <v>1595</v>
      </c>
    </row>
    <row r="455" spans="1:17">
      <c r="A455" s="17"/>
      <c r="B455" s="13" t="s">
        <v>1596</v>
      </c>
      <c r="C455" s="13" t="s">
        <v>1597</v>
      </c>
      <c r="D455" s="13" t="s">
        <v>484</v>
      </c>
      <c r="E455" s="13" t="s">
        <v>602</v>
      </c>
      <c r="F455" s="13" t="s">
        <v>844</v>
      </c>
      <c r="G455" s="13">
        <v>2116308</v>
      </c>
      <c r="H455" s="13" t="s">
        <v>1598</v>
      </c>
      <c r="I455" s="13">
        <v>2115664</v>
      </c>
      <c r="J455" s="13">
        <v>3300008150</v>
      </c>
      <c r="K455" s="13"/>
      <c r="L455" s="13" t="s">
        <v>1599</v>
      </c>
      <c r="M455" s="13">
        <v>130900402</v>
      </c>
      <c r="N455" s="18" t="s">
        <v>879</v>
      </c>
      <c r="O455" s="18" t="s">
        <v>1600</v>
      </c>
      <c r="P455" s="18" t="s">
        <v>1601</v>
      </c>
      <c r="Q455" s="19" t="s">
        <v>1602</v>
      </c>
    </row>
    <row r="456" spans="1:17">
      <c r="A456" s="17" t="s">
        <v>839</v>
      </c>
      <c r="B456" s="13" t="s">
        <v>2137</v>
      </c>
      <c r="C456" s="13" t="s">
        <v>2137</v>
      </c>
      <c r="D456" s="13" t="s">
        <v>2138</v>
      </c>
      <c r="E456" s="13" t="s">
        <v>729</v>
      </c>
      <c r="F456" s="13" t="s">
        <v>844</v>
      </c>
      <c r="G456" s="13">
        <v>2183588</v>
      </c>
      <c r="H456" s="13">
        <v>5059302</v>
      </c>
      <c r="I456" s="13">
        <v>3300002813</v>
      </c>
      <c r="J456" s="13">
        <v>2103960</v>
      </c>
      <c r="K456" s="13" t="s">
        <v>2139</v>
      </c>
      <c r="L456" s="13" t="s">
        <v>2140</v>
      </c>
      <c r="M456" s="13">
        <v>120902069</v>
      </c>
      <c r="N456" s="18" t="s">
        <v>879</v>
      </c>
      <c r="O456" s="18" t="s">
        <v>2141</v>
      </c>
      <c r="P456" s="18" t="s">
        <v>2142</v>
      </c>
      <c r="Q456" s="19" t="s">
        <v>2143</v>
      </c>
    </row>
    <row r="457" spans="1:17">
      <c r="A457" s="17"/>
      <c r="B457" s="13" t="s">
        <v>6143</v>
      </c>
      <c r="C457" s="13" t="s">
        <v>6144</v>
      </c>
      <c r="D457" s="13" t="s">
        <v>220</v>
      </c>
      <c r="E457" s="13" t="s">
        <v>645</v>
      </c>
      <c r="F457" s="13" t="s">
        <v>5843</v>
      </c>
      <c r="G457" s="13">
        <v>5045697</v>
      </c>
      <c r="H457" s="13">
        <v>3300001295</v>
      </c>
      <c r="I457" s="13" t="s">
        <v>6145</v>
      </c>
      <c r="J457" s="13">
        <v>2116054</v>
      </c>
      <c r="K457" s="13"/>
      <c r="L457" s="13" t="s">
        <v>6146</v>
      </c>
      <c r="M457" s="13">
        <v>120703364</v>
      </c>
      <c r="N457" s="18" t="s">
        <v>3187</v>
      </c>
      <c r="O457" s="18" t="s">
        <v>6147</v>
      </c>
      <c r="P457" s="18" t="s">
        <v>6148</v>
      </c>
      <c r="Q457" s="19" t="s">
        <v>1021</v>
      </c>
    </row>
    <row r="458" spans="1:17">
      <c r="A458" s="17" t="s">
        <v>839</v>
      </c>
      <c r="B458" s="13" t="s">
        <v>4226</v>
      </c>
      <c r="C458" s="13" t="s">
        <v>4227</v>
      </c>
      <c r="D458" s="13" t="s">
        <v>129</v>
      </c>
      <c r="E458" s="13" t="s">
        <v>553</v>
      </c>
      <c r="F458" s="13" t="s">
        <v>3754</v>
      </c>
      <c r="G458" s="13">
        <v>2115635</v>
      </c>
      <c r="H458" s="13">
        <v>3300001221</v>
      </c>
      <c r="I458" s="13">
        <v>2115643</v>
      </c>
      <c r="J458" s="13">
        <v>3300001223</v>
      </c>
      <c r="K458" s="13">
        <v>3300001220</v>
      </c>
      <c r="L458" s="13" t="s">
        <v>4228</v>
      </c>
      <c r="M458" s="13">
        <v>120700732</v>
      </c>
      <c r="N458" s="18" t="s">
        <v>1018</v>
      </c>
      <c r="O458" s="18"/>
      <c r="P458" s="18" t="s">
        <v>4229</v>
      </c>
      <c r="Q458" s="19" t="s">
        <v>4230</v>
      </c>
    </row>
    <row r="459" spans="1:17">
      <c r="A459" s="17"/>
      <c r="B459" s="13" t="s">
        <v>4073</v>
      </c>
      <c r="C459" s="13" t="s">
        <v>4074</v>
      </c>
      <c r="D459" s="13" t="s">
        <v>111</v>
      </c>
      <c r="E459" s="13" t="s">
        <v>567</v>
      </c>
      <c r="F459" s="13" t="s">
        <v>3754</v>
      </c>
      <c r="G459" s="13">
        <v>2103922</v>
      </c>
      <c r="H459" s="13">
        <v>5059366</v>
      </c>
      <c r="I459" s="13">
        <v>3300004132</v>
      </c>
      <c r="J459" s="13"/>
      <c r="K459" s="13"/>
      <c r="L459" s="13" t="s">
        <v>4075</v>
      </c>
      <c r="M459" s="13">
        <v>120700637</v>
      </c>
      <c r="N459" s="18" t="s">
        <v>3478</v>
      </c>
      <c r="O459" s="18" t="s">
        <v>4076</v>
      </c>
      <c r="P459" s="18" t="s">
        <v>4077</v>
      </c>
      <c r="Q459" s="19">
        <v>41869</v>
      </c>
    </row>
    <row r="460" spans="1:17">
      <c r="A460" s="17" t="s">
        <v>839</v>
      </c>
      <c r="B460" s="13" t="s">
        <v>5017</v>
      </c>
      <c r="C460" s="13" t="s">
        <v>5018</v>
      </c>
      <c r="D460" s="13" t="s">
        <v>432</v>
      </c>
      <c r="E460" s="13" t="s">
        <v>761</v>
      </c>
      <c r="F460" s="13" t="s">
        <v>4914</v>
      </c>
      <c r="G460" s="13">
        <v>3300002960</v>
      </c>
      <c r="H460" s="13" t="s">
        <v>5019</v>
      </c>
      <c r="I460" s="13">
        <v>2103919</v>
      </c>
      <c r="J460" s="13" t="s">
        <v>5020</v>
      </c>
      <c r="K460" s="13"/>
      <c r="L460" s="13" t="s">
        <v>5021</v>
      </c>
      <c r="M460" s="13">
        <v>130703287</v>
      </c>
      <c r="N460" s="18" t="s">
        <v>4721</v>
      </c>
      <c r="O460" s="18"/>
      <c r="P460" s="18" t="s">
        <v>5022</v>
      </c>
      <c r="Q460" s="19" t="s">
        <v>5016</v>
      </c>
    </row>
    <row r="461" spans="1:17">
      <c r="A461" s="17"/>
      <c r="B461" s="13" t="s">
        <v>1415</v>
      </c>
      <c r="C461" s="13" t="s">
        <v>1416</v>
      </c>
      <c r="D461" s="13" t="s">
        <v>1417</v>
      </c>
      <c r="E461" s="13" t="s">
        <v>1418</v>
      </c>
      <c r="F461" s="13" t="s">
        <v>844</v>
      </c>
      <c r="G461" s="13">
        <v>2116277</v>
      </c>
      <c r="H461" s="13">
        <v>3300002959</v>
      </c>
      <c r="I461" s="13" t="s">
        <v>1419</v>
      </c>
      <c r="J461" s="13">
        <v>2116280</v>
      </c>
      <c r="K461" s="13">
        <v>5070904</v>
      </c>
      <c r="L461" s="13" t="s">
        <v>1420</v>
      </c>
      <c r="M461" s="13">
        <v>120800504</v>
      </c>
      <c r="N461" s="18" t="s">
        <v>1421</v>
      </c>
      <c r="O461" s="18" t="s">
        <v>1422</v>
      </c>
      <c r="P461" s="18" t="s">
        <v>1423</v>
      </c>
      <c r="Q461" s="19" t="s">
        <v>1424</v>
      </c>
    </row>
    <row r="462" spans="1:17">
      <c r="A462" s="17"/>
      <c r="B462" s="13" t="s">
        <v>4643</v>
      </c>
      <c r="C462" s="13" t="s">
        <v>4644</v>
      </c>
      <c r="D462" s="13" t="s">
        <v>350</v>
      </c>
      <c r="E462" s="13" t="s">
        <v>725</v>
      </c>
      <c r="F462" s="13" t="s">
        <v>4395</v>
      </c>
      <c r="G462" s="13">
        <v>5049673</v>
      </c>
      <c r="H462" s="13">
        <v>2171915</v>
      </c>
      <c r="I462" s="13">
        <v>3300001255</v>
      </c>
      <c r="J462" s="13" t="s">
        <v>4645</v>
      </c>
      <c r="K462" s="13">
        <v>5049684</v>
      </c>
      <c r="L462" s="13" t="s">
        <v>4646</v>
      </c>
      <c r="M462" s="13">
        <v>120811573</v>
      </c>
      <c r="N462" s="18" t="s">
        <v>4399</v>
      </c>
      <c r="O462" s="18" t="s">
        <v>4647</v>
      </c>
      <c r="P462" s="18"/>
      <c r="Q462" s="19" t="s">
        <v>1042</v>
      </c>
    </row>
    <row r="463" spans="1:17">
      <c r="A463" s="17"/>
      <c r="B463" s="13" t="s">
        <v>6266</v>
      </c>
      <c r="C463" s="13" t="s">
        <v>6267</v>
      </c>
      <c r="D463" s="13" t="s">
        <v>231</v>
      </c>
      <c r="E463" s="13" t="s">
        <v>650</v>
      </c>
      <c r="F463" s="13" t="s">
        <v>5843</v>
      </c>
      <c r="G463" s="13">
        <v>2114784</v>
      </c>
      <c r="H463" s="13">
        <v>5001447</v>
      </c>
      <c r="I463" s="13"/>
      <c r="J463" s="13"/>
      <c r="K463" s="13"/>
      <c r="L463" s="13" t="s">
        <v>6268</v>
      </c>
      <c r="M463" s="13">
        <v>120704140</v>
      </c>
      <c r="N463" s="18" t="s">
        <v>3187</v>
      </c>
      <c r="O463" s="18"/>
      <c r="P463" s="18" t="s">
        <v>6269</v>
      </c>
      <c r="Q463" s="19" t="s">
        <v>1595</v>
      </c>
    </row>
    <row r="464" spans="1:17">
      <c r="A464" s="17"/>
      <c r="B464" s="13" t="s">
        <v>5524</v>
      </c>
      <c r="C464" s="13" t="s">
        <v>5525</v>
      </c>
      <c r="D464" s="13" t="s">
        <v>5526</v>
      </c>
      <c r="E464" s="13" t="s">
        <v>692</v>
      </c>
      <c r="F464" s="13" t="s">
        <v>5164</v>
      </c>
      <c r="G464" s="13">
        <v>5040902</v>
      </c>
      <c r="H464" s="13">
        <v>2119189</v>
      </c>
      <c r="I464" s="13">
        <v>3300006811</v>
      </c>
      <c r="J464" s="13"/>
      <c r="K464" s="13"/>
      <c r="L464" s="13" t="s">
        <v>5527</v>
      </c>
      <c r="M464" s="13">
        <v>120701293</v>
      </c>
      <c r="N464" s="18" t="s">
        <v>5091</v>
      </c>
      <c r="O464" s="18" t="s">
        <v>5528</v>
      </c>
      <c r="P464" s="18" t="s">
        <v>5529</v>
      </c>
      <c r="Q464" s="19" t="s">
        <v>5530</v>
      </c>
    </row>
    <row r="465" spans="1:17">
      <c r="A465" s="17"/>
      <c r="B465" s="13" t="s">
        <v>5541</v>
      </c>
      <c r="C465" s="13" t="s">
        <v>5542</v>
      </c>
      <c r="D465" s="13" t="s">
        <v>5543</v>
      </c>
      <c r="E465" s="13" t="s">
        <v>731</v>
      </c>
      <c r="F465" s="13" t="s">
        <v>5164</v>
      </c>
      <c r="G465" s="13">
        <v>3300006517</v>
      </c>
      <c r="H465" s="13">
        <v>3300006522</v>
      </c>
      <c r="I465" s="13" t="s">
        <v>5544</v>
      </c>
      <c r="J465" s="13">
        <v>2083217</v>
      </c>
      <c r="K465" s="13"/>
      <c r="L465" s="13" t="s">
        <v>5545</v>
      </c>
      <c r="M465" s="13">
        <v>120904260</v>
      </c>
      <c r="N465" s="18" t="s">
        <v>3187</v>
      </c>
      <c r="O465" s="18"/>
      <c r="P465" s="18" t="s">
        <v>5546</v>
      </c>
      <c r="Q465" s="19" t="s">
        <v>4456</v>
      </c>
    </row>
    <row r="466" spans="1:17">
      <c r="A466" s="17"/>
      <c r="B466" s="13" t="s">
        <v>3259</v>
      </c>
      <c r="C466" s="13" t="s">
        <v>3260</v>
      </c>
      <c r="D466" s="13" t="s">
        <v>3261</v>
      </c>
      <c r="E466" s="13" t="s">
        <v>724</v>
      </c>
      <c r="F466" s="13" t="s">
        <v>3101</v>
      </c>
      <c r="G466" s="13">
        <v>2116256</v>
      </c>
      <c r="H466" s="13">
        <v>5031829</v>
      </c>
      <c r="I466" s="13" t="s">
        <v>3262</v>
      </c>
      <c r="J466" s="13">
        <v>3300008131</v>
      </c>
      <c r="K466" s="13">
        <v>2117073</v>
      </c>
      <c r="L466" s="13" t="s">
        <v>3263</v>
      </c>
      <c r="M466" s="13">
        <v>120808228</v>
      </c>
      <c r="N466" s="18" t="s">
        <v>3117</v>
      </c>
      <c r="O466" s="18" t="s">
        <v>3264</v>
      </c>
      <c r="P466" s="18" t="s">
        <v>3265</v>
      </c>
      <c r="Q466" s="19" t="s">
        <v>3266</v>
      </c>
    </row>
    <row r="467" spans="1:17">
      <c r="A467" s="17"/>
      <c r="B467" s="13" t="s">
        <v>3267</v>
      </c>
      <c r="C467" s="13" t="s">
        <v>3268</v>
      </c>
      <c r="D467" s="13" t="s">
        <v>343</v>
      </c>
      <c r="E467" s="13" t="s">
        <v>724</v>
      </c>
      <c r="F467" s="13" t="s">
        <v>3101</v>
      </c>
      <c r="G467" s="13" t="s">
        <v>3269</v>
      </c>
      <c r="H467" s="13"/>
      <c r="I467" s="13">
        <v>5014459</v>
      </c>
      <c r="J467" s="13">
        <v>3300005181</v>
      </c>
      <c r="K467" s="13" t="s">
        <v>3270</v>
      </c>
      <c r="L467" s="13" t="s">
        <v>3271</v>
      </c>
      <c r="M467" s="13">
        <v>120804040</v>
      </c>
      <c r="N467" s="18" t="s">
        <v>3117</v>
      </c>
      <c r="O467" s="18" t="s">
        <v>3272</v>
      </c>
      <c r="P467" s="18" t="s">
        <v>3273</v>
      </c>
      <c r="Q467" s="19" t="s">
        <v>1127</v>
      </c>
    </row>
    <row r="468" spans="1:17">
      <c r="A468" s="17" t="s">
        <v>839</v>
      </c>
      <c r="B468" s="13" t="s">
        <v>4097</v>
      </c>
      <c r="C468" s="13" t="s">
        <v>4098</v>
      </c>
      <c r="D468" s="13" t="s">
        <v>248</v>
      </c>
      <c r="E468" s="13" t="s">
        <v>529</v>
      </c>
      <c r="F468" s="13" t="s">
        <v>3754</v>
      </c>
      <c r="G468" s="13">
        <v>3300003011</v>
      </c>
      <c r="H468" s="13">
        <v>2183599</v>
      </c>
      <c r="I468" s="13" t="s">
        <v>4099</v>
      </c>
      <c r="J468" s="13">
        <v>5059381</v>
      </c>
      <c r="K468" s="13">
        <v>2171996</v>
      </c>
      <c r="L468" s="13" t="s">
        <v>4100</v>
      </c>
      <c r="M468" s="13">
        <v>120704952</v>
      </c>
      <c r="N468" s="18" t="s">
        <v>3117</v>
      </c>
      <c r="O468" s="18" t="s">
        <v>4101</v>
      </c>
      <c r="P468" s="18" t="s">
        <v>4102</v>
      </c>
      <c r="Q468" s="19" t="s">
        <v>1105</v>
      </c>
    </row>
    <row r="469" spans="1:17">
      <c r="A469" s="17"/>
      <c r="B469" s="13" t="s">
        <v>5095</v>
      </c>
      <c r="C469" s="13" t="s">
        <v>5095</v>
      </c>
      <c r="D469" s="13" t="s">
        <v>279</v>
      </c>
      <c r="E469" s="13" t="s">
        <v>671</v>
      </c>
      <c r="F469" s="13" t="s">
        <v>4914</v>
      </c>
      <c r="G469" s="13">
        <v>2114782</v>
      </c>
      <c r="H469" s="13">
        <v>3300002937</v>
      </c>
      <c r="I469" s="13" t="s">
        <v>5096</v>
      </c>
      <c r="J469" s="13"/>
      <c r="K469" s="13"/>
      <c r="L469" s="13" t="s">
        <v>5097</v>
      </c>
      <c r="M469" s="13">
        <v>120707201</v>
      </c>
      <c r="N469" s="18" t="s">
        <v>4721</v>
      </c>
      <c r="O469" s="18"/>
      <c r="P469" s="18" t="s">
        <v>5098</v>
      </c>
      <c r="Q469" s="19">
        <v>41856</v>
      </c>
    </row>
    <row r="470" spans="1:17">
      <c r="A470" s="17"/>
      <c r="B470" s="20" t="s">
        <v>3121</v>
      </c>
      <c r="C470" s="20" t="s">
        <v>3122</v>
      </c>
      <c r="D470" s="20" t="s">
        <v>3123</v>
      </c>
      <c r="E470" s="20" t="s">
        <v>646</v>
      </c>
      <c r="F470" s="13" t="s">
        <v>3101</v>
      </c>
      <c r="G470" s="20" t="s">
        <v>3124</v>
      </c>
      <c r="H470" s="20">
        <v>41784</v>
      </c>
      <c r="I470" s="20" t="s">
        <v>3125</v>
      </c>
      <c r="J470" s="20"/>
      <c r="K470" s="20"/>
      <c r="L470" s="20" t="s">
        <v>3126</v>
      </c>
      <c r="M470" s="20">
        <v>120709417</v>
      </c>
      <c r="N470" s="18" t="s">
        <v>887</v>
      </c>
      <c r="O470" s="18"/>
      <c r="P470" s="18" t="s">
        <v>3127</v>
      </c>
      <c r="Q470" s="24">
        <v>42025</v>
      </c>
    </row>
    <row r="471" spans="1:17">
      <c r="A471" s="17"/>
      <c r="B471" s="13" t="s">
        <v>5509</v>
      </c>
      <c r="C471" s="13" t="s">
        <v>5510</v>
      </c>
      <c r="D471" s="13" t="s">
        <v>448</v>
      </c>
      <c r="E471" s="13" t="s">
        <v>770</v>
      </c>
      <c r="F471" s="13" t="s">
        <v>5164</v>
      </c>
      <c r="G471" s="13">
        <v>3300009780</v>
      </c>
      <c r="H471" s="13" t="s">
        <v>5511</v>
      </c>
      <c r="I471" s="13">
        <v>2176448</v>
      </c>
      <c r="J471" s="13">
        <v>3300009730</v>
      </c>
      <c r="K471" s="13"/>
      <c r="L471" s="13" t="s">
        <v>5512</v>
      </c>
      <c r="M471" s="13">
        <v>130704489</v>
      </c>
      <c r="N471" s="18" t="s">
        <v>4721</v>
      </c>
      <c r="O471" s="18" t="s">
        <v>5513</v>
      </c>
      <c r="P471" s="18" t="s">
        <v>5514</v>
      </c>
      <c r="Q471" s="19" t="s">
        <v>5515</v>
      </c>
    </row>
    <row r="472" spans="1:17">
      <c r="A472" s="17"/>
      <c r="B472" s="21" t="s">
        <v>951</v>
      </c>
      <c r="C472" s="21" t="s">
        <v>952</v>
      </c>
      <c r="D472" s="21" t="s">
        <v>953</v>
      </c>
      <c r="E472" s="21" t="s">
        <v>547</v>
      </c>
      <c r="F472" s="13" t="s">
        <v>844</v>
      </c>
      <c r="G472" s="20" t="s">
        <v>954</v>
      </c>
      <c r="H472" s="20">
        <v>2172357</v>
      </c>
      <c r="I472" s="20">
        <v>3300009469</v>
      </c>
      <c r="J472" s="20">
        <v>5046312</v>
      </c>
      <c r="K472" s="20"/>
      <c r="L472" s="20" t="s">
        <v>955</v>
      </c>
      <c r="M472" s="22">
        <v>120701292</v>
      </c>
      <c r="N472" s="18" t="s">
        <v>896</v>
      </c>
      <c r="O472" s="18" t="s">
        <v>956</v>
      </c>
      <c r="P472" s="18" t="s">
        <v>957</v>
      </c>
      <c r="Q472" s="23" t="s">
        <v>899</v>
      </c>
    </row>
    <row r="473" spans="1:17">
      <c r="A473" s="17"/>
      <c r="B473" s="13" t="s">
        <v>5456</v>
      </c>
      <c r="C473" s="13" t="s">
        <v>5457</v>
      </c>
      <c r="D473" s="13" t="s">
        <v>5458</v>
      </c>
      <c r="E473" s="13" t="s">
        <v>741</v>
      </c>
      <c r="F473" s="13" t="s">
        <v>5164</v>
      </c>
      <c r="G473" s="13">
        <v>2177349</v>
      </c>
      <c r="H473" s="13">
        <v>5031896</v>
      </c>
      <c r="I473" s="13">
        <v>2103495</v>
      </c>
      <c r="J473" s="13" t="s">
        <v>5459</v>
      </c>
      <c r="K473" s="13"/>
      <c r="L473" s="13" t="s">
        <v>5460</v>
      </c>
      <c r="M473" s="13">
        <v>120708508</v>
      </c>
      <c r="N473" s="18" t="s">
        <v>5091</v>
      </c>
      <c r="O473" s="18"/>
      <c r="P473" s="18"/>
      <c r="Q473" s="19" t="s">
        <v>2589</v>
      </c>
    </row>
    <row r="474" spans="1:17">
      <c r="A474" s="17"/>
      <c r="B474" s="21" t="s">
        <v>2153</v>
      </c>
      <c r="C474" s="21" t="s">
        <v>2154</v>
      </c>
      <c r="D474" s="21" t="s">
        <v>2155</v>
      </c>
      <c r="E474" s="21" t="s">
        <v>2147</v>
      </c>
      <c r="F474" s="13" t="s">
        <v>844</v>
      </c>
      <c r="G474" s="20">
        <v>33000010657</v>
      </c>
      <c r="H474" s="20">
        <v>2182982</v>
      </c>
      <c r="I474" s="20" t="s">
        <v>2156</v>
      </c>
      <c r="J474" s="20">
        <v>5051811</v>
      </c>
      <c r="K474" s="20" t="s">
        <v>2157</v>
      </c>
      <c r="L474" s="20" t="s">
        <v>2158</v>
      </c>
      <c r="M474" s="22">
        <v>130704491</v>
      </c>
      <c r="N474" s="18" t="s">
        <v>896</v>
      </c>
      <c r="O474" s="18" t="s">
        <v>2159</v>
      </c>
      <c r="P474" s="18" t="s">
        <v>965</v>
      </c>
      <c r="Q474" s="23" t="s">
        <v>899</v>
      </c>
    </row>
    <row r="475" spans="1:17">
      <c r="A475" s="17" t="s">
        <v>839</v>
      </c>
      <c r="B475" s="21" t="s">
        <v>958</v>
      </c>
      <c r="C475" s="21" t="s">
        <v>959</v>
      </c>
      <c r="D475" s="21" t="s">
        <v>960</v>
      </c>
      <c r="E475" s="21" t="s">
        <v>547</v>
      </c>
      <c r="F475" s="13" t="s">
        <v>844</v>
      </c>
      <c r="G475" s="20" t="s">
        <v>961</v>
      </c>
      <c r="H475" s="20">
        <v>2116223</v>
      </c>
      <c r="I475" s="20" t="s">
        <v>962</v>
      </c>
      <c r="J475" s="20">
        <v>3300010671</v>
      </c>
      <c r="K475" s="20">
        <v>2116236</v>
      </c>
      <c r="L475" s="20" t="s">
        <v>963</v>
      </c>
      <c r="M475" s="22">
        <v>120709096</v>
      </c>
      <c r="N475" s="18" t="s">
        <v>896</v>
      </c>
      <c r="O475" s="18" t="s">
        <v>964</v>
      </c>
      <c r="P475" s="18" t="s">
        <v>965</v>
      </c>
      <c r="Q475" s="23" t="s">
        <v>899</v>
      </c>
    </row>
    <row r="476" spans="1:17">
      <c r="A476" s="17"/>
      <c r="B476" s="13" t="s">
        <v>5859</v>
      </c>
      <c r="C476" s="13" t="s">
        <v>5860</v>
      </c>
      <c r="D476" s="13" t="s">
        <v>474</v>
      </c>
      <c r="E476" s="13" t="s">
        <v>781</v>
      </c>
      <c r="F476" s="13" t="s">
        <v>5843</v>
      </c>
      <c r="G476" s="13">
        <v>2183468</v>
      </c>
      <c r="H476" s="13" t="s">
        <v>5861</v>
      </c>
      <c r="I476" s="13">
        <v>3300009783</v>
      </c>
      <c r="J476" s="13"/>
      <c r="K476" s="13"/>
      <c r="L476" s="13" t="s">
        <v>5862</v>
      </c>
      <c r="M476" s="13">
        <v>130705996</v>
      </c>
      <c r="N476" s="18" t="s">
        <v>3187</v>
      </c>
      <c r="O476" s="18"/>
      <c r="P476" s="18"/>
      <c r="Q476" s="19" t="s">
        <v>5863</v>
      </c>
    </row>
    <row r="477" spans="1:17">
      <c r="A477" s="17" t="s">
        <v>839</v>
      </c>
      <c r="B477" s="13" t="s">
        <v>4022</v>
      </c>
      <c r="C477" s="13" t="s">
        <v>4023</v>
      </c>
      <c r="D477" s="13" t="s">
        <v>83</v>
      </c>
      <c r="E477" s="13" t="s">
        <v>543</v>
      </c>
      <c r="F477" s="13" t="s">
        <v>3754</v>
      </c>
      <c r="G477" s="13" t="s">
        <v>4024</v>
      </c>
      <c r="H477" s="13" t="s">
        <v>4025</v>
      </c>
      <c r="I477" s="13" t="s">
        <v>4026</v>
      </c>
      <c r="J477" s="13" t="s">
        <v>4027</v>
      </c>
      <c r="K477" s="13" t="s">
        <v>4028</v>
      </c>
      <c r="L477" s="13" t="s">
        <v>4029</v>
      </c>
      <c r="M477" s="13">
        <v>120700468</v>
      </c>
      <c r="N477" s="18" t="s">
        <v>1188</v>
      </c>
      <c r="O477" s="18"/>
      <c r="P477" s="18"/>
      <c r="Q477" s="19" t="s">
        <v>1035</v>
      </c>
    </row>
    <row r="478" spans="1:17">
      <c r="A478" s="17" t="s">
        <v>839</v>
      </c>
      <c r="B478" s="13" t="s">
        <v>6171</v>
      </c>
      <c r="C478" s="13" t="s">
        <v>6172</v>
      </c>
      <c r="D478" s="13" t="s">
        <v>6173</v>
      </c>
      <c r="E478" s="13" t="s">
        <v>747</v>
      </c>
      <c r="F478" s="13" t="s">
        <v>5843</v>
      </c>
      <c r="G478" s="13">
        <v>2115669</v>
      </c>
      <c r="H478" s="13">
        <v>5031828</v>
      </c>
      <c r="I478" s="13" t="s">
        <v>6174</v>
      </c>
      <c r="J478" s="13">
        <v>3300002931</v>
      </c>
      <c r="K478" s="13" t="s">
        <v>6175</v>
      </c>
      <c r="L478" s="13" t="s">
        <v>6176</v>
      </c>
      <c r="M478" s="13">
        <v>120710160</v>
      </c>
      <c r="N478" s="18" t="s">
        <v>3105</v>
      </c>
      <c r="O478" s="18"/>
      <c r="P478" s="18" t="s">
        <v>6177</v>
      </c>
      <c r="Q478" s="19" t="s">
        <v>2063</v>
      </c>
    </row>
    <row r="479" spans="1:17">
      <c r="A479" s="17"/>
      <c r="B479" s="13" t="s">
        <v>3982</v>
      </c>
      <c r="C479" s="13" t="s">
        <v>3982</v>
      </c>
      <c r="D479" s="13" t="s">
        <v>3983</v>
      </c>
      <c r="E479" s="13" t="s">
        <v>712</v>
      </c>
      <c r="F479" s="13" t="s">
        <v>3754</v>
      </c>
      <c r="G479" s="13">
        <v>5070882</v>
      </c>
      <c r="H479" s="13">
        <v>3300001209</v>
      </c>
      <c r="I479" s="13" t="s">
        <v>3984</v>
      </c>
      <c r="J479" s="13">
        <v>2183483</v>
      </c>
      <c r="K479" s="13" t="s">
        <v>3985</v>
      </c>
      <c r="L479" s="13" t="s">
        <v>3986</v>
      </c>
      <c r="M479" s="13">
        <v>140702088</v>
      </c>
      <c r="N479" s="18" t="s">
        <v>1018</v>
      </c>
      <c r="O479" s="18" t="s">
        <v>3987</v>
      </c>
      <c r="P479" s="18" t="s">
        <v>3988</v>
      </c>
      <c r="Q479" s="19">
        <v>41983</v>
      </c>
    </row>
    <row r="480" spans="1:17">
      <c r="A480" s="17"/>
      <c r="B480" s="13" t="s">
        <v>5871</v>
      </c>
      <c r="C480" s="13" t="s">
        <v>5871</v>
      </c>
      <c r="D480" s="13" t="s">
        <v>480</v>
      </c>
      <c r="E480" s="13" t="s">
        <v>783</v>
      </c>
      <c r="F480" s="13" t="s">
        <v>5843</v>
      </c>
      <c r="G480" s="13">
        <v>2183591</v>
      </c>
      <c r="H480" s="13">
        <v>5014441</v>
      </c>
      <c r="I480" s="13">
        <v>3300010076</v>
      </c>
      <c r="J480" s="13" t="s">
        <v>5872</v>
      </c>
      <c r="K480" s="13"/>
      <c r="L480" s="13" t="s">
        <v>5873</v>
      </c>
      <c r="M480" s="13">
        <v>130706521</v>
      </c>
      <c r="N480" s="18" t="s">
        <v>3187</v>
      </c>
      <c r="O480" s="18" t="s">
        <v>5874</v>
      </c>
      <c r="P480" s="18" t="s">
        <v>5875</v>
      </c>
      <c r="Q480" s="19" t="s">
        <v>2295</v>
      </c>
    </row>
    <row r="481" spans="1:17">
      <c r="A481" s="17"/>
      <c r="B481" s="13" t="s">
        <v>6096</v>
      </c>
      <c r="C481" s="13" t="s">
        <v>6097</v>
      </c>
      <c r="D481" s="13" t="s">
        <v>514</v>
      </c>
      <c r="E481" s="13" t="s">
        <v>532</v>
      </c>
      <c r="F481" s="13" t="s">
        <v>5843</v>
      </c>
      <c r="G481" s="13">
        <v>5070905</v>
      </c>
      <c r="H481" s="13">
        <v>3300010897</v>
      </c>
      <c r="I481" s="13">
        <v>2183586</v>
      </c>
      <c r="J481" s="13">
        <v>5032240</v>
      </c>
      <c r="K481" s="13"/>
      <c r="L481" s="13" t="s">
        <v>6098</v>
      </c>
      <c r="M481" s="13">
        <v>140702275</v>
      </c>
      <c r="N481" s="18" t="s">
        <v>3105</v>
      </c>
      <c r="O481" s="18" t="s">
        <v>6099</v>
      </c>
      <c r="P481" s="18" t="s">
        <v>6100</v>
      </c>
      <c r="Q481" s="19">
        <v>41967</v>
      </c>
    </row>
    <row r="482" spans="1:17">
      <c r="A482" s="17" t="s">
        <v>839</v>
      </c>
      <c r="B482" s="13" t="s">
        <v>2686</v>
      </c>
      <c r="C482" s="13" t="s">
        <v>2687</v>
      </c>
      <c r="D482" s="13" t="s">
        <v>2688</v>
      </c>
      <c r="E482" s="13" t="s">
        <v>617</v>
      </c>
      <c r="F482" s="13" t="s">
        <v>2433</v>
      </c>
      <c r="G482" s="13" t="s">
        <v>2689</v>
      </c>
      <c r="H482" s="13">
        <v>5059316</v>
      </c>
      <c r="I482" s="13">
        <v>3300012262</v>
      </c>
      <c r="J482" s="13">
        <v>2183578</v>
      </c>
      <c r="K482" s="13" t="s">
        <v>2690</v>
      </c>
      <c r="L482" s="13" t="s">
        <v>2691</v>
      </c>
      <c r="M482" s="13">
        <v>140701441</v>
      </c>
      <c r="N482" s="18" t="s">
        <v>2436</v>
      </c>
      <c r="O482" s="18" t="s">
        <v>2692</v>
      </c>
      <c r="P482" s="18" t="s">
        <v>2693</v>
      </c>
      <c r="Q482" s="19">
        <v>41928</v>
      </c>
    </row>
    <row r="483" spans="1:17">
      <c r="A483" s="17"/>
      <c r="B483" s="13" t="s">
        <v>6217</v>
      </c>
      <c r="C483" s="13" t="s">
        <v>6218</v>
      </c>
      <c r="D483" s="13" t="s">
        <v>70</v>
      </c>
      <c r="E483" s="13" t="s">
        <v>531</v>
      </c>
      <c r="F483" s="13" t="s">
        <v>5843</v>
      </c>
      <c r="G483" s="13">
        <v>2177156</v>
      </c>
      <c r="H483" s="13">
        <v>3300001710</v>
      </c>
      <c r="I483" s="13" t="s">
        <v>6219</v>
      </c>
      <c r="J483" s="13"/>
      <c r="K483" s="13"/>
      <c r="L483" s="13" t="s">
        <v>6220</v>
      </c>
      <c r="M483" s="13">
        <v>120700320</v>
      </c>
      <c r="N483" s="18" t="s">
        <v>3105</v>
      </c>
      <c r="O483" s="18" t="s">
        <v>6221</v>
      </c>
      <c r="P483" s="18" t="s">
        <v>6222</v>
      </c>
      <c r="Q483" s="19" t="s">
        <v>6223</v>
      </c>
    </row>
    <row r="484" spans="1:17">
      <c r="A484" s="17"/>
      <c r="B484" s="13" t="s">
        <v>2708</v>
      </c>
      <c r="C484" s="13" t="s">
        <v>30</v>
      </c>
      <c r="D484" s="13" t="s">
        <v>342</v>
      </c>
      <c r="E484" s="13" t="s">
        <v>723</v>
      </c>
      <c r="F484" s="13" t="s">
        <v>2433</v>
      </c>
      <c r="G484" s="13" t="s">
        <v>2709</v>
      </c>
      <c r="H484" s="13">
        <v>3300005144</v>
      </c>
      <c r="I484" s="13"/>
      <c r="J484" s="13"/>
      <c r="K484" s="13"/>
      <c r="L484" s="13" t="s">
        <v>2710</v>
      </c>
      <c r="M484" s="13">
        <v>120803024</v>
      </c>
      <c r="N484" s="18" t="s">
        <v>2436</v>
      </c>
      <c r="O484" s="18"/>
      <c r="P484" s="18" t="s">
        <v>2711</v>
      </c>
      <c r="Q484" s="19">
        <v>41851</v>
      </c>
    </row>
    <row r="485" spans="1:17">
      <c r="A485" s="17"/>
      <c r="B485" s="13" t="s">
        <v>3863</v>
      </c>
      <c r="C485" s="13" t="s">
        <v>3864</v>
      </c>
      <c r="D485" s="13" t="s">
        <v>346</v>
      </c>
      <c r="E485" s="13" t="s">
        <v>549</v>
      </c>
      <c r="F485" s="13" t="s">
        <v>3754</v>
      </c>
      <c r="G485" s="13">
        <v>3300003634</v>
      </c>
      <c r="H485" s="13" t="s">
        <v>3865</v>
      </c>
      <c r="I485" s="13">
        <v>2103901</v>
      </c>
      <c r="J485" s="13" t="s">
        <v>3866</v>
      </c>
      <c r="K485" s="13">
        <v>1766133</v>
      </c>
      <c r="L485" s="13" t="s">
        <v>3867</v>
      </c>
      <c r="M485" s="13">
        <v>120806489</v>
      </c>
      <c r="N485" s="18" t="s">
        <v>3478</v>
      </c>
      <c r="O485" s="18" t="s">
        <v>3868</v>
      </c>
      <c r="P485" s="18" t="s">
        <v>3869</v>
      </c>
      <c r="Q485" s="19" t="s">
        <v>3870</v>
      </c>
    </row>
    <row r="486" spans="1:17">
      <c r="A486" s="17"/>
      <c r="B486" s="13" t="s">
        <v>4839</v>
      </c>
      <c r="C486" s="13" t="s">
        <v>4840</v>
      </c>
      <c r="D486" s="13" t="s">
        <v>4841</v>
      </c>
      <c r="E486" s="13" t="s">
        <v>4834</v>
      </c>
      <c r="F486" s="13" t="s">
        <v>4395</v>
      </c>
      <c r="G486" s="13" t="s">
        <v>4842</v>
      </c>
      <c r="H486" s="13" t="s">
        <v>4843</v>
      </c>
      <c r="I486" s="13">
        <v>2116241</v>
      </c>
      <c r="J486" s="13">
        <v>3300002966</v>
      </c>
      <c r="K486" s="13">
        <v>2116257</v>
      </c>
      <c r="L486" s="13" t="s">
        <v>4844</v>
      </c>
      <c r="M486" s="13">
        <v>120805904</v>
      </c>
      <c r="N486" s="18" t="s">
        <v>4399</v>
      </c>
      <c r="O486" s="18" t="s">
        <v>4845</v>
      </c>
      <c r="P486" s="18" t="s">
        <v>4846</v>
      </c>
      <c r="Q486" s="19" t="s">
        <v>1214</v>
      </c>
    </row>
    <row r="487" spans="1:17">
      <c r="A487" s="17"/>
      <c r="B487" s="13" t="s">
        <v>1470</v>
      </c>
      <c r="C487" s="13" t="s">
        <v>1470</v>
      </c>
      <c r="D487" s="13" t="s">
        <v>200</v>
      </c>
      <c r="E487" s="13" t="s">
        <v>566</v>
      </c>
      <c r="F487" s="13" t="s">
        <v>844</v>
      </c>
      <c r="G487" s="13">
        <v>3300009557</v>
      </c>
      <c r="H487" s="13" t="s">
        <v>1471</v>
      </c>
      <c r="I487" s="13">
        <v>5050462</v>
      </c>
      <c r="J487" s="13">
        <v>2177177</v>
      </c>
      <c r="K487" s="13">
        <v>3300011797</v>
      </c>
      <c r="L487" s="13" t="s">
        <v>1472</v>
      </c>
      <c r="M487" s="13">
        <v>120702170</v>
      </c>
      <c r="N487" s="18" t="s">
        <v>879</v>
      </c>
      <c r="O487" s="18" t="s">
        <v>1473</v>
      </c>
      <c r="P487" s="18" t="s">
        <v>1474</v>
      </c>
      <c r="Q487" s="19" t="s">
        <v>1475</v>
      </c>
    </row>
    <row r="488" spans="1:17">
      <c r="A488" s="17" t="s">
        <v>839</v>
      </c>
      <c r="B488" s="13" t="s">
        <v>5436</v>
      </c>
      <c r="C488" s="13" t="s">
        <v>5437</v>
      </c>
      <c r="D488" s="13" t="s">
        <v>354</v>
      </c>
      <c r="E488" s="13" t="s">
        <v>576</v>
      </c>
      <c r="F488" s="13" t="s">
        <v>5164</v>
      </c>
      <c r="G488" s="13">
        <v>3300001259</v>
      </c>
      <c r="H488" s="13">
        <v>3300001260</v>
      </c>
      <c r="I488" s="13">
        <v>2183564</v>
      </c>
      <c r="J488" s="13" t="s">
        <v>5438</v>
      </c>
      <c r="K488" s="13">
        <v>2103447</v>
      </c>
      <c r="L488" s="13" t="s">
        <v>5439</v>
      </c>
      <c r="M488" s="13">
        <v>120900711</v>
      </c>
      <c r="N488" s="18" t="s">
        <v>5091</v>
      </c>
      <c r="O488" s="18"/>
      <c r="P488" s="18" t="s">
        <v>5440</v>
      </c>
      <c r="Q488" s="19" t="s">
        <v>1547</v>
      </c>
    </row>
    <row r="489" spans="1:17">
      <c r="A489" s="17"/>
      <c r="B489" s="13" t="s">
        <v>3202</v>
      </c>
      <c r="C489" s="13" t="s">
        <v>3203</v>
      </c>
      <c r="D489" s="13" t="s">
        <v>3204</v>
      </c>
      <c r="E489" s="13" t="s">
        <v>545</v>
      </c>
      <c r="F489" s="13" t="s">
        <v>3101</v>
      </c>
      <c r="G489" s="13" t="s">
        <v>3205</v>
      </c>
      <c r="H489" s="13">
        <v>3300009529</v>
      </c>
      <c r="I489" s="13">
        <v>5059346</v>
      </c>
      <c r="J489" s="13" t="s">
        <v>3206</v>
      </c>
      <c r="K489" s="13"/>
      <c r="L489" s="13" t="s">
        <v>3207</v>
      </c>
      <c r="M489" s="13">
        <v>140703579</v>
      </c>
      <c r="N489" s="18"/>
      <c r="O489" s="18" t="s">
        <v>3208</v>
      </c>
      <c r="P489" s="18"/>
      <c r="Q489" s="19">
        <v>42104</v>
      </c>
    </row>
    <row r="490" spans="1:17">
      <c r="A490" s="17"/>
      <c r="B490" s="13" t="s">
        <v>1603</v>
      </c>
      <c r="C490" s="13" t="s">
        <v>1604</v>
      </c>
      <c r="D490" s="13" t="s">
        <v>393</v>
      </c>
      <c r="E490" s="13" t="s">
        <v>743</v>
      </c>
      <c r="F490" s="13" t="s">
        <v>844</v>
      </c>
      <c r="G490" s="13">
        <v>2183553</v>
      </c>
      <c r="H490" s="13" t="s">
        <v>1605</v>
      </c>
      <c r="I490" s="13"/>
      <c r="J490" s="13"/>
      <c r="K490" s="13"/>
      <c r="L490" s="13" t="s">
        <v>1606</v>
      </c>
      <c r="M490" s="13">
        <v>130700398</v>
      </c>
      <c r="N490" s="18" t="s">
        <v>879</v>
      </c>
      <c r="O490" s="18" t="s">
        <v>1607</v>
      </c>
      <c r="P490" s="18" t="s">
        <v>1608</v>
      </c>
      <c r="Q490" s="19" t="s">
        <v>1609</v>
      </c>
    </row>
    <row r="491" spans="1:17">
      <c r="A491" s="17" t="s">
        <v>839</v>
      </c>
      <c r="B491" s="13" t="s">
        <v>4231</v>
      </c>
      <c r="C491" s="13" t="s">
        <v>4232</v>
      </c>
      <c r="D491" s="13" t="s">
        <v>422</v>
      </c>
      <c r="E491" s="13" t="s">
        <v>553</v>
      </c>
      <c r="F491" s="13" t="s">
        <v>3754</v>
      </c>
      <c r="G491" s="13">
        <v>3300009747</v>
      </c>
      <c r="H491" s="13" t="s">
        <v>4233</v>
      </c>
      <c r="I491" s="13" t="s">
        <v>4234</v>
      </c>
      <c r="J491" s="13">
        <v>2177149</v>
      </c>
      <c r="K491" s="13" t="s">
        <v>4235</v>
      </c>
      <c r="L491" s="13" t="s">
        <v>4236</v>
      </c>
      <c r="M491" s="13">
        <v>130702916</v>
      </c>
      <c r="N491" s="18" t="s">
        <v>1018</v>
      </c>
      <c r="O491" s="18" t="s">
        <v>4237</v>
      </c>
      <c r="P491" s="18"/>
      <c r="Q491" s="19" t="s">
        <v>2319</v>
      </c>
    </row>
    <row r="492" spans="1:17">
      <c r="A492" s="17" t="s">
        <v>839</v>
      </c>
      <c r="B492" s="13" t="s">
        <v>2359</v>
      </c>
      <c r="C492" s="13" t="s">
        <v>2360</v>
      </c>
      <c r="D492" s="13" t="s">
        <v>2361</v>
      </c>
      <c r="E492" s="13" t="s">
        <v>557</v>
      </c>
      <c r="F492" s="20" t="s">
        <v>2345</v>
      </c>
      <c r="G492" s="13">
        <v>2114788</v>
      </c>
      <c r="H492" s="13" t="s">
        <v>2362</v>
      </c>
      <c r="I492" s="13">
        <v>3300002964</v>
      </c>
      <c r="J492" s="13">
        <v>2114756</v>
      </c>
      <c r="K492" s="13" t="s">
        <v>2363</v>
      </c>
      <c r="L492" s="13" t="s">
        <v>2364</v>
      </c>
      <c r="M492" s="13">
        <v>120707524</v>
      </c>
      <c r="N492" s="18" t="s">
        <v>847</v>
      </c>
      <c r="O492" s="18" t="s">
        <v>2365</v>
      </c>
      <c r="P492" s="18"/>
      <c r="Q492" s="19" t="s">
        <v>1167</v>
      </c>
    </row>
    <row r="493" spans="1:17">
      <c r="A493" s="17"/>
      <c r="B493" s="13" t="s">
        <v>3302</v>
      </c>
      <c r="C493" s="13" t="s">
        <v>6</v>
      </c>
      <c r="D493" s="13" t="s">
        <v>3303</v>
      </c>
      <c r="E493" s="13" t="s">
        <v>660</v>
      </c>
      <c r="F493" s="13" t="s">
        <v>3101</v>
      </c>
      <c r="G493" s="13">
        <v>5031880</v>
      </c>
      <c r="H493" s="13">
        <v>2119273</v>
      </c>
      <c r="I493" s="13" t="s">
        <v>3304</v>
      </c>
      <c r="J493" s="13"/>
      <c r="K493" s="13"/>
      <c r="L493" s="13" t="s">
        <v>3305</v>
      </c>
      <c r="M493" s="13">
        <v>120706457</v>
      </c>
      <c r="N493" s="18" t="s">
        <v>887</v>
      </c>
      <c r="O493" s="18" t="s">
        <v>3306</v>
      </c>
      <c r="P493" s="18" t="s">
        <v>3307</v>
      </c>
      <c r="Q493" s="19" t="s">
        <v>2657</v>
      </c>
    </row>
    <row r="494" spans="1:17">
      <c r="A494" s="17"/>
      <c r="B494" s="20" t="s">
        <v>1646</v>
      </c>
      <c r="C494" s="20" t="s">
        <v>1604</v>
      </c>
      <c r="D494" s="20" t="s">
        <v>1647</v>
      </c>
      <c r="E494" s="20" t="s">
        <v>713</v>
      </c>
      <c r="F494" s="13" t="s">
        <v>844</v>
      </c>
      <c r="G494" s="20" t="s">
        <v>1648</v>
      </c>
      <c r="H494" s="20">
        <v>2119285</v>
      </c>
      <c r="I494" s="20">
        <v>3300002995</v>
      </c>
      <c r="J494" s="20"/>
      <c r="K494" s="20"/>
      <c r="L494" s="20" t="s">
        <v>1649</v>
      </c>
      <c r="M494" s="20">
        <v>130703132</v>
      </c>
      <c r="N494" s="18" t="s">
        <v>879</v>
      </c>
      <c r="O494" s="18" t="s">
        <v>1650</v>
      </c>
      <c r="P494" s="18" t="s">
        <v>1651</v>
      </c>
      <c r="Q494" s="24">
        <v>42044</v>
      </c>
    </row>
    <row r="495" spans="1:17">
      <c r="A495" s="17"/>
      <c r="B495" s="13" t="s">
        <v>4055</v>
      </c>
      <c r="C495" s="13" t="s">
        <v>4056</v>
      </c>
      <c r="D495" s="13" t="s">
        <v>481</v>
      </c>
      <c r="E495" s="13" t="s">
        <v>644</v>
      </c>
      <c r="F495" s="13" t="s">
        <v>3754</v>
      </c>
      <c r="G495" s="13">
        <v>2172359</v>
      </c>
      <c r="H495" s="13" t="s">
        <v>4057</v>
      </c>
      <c r="I495" s="13">
        <v>3300006557</v>
      </c>
      <c r="J495" s="13"/>
      <c r="K495" s="13"/>
      <c r="L495" s="13" t="s">
        <v>4058</v>
      </c>
      <c r="M495" s="13">
        <v>130802222</v>
      </c>
      <c r="N495" s="18" t="s">
        <v>3117</v>
      </c>
      <c r="O495" s="18"/>
      <c r="P495" s="18" t="s">
        <v>4059</v>
      </c>
      <c r="Q495" s="19" t="s">
        <v>1880</v>
      </c>
    </row>
    <row r="496" spans="1:17">
      <c r="A496" s="17" t="s">
        <v>839</v>
      </c>
      <c r="B496" s="13" t="s">
        <v>1680</v>
      </c>
      <c r="C496" s="13" t="s">
        <v>1681</v>
      </c>
      <c r="D496" s="13" t="s">
        <v>449</v>
      </c>
      <c r="E496" s="13" t="s">
        <v>605</v>
      </c>
      <c r="F496" s="13" t="s">
        <v>844</v>
      </c>
      <c r="G496" s="13">
        <v>2119279</v>
      </c>
      <c r="H496" s="13" t="s">
        <v>1682</v>
      </c>
      <c r="I496" s="13">
        <v>3300001676</v>
      </c>
      <c r="J496" s="13">
        <v>5042647</v>
      </c>
      <c r="K496" s="13" t="s">
        <v>1683</v>
      </c>
      <c r="L496" s="13" t="s">
        <v>1684</v>
      </c>
      <c r="M496" s="13">
        <v>130704585</v>
      </c>
      <c r="N496" s="18" t="s">
        <v>879</v>
      </c>
      <c r="O496" s="18" t="s">
        <v>1685</v>
      </c>
      <c r="P496" s="18" t="s">
        <v>1686</v>
      </c>
      <c r="Q496" s="19" t="s">
        <v>850</v>
      </c>
    </row>
    <row r="497" spans="1:17">
      <c r="A497" s="17" t="s">
        <v>839</v>
      </c>
      <c r="B497" s="13" t="s">
        <v>3581</v>
      </c>
      <c r="C497" s="13" t="s">
        <v>3582</v>
      </c>
      <c r="D497" s="13" t="s">
        <v>121</v>
      </c>
      <c r="E497" s="13" t="s">
        <v>572</v>
      </c>
      <c r="F497" s="13" t="s">
        <v>3558</v>
      </c>
      <c r="G497" s="13">
        <v>3300003010</v>
      </c>
      <c r="H497" s="13">
        <v>2183531</v>
      </c>
      <c r="I497" s="13" t="s">
        <v>3583</v>
      </c>
      <c r="J497" s="13" t="s">
        <v>3584</v>
      </c>
      <c r="K497" s="13">
        <v>2119192</v>
      </c>
      <c r="L497" s="13" t="s">
        <v>3585</v>
      </c>
      <c r="M497" s="13">
        <v>120700686</v>
      </c>
      <c r="N497" s="18" t="s">
        <v>3478</v>
      </c>
      <c r="O497" s="18"/>
      <c r="P497" s="18" t="s">
        <v>3586</v>
      </c>
      <c r="Q497" s="19" t="s">
        <v>3012</v>
      </c>
    </row>
    <row r="498" spans="1:17">
      <c r="A498" s="17"/>
      <c r="B498" s="13" t="s">
        <v>1692</v>
      </c>
      <c r="C498" s="13" t="s">
        <v>1693</v>
      </c>
      <c r="D498" s="13" t="s">
        <v>1694</v>
      </c>
      <c r="E498" s="13" t="s">
        <v>615</v>
      </c>
      <c r="F498" s="13" t="s">
        <v>844</v>
      </c>
      <c r="G498" s="13" t="s">
        <v>1695</v>
      </c>
      <c r="H498" s="13">
        <v>3300005161</v>
      </c>
      <c r="I498" s="13">
        <v>2171956</v>
      </c>
      <c r="J498" s="13"/>
      <c r="K498" s="13"/>
      <c r="L498" s="13" t="s">
        <v>1696</v>
      </c>
      <c r="M498" s="13">
        <v>120706378</v>
      </c>
      <c r="N498" s="18" t="s">
        <v>879</v>
      </c>
      <c r="O498" s="18"/>
      <c r="P498" s="18" t="s">
        <v>1697</v>
      </c>
      <c r="Q498" s="19" t="s">
        <v>1698</v>
      </c>
    </row>
    <row r="499" spans="1:17">
      <c r="A499" s="17"/>
      <c r="B499" s="13" t="s">
        <v>1692</v>
      </c>
      <c r="C499" s="13" t="s">
        <v>2</v>
      </c>
      <c r="D499" s="13" t="s">
        <v>5441</v>
      </c>
      <c r="E499" s="13" t="s">
        <v>576</v>
      </c>
      <c r="F499" s="13" t="s">
        <v>5164</v>
      </c>
      <c r="G499" s="13" t="s">
        <v>5442</v>
      </c>
      <c r="H499" s="13">
        <v>3300005184</v>
      </c>
      <c r="I499" s="13">
        <v>2119292</v>
      </c>
      <c r="J499" s="13">
        <v>2183485</v>
      </c>
      <c r="K499" s="13"/>
      <c r="L499" s="13" t="s">
        <v>5443</v>
      </c>
      <c r="M499" s="13">
        <v>120702340</v>
      </c>
      <c r="N499" s="18"/>
      <c r="O499" s="18"/>
      <c r="P499" s="18" t="s">
        <v>5444</v>
      </c>
      <c r="Q499" s="19">
        <v>42103</v>
      </c>
    </row>
    <row r="500" spans="1:17">
      <c r="A500" s="17"/>
      <c r="B500" s="13" t="s">
        <v>4365</v>
      </c>
      <c r="C500" s="13" t="s">
        <v>4366</v>
      </c>
      <c r="D500" s="13" t="s">
        <v>4367</v>
      </c>
      <c r="E500" s="13" t="s">
        <v>791</v>
      </c>
      <c r="F500" s="13" t="s">
        <v>3754</v>
      </c>
      <c r="G500" s="13" t="s">
        <v>4368</v>
      </c>
      <c r="H500" s="13">
        <v>3300009786</v>
      </c>
      <c r="I500" s="13" t="s">
        <v>4369</v>
      </c>
      <c r="J500" s="13">
        <v>2116312</v>
      </c>
      <c r="K500" s="13" t="s">
        <v>4370</v>
      </c>
      <c r="L500" s="13" t="s">
        <v>4371</v>
      </c>
      <c r="M500" s="13">
        <v>140700586</v>
      </c>
      <c r="N500" s="18" t="s">
        <v>1018</v>
      </c>
      <c r="O500" s="18" t="s">
        <v>4372</v>
      </c>
      <c r="P500" s="18" t="s">
        <v>4373</v>
      </c>
      <c r="Q500" s="19">
        <v>41939</v>
      </c>
    </row>
    <row r="501" spans="1:17">
      <c r="A501" s="17"/>
      <c r="B501" s="13" t="s">
        <v>5149</v>
      </c>
      <c r="C501" s="13" t="s">
        <v>22</v>
      </c>
      <c r="D501" s="13" t="s">
        <v>5150</v>
      </c>
      <c r="E501" s="13" t="s">
        <v>5151</v>
      </c>
      <c r="F501" s="13" t="s">
        <v>4914</v>
      </c>
      <c r="G501" s="13">
        <v>5006420</v>
      </c>
      <c r="H501" s="13" t="s">
        <v>5152</v>
      </c>
      <c r="I501" s="13">
        <v>3300002973</v>
      </c>
      <c r="J501" s="13">
        <v>2117089</v>
      </c>
      <c r="K501" s="13"/>
      <c r="L501" s="13" t="s">
        <v>5153</v>
      </c>
      <c r="M501" s="13">
        <v>120709510</v>
      </c>
      <c r="N501" s="18" t="s">
        <v>4721</v>
      </c>
      <c r="O501" s="18" t="s">
        <v>5154</v>
      </c>
      <c r="P501" s="18" t="s">
        <v>5155</v>
      </c>
      <c r="Q501" s="19" t="s">
        <v>5079</v>
      </c>
    </row>
    <row r="502" spans="1:17">
      <c r="A502" s="17" t="s">
        <v>839</v>
      </c>
      <c r="B502" s="13" t="s">
        <v>4238</v>
      </c>
      <c r="C502" s="13" t="s">
        <v>4239</v>
      </c>
      <c r="D502" s="13" t="s">
        <v>95</v>
      </c>
      <c r="E502" s="13" t="s">
        <v>553</v>
      </c>
      <c r="F502" s="13" t="s">
        <v>3754</v>
      </c>
      <c r="G502" s="13" t="s">
        <v>4240</v>
      </c>
      <c r="H502" s="13">
        <v>2115641</v>
      </c>
      <c r="I502" s="13" t="s">
        <v>4241</v>
      </c>
      <c r="J502" s="13" t="s">
        <v>4242</v>
      </c>
      <c r="K502" s="13">
        <v>3300009754</v>
      </c>
      <c r="L502" s="13" t="s">
        <v>4243</v>
      </c>
      <c r="M502" s="13">
        <v>120700520</v>
      </c>
      <c r="N502" s="18" t="s">
        <v>1018</v>
      </c>
      <c r="O502" s="18"/>
      <c r="P502" s="18" t="s">
        <v>4244</v>
      </c>
      <c r="Q502" s="19" t="s">
        <v>1385</v>
      </c>
    </row>
    <row r="503" spans="1:17">
      <c r="A503" s="17" t="s">
        <v>839</v>
      </c>
      <c r="B503" s="13" t="s">
        <v>2630</v>
      </c>
      <c r="C503" s="13" t="s">
        <v>2631</v>
      </c>
      <c r="D503" s="13" t="s">
        <v>2632</v>
      </c>
      <c r="E503" s="13" t="s">
        <v>680</v>
      </c>
      <c r="F503" s="13" t="s">
        <v>2433</v>
      </c>
      <c r="G503" s="13">
        <v>5012462</v>
      </c>
      <c r="H503" s="13" t="s">
        <v>2633</v>
      </c>
      <c r="I503" s="13">
        <v>2116022</v>
      </c>
      <c r="J503" s="13">
        <v>3300006554</v>
      </c>
      <c r="K503" s="13">
        <v>5012463</v>
      </c>
      <c r="L503" s="13" t="s">
        <v>2634</v>
      </c>
      <c r="M503" s="13">
        <v>120707318</v>
      </c>
      <c r="N503" s="18" t="s">
        <v>2436</v>
      </c>
      <c r="O503" s="18" t="s">
        <v>2635</v>
      </c>
      <c r="P503" s="18" t="s">
        <v>2636</v>
      </c>
      <c r="Q503" s="19" t="s">
        <v>2578</v>
      </c>
    </row>
    <row r="504" spans="1:17">
      <c r="A504" s="17"/>
      <c r="B504" s="13" t="s">
        <v>867</v>
      </c>
      <c r="C504" s="13" t="s">
        <v>868</v>
      </c>
      <c r="D504" s="13" t="s">
        <v>869</v>
      </c>
      <c r="E504" s="13" t="s">
        <v>795</v>
      </c>
      <c r="F504" s="13" t="s">
        <v>844</v>
      </c>
      <c r="G504" s="13" t="s">
        <v>870</v>
      </c>
      <c r="H504" s="13">
        <v>2119291</v>
      </c>
      <c r="I504" s="13">
        <v>3300012832</v>
      </c>
      <c r="J504" s="13"/>
      <c r="K504" s="13"/>
      <c r="L504" s="13" t="s">
        <v>871</v>
      </c>
      <c r="M504" s="13">
        <v>140701594</v>
      </c>
      <c r="N504" s="18" t="s">
        <v>847</v>
      </c>
      <c r="O504" s="18" t="s">
        <v>872</v>
      </c>
      <c r="P504" s="18" t="s">
        <v>873</v>
      </c>
      <c r="Q504" s="19">
        <v>41939</v>
      </c>
    </row>
    <row r="505" spans="1:17">
      <c r="A505" s="17" t="s">
        <v>839</v>
      </c>
      <c r="B505" s="13" t="s">
        <v>840</v>
      </c>
      <c r="C505" s="13" t="s">
        <v>841</v>
      </c>
      <c r="D505" s="13" t="s">
        <v>842</v>
      </c>
      <c r="E505" s="13" t="s">
        <v>843</v>
      </c>
      <c r="F505" s="13" t="s">
        <v>844</v>
      </c>
      <c r="G505" s="13">
        <v>2119276</v>
      </c>
      <c r="H505" s="13">
        <v>5042646</v>
      </c>
      <c r="I505" s="13">
        <v>3300006795</v>
      </c>
      <c r="J505" s="13" t="s">
        <v>845</v>
      </c>
      <c r="K505" s="13">
        <v>3300009820</v>
      </c>
      <c r="L505" s="13" t="s">
        <v>846</v>
      </c>
      <c r="M505" s="13">
        <v>120701161</v>
      </c>
      <c r="N505" s="18" t="s">
        <v>847</v>
      </c>
      <c r="O505" s="18" t="s">
        <v>848</v>
      </c>
      <c r="P505" s="18" t="s">
        <v>849</v>
      </c>
      <c r="Q505" s="19" t="s">
        <v>850</v>
      </c>
    </row>
    <row r="506" spans="1:17">
      <c r="A506" s="17" t="s">
        <v>839</v>
      </c>
      <c r="B506" s="13" t="s">
        <v>2994</v>
      </c>
      <c r="C506" s="13" t="s">
        <v>9</v>
      </c>
      <c r="D506" s="13" t="s">
        <v>273</v>
      </c>
      <c r="E506" s="13" t="s">
        <v>2995</v>
      </c>
      <c r="F506" s="13" t="s">
        <v>2830</v>
      </c>
      <c r="G506" s="13">
        <v>5031850</v>
      </c>
      <c r="H506" s="13" t="s">
        <v>2996</v>
      </c>
      <c r="I506" s="13">
        <v>2119289</v>
      </c>
      <c r="J506" s="13">
        <v>3300001235</v>
      </c>
      <c r="K506" s="13">
        <v>5001456</v>
      </c>
      <c r="L506" s="13" t="s">
        <v>2997</v>
      </c>
      <c r="M506" s="13">
        <v>120706722</v>
      </c>
      <c r="N506" s="18" t="s">
        <v>2436</v>
      </c>
      <c r="O506" s="18" t="s">
        <v>2998</v>
      </c>
      <c r="P506" s="18" t="s">
        <v>2999</v>
      </c>
      <c r="Q506" s="19" t="s">
        <v>2629</v>
      </c>
    </row>
    <row r="507" spans="1:17">
      <c r="A507" s="17" t="s">
        <v>839</v>
      </c>
      <c r="B507" s="13" t="s">
        <v>5200</v>
      </c>
      <c r="C507" s="13" t="s">
        <v>5201</v>
      </c>
      <c r="D507" s="13" t="s">
        <v>5202</v>
      </c>
      <c r="E507" s="13" t="s">
        <v>697</v>
      </c>
      <c r="F507" s="13" t="s">
        <v>5164</v>
      </c>
      <c r="G507" s="13" t="s">
        <v>5203</v>
      </c>
      <c r="H507" s="13">
        <v>3300002826</v>
      </c>
      <c r="I507" s="13" t="s">
        <v>5204</v>
      </c>
      <c r="J507" s="13">
        <v>3300002814</v>
      </c>
      <c r="K507" s="13">
        <v>2183470</v>
      </c>
      <c r="L507" s="13" t="s">
        <v>5205</v>
      </c>
      <c r="M507" s="13">
        <v>120700651</v>
      </c>
      <c r="N507" s="18" t="s">
        <v>5091</v>
      </c>
      <c r="O507" s="18"/>
      <c r="P507" s="18" t="s">
        <v>5206</v>
      </c>
      <c r="Q507" s="19" t="s">
        <v>5207</v>
      </c>
    </row>
    <row r="508" spans="1:17">
      <c r="A508" s="17"/>
      <c r="B508" s="13" t="s">
        <v>6289</v>
      </c>
      <c r="C508" s="13" t="s">
        <v>6290</v>
      </c>
      <c r="D508" s="13" t="s">
        <v>216</v>
      </c>
      <c r="E508" s="13" t="s">
        <v>641</v>
      </c>
      <c r="F508" s="13" t="s">
        <v>5843</v>
      </c>
      <c r="G508" s="13">
        <v>2171940</v>
      </c>
      <c r="H508" s="13" t="s">
        <v>6291</v>
      </c>
      <c r="I508" s="13"/>
      <c r="J508" s="13"/>
      <c r="K508" s="13"/>
      <c r="L508" s="13" t="s">
        <v>6292</v>
      </c>
      <c r="M508" s="13">
        <v>120703322</v>
      </c>
      <c r="N508" s="18" t="s">
        <v>3187</v>
      </c>
      <c r="O508" s="18"/>
      <c r="P508" s="18" t="s">
        <v>6293</v>
      </c>
      <c r="Q508" s="19" t="s">
        <v>2295</v>
      </c>
    </row>
    <row r="509" spans="1:17">
      <c r="A509" s="17"/>
      <c r="B509" s="13" t="s">
        <v>3796</v>
      </c>
      <c r="C509" s="13" t="s">
        <v>3797</v>
      </c>
      <c r="D509" s="13" t="s">
        <v>120</v>
      </c>
      <c r="E509" s="13" t="s">
        <v>571</v>
      </c>
      <c r="F509" s="13" t="s">
        <v>3754</v>
      </c>
      <c r="G509" s="13">
        <v>2103437</v>
      </c>
      <c r="H509" s="13" t="s">
        <v>3798</v>
      </c>
      <c r="I509" s="13">
        <v>2103543</v>
      </c>
      <c r="J509" s="13">
        <v>5059364</v>
      </c>
      <c r="K509" s="13"/>
      <c r="L509" s="13" t="s">
        <v>3799</v>
      </c>
      <c r="M509" s="13">
        <v>120700684</v>
      </c>
      <c r="N509" s="18" t="s">
        <v>1018</v>
      </c>
      <c r="O509" s="18" t="s">
        <v>3800</v>
      </c>
      <c r="P509" s="18" t="s">
        <v>3801</v>
      </c>
      <c r="Q509" s="19" t="s">
        <v>2143</v>
      </c>
    </row>
    <row r="510" spans="1:17">
      <c r="A510" s="17" t="s">
        <v>839</v>
      </c>
      <c r="B510" s="13" t="s">
        <v>5099</v>
      </c>
      <c r="C510" s="13" t="s">
        <v>5100</v>
      </c>
      <c r="D510" s="13" t="s">
        <v>473</v>
      </c>
      <c r="E510" s="13" t="s">
        <v>671</v>
      </c>
      <c r="F510" s="13" t="s">
        <v>4914</v>
      </c>
      <c r="G510" s="13">
        <v>2117477</v>
      </c>
      <c r="H510" s="13" t="s">
        <v>5101</v>
      </c>
      <c r="I510" s="13">
        <v>3300009764</v>
      </c>
      <c r="J510" s="13">
        <v>2103942</v>
      </c>
      <c r="K510" s="13" t="s">
        <v>5102</v>
      </c>
      <c r="L510" s="13" t="s">
        <v>5103</v>
      </c>
      <c r="M510" s="13">
        <v>130705816</v>
      </c>
      <c r="N510" s="18" t="s">
        <v>4721</v>
      </c>
      <c r="O510" s="18"/>
      <c r="P510" s="18" t="s">
        <v>873</v>
      </c>
      <c r="Q510" s="19" t="s">
        <v>4941</v>
      </c>
    </row>
    <row r="511" spans="1:17">
      <c r="A511" s="17"/>
      <c r="B511" s="13" t="s">
        <v>2290</v>
      </c>
      <c r="C511" s="13" t="s">
        <v>2291</v>
      </c>
      <c r="D511" s="13" t="s">
        <v>281</v>
      </c>
      <c r="E511" s="13" t="s">
        <v>564</v>
      </c>
      <c r="F511" s="20" t="s">
        <v>2191</v>
      </c>
      <c r="G511" s="13">
        <v>2116651</v>
      </c>
      <c r="H511" s="13">
        <v>2066109</v>
      </c>
      <c r="I511" s="13"/>
      <c r="J511" s="13"/>
      <c r="K511" s="13"/>
      <c r="L511" s="13" t="s">
        <v>2292</v>
      </c>
      <c r="M511" s="13">
        <v>120707312</v>
      </c>
      <c r="N511" s="18" t="s">
        <v>879</v>
      </c>
      <c r="O511" s="18" t="s">
        <v>2293</v>
      </c>
      <c r="P511" s="18" t="s">
        <v>2294</v>
      </c>
      <c r="Q511" s="19" t="s">
        <v>2295</v>
      </c>
    </row>
    <row r="512" spans="1:17">
      <c r="A512" s="17" t="s">
        <v>839</v>
      </c>
      <c r="B512" s="13" t="s">
        <v>1624</v>
      </c>
      <c r="C512" s="13" t="s">
        <v>47</v>
      </c>
      <c r="D512" s="13" t="s">
        <v>467</v>
      </c>
      <c r="E512" s="13" t="s">
        <v>568</v>
      </c>
      <c r="F512" s="13" t="s">
        <v>844</v>
      </c>
      <c r="G512" s="13" t="s">
        <v>1625</v>
      </c>
      <c r="H512" s="13">
        <v>3300009546</v>
      </c>
      <c r="I512" s="13">
        <v>2172011</v>
      </c>
      <c r="J512" s="13">
        <v>5049716</v>
      </c>
      <c r="K512" s="13" t="s">
        <v>1626</v>
      </c>
      <c r="L512" s="13" t="s">
        <v>1627</v>
      </c>
      <c r="M512" s="13">
        <v>130705329</v>
      </c>
      <c r="N512" s="18" t="s">
        <v>847</v>
      </c>
      <c r="O512" s="18" t="s">
        <v>1628</v>
      </c>
      <c r="P512" s="18" t="s">
        <v>1629</v>
      </c>
      <c r="Q512" s="19" t="s">
        <v>866</v>
      </c>
    </row>
    <row r="513" spans="1:17">
      <c r="A513" s="17" t="s">
        <v>839</v>
      </c>
      <c r="B513" s="13" t="s">
        <v>3209</v>
      </c>
      <c r="C513" s="13" t="s">
        <v>3210</v>
      </c>
      <c r="D513" s="13" t="s">
        <v>269</v>
      </c>
      <c r="E513" s="13" t="s">
        <v>545</v>
      </c>
      <c r="F513" s="13" t="s">
        <v>3101</v>
      </c>
      <c r="G513" s="13" t="s">
        <v>3211</v>
      </c>
      <c r="H513" s="13">
        <v>3300004152</v>
      </c>
      <c r="I513" s="13">
        <v>2096458</v>
      </c>
      <c r="J513" s="13">
        <v>3300004155</v>
      </c>
      <c r="K513" s="13" t="s">
        <v>3212</v>
      </c>
      <c r="L513" s="13" t="s">
        <v>3213</v>
      </c>
      <c r="M513" s="13">
        <v>120706387</v>
      </c>
      <c r="N513" s="18" t="s">
        <v>887</v>
      </c>
      <c r="O513" s="18" t="s">
        <v>3214</v>
      </c>
      <c r="P513" s="18" t="s">
        <v>3215</v>
      </c>
      <c r="Q513" s="19" t="s">
        <v>1295</v>
      </c>
    </row>
    <row r="514" spans="1:17">
      <c r="A514" s="17"/>
      <c r="B514" s="13" t="s">
        <v>5680</v>
      </c>
      <c r="C514" s="13" t="s">
        <v>5681</v>
      </c>
      <c r="D514" s="13" t="s">
        <v>291</v>
      </c>
      <c r="E514" s="13" t="s">
        <v>688</v>
      </c>
      <c r="F514" s="13" t="s">
        <v>5164</v>
      </c>
      <c r="G514" s="13">
        <v>2114762</v>
      </c>
      <c r="H514" s="13">
        <v>3300004154</v>
      </c>
      <c r="I514" s="13">
        <v>2103499</v>
      </c>
      <c r="J514" s="13">
        <v>5059339</v>
      </c>
      <c r="K514" s="13"/>
      <c r="L514" s="13" t="s">
        <v>5682</v>
      </c>
      <c r="M514" s="13">
        <v>120707818</v>
      </c>
      <c r="N514" s="18" t="s">
        <v>4424</v>
      </c>
      <c r="O514" s="18" t="s">
        <v>5683</v>
      </c>
      <c r="P514" s="18" t="s">
        <v>5684</v>
      </c>
      <c r="Q514" s="19" t="s">
        <v>5173</v>
      </c>
    </row>
    <row r="515" spans="1:17">
      <c r="A515" s="17"/>
      <c r="B515" s="13" t="s">
        <v>5833</v>
      </c>
      <c r="C515" s="13" t="s">
        <v>5834</v>
      </c>
      <c r="D515" s="13" t="s">
        <v>75</v>
      </c>
      <c r="E515" s="13" t="s">
        <v>535</v>
      </c>
      <c r="F515" s="13" t="s">
        <v>5753</v>
      </c>
      <c r="G515" s="13" t="s">
        <v>5835</v>
      </c>
      <c r="H515" s="13" t="s">
        <v>5836</v>
      </c>
      <c r="I515" s="13" t="s">
        <v>5837</v>
      </c>
      <c r="J515" s="13">
        <v>2171902</v>
      </c>
      <c r="K515" s="13">
        <v>3300001671</v>
      </c>
      <c r="L515" s="13" t="s">
        <v>5838</v>
      </c>
      <c r="M515" s="13">
        <v>120700386</v>
      </c>
      <c r="N515" s="18" t="s">
        <v>4472</v>
      </c>
      <c r="O515" s="18" t="s">
        <v>5839</v>
      </c>
      <c r="P515" s="18" t="s">
        <v>5840</v>
      </c>
      <c r="Q515" s="19" t="s">
        <v>3018</v>
      </c>
    </row>
    <row r="516" spans="1:17">
      <c r="A516" s="17"/>
      <c r="B516" s="13" t="s">
        <v>1372</v>
      </c>
      <c r="C516" s="13" t="s">
        <v>26</v>
      </c>
      <c r="D516" s="13" t="s">
        <v>1373</v>
      </c>
      <c r="E516" s="13" t="s">
        <v>714</v>
      </c>
      <c r="F516" s="13" t="s">
        <v>844</v>
      </c>
      <c r="G516" s="13" t="s">
        <v>1374</v>
      </c>
      <c r="H516" s="13">
        <v>3300002984</v>
      </c>
      <c r="I516" s="13">
        <v>1765962</v>
      </c>
      <c r="J516" s="13"/>
      <c r="K516" s="13"/>
      <c r="L516" s="13" t="s">
        <v>1375</v>
      </c>
      <c r="M516" s="13">
        <v>120711947</v>
      </c>
      <c r="N516" s="18" t="s">
        <v>1188</v>
      </c>
      <c r="O516" s="18" t="s">
        <v>1376</v>
      </c>
      <c r="P516" s="18" t="s">
        <v>1377</v>
      </c>
      <c r="Q516" s="19" t="s">
        <v>850</v>
      </c>
    </row>
    <row r="517" spans="1:17">
      <c r="A517" s="17" t="s">
        <v>839</v>
      </c>
      <c r="B517" s="13" t="s">
        <v>2366</v>
      </c>
      <c r="C517" s="13" t="s">
        <v>2367</v>
      </c>
      <c r="D517" s="13" t="s">
        <v>2368</v>
      </c>
      <c r="E517" s="13" t="s">
        <v>557</v>
      </c>
      <c r="F517" s="20" t="s">
        <v>2345</v>
      </c>
      <c r="G517" s="13">
        <v>3300012263</v>
      </c>
      <c r="H517" s="13" t="s">
        <v>2369</v>
      </c>
      <c r="I517" s="13">
        <v>3300012295</v>
      </c>
      <c r="J517" s="20">
        <v>5059383</v>
      </c>
      <c r="K517" s="13">
        <v>2183565</v>
      </c>
      <c r="L517" s="13" t="s">
        <v>2370</v>
      </c>
      <c r="M517" s="13">
        <v>130706428</v>
      </c>
      <c r="N517" s="18" t="s">
        <v>847</v>
      </c>
      <c r="O517" s="18" t="s">
        <v>2371</v>
      </c>
      <c r="P517" s="18"/>
      <c r="Q517" s="19"/>
    </row>
    <row r="518" spans="1:17">
      <c r="A518" s="17"/>
      <c r="B518" s="20" t="s">
        <v>2372</v>
      </c>
      <c r="C518" s="20" t="s">
        <v>2373</v>
      </c>
      <c r="D518" s="20" t="s">
        <v>2374</v>
      </c>
      <c r="E518" s="13" t="s">
        <v>557</v>
      </c>
      <c r="F518" s="20" t="s">
        <v>2345</v>
      </c>
      <c r="G518" s="20">
        <v>3300008126</v>
      </c>
      <c r="H518" s="20" t="s">
        <v>2375</v>
      </c>
      <c r="I518" s="20">
        <v>2183508</v>
      </c>
      <c r="J518" s="20">
        <v>3300008134</v>
      </c>
      <c r="K518" s="20" t="s">
        <v>2376</v>
      </c>
      <c r="L518" s="20" t="s">
        <v>2377</v>
      </c>
      <c r="M518" s="20">
        <v>150700584</v>
      </c>
      <c r="N518" s="20"/>
      <c r="O518" s="18" t="s">
        <v>2378</v>
      </c>
      <c r="P518" s="18"/>
      <c r="Q518" s="24">
        <v>42129</v>
      </c>
    </row>
    <row r="519" spans="1:17">
      <c r="A519" s="17"/>
      <c r="B519" s="13" t="s">
        <v>5631</v>
      </c>
      <c r="C519" s="13" t="s">
        <v>5632</v>
      </c>
      <c r="D519" s="13" t="s">
        <v>456</v>
      </c>
      <c r="E519" s="13" t="s">
        <v>773</v>
      </c>
      <c r="F519" s="13" t="s">
        <v>5164</v>
      </c>
      <c r="G519" s="13"/>
      <c r="H519" s="13" t="s">
        <v>5633</v>
      </c>
      <c r="I519" s="13">
        <v>2177331</v>
      </c>
      <c r="J519" s="13"/>
      <c r="K519" s="13"/>
      <c r="L519" s="13" t="s">
        <v>5634</v>
      </c>
      <c r="M519" s="13">
        <v>130704886</v>
      </c>
      <c r="N519" s="18" t="s">
        <v>3187</v>
      </c>
      <c r="O519" s="18" t="s">
        <v>5635</v>
      </c>
      <c r="P519" s="18" t="s">
        <v>5636</v>
      </c>
      <c r="Q519" s="19" t="s">
        <v>1512</v>
      </c>
    </row>
    <row r="520" spans="1:17">
      <c r="A520" s="17" t="s">
        <v>839</v>
      </c>
      <c r="B520" s="13" t="s">
        <v>4245</v>
      </c>
      <c r="C520" s="13" t="s">
        <v>4246</v>
      </c>
      <c r="D520" s="13" t="s">
        <v>527</v>
      </c>
      <c r="E520" s="13" t="s">
        <v>553</v>
      </c>
      <c r="F520" s="13" t="s">
        <v>3754</v>
      </c>
      <c r="G520" s="13">
        <v>2115652</v>
      </c>
      <c r="H520" s="13">
        <v>5001461</v>
      </c>
      <c r="I520" s="13">
        <v>2115866</v>
      </c>
      <c r="J520" s="13">
        <v>3300004122</v>
      </c>
      <c r="K520" s="13">
        <v>5001451</v>
      </c>
      <c r="L520" s="13" t="s">
        <v>4247</v>
      </c>
      <c r="M520" s="13">
        <v>120703014</v>
      </c>
      <c r="N520" s="18" t="s">
        <v>1018</v>
      </c>
      <c r="O520" s="18" t="s">
        <v>4248</v>
      </c>
      <c r="P520" s="18" t="s">
        <v>4249</v>
      </c>
      <c r="Q520" s="19" t="s">
        <v>4225</v>
      </c>
    </row>
    <row r="521" spans="1:17">
      <c r="A521" s="17" t="s">
        <v>839</v>
      </c>
      <c r="B521" s="13" t="s">
        <v>3480</v>
      </c>
      <c r="C521" s="13" t="s">
        <v>3481</v>
      </c>
      <c r="D521" s="13" t="s">
        <v>460</v>
      </c>
      <c r="E521" s="13" t="s">
        <v>538</v>
      </c>
      <c r="F521" s="13" t="s">
        <v>3101</v>
      </c>
      <c r="G521" s="13" t="s">
        <v>3482</v>
      </c>
      <c r="H521" s="13">
        <v>5050453</v>
      </c>
      <c r="I521" s="13">
        <v>2171981</v>
      </c>
      <c r="J521" s="13">
        <v>3300005727</v>
      </c>
      <c r="K521" s="13" t="s">
        <v>3483</v>
      </c>
      <c r="L521" s="13" t="s">
        <v>3484</v>
      </c>
      <c r="M521" s="13">
        <v>130704969</v>
      </c>
      <c r="N521" s="18" t="s">
        <v>3117</v>
      </c>
      <c r="O521" s="18"/>
      <c r="P521" s="18" t="s">
        <v>3485</v>
      </c>
      <c r="Q521" s="19" t="s">
        <v>3486</v>
      </c>
    </row>
    <row r="522" spans="1:17">
      <c r="A522" s="17"/>
      <c r="B522" s="13" t="s">
        <v>6101</v>
      </c>
      <c r="C522" s="13" t="s">
        <v>6102</v>
      </c>
      <c r="D522" s="13" t="s">
        <v>255</v>
      </c>
      <c r="E522" s="13" t="s">
        <v>532</v>
      </c>
      <c r="F522" s="13" t="s">
        <v>5843</v>
      </c>
      <c r="G522" s="13">
        <v>3300003007</v>
      </c>
      <c r="H522" s="13">
        <v>5001469</v>
      </c>
      <c r="I522" s="13" t="s">
        <v>6103</v>
      </c>
      <c r="J522" s="13">
        <v>5001445</v>
      </c>
      <c r="K522" s="13">
        <v>3300002997</v>
      </c>
      <c r="L522" s="13" t="s">
        <v>6104</v>
      </c>
      <c r="M522" s="13">
        <v>120705504</v>
      </c>
      <c r="N522" s="18" t="s">
        <v>3187</v>
      </c>
      <c r="O522" s="18" t="s">
        <v>6105</v>
      </c>
      <c r="P522" s="18" t="s">
        <v>6106</v>
      </c>
      <c r="Q522" s="19" t="s">
        <v>5354</v>
      </c>
    </row>
    <row r="523" spans="1:17">
      <c r="A523" s="17" t="s">
        <v>839</v>
      </c>
      <c r="B523" s="13" t="s">
        <v>4030</v>
      </c>
      <c r="C523" s="13" t="s">
        <v>4031</v>
      </c>
      <c r="D523" s="13" t="s">
        <v>87</v>
      </c>
      <c r="E523" s="13" t="s">
        <v>543</v>
      </c>
      <c r="F523" s="13" t="s">
        <v>3754</v>
      </c>
      <c r="G523" s="13">
        <v>3300011490</v>
      </c>
      <c r="H523" s="13" t="s">
        <v>4032</v>
      </c>
      <c r="I523" s="13" t="s">
        <v>4033</v>
      </c>
      <c r="J523" s="13">
        <v>2119203</v>
      </c>
      <c r="K523" s="13"/>
      <c r="L523" s="13" t="s">
        <v>4034</v>
      </c>
      <c r="M523" s="13">
        <v>120700484</v>
      </c>
      <c r="N523" s="18" t="s">
        <v>1188</v>
      </c>
      <c r="O523" s="18"/>
      <c r="P523" s="18" t="s">
        <v>4020</v>
      </c>
      <c r="Q523" s="19" t="s">
        <v>4035</v>
      </c>
    </row>
    <row r="524" spans="1:17">
      <c r="A524" s="17"/>
      <c r="B524" s="13" t="s">
        <v>6439</v>
      </c>
      <c r="C524" s="13" t="s">
        <v>6440</v>
      </c>
      <c r="D524" s="13" t="s">
        <v>97</v>
      </c>
      <c r="E524" s="13" t="s">
        <v>554</v>
      </c>
      <c r="F524" s="13" t="s">
        <v>5843</v>
      </c>
      <c r="G524" s="13">
        <v>2110118</v>
      </c>
      <c r="H524" s="13">
        <v>5014450</v>
      </c>
      <c r="I524" s="13">
        <v>3300005174</v>
      </c>
      <c r="J524" s="13" t="s">
        <v>6441</v>
      </c>
      <c r="K524" s="13"/>
      <c r="L524" s="13" t="s">
        <v>6442</v>
      </c>
      <c r="M524" s="13">
        <v>120700529</v>
      </c>
      <c r="N524" s="18" t="s">
        <v>3105</v>
      </c>
      <c r="O524" s="18" t="s">
        <v>6443</v>
      </c>
      <c r="P524" s="18" t="s">
        <v>6444</v>
      </c>
      <c r="Q524" s="19" t="s">
        <v>1430</v>
      </c>
    </row>
    <row r="525" spans="1:17">
      <c r="A525" s="17"/>
      <c r="B525" s="13" t="s">
        <v>5555</v>
      </c>
      <c r="C525" s="13" t="s">
        <v>5556</v>
      </c>
      <c r="D525" s="13" t="s">
        <v>223</v>
      </c>
      <c r="E525" s="13" t="s">
        <v>622</v>
      </c>
      <c r="F525" s="13" t="s">
        <v>5164</v>
      </c>
      <c r="G525" s="13" t="s">
        <v>5557</v>
      </c>
      <c r="H525" s="13"/>
      <c r="I525" s="13"/>
      <c r="J525" s="13"/>
      <c r="K525" s="13"/>
      <c r="L525" s="13" t="s">
        <v>5558</v>
      </c>
      <c r="M525" s="13">
        <v>120703641</v>
      </c>
      <c r="N525" s="18" t="s">
        <v>4424</v>
      </c>
      <c r="O525" s="18"/>
      <c r="P525" s="18" t="s">
        <v>5559</v>
      </c>
      <c r="Q525" s="19" t="s">
        <v>1794</v>
      </c>
    </row>
    <row r="526" spans="1:17">
      <c r="A526" s="17"/>
      <c r="B526" s="13" t="s">
        <v>2568</v>
      </c>
      <c r="C526" s="13" t="s">
        <v>2569</v>
      </c>
      <c r="D526" s="13" t="s">
        <v>251</v>
      </c>
      <c r="E526" s="13" t="s">
        <v>640</v>
      </c>
      <c r="F526" s="13" t="s">
        <v>2433</v>
      </c>
      <c r="G526" s="13">
        <v>3300011513</v>
      </c>
      <c r="H526" s="13">
        <v>2119178</v>
      </c>
      <c r="I526" s="13" t="s">
        <v>2570</v>
      </c>
      <c r="J526" s="13">
        <v>5031859</v>
      </c>
      <c r="K526" s="13">
        <v>3300006802</v>
      </c>
      <c r="L526" s="13" t="s">
        <v>2571</v>
      </c>
      <c r="M526" s="13">
        <v>120705057</v>
      </c>
      <c r="N526" s="18" t="s">
        <v>2436</v>
      </c>
      <c r="O526" s="18" t="s">
        <v>2572</v>
      </c>
      <c r="P526" s="18" t="s">
        <v>2573</v>
      </c>
      <c r="Q526" s="19" t="s">
        <v>1202</v>
      </c>
    </row>
    <row r="527" spans="1:17">
      <c r="A527" s="17"/>
      <c r="B527" s="13" t="s">
        <v>5976</v>
      </c>
      <c r="C527" s="13" t="s">
        <v>5977</v>
      </c>
      <c r="D527" s="13" t="s">
        <v>5978</v>
      </c>
      <c r="E527" s="13" t="s">
        <v>611</v>
      </c>
      <c r="F527" s="13" t="s">
        <v>5843</v>
      </c>
      <c r="G527" s="13">
        <v>2183579</v>
      </c>
      <c r="H527" s="13">
        <v>5059324</v>
      </c>
      <c r="I527" s="13"/>
      <c r="J527" s="13"/>
      <c r="K527" s="13"/>
      <c r="L527" s="13" t="s">
        <v>5979</v>
      </c>
      <c r="M527" s="13">
        <v>120701321</v>
      </c>
      <c r="N527" s="18" t="s">
        <v>3105</v>
      </c>
      <c r="O527" s="18" t="s">
        <v>5980</v>
      </c>
      <c r="P527" s="18" t="s">
        <v>5981</v>
      </c>
      <c r="Q527" s="19">
        <v>41851</v>
      </c>
    </row>
    <row r="528" spans="1:17">
      <c r="A528" s="17" t="s">
        <v>839</v>
      </c>
      <c r="B528" s="13" t="s">
        <v>2965</v>
      </c>
      <c r="C528" s="13" t="s">
        <v>2966</v>
      </c>
      <c r="D528" s="13" t="s">
        <v>2967</v>
      </c>
      <c r="E528" s="13" t="s">
        <v>685</v>
      </c>
      <c r="F528" s="13" t="s">
        <v>2830</v>
      </c>
      <c r="G528" s="13" t="s">
        <v>2968</v>
      </c>
      <c r="H528" s="13">
        <v>2119200</v>
      </c>
      <c r="I528" s="13">
        <v>3300002977</v>
      </c>
      <c r="J528" s="13" t="s">
        <v>2969</v>
      </c>
      <c r="K528" s="13"/>
      <c r="L528" s="13" t="s">
        <v>2970</v>
      </c>
      <c r="M528" s="13">
        <v>120707552</v>
      </c>
      <c r="N528" s="18" t="s">
        <v>2436</v>
      </c>
      <c r="O528" s="18" t="s">
        <v>2971</v>
      </c>
      <c r="P528" s="18" t="s">
        <v>873</v>
      </c>
      <c r="Q528" s="19" t="s">
        <v>2972</v>
      </c>
    </row>
    <row r="529" spans="1:17">
      <c r="A529" s="17"/>
      <c r="B529" s="13" t="s">
        <v>1386</v>
      </c>
      <c r="C529" s="13" t="s">
        <v>1387</v>
      </c>
      <c r="D529" s="13" t="s">
        <v>80</v>
      </c>
      <c r="E529" s="13" t="s">
        <v>540</v>
      </c>
      <c r="F529" s="13" t="s">
        <v>844</v>
      </c>
      <c r="G529" s="13" t="s">
        <v>1388</v>
      </c>
      <c r="H529" s="13" t="s">
        <v>1389</v>
      </c>
      <c r="I529" s="13" t="s">
        <v>1390</v>
      </c>
      <c r="J529" s="13">
        <v>5031860</v>
      </c>
      <c r="K529" s="13">
        <v>2119205</v>
      </c>
      <c r="L529" s="13" t="s">
        <v>1391</v>
      </c>
      <c r="M529" s="13">
        <v>120700410</v>
      </c>
      <c r="N529" s="18" t="s">
        <v>1188</v>
      </c>
      <c r="O529" s="18" t="s">
        <v>1392</v>
      </c>
      <c r="P529" s="18" t="s">
        <v>1393</v>
      </c>
      <c r="Q529" s="19" t="s">
        <v>1394</v>
      </c>
    </row>
    <row r="530" spans="1:17">
      <c r="A530" s="17" t="s">
        <v>839</v>
      </c>
      <c r="B530" s="13" t="s">
        <v>2250</v>
      </c>
      <c r="C530" s="13" t="s">
        <v>2251</v>
      </c>
      <c r="D530" s="13" t="s">
        <v>2252</v>
      </c>
      <c r="E530" s="13" t="s">
        <v>805</v>
      </c>
      <c r="F530" s="20" t="s">
        <v>2191</v>
      </c>
      <c r="G530" s="13" t="s">
        <v>2253</v>
      </c>
      <c r="H530" s="13">
        <v>3300005164</v>
      </c>
      <c r="I530" s="13">
        <v>5059304</v>
      </c>
      <c r="J530" s="13">
        <v>3300002822</v>
      </c>
      <c r="K530" s="13">
        <v>2183577</v>
      </c>
      <c r="L530" s="13" t="s">
        <v>2254</v>
      </c>
      <c r="M530" s="13">
        <v>120706473</v>
      </c>
      <c r="N530" s="18" t="s">
        <v>879</v>
      </c>
      <c r="O530" s="18" t="s">
        <v>2255</v>
      </c>
      <c r="P530" s="18" t="s">
        <v>2256</v>
      </c>
      <c r="Q530" s="19" t="s">
        <v>2257</v>
      </c>
    </row>
    <row r="531" spans="1:17">
      <c r="A531" s="17"/>
      <c r="B531" s="13" t="s">
        <v>3514</v>
      </c>
      <c r="C531" s="13" t="s">
        <v>3515</v>
      </c>
      <c r="D531" s="13" t="s">
        <v>3516</v>
      </c>
      <c r="E531" s="13" t="s">
        <v>661</v>
      </c>
      <c r="F531" s="13" t="s">
        <v>3101</v>
      </c>
      <c r="G531" s="13" t="s">
        <v>3517</v>
      </c>
      <c r="H531" s="13">
        <v>2116302</v>
      </c>
      <c r="I531" s="13" t="s">
        <v>3518</v>
      </c>
      <c r="J531" s="13"/>
      <c r="K531" s="13"/>
      <c r="L531" s="13" t="s">
        <v>3519</v>
      </c>
      <c r="M531" s="13">
        <v>140701961</v>
      </c>
      <c r="N531" s="18"/>
      <c r="O531" s="18" t="s">
        <v>3520</v>
      </c>
      <c r="P531" s="18" t="s">
        <v>3521</v>
      </c>
      <c r="Q531" s="19">
        <v>42103</v>
      </c>
    </row>
    <row r="532" spans="1:17">
      <c r="A532" s="17" t="s">
        <v>839</v>
      </c>
      <c r="B532" s="13" t="s">
        <v>1207</v>
      </c>
      <c r="C532" s="13" t="s">
        <v>1208</v>
      </c>
      <c r="D532" s="13" t="s">
        <v>1209</v>
      </c>
      <c r="E532" s="13" t="s">
        <v>664</v>
      </c>
      <c r="F532" s="13" t="s">
        <v>844</v>
      </c>
      <c r="G532" s="13">
        <v>2116288</v>
      </c>
      <c r="H532" s="13" t="s">
        <v>1210</v>
      </c>
      <c r="I532" s="13">
        <v>2116309</v>
      </c>
      <c r="J532" s="13">
        <v>3300008124</v>
      </c>
      <c r="K532" s="13">
        <v>5050459</v>
      </c>
      <c r="L532" s="13" t="s">
        <v>1211</v>
      </c>
      <c r="M532" s="13">
        <v>120701384</v>
      </c>
      <c r="N532" s="18" t="s">
        <v>856</v>
      </c>
      <c r="O532" s="18" t="s">
        <v>1212</v>
      </c>
      <c r="P532" s="18" t="s">
        <v>1213</v>
      </c>
      <c r="Q532" s="19" t="s">
        <v>1214</v>
      </c>
    </row>
    <row r="533" spans="1:17">
      <c r="A533" s="17"/>
      <c r="B533" s="21" t="s">
        <v>1903</v>
      </c>
      <c r="C533" s="21" t="s">
        <v>1904</v>
      </c>
      <c r="D533" s="21" t="s">
        <v>1905</v>
      </c>
      <c r="E533" s="21" t="s">
        <v>721</v>
      </c>
      <c r="F533" s="13" t="s">
        <v>844</v>
      </c>
      <c r="G533" s="20">
        <v>3300009498</v>
      </c>
      <c r="H533" s="20" t="s">
        <v>1906</v>
      </c>
      <c r="I533" s="20" t="s">
        <v>1907</v>
      </c>
      <c r="J533" s="20">
        <v>2084871</v>
      </c>
      <c r="K533" s="20" t="s">
        <v>1908</v>
      </c>
      <c r="L533" s="20" t="s">
        <v>1909</v>
      </c>
      <c r="M533" s="22">
        <v>120701254</v>
      </c>
      <c r="N533" s="18" t="s">
        <v>896</v>
      </c>
      <c r="O533" s="18" t="s">
        <v>1910</v>
      </c>
      <c r="P533" s="18" t="s">
        <v>1911</v>
      </c>
      <c r="Q533" s="23" t="s">
        <v>899</v>
      </c>
    </row>
    <row r="534" spans="1:17">
      <c r="A534" s="17"/>
      <c r="B534" s="13" t="s">
        <v>1249</v>
      </c>
      <c r="C534" s="13" t="s">
        <v>1250</v>
      </c>
      <c r="D534" s="13" t="s">
        <v>307</v>
      </c>
      <c r="E534" s="13" t="s">
        <v>703</v>
      </c>
      <c r="F534" s="13" t="s">
        <v>844</v>
      </c>
      <c r="G534" s="13" t="s">
        <v>1251</v>
      </c>
      <c r="H534" s="13" t="s">
        <v>1252</v>
      </c>
      <c r="I534" s="13">
        <v>2103546</v>
      </c>
      <c r="J534" s="13" t="s">
        <v>1253</v>
      </c>
      <c r="K534" s="13"/>
      <c r="L534" s="13" t="s">
        <v>1254</v>
      </c>
      <c r="M534" s="13">
        <v>120708647</v>
      </c>
      <c r="N534" s="18" t="s">
        <v>1188</v>
      </c>
      <c r="O534" s="18" t="s">
        <v>1255</v>
      </c>
      <c r="P534" s="18" t="s">
        <v>1256</v>
      </c>
      <c r="Q534" s="19" t="s">
        <v>1257</v>
      </c>
    </row>
    <row r="535" spans="1:17">
      <c r="A535" s="17"/>
      <c r="B535" s="13" t="s">
        <v>4250</v>
      </c>
      <c r="C535" s="13" t="s">
        <v>4251</v>
      </c>
      <c r="D535" s="13" t="s">
        <v>435</v>
      </c>
      <c r="E535" s="13" t="s">
        <v>553</v>
      </c>
      <c r="F535" s="13" t="s">
        <v>3754</v>
      </c>
      <c r="G535" s="13" t="s">
        <v>4252</v>
      </c>
      <c r="H535" s="13">
        <v>5049695</v>
      </c>
      <c r="I535" s="13">
        <v>2171948</v>
      </c>
      <c r="J535" s="13">
        <v>3300009539</v>
      </c>
      <c r="K535" s="13"/>
      <c r="L535" s="13" t="s">
        <v>4253</v>
      </c>
      <c r="M535" s="13">
        <v>130703424</v>
      </c>
      <c r="N535" s="18" t="s">
        <v>1018</v>
      </c>
      <c r="O535" s="18" t="s">
        <v>4254</v>
      </c>
      <c r="P535" s="18"/>
      <c r="Q535" s="19" t="s">
        <v>4197</v>
      </c>
    </row>
    <row r="536" spans="1:17">
      <c r="A536" s="17" t="s">
        <v>839</v>
      </c>
      <c r="B536" s="13" t="s">
        <v>1719</v>
      </c>
      <c r="C536" s="13" t="s">
        <v>1720</v>
      </c>
      <c r="D536" s="13" t="s">
        <v>1721</v>
      </c>
      <c r="E536" s="13" t="s">
        <v>817</v>
      </c>
      <c r="F536" s="13" t="s">
        <v>844</v>
      </c>
      <c r="G536" s="13">
        <v>5033022</v>
      </c>
      <c r="H536" s="13">
        <v>2116052</v>
      </c>
      <c r="I536" s="13" t="s">
        <v>1722</v>
      </c>
      <c r="J536" s="13">
        <v>2116042</v>
      </c>
      <c r="K536" s="13">
        <v>5033026</v>
      </c>
      <c r="L536" s="13" t="s">
        <v>1723</v>
      </c>
      <c r="M536" s="13">
        <v>131001822</v>
      </c>
      <c r="N536" s="18" t="s">
        <v>1188</v>
      </c>
      <c r="O536" s="18"/>
      <c r="P536" s="18"/>
      <c r="Q536" s="19" t="s">
        <v>1724</v>
      </c>
    </row>
    <row r="537" spans="1:17">
      <c r="A537" s="17"/>
      <c r="B537" s="13" t="s">
        <v>5982</v>
      </c>
      <c r="C537" s="13" t="s">
        <v>5983</v>
      </c>
      <c r="D537" s="13" t="s">
        <v>5984</v>
      </c>
      <c r="E537" s="13" t="s">
        <v>611</v>
      </c>
      <c r="F537" s="13" t="s">
        <v>5843</v>
      </c>
      <c r="G537" s="13">
        <v>5040881</v>
      </c>
      <c r="H537" s="13" t="s">
        <v>5985</v>
      </c>
      <c r="I537" s="13">
        <v>2119282</v>
      </c>
      <c r="J537" s="13">
        <v>3300006807</v>
      </c>
      <c r="K537" s="13">
        <v>5040889</v>
      </c>
      <c r="L537" s="13" t="s">
        <v>5986</v>
      </c>
      <c r="M537" s="13">
        <v>120908469</v>
      </c>
      <c r="N537" s="18" t="s">
        <v>3105</v>
      </c>
      <c r="O537" s="18" t="s">
        <v>5987</v>
      </c>
      <c r="P537" s="18" t="s">
        <v>5988</v>
      </c>
      <c r="Q537" s="19" t="s">
        <v>5333</v>
      </c>
    </row>
    <row r="538" spans="1:17">
      <c r="A538" s="17"/>
      <c r="B538" s="13" t="s">
        <v>5799</v>
      </c>
      <c r="C538" s="13" t="s">
        <v>5800</v>
      </c>
      <c r="D538" s="13" t="s">
        <v>439</v>
      </c>
      <c r="E538" s="13" t="s">
        <v>583</v>
      </c>
      <c r="F538" s="13" t="s">
        <v>5753</v>
      </c>
      <c r="G538" s="13">
        <v>2117095</v>
      </c>
      <c r="H538" s="13" t="s">
        <v>5801</v>
      </c>
      <c r="I538" s="13">
        <v>3300009762</v>
      </c>
      <c r="J538" s="13">
        <v>2119229</v>
      </c>
      <c r="K538" s="13"/>
      <c r="L538" s="13" t="s">
        <v>5802</v>
      </c>
      <c r="M538" s="13">
        <v>130703902</v>
      </c>
      <c r="N538" s="18" t="s">
        <v>4721</v>
      </c>
      <c r="O538" s="18" t="s">
        <v>5803</v>
      </c>
      <c r="P538" s="18" t="s">
        <v>5804</v>
      </c>
      <c r="Q538" s="19" t="s">
        <v>4941</v>
      </c>
    </row>
    <row r="539" spans="1:17">
      <c r="A539" s="17"/>
      <c r="B539" s="13" t="s">
        <v>1781</v>
      </c>
      <c r="C539" s="13" t="s">
        <v>1782</v>
      </c>
      <c r="D539" s="13" t="s">
        <v>1783</v>
      </c>
      <c r="E539" s="13" t="s">
        <v>620</v>
      </c>
      <c r="F539" s="13" t="s">
        <v>844</v>
      </c>
      <c r="G539" s="13">
        <v>5042662</v>
      </c>
      <c r="H539" s="13" t="s">
        <v>1784</v>
      </c>
      <c r="I539" s="13">
        <v>2119182</v>
      </c>
      <c r="J539" s="13"/>
      <c r="K539" s="13"/>
      <c r="L539" s="13" t="s">
        <v>1785</v>
      </c>
      <c r="M539" s="13">
        <v>120703143</v>
      </c>
      <c r="N539" s="18" t="s">
        <v>887</v>
      </c>
      <c r="O539" s="18"/>
      <c r="P539" s="18" t="s">
        <v>1786</v>
      </c>
      <c r="Q539" s="19" t="s">
        <v>1787</v>
      </c>
    </row>
    <row r="540" spans="1:17">
      <c r="A540" s="17"/>
      <c r="B540" s="13" t="s">
        <v>3335</v>
      </c>
      <c r="C540" s="13" t="s">
        <v>3336</v>
      </c>
      <c r="D540" s="13" t="s">
        <v>338</v>
      </c>
      <c r="E540" s="13" t="s">
        <v>598</v>
      </c>
      <c r="F540" s="13" t="s">
        <v>3101</v>
      </c>
      <c r="G540" s="13" t="s">
        <v>3337</v>
      </c>
      <c r="H540" s="13">
        <v>5014451</v>
      </c>
      <c r="I540" s="13">
        <v>3300005162</v>
      </c>
      <c r="J540" s="13" t="s">
        <v>3338</v>
      </c>
      <c r="K540" s="13"/>
      <c r="L540" s="13" t="s">
        <v>3339</v>
      </c>
      <c r="M540" s="13">
        <v>120801306</v>
      </c>
      <c r="N540" s="18" t="s">
        <v>887</v>
      </c>
      <c r="O540" s="18" t="s">
        <v>3340</v>
      </c>
      <c r="P540" s="18" t="s">
        <v>3341</v>
      </c>
      <c r="Q540" s="19" t="s">
        <v>1127</v>
      </c>
    </row>
    <row r="541" spans="1:17">
      <c r="A541" s="17"/>
      <c r="B541" s="13" t="s">
        <v>1924</v>
      </c>
      <c r="C541" s="13" t="s">
        <v>1925</v>
      </c>
      <c r="D541" s="13" t="s">
        <v>292</v>
      </c>
      <c r="E541" s="13" t="s">
        <v>689</v>
      </c>
      <c r="F541" s="13" t="s">
        <v>844</v>
      </c>
      <c r="G541" s="13">
        <v>3300002806</v>
      </c>
      <c r="H541" s="13">
        <v>5014458</v>
      </c>
      <c r="I541" s="13" t="s">
        <v>1926</v>
      </c>
      <c r="J541" s="13"/>
      <c r="K541" s="13"/>
      <c r="L541" s="13" t="s">
        <v>1927</v>
      </c>
      <c r="M541" s="13">
        <v>120707834</v>
      </c>
      <c r="N541" s="18" t="s">
        <v>1421</v>
      </c>
      <c r="O541" s="18" t="s">
        <v>1928</v>
      </c>
      <c r="P541" s="18" t="s">
        <v>1929</v>
      </c>
      <c r="Q541" s="19" t="s">
        <v>1127</v>
      </c>
    </row>
    <row r="542" spans="1:17">
      <c r="A542" s="17" t="s">
        <v>839</v>
      </c>
      <c r="B542" s="13" t="s">
        <v>3487</v>
      </c>
      <c r="C542" s="13" t="s">
        <v>3488</v>
      </c>
      <c r="D542" s="13" t="s">
        <v>78</v>
      </c>
      <c r="E542" s="13" t="s">
        <v>538</v>
      </c>
      <c r="F542" s="13" t="s">
        <v>3101</v>
      </c>
      <c r="G542" s="13" t="s">
        <v>3489</v>
      </c>
      <c r="H542" s="13">
        <v>5045678</v>
      </c>
      <c r="I542" s="13" t="s">
        <v>3490</v>
      </c>
      <c r="J542" s="13">
        <v>2183502</v>
      </c>
      <c r="K542" s="13" t="s">
        <v>3491</v>
      </c>
      <c r="L542" s="13" t="s">
        <v>3492</v>
      </c>
      <c r="M542" s="13">
        <v>120700399</v>
      </c>
      <c r="N542" s="18" t="s">
        <v>3117</v>
      </c>
      <c r="O542" s="18" t="s">
        <v>3493</v>
      </c>
      <c r="P542" s="18" t="s">
        <v>3494</v>
      </c>
      <c r="Q542" s="19" t="s">
        <v>3376</v>
      </c>
    </row>
    <row r="543" spans="1:17">
      <c r="A543" s="17"/>
      <c r="B543" s="13" t="s">
        <v>2379</v>
      </c>
      <c r="C543" s="13" t="s">
        <v>2380</v>
      </c>
      <c r="D543" s="13" t="s">
        <v>2381</v>
      </c>
      <c r="E543" s="13" t="s">
        <v>557</v>
      </c>
      <c r="F543" s="20" t="s">
        <v>2345</v>
      </c>
      <c r="G543" s="13" t="s">
        <v>2382</v>
      </c>
      <c r="H543" s="13">
        <v>3400001163</v>
      </c>
      <c r="I543" s="13" t="s">
        <v>2383</v>
      </c>
      <c r="J543" s="13">
        <v>3400001162</v>
      </c>
      <c r="K543" s="13">
        <v>2103924</v>
      </c>
      <c r="L543" s="13" t="s">
        <v>2384</v>
      </c>
      <c r="M543" s="13">
        <v>120707427</v>
      </c>
      <c r="N543" s="18" t="s">
        <v>847</v>
      </c>
      <c r="O543" s="18" t="s">
        <v>2385</v>
      </c>
      <c r="P543" s="18" t="s">
        <v>873</v>
      </c>
      <c r="Q543" s="19" t="s">
        <v>1469</v>
      </c>
    </row>
    <row r="544" spans="1:17">
      <c r="A544" s="17"/>
      <c r="B544" s="13" t="s">
        <v>6270</v>
      </c>
      <c r="C544" s="13" t="s">
        <v>6271</v>
      </c>
      <c r="D544" s="13" t="s">
        <v>6272</v>
      </c>
      <c r="E544" s="13" t="s">
        <v>650</v>
      </c>
      <c r="F544" s="13" t="s">
        <v>5843</v>
      </c>
      <c r="G544" s="13">
        <v>3300001254</v>
      </c>
      <c r="H544" s="13" t="s">
        <v>6273</v>
      </c>
      <c r="I544" s="13">
        <v>5031881</v>
      </c>
      <c r="J544" s="13"/>
      <c r="K544" s="13"/>
      <c r="L544" s="13" t="s">
        <v>6274</v>
      </c>
      <c r="M544" s="13">
        <v>120703319</v>
      </c>
      <c r="N544" s="18" t="s">
        <v>3187</v>
      </c>
      <c r="O544" s="18"/>
      <c r="P544" s="18" t="s">
        <v>6275</v>
      </c>
      <c r="Q544" s="19" t="s">
        <v>6276</v>
      </c>
    </row>
    <row r="545" spans="1:17">
      <c r="A545" s="17" t="s">
        <v>839</v>
      </c>
      <c r="B545" s="13" t="s">
        <v>3651</v>
      </c>
      <c r="C545" s="13" t="s">
        <v>3652</v>
      </c>
      <c r="D545" s="13" t="s">
        <v>102</v>
      </c>
      <c r="E545" s="13" t="s">
        <v>560</v>
      </c>
      <c r="F545" s="13" t="s">
        <v>3558</v>
      </c>
      <c r="G545" s="13">
        <v>3300002991</v>
      </c>
      <c r="H545" s="13">
        <v>5006428</v>
      </c>
      <c r="I545" s="13">
        <v>2103448</v>
      </c>
      <c r="J545" s="13">
        <v>5006422</v>
      </c>
      <c r="K545" s="13" t="s">
        <v>3653</v>
      </c>
      <c r="L545" s="13" t="s">
        <v>3654</v>
      </c>
      <c r="M545" s="13">
        <v>120700573</v>
      </c>
      <c r="N545" s="18" t="s">
        <v>3478</v>
      </c>
      <c r="O545" s="18"/>
      <c r="P545" s="18" t="s">
        <v>3655</v>
      </c>
      <c r="Q545" s="19" t="s">
        <v>1295</v>
      </c>
    </row>
    <row r="546" spans="1:17">
      <c r="A546" s="17"/>
      <c r="B546" s="13" t="s">
        <v>1155</v>
      </c>
      <c r="C546" s="13" t="s">
        <v>1156</v>
      </c>
      <c r="D546" s="13" t="s">
        <v>372</v>
      </c>
      <c r="E546" s="13" t="s">
        <v>662</v>
      </c>
      <c r="F546" s="13" t="s">
        <v>844</v>
      </c>
      <c r="G546" s="13">
        <v>3300005143</v>
      </c>
      <c r="H546" s="13">
        <v>5006426</v>
      </c>
      <c r="I546" s="13">
        <v>2084094</v>
      </c>
      <c r="J546" s="13"/>
      <c r="K546" s="13">
        <v>3300005135</v>
      </c>
      <c r="L546" s="13" t="s">
        <v>1157</v>
      </c>
      <c r="M546" s="13">
        <v>120905409</v>
      </c>
      <c r="N546" s="18" t="s">
        <v>856</v>
      </c>
      <c r="O546" s="18" t="s">
        <v>1158</v>
      </c>
      <c r="P546" s="18" t="s">
        <v>1159</v>
      </c>
      <c r="Q546" s="19" t="s">
        <v>1160</v>
      </c>
    </row>
    <row r="547" spans="1:17">
      <c r="A547" s="17" t="s">
        <v>839</v>
      </c>
      <c r="B547" s="21" t="s">
        <v>966</v>
      </c>
      <c r="C547" s="21" t="s">
        <v>3</v>
      </c>
      <c r="D547" s="21" t="s">
        <v>967</v>
      </c>
      <c r="E547" s="21" t="s">
        <v>547</v>
      </c>
      <c r="F547" s="13" t="s">
        <v>844</v>
      </c>
      <c r="G547" s="20">
        <v>3300009476</v>
      </c>
      <c r="H547" s="20">
        <v>2084686</v>
      </c>
      <c r="I547" s="20" t="s">
        <v>968</v>
      </c>
      <c r="J547" s="20" t="s">
        <v>969</v>
      </c>
      <c r="K547" s="20" t="s">
        <v>970</v>
      </c>
      <c r="L547" s="20" t="s">
        <v>971</v>
      </c>
      <c r="M547" s="22">
        <v>120703840</v>
      </c>
      <c r="N547" s="18" t="s">
        <v>896</v>
      </c>
      <c r="O547" s="18" t="s">
        <v>972</v>
      </c>
      <c r="P547" s="18" t="s">
        <v>973</v>
      </c>
      <c r="Q547" s="23" t="s">
        <v>899</v>
      </c>
    </row>
    <row r="548" spans="1:17">
      <c r="A548" s="17"/>
      <c r="B548" s="13" t="s">
        <v>2957</v>
      </c>
      <c r="C548" s="13" t="s">
        <v>2958</v>
      </c>
      <c r="D548" s="12" t="s">
        <v>2959</v>
      </c>
      <c r="E548" s="13" t="s">
        <v>2960</v>
      </c>
      <c r="F548" s="13" t="s">
        <v>2830</v>
      </c>
      <c r="G548" s="13">
        <v>2117431</v>
      </c>
      <c r="H548" s="13">
        <v>3300010663</v>
      </c>
      <c r="I548" s="13" t="s">
        <v>2961</v>
      </c>
      <c r="J548" s="13"/>
      <c r="K548" s="13"/>
      <c r="L548" s="13" t="s">
        <v>2962</v>
      </c>
      <c r="M548" s="13">
        <v>120709220</v>
      </c>
      <c r="N548" s="18" t="s">
        <v>887</v>
      </c>
      <c r="O548" s="18" t="s">
        <v>2963</v>
      </c>
      <c r="P548" s="18" t="s">
        <v>2964</v>
      </c>
      <c r="Q548" s="19"/>
    </row>
    <row r="549" spans="1:17">
      <c r="A549" s="17"/>
      <c r="B549" s="13" t="s">
        <v>6107</v>
      </c>
      <c r="C549" s="13" t="s">
        <v>6108</v>
      </c>
      <c r="D549" s="13" t="s">
        <v>72</v>
      </c>
      <c r="E549" s="13" t="s">
        <v>532</v>
      </c>
      <c r="F549" s="13" t="s">
        <v>5843</v>
      </c>
      <c r="G549" s="13">
        <v>2110305</v>
      </c>
      <c r="H549" s="13">
        <v>5001471</v>
      </c>
      <c r="I549" s="13">
        <v>2114771</v>
      </c>
      <c r="J549" s="13" t="s">
        <v>6109</v>
      </c>
      <c r="K549" s="13">
        <v>5031878</v>
      </c>
      <c r="L549" s="13" t="s">
        <v>6110</v>
      </c>
      <c r="M549" s="13">
        <v>120700338</v>
      </c>
      <c r="N549" s="18" t="s">
        <v>3187</v>
      </c>
      <c r="O549" s="18" t="s">
        <v>6111</v>
      </c>
      <c r="P549" s="18" t="s">
        <v>6112</v>
      </c>
      <c r="Q549" s="19" t="s">
        <v>6113</v>
      </c>
    </row>
    <row r="550" spans="1:17">
      <c r="A550" s="17"/>
      <c r="B550" s="13" t="s">
        <v>3046</v>
      </c>
      <c r="C550" s="13" t="s">
        <v>3047</v>
      </c>
      <c r="D550" s="13" t="s">
        <v>194</v>
      </c>
      <c r="E550" s="13" t="s">
        <v>590</v>
      </c>
      <c r="F550" s="13" t="s">
        <v>2830</v>
      </c>
      <c r="G550" s="13" t="s">
        <v>3048</v>
      </c>
      <c r="H550" s="13">
        <v>2177351</v>
      </c>
      <c r="I550" s="13">
        <v>3300001233</v>
      </c>
      <c r="J550" s="13">
        <v>5059344</v>
      </c>
      <c r="K550" s="13"/>
      <c r="L550" s="13" t="s">
        <v>3049</v>
      </c>
      <c r="M550" s="13">
        <v>120702099</v>
      </c>
      <c r="N550" s="18" t="s">
        <v>887</v>
      </c>
      <c r="O550" s="18" t="s">
        <v>3050</v>
      </c>
      <c r="P550" s="18" t="s">
        <v>3051</v>
      </c>
      <c r="Q550" s="19" t="s">
        <v>2629</v>
      </c>
    </row>
    <row r="551" spans="1:17">
      <c r="A551" s="17"/>
      <c r="B551" s="13" t="s">
        <v>6332</v>
      </c>
      <c r="C551" s="13" t="s">
        <v>6333</v>
      </c>
      <c r="D551" s="13" t="s">
        <v>168</v>
      </c>
      <c r="E551" s="13" t="s">
        <v>610</v>
      </c>
      <c r="F551" s="13" t="s">
        <v>5843</v>
      </c>
      <c r="G551" s="13" t="s">
        <v>6334</v>
      </c>
      <c r="H551" s="13">
        <v>3300009705</v>
      </c>
      <c r="I551" s="13">
        <v>2172005</v>
      </c>
      <c r="J551" s="13"/>
      <c r="K551" s="13"/>
      <c r="L551" s="13" t="s">
        <v>6335</v>
      </c>
      <c r="M551" s="13">
        <v>120701302</v>
      </c>
      <c r="N551" s="18" t="s">
        <v>3105</v>
      </c>
      <c r="O551" s="18" t="s">
        <v>6336</v>
      </c>
      <c r="P551" s="18" t="s">
        <v>6337</v>
      </c>
      <c r="Q551" s="19" t="s">
        <v>6034</v>
      </c>
    </row>
    <row r="552" spans="1:17">
      <c r="A552" s="17"/>
      <c r="B552" s="13" t="s">
        <v>1795</v>
      </c>
      <c r="C552" s="13" t="s">
        <v>1796</v>
      </c>
      <c r="D552" s="13" t="s">
        <v>1797</v>
      </c>
      <c r="E552" s="13" t="s">
        <v>587</v>
      </c>
      <c r="F552" s="13" t="s">
        <v>844</v>
      </c>
      <c r="G552" s="13">
        <v>2114733</v>
      </c>
      <c r="H552" s="13" t="s">
        <v>1798</v>
      </c>
      <c r="I552" s="13">
        <v>2114791</v>
      </c>
      <c r="J552" s="13">
        <v>3300002933</v>
      </c>
      <c r="K552" s="13"/>
      <c r="L552" s="13" t="s">
        <v>1799</v>
      </c>
      <c r="M552" s="13">
        <v>120905911</v>
      </c>
      <c r="N552" s="18" t="s">
        <v>879</v>
      </c>
      <c r="O552" s="18" t="s">
        <v>1800</v>
      </c>
      <c r="P552" s="18" t="s">
        <v>1801</v>
      </c>
      <c r="Q552" s="19" t="s">
        <v>1167</v>
      </c>
    </row>
    <row r="553" spans="1:17">
      <c r="A553" s="17"/>
      <c r="B553" s="13" t="s">
        <v>1802</v>
      </c>
      <c r="C553" s="13" t="s">
        <v>1803</v>
      </c>
      <c r="D553" s="13" t="s">
        <v>139</v>
      </c>
      <c r="E553" s="13" t="s">
        <v>587</v>
      </c>
      <c r="F553" s="13" t="s">
        <v>844</v>
      </c>
      <c r="G553" s="13">
        <v>5049699</v>
      </c>
      <c r="H553" s="13">
        <v>2171941</v>
      </c>
      <c r="I553" s="13">
        <v>3300011780</v>
      </c>
      <c r="J553" s="13"/>
      <c r="K553" s="13"/>
      <c r="L553" s="13" t="s">
        <v>1804</v>
      </c>
      <c r="M553" s="13">
        <v>120701152</v>
      </c>
      <c r="N553" s="18" t="s">
        <v>879</v>
      </c>
      <c r="O553" s="18"/>
      <c r="P553" s="18" t="s">
        <v>1805</v>
      </c>
      <c r="Q553" s="19" t="s">
        <v>1806</v>
      </c>
    </row>
    <row r="554" spans="1:17">
      <c r="A554" s="17"/>
      <c r="B554" s="13" t="s">
        <v>5136</v>
      </c>
      <c r="C554" s="13" t="s">
        <v>5137</v>
      </c>
      <c r="D554" s="13" t="s">
        <v>288</v>
      </c>
      <c r="E554" s="13" t="s">
        <v>686</v>
      </c>
      <c r="F554" s="13" t="s">
        <v>4914</v>
      </c>
      <c r="G554" s="13" t="s">
        <v>5138</v>
      </c>
      <c r="H554" s="13">
        <v>3300009531</v>
      </c>
      <c r="I554" s="13">
        <v>5050466</v>
      </c>
      <c r="J554" s="13">
        <v>2171953</v>
      </c>
      <c r="K554" s="13"/>
      <c r="L554" s="13" t="s">
        <v>5139</v>
      </c>
      <c r="M554" s="13">
        <v>120707634</v>
      </c>
      <c r="N554" s="18" t="s">
        <v>4721</v>
      </c>
      <c r="O554" s="18" t="s">
        <v>5140</v>
      </c>
      <c r="P554" s="18" t="s">
        <v>5141</v>
      </c>
      <c r="Q554" s="19" t="s">
        <v>1317</v>
      </c>
    </row>
    <row r="555" spans="1:17">
      <c r="A555" s="17"/>
      <c r="B555" s="13" t="s">
        <v>1120</v>
      </c>
      <c r="C555" s="13" t="s">
        <v>1121</v>
      </c>
      <c r="D555" s="13" t="s">
        <v>1122</v>
      </c>
      <c r="E555" s="13" t="s">
        <v>597</v>
      </c>
      <c r="F555" s="13" t="s">
        <v>844</v>
      </c>
      <c r="G555" s="13">
        <v>5014444</v>
      </c>
      <c r="H555" s="13" t="s">
        <v>1123</v>
      </c>
      <c r="I555" s="13">
        <v>3300005183</v>
      </c>
      <c r="J555" s="13">
        <v>2183503</v>
      </c>
      <c r="K555" s="13"/>
      <c r="L555" s="13" t="s">
        <v>1124</v>
      </c>
      <c r="M555" s="13">
        <v>120704514</v>
      </c>
      <c r="N555" s="18" t="s">
        <v>879</v>
      </c>
      <c r="O555" s="18" t="s">
        <v>1125</v>
      </c>
      <c r="P555" s="18" t="s">
        <v>1126</v>
      </c>
      <c r="Q555" s="19" t="s">
        <v>1127</v>
      </c>
    </row>
    <row r="556" spans="1:17">
      <c r="A556" s="17"/>
      <c r="B556" s="20" t="s">
        <v>6224</v>
      </c>
      <c r="C556" s="20" t="s">
        <v>6225</v>
      </c>
      <c r="D556" s="20" t="s">
        <v>6226</v>
      </c>
      <c r="E556" s="20" t="s">
        <v>6227</v>
      </c>
      <c r="F556" s="13" t="s">
        <v>5843</v>
      </c>
      <c r="G556" s="20">
        <v>2116271</v>
      </c>
      <c r="H556" s="20" t="s">
        <v>6228</v>
      </c>
      <c r="I556" s="20"/>
      <c r="J556" s="20"/>
      <c r="K556" s="20"/>
      <c r="L556" s="20" t="s">
        <v>6229</v>
      </c>
      <c r="M556" s="20">
        <v>150700199</v>
      </c>
      <c r="N556" s="20"/>
      <c r="O556" s="18" t="s">
        <v>6230</v>
      </c>
      <c r="P556" s="18" t="s">
        <v>6231</v>
      </c>
      <c r="Q556" s="24">
        <v>42131</v>
      </c>
    </row>
    <row r="557" spans="1:17">
      <c r="A557" s="17"/>
      <c r="B557" s="13" t="s">
        <v>5733</v>
      </c>
      <c r="C557" s="13" t="s">
        <v>5734</v>
      </c>
      <c r="D557" s="13" t="s">
        <v>197</v>
      </c>
      <c r="E557" s="13" t="s">
        <v>628</v>
      </c>
      <c r="F557" s="13" t="s">
        <v>5709</v>
      </c>
      <c r="G557" s="13">
        <v>3300009767</v>
      </c>
      <c r="H557" s="13" t="s">
        <v>5735</v>
      </c>
      <c r="I557" s="13">
        <v>2177382</v>
      </c>
      <c r="J557" s="13">
        <v>3300009720</v>
      </c>
      <c r="K557" s="13"/>
      <c r="L557" s="13" t="s">
        <v>5736</v>
      </c>
      <c r="M557" s="13">
        <v>120702107</v>
      </c>
      <c r="N557" s="18" t="s">
        <v>4399</v>
      </c>
      <c r="O557" s="18" t="s">
        <v>5737</v>
      </c>
      <c r="P557" s="18" t="s">
        <v>5738</v>
      </c>
      <c r="Q557" s="19" t="s">
        <v>2407</v>
      </c>
    </row>
    <row r="558" spans="1:17">
      <c r="A558" s="17"/>
      <c r="B558" s="13" t="s">
        <v>2077</v>
      </c>
      <c r="C558" s="13" t="s">
        <v>2078</v>
      </c>
      <c r="D558" s="13" t="s">
        <v>383</v>
      </c>
      <c r="E558" s="13" t="s">
        <v>736</v>
      </c>
      <c r="F558" s="13" t="s">
        <v>844</v>
      </c>
      <c r="G558" s="13">
        <v>2103957</v>
      </c>
      <c r="H558" s="13" t="s">
        <v>2079</v>
      </c>
      <c r="I558" s="13">
        <v>5049682</v>
      </c>
      <c r="J558" s="13">
        <v>3300011509</v>
      </c>
      <c r="K558" s="13">
        <v>2114792</v>
      </c>
      <c r="L558" s="13" t="s">
        <v>2080</v>
      </c>
      <c r="M558" s="13">
        <v>120910788</v>
      </c>
      <c r="N558" s="18" t="s">
        <v>847</v>
      </c>
      <c r="O558" s="18" t="s">
        <v>2081</v>
      </c>
      <c r="P558" s="18" t="s">
        <v>2082</v>
      </c>
      <c r="Q558" s="19" t="s">
        <v>2083</v>
      </c>
    </row>
    <row r="559" spans="1:17">
      <c r="A559" s="17" t="s">
        <v>839</v>
      </c>
      <c r="B559" s="13" t="s">
        <v>5038</v>
      </c>
      <c r="C559" s="13" t="s">
        <v>5039</v>
      </c>
      <c r="D559" s="13" t="s">
        <v>437</v>
      </c>
      <c r="E559" s="13" t="s">
        <v>766</v>
      </c>
      <c r="F559" s="13" t="s">
        <v>4914</v>
      </c>
      <c r="G559" s="13">
        <v>3300009718</v>
      </c>
      <c r="H559" s="13" t="s">
        <v>5040</v>
      </c>
      <c r="I559" s="13">
        <v>2171914</v>
      </c>
      <c r="J559" s="13">
        <v>5050461</v>
      </c>
      <c r="K559" s="13">
        <v>3300009790</v>
      </c>
      <c r="L559" s="13" t="s">
        <v>5041</v>
      </c>
      <c r="M559" s="13">
        <v>130703566</v>
      </c>
      <c r="N559" s="18" t="s">
        <v>4721</v>
      </c>
      <c r="O559" s="18"/>
      <c r="P559" s="18"/>
      <c r="Q559" s="19" t="s">
        <v>4335</v>
      </c>
    </row>
    <row r="560" spans="1:17">
      <c r="A560" s="17"/>
      <c r="B560" s="21" t="s">
        <v>974</v>
      </c>
      <c r="C560" s="21" t="s">
        <v>975</v>
      </c>
      <c r="D560" s="21" t="s">
        <v>976</v>
      </c>
      <c r="E560" s="21" t="s">
        <v>547</v>
      </c>
      <c r="F560" s="13" t="s">
        <v>844</v>
      </c>
      <c r="G560" s="20">
        <v>3300011760</v>
      </c>
      <c r="H560" s="20">
        <v>2182991</v>
      </c>
      <c r="I560" s="20" t="s">
        <v>977</v>
      </c>
      <c r="J560" s="20">
        <v>5050531</v>
      </c>
      <c r="K560" s="20" t="s">
        <v>978</v>
      </c>
      <c r="L560" s="20" t="s">
        <v>979</v>
      </c>
      <c r="M560" s="25">
        <v>140700800</v>
      </c>
      <c r="N560" s="18" t="s">
        <v>896</v>
      </c>
      <c r="O560" s="18" t="s">
        <v>980</v>
      </c>
      <c r="P560" s="18" t="s">
        <v>981</v>
      </c>
      <c r="Q560" s="23" t="s">
        <v>899</v>
      </c>
    </row>
    <row r="561" spans="1:17">
      <c r="A561" s="17"/>
      <c r="B561" s="13" t="s">
        <v>1762</v>
      </c>
      <c r="C561" s="13" t="s">
        <v>1763</v>
      </c>
      <c r="D561" s="13" t="s">
        <v>86</v>
      </c>
      <c r="E561" s="13" t="s">
        <v>546</v>
      </c>
      <c r="F561" s="13" t="s">
        <v>844</v>
      </c>
      <c r="G561" s="13">
        <v>3300005148</v>
      </c>
      <c r="H561" s="13">
        <v>2114739</v>
      </c>
      <c r="I561" s="13">
        <v>3300005150</v>
      </c>
      <c r="J561" s="13" t="s">
        <v>1764</v>
      </c>
      <c r="K561" s="13">
        <v>5059327</v>
      </c>
      <c r="L561" s="13" t="s">
        <v>1765</v>
      </c>
      <c r="M561" s="13">
        <v>120700480</v>
      </c>
      <c r="N561" s="18" t="s">
        <v>879</v>
      </c>
      <c r="O561" s="18"/>
      <c r="P561" s="18" t="s">
        <v>1766</v>
      </c>
      <c r="Q561" s="19" t="s">
        <v>997</v>
      </c>
    </row>
    <row r="562" spans="1:17">
      <c r="A562" s="17"/>
      <c r="B562" s="20" t="s">
        <v>4807</v>
      </c>
      <c r="C562" s="20" t="s">
        <v>4808</v>
      </c>
      <c r="D562" s="20" t="s">
        <v>4809</v>
      </c>
      <c r="E562" s="20" t="s">
        <v>801</v>
      </c>
      <c r="F562" s="13" t="s">
        <v>4395</v>
      </c>
      <c r="G562" s="20">
        <v>5070890</v>
      </c>
      <c r="H562" s="20">
        <v>2183475</v>
      </c>
      <c r="I562" s="20">
        <v>3300008165</v>
      </c>
      <c r="J562" s="20" t="s">
        <v>4810</v>
      </c>
      <c r="K562" s="20">
        <v>5042666</v>
      </c>
      <c r="L562" s="20" t="s">
        <v>4811</v>
      </c>
      <c r="M562" s="20">
        <v>140702359</v>
      </c>
      <c r="N562" s="18" t="s">
        <v>4399</v>
      </c>
      <c r="O562" s="18" t="s">
        <v>4812</v>
      </c>
      <c r="P562" s="18" t="s">
        <v>873</v>
      </c>
      <c r="Q562" s="24">
        <v>42024</v>
      </c>
    </row>
    <row r="563" spans="1:17">
      <c r="A563" s="17" t="s">
        <v>839</v>
      </c>
      <c r="B563" s="13" t="s">
        <v>1839</v>
      </c>
      <c r="C563" s="13" t="s">
        <v>4</v>
      </c>
      <c r="D563" s="13" t="s">
        <v>1840</v>
      </c>
      <c r="E563" s="13" t="s">
        <v>1841</v>
      </c>
      <c r="F563" s="13" t="s">
        <v>844</v>
      </c>
      <c r="G563" s="13">
        <v>2119186</v>
      </c>
      <c r="H563" s="13" t="s">
        <v>1842</v>
      </c>
      <c r="I563" s="13">
        <v>3300002815</v>
      </c>
      <c r="J563" s="13" t="s">
        <v>1843</v>
      </c>
      <c r="K563" s="20">
        <v>3300002969</v>
      </c>
      <c r="L563" s="13" t="s">
        <v>1844</v>
      </c>
      <c r="M563" s="13">
        <v>120704369</v>
      </c>
      <c r="N563" s="18" t="s">
        <v>847</v>
      </c>
      <c r="O563" s="18"/>
      <c r="P563" s="18" t="s">
        <v>1845</v>
      </c>
      <c r="Q563" s="19" t="s">
        <v>1846</v>
      </c>
    </row>
    <row r="564" spans="1:17">
      <c r="A564" s="17"/>
      <c r="B564" s="13" t="s">
        <v>2792</v>
      </c>
      <c r="C564" s="13" t="s">
        <v>2793</v>
      </c>
      <c r="D564" s="13" t="s">
        <v>2794</v>
      </c>
      <c r="E564" s="13" t="s">
        <v>666</v>
      </c>
      <c r="F564" s="13" t="s">
        <v>2433</v>
      </c>
      <c r="G564" s="13">
        <v>2103893</v>
      </c>
      <c r="H564" s="13" t="s">
        <v>2795</v>
      </c>
      <c r="I564" s="13">
        <v>5059362</v>
      </c>
      <c r="J564" s="13">
        <v>5014448</v>
      </c>
      <c r="K564" s="13"/>
      <c r="L564" s="13" t="s">
        <v>2796</v>
      </c>
      <c r="M564" s="13">
        <v>120705890</v>
      </c>
      <c r="N564" s="18" t="s">
        <v>2436</v>
      </c>
      <c r="O564" s="18" t="s">
        <v>2797</v>
      </c>
      <c r="P564" s="18" t="s">
        <v>2798</v>
      </c>
      <c r="Q564" s="19" t="s">
        <v>2494</v>
      </c>
    </row>
    <row r="565" spans="1:17">
      <c r="A565" s="17"/>
      <c r="B565" s="13" t="s">
        <v>4255</v>
      </c>
      <c r="C565" s="13" t="s">
        <v>4256</v>
      </c>
      <c r="D565" s="13" t="s">
        <v>341</v>
      </c>
      <c r="E565" s="13" t="s">
        <v>553</v>
      </c>
      <c r="F565" s="13" t="s">
        <v>3754</v>
      </c>
      <c r="G565" s="13" t="s">
        <v>4257</v>
      </c>
      <c r="H565" s="13">
        <v>5001442</v>
      </c>
      <c r="I565" s="13">
        <v>3300002999</v>
      </c>
      <c r="J565" s="13"/>
      <c r="K565" s="13"/>
      <c r="L565" s="13" t="s">
        <v>4258</v>
      </c>
      <c r="M565" s="13">
        <v>120801997</v>
      </c>
      <c r="N565" s="18" t="s">
        <v>1018</v>
      </c>
      <c r="O565" s="18"/>
      <c r="P565" s="18" t="s">
        <v>4259</v>
      </c>
      <c r="Q565" s="19" t="s">
        <v>3681</v>
      </c>
    </row>
    <row r="566" spans="1:17">
      <c r="A566" s="17"/>
      <c r="B566" s="13" t="s">
        <v>5142</v>
      </c>
      <c r="C566" s="13" t="s">
        <v>5143</v>
      </c>
      <c r="D566" s="13" t="s">
        <v>297</v>
      </c>
      <c r="E566" s="13" t="s">
        <v>686</v>
      </c>
      <c r="F566" s="13" t="s">
        <v>4914</v>
      </c>
      <c r="G566" s="13">
        <v>2183534</v>
      </c>
      <c r="H566" s="13" t="s">
        <v>5144</v>
      </c>
      <c r="I566" s="13">
        <v>3300010895</v>
      </c>
      <c r="J566" s="13"/>
      <c r="K566" s="13"/>
      <c r="L566" s="13" t="s">
        <v>5145</v>
      </c>
      <c r="M566" s="13">
        <v>120708107</v>
      </c>
      <c r="N566" s="18" t="s">
        <v>4721</v>
      </c>
      <c r="O566" s="18" t="s">
        <v>5146</v>
      </c>
      <c r="P566" s="18" t="s">
        <v>5147</v>
      </c>
      <c r="Q566" s="19" t="s">
        <v>5148</v>
      </c>
    </row>
    <row r="567" spans="1:17">
      <c r="A567" s="17"/>
      <c r="B567" s="13" t="s">
        <v>3688</v>
      </c>
      <c r="C567" s="13" t="s">
        <v>3689</v>
      </c>
      <c r="D567" s="13" t="s">
        <v>104</v>
      </c>
      <c r="E567" s="13" t="s">
        <v>563</v>
      </c>
      <c r="F567" s="13" t="s">
        <v>3558</v>
      </c>
      <c r="G567" s="13" t="s">
        <v>3690</v>
      </c>
      <c r="H567" s="13">
        <v>2171937</v>
      </c>
      <c r="I567" s="13">
        <v>3300011495</v>
      </c>
      <c r="J567" s="13" t="s">
        <v>3691</v>
      </c>
      <c r="K567" s="13" t="s">
        <v>3692</v>
      </c>
      <c r="L567" s="13" t="s">
        <v>3693</v>
      </c>
      <c r="M567" s="13">
        <v>120700583</v>
      </c>
      <c r="N567" s="18" t="s">
        <v>3478</v>
      </c>
      <c r="O567" s="18"/>
      <c r="P567" s="18" t="s">
        <v>3694</v>
      </c>
      <c r="Q567" s="19" t="s">
        <v>1761</v>
      </c>
    </row>
    <row r="568" spans="1:17">
      <c r="A568" s="17"/>
      <c r="B568" s="13" t="s">
        <v>3703</v>
      </c>
      <c r="C568" s="13" t="s">
        <v>3704</v>
      </c>
      <c r="D568" s="13" t="s">
        <v>3705</v>
      </c>
      <c r="E568" s="13" t="s">
        <v>3706</v>
      </c>
      <c r="F568" s="13" t="s">
        <v>3558</v>
      </c>
      <c r="G568" s="13">
        <v>2183604</v>
      </c>
      <c r="H568" s="13" t="s">
        <v>3707</v>
      </c>
      <c r="I568" s="13" t="s">
        <v>3708</v>
      </c>
      <c r="J568" s="13"/>
      <c r="K568" s="13"/>
      <c r="L568" s="13" t="s">
        <v>3709</v>
      </c>
      <c r="M568" s="13">
        <v>120710815</v>
      </c>
      <c r="N568" s="18" t="s">
        <v>3478</v>
      </c>
      <c r="O568" s="18"/>
      <c r="P568" s="18" t="s">
        <v>3710</v>
      </c>
      <c r="Q568" s="19" t="s">
        <v>3644</v>
      </c>
    </row>
    <row r="569" spans="1:17">
      <c r="A569" s="17"/>
      <c r="B569" s="13" t="s">
        <v>4414</v>
      </c>
      <c r="C569" s="13" t="s">
        <v>4415</v>
      </c>
      <c r="D569" s="13" t="s">
        <v>466</v>
      </c>
      <c r="E569" s="13" t="s">
        <v>654</v>
      </c>
      <c r="F569" s="13" t="s">
        <v>4395</v>
      </c>
      <c r="G569" s="13">
        <v>3300009723</v>
      </c>
      <c r="H569" s="13" t="s">
        <v>4416</v>
      </c>
      <c r="I569" s="13">
        <v>2177365</v>
      </c>
      <c r="J569" s="13"/>
      <c r="K569" s="13"/>
      <c r="L569" s="13" t="s">
        <v>4417</v>
      </c>
      <c r="M569" s="13">
        <v>130705322</v>
      </c>
      <c r="N569" s="18" t="s">
        <v>4399</v>
      </c>
      <c r="O569" s="18"/>
      <c r="P569" s="18"/>
      <c r="Q569" s="19" t="s">
        <v>1086</v>
      </c>
    </row>
    <row r="570" spans="1:17">
      <c r="A570" s="17"/>
      <c r="B570" s="13" t="s">
        <v>2951</v>
      </c>
      <c r="C570" s="13" t="s">
        <v>2952</v>
      </c>
      <c r="D570" s="13" t="s">
        <v>2953</v>
      </c>
      <c r="E570" s="13" t="s">
        <v>677</v>
      </c>
      <c r="F570" s="13" t="s">
        <v>2830</v>
      </c>
      <c r="G570" s="13">
        <v>2117082</v>
      </c>
      <c r="H570" s="13">
        <v>5031916</v>
      </c>
      <c r="I570" s="13"/>
      <c r="J570" s="13"/>
      <c r="K570" s="13"/>
      <c r="L570" s="13" t="s">
        <v>2954</v>
      </c>
      <c r="M570" s="13">
        <v>120706772</v>
      </c>
      <c r="N570" s="18" t="s">
        <v>2436</v>
      </c>
      <c r="O570" s="18" t="s">
        <v>2955</v>
      </c>
      <c r="P570" s="18" t="s">
        <v>2956</v>
      </c>
      <c r="Q570" s="19">
        <v>41851</v>
      </c>
    </row>
    <row r="571" spans="1:17">
      <c r="A571" s="17" t="s">
        <v>839</v>
      </c>
      <c r="B571" s="13" t="s">
        <v>2064</v>
      </c>
      <c r="C571" s="13" t="s">
        <v>2065</v>
      </c>
      <c r="D571" s="13" t="s">
        <v>331</v>
      </c>
      <c r="E571" s="13" t="s">
        <v>717</v>
      </c>
      <c r="F571" s="13" t="s">
        <v>844</v>
      </c>
      <c r="G571" s="13" t="s">
        <v>2066</v>
      </c>
      <c r="H571" s="13">
        <v>5049701</v>
      </c>
      <c r="I571" s="13">
        <v>2171968</v>
      </c>
      <c r="J571" s="13"/>
      <c r="K571" s="13"/>
      <c r="L571" s="13" t="s">
        <v>2067</v>
      </c>
      <c r="M571" s="13">
        <v>120712832</v>
      </c>
      <c r="N571" s="18" t="s">
        <v>879</v>
      </c>
      <c r="O571" s="18"/>
      <c r="P571" s="18" t="s">
        <v>2068</v>
      </c>
      <c r="Q571" s="19" t="s">
        <v>2069</v>
      </c>
    </row>
    <row r="572" spans="1:17">
      <c r="A572" s="17"/>
      <c r="B572" s="13" t="s">
        <v>5346</v>
      </c>
      <c r="C572" s="13" t="s">
        <v>5347</v>
      </c>
      <c r="D572" s="13" t="s">
        <v>265</v>
      </c>
      <c r="E572" s="13" t="s">
        <v>668</v>
      </c>
      <c r="F572" s="13" t="s">
        <v>5164</v>
      </c>
      <c r="G572" s="13" t="s">
        <v>5348</v>
      </c>
      <c r="H572" s="13">
        <v>2172010</v>
      </c>
      <c r="I572" s="13"/>
      <c r="J572" s="13"/>
      <c r="K572" s="13"/>
      <c r="L572" s="13" t="s">
        <v>5349</v>
      </c>
      <c r="M572" s="13">
        <v>120706070</v>
      </c>
      <c r="N572" s="18" t="s">
        <v>4721</v>
      </c>
      <c r="O572" s="18"/>
      <c r="P572" s="18"/>
      <c r="Q572" s="19" t="s">
        <v>1302</v>
      </c>
    </row>
    <row r="573" spans="1:17">
      <c r="A573" s="17"/>
      <c r="B573" s="13" t="s">
        <v>3940</v>
      </c>
      <c r="C573" s="13" t="s">
        <v>3941</v>
      </c>
      <c r="D573" s="13" t="s">
        <v>3942</v>
      </c>
      <c r="E573" s="13" t="s">
        <v>3943</v>
      </c>
      <c r="F573" s="13" t="s">
        <v>3754</v>
      </c>
      <c r="G573" s="13">
        <v>2103455</v>
      </c>
      <c r="H573" s="13" t="s">
        <v>3944</v>
      </c>
      <c r="I573" s="13">
        <v>3400001167</v>
      </c>
      <c r="J573" s="13"/>
      <c r="K573" s="13"/>
      <c r="L573" s="13" t="s">
        <v>3945</v>
      </c>
      <c r="M573" s="13">
        <v>120706565</v>
      </c>
      <c r="N573" s="18" t="s">
        <v>1018</v>
      </c>
      <c r="O573" s="18"/>
      <c r="P573" s="18" t="s">
        <v>3946</v>
      </c>
      <c r="Q573" s="19" t="s">
        <v>1571</v>
      </c>
    </row>
    <row r="574" spans="1:17">
      <c r="A574" s="17"/>
      <c r="B574" s="13" t="s">
        <v>2574</v>
      </c>
      <c r="C574" s="13" t="s">
        <v>2527</v>
      </c>
      <c r="D574" s="13" t="s">
        <v>454</v>
      </c>
      <c r="E574" s="13" t="s">
        <v>640</v>
      </c>
      <c r="F574" s="13" t="s">
        <v>2433</v>
      </c>
      <c r="G574" s="13">
        <v>3300009157</v>
      </c>
      <c r="H574" s="13" t="s">
        <v>2575</v>
      </c>
      <c r="I574" s="13">
        <v>2166996</v>
      </c>
      <c r="J574" s="13">
        <v>5031839</v>
      </c>
      <c r="K574" s="13">
        <v>3300009785</v>
      </c>
      <c r="L574" s="13" t="s">
        <v>2576</v>
      </c>
      <c r="M574" s="13">
        <v>130704884</v>
      </c>
      <c r="N574" s="18" t="s">
        <v>2436</v>
      </c>
      <c r="O574" s="18" t="s">
        <v>2577</v>
      </c>
      <c r="P574" s="18" t="s">
        <v>873</v>
      </c>
      <c r="Q574" s="19" t="s">
        <v>2578</v>
      </c>
    </row>
    <row r="575" spans="1:17">
      <c r="A575" s="17"/>
      <c r="B575" s="13" t="s">
        <v>5560</v>
      </c>
      <c r="C575" s="13" t="s">
        <v>5388</v>
      </c>
      <c r="D575" s="13" t="s">
        <v>188</v>
      </c>
      <c r="E575" s="13" t="s">
        <v>622</v>
      </c>
      <c r="F575" s="13" t="s">
        <v>5164</v>
      </c>
      <c r="G575" s="13">
        <v>2116292</v>
      </c>
      <c r="H575" s="13" t="s">
        <v>5561</v>
      </c>
      <c r="I575" s="13">
        <v>3300002831</v>
      </c>
      <c r="J575" s="13"/>
      <c r="K575" s="13">
        <v>3300001667</v>
      </c>
      <c r="L575" s="13" t="s">
        <v>5562</v>
      </c>
      <c r="M575" s="13">
        <v>120702044</v>
      </c>
      <c r="N575" s="18" t="s">
        <v>4424</v>
      </c>
      <c r="O575" s="18"/>
      <c r="P575" s="18" t="s">
        <v>5390</v>
      </c>
      <c r="Q575" s="19" t="s">
        <v>5563</v>
      </c>
    </row>
    <row r="576" spans="1:17">
      <c r="A576" s="17"/>
      <c r="B576" s="13" t="s">
        <v>2386</v>
      </c>
      <c r="C576" s="13" t="s">
        <v>2387</v>
      </c>
      <c r="D576" s="13" t="s">
        <v>287</v>
      </c>
      <c r="E576" s="13" t="s">
        <v>557</v>
      </c>
      <c r="F576" s="20" t="s">
        <v>2345</v>
      </c>
      <c r="G576" s="13">
        <v>3300005137</v>
      </c>
      <c r="H576" s="13"/>
      <c r="I576" s="13">
        <v>3300005138</v>
      </c>
      <c r="J576" s="13"/>
      <c r="K576" s="13"/>
      <c r="L576" s="13" t="s">
        <v>2388</v>
      </c>
      <c r="M576" s="13">
        <v>120707560</v>
      </c>
      <c r="N576" s="18" t="s">
        <v>847</v>
      </c>
      <c r="O576" s="18"/>
      <c r="P576" s="18" t="s">
        <v>2389</v>
      </c>
      <c r="Q576" s="19" t="s">
        <v>1132</v>
      </c>
    </row>
    <row r="577" spans="1:17">
      <c r="A577" s="17"/>
      <c r="B577" s="13" t="s">
        <v>3396</v>
      </c>
      <c r="C577" s="13" t="s">
        <v>3397</v>
      </c>
      <c r="D577" s="13" t="s">
        <v>347</v>
      </c>
      <c r="E577" s="13" t="s">
        <v>673</v>
      </c>
      <c r="F577" s="13" t="s">
        <v>3101</v>
      </c>
      <c r="G577" s="13" t="s">
        <v>3398</v>
      </c>
      <c r="H577" s="13">
        <v>2171892</v>
      </c>
      <c r="I577" s="13"/>
      <c r="J577" s="13"/>
      <c r="K577" s="13"/>
      <c r="L577" s="13" t="s">
        <v>3399</v>
      </c>
      <c r="M577" s="13">
        <v>120806751</v>
      </c>
      <c r="N577" s="18" t="s">
        <v>887</v>
      </c>
      <c r="O577" s="18" t="s">
        <v>3400</v>
      </c>
      <c r="P577" s="18" t="s">
        <v>3401</v>
      </c>
      <c r="Q577" s="19" t="s">
        <v>3402</v>
      </c>
    </row>
    <row r="578" spans="1:17">
      <c r="A578" s="17"/>
      <c r="B578" s="13" t="s">
        <v>6383</v>
      </c>
      <c r="C578" s="13" t="s">
        <v>6384</v>
      </c>
      <c r="D578" s="13" t="s">
        <v>382</v>
      </c>
      <c r="E578" s="13" t="s">
        <v>735</v>
      </c>
      <c r="F578" s="13" t="s">
        <v>5843</v>
      </c>
      <c r="G578" s="13">
        <v>2171932</v>
      </c>
      <c r="H578" s="13" t="s">
        <v>6385</v>
      </c>
      <c r="I578" s="13">
        <v>3300009524</v>
      </c>
      <c r="J578" s="13">
        <v>2171929</v>
      </c>
      <c r="K578" s="13"/>
      <c r="L578" s="13" t="s">
        <v>6386</v>
      </c>
      <c r="M578" s="13">
        <v>120910683</v>
      </c>
      <c r="N578" s="18" t="s">
        <v>3105</v>
      </c>
      <c r="O578" s="18" t="s">
        <v>6387</v>
      </c>
      <c r="P578" s="18" t="s">
        <v>6388</v>
      </c>
      <c r="Q578" s="19" t="s">
        <v>6389</v>
      </c>
    </row>
    <row r="579" spans="1:17">
      <c r="A579" s="17"/>
      <c r="B579" s="13" t="s">
        <v>6390</v>
      </c>
      <c r="C579" s="13" t="s">
        <v>6391</v>
      </c>
      <c r="D579" s="13" t="s">
        <v>6392</v>
      </c>
      <c r="E579" s="13" t="s">
        <v>735</v>
      </c>
      <c r="F579" s="13" t="s">
        <v>5843</v>
      </c>
      <c r="G579" s="13">
        <v>2117086</v>
      </c>
      <c r="H579" s="13">
        <v>5031909</v>
      </c>
      <c r="I579" s="13">
        <v>3300008139</v>
      </c>
      <c r="J579" s="13"/>
      <c r="K579" s="13"/>
      <c r="L579" s="13" t="s">
        <v>6393</v>
      </c>
      <c r="M579" s="13">
        <v>120709148</v>
      </c>
      <c r="N579" s="18" t="s">
        <v>3105</v>
      </c>
      <c r="O579" s="18" t="s">
        <v>6394</v>
      </c>
      <c r="P579" s="18" t="s">
        <v>6395</v>
      </c>
      <c r="Q579" s="19" t="s">
        <v>2063</v>
      </c>
    </row>
    <row r="580" spans="1:17">
      <c r="A580" s="17"/>
      <c r="B580" s="13" t="s">
        <v>5651</v>
      </c>
      <c r="C580" s="13" t="s">
        <v>5652</v>
      </c>
      <c r="D580" s="13" t="s">
        <v>304</v>
      </c>
      <c r="E580" s="13" t="s">
        <v>698</v>
      </c>
      <c r="F580" s="13" t="s">
        <v>5164</v>
      </c>
      <c r="G580" s="13">
        <v>2119198</v>
      </c>
      <c r="H580" s="13" t="s">
        <v>5653</v>
      </c>
      <c r="I580" s="13">
        <v>5001446</v>
      </c>
      <c r="J580" s="13">
        <v>2116237</v>
      </c>
      <c r="K580" s="13"/>
      <c r="L580" s="13" t="s">
        <v>5654</v>
      </c>
      <c r="M580" s="13">
        <v>120708467</v>
      </c>
      <c r="N580" s="18" t="s">
        <v>5091</v>
      </c>
      <c r="O580" s="18" t="s">
        <v>5655</v>
      </c>
      <c r="P580" s="18" t="s">
        <v>5656</v>
      </c>
      <c r="Q580" s="19">
        <v>41841</v>
      </c>
    </row>
    <row r="581" spans="1:17">
      <c r="A581" s="17"/>
      <c r="B581" s="13" t="s">
        <v>4823</v>
      </c>
      <c r="C581" s="13" t="s">
        <v>4824</v>
      </c>
      <c r="D581" s="13" t="s">
        <v>4825</v>
      </c>
      <c r="E581" s="13" t="s">
        <v>636</v>
      </c>
      <c r="F581" s="13" t="s">
        <v>4395</v>
      </c>
      <c r="G581" s="13">
        <v>2115651</v>
      </c>
      <c r="H581" s="13">
        <v>3300002947</v>
      </c>
      <c r="I581" s="13">
        <v>5001462</v>
      </c>
      <c r="J581" s="13" t="s">
        <v>4826</v>
      </c>
      <c r="K581" s="13" t="s">
        <v>4827</v>
      </c>
      <c r="L581" s="13" t="s">
        <v>4828</v>
      </c>
      <c r="M581" s="13">
        <v>140703253</v>
      </c>
      <c r="N581" s="18"/>
      <c r="O581" s="18" t="s">
        <v>4829</v>
      </c>
      <c r="P581" s="18" t="s">
        <v>4830</v>
      </c>
      <c r="Q581" s="19">
        <v>42102</v>
      </c>
    </row>
    <row r="582" spans="1:17">
      <c r="A582" s="17"/>
      <c r="B582" s="13" t="s">
        <v>6114</v>
      </c>
      <c r="C582" s="13" t="s">
        <v>6115</v>
      </c>
      <c r="D582" s="13" t="s">
        <v>237</v>
      </c>
      <c r="E582" s="13" t="s">
        <v>532</v>
      </c>
      <c r="F582" s="13" t="s">
        <v>5843</v>
      </c>
      <c r="G582" s="13">
        <v>2183598</v>
      </c>
      <c r="H582" s="13">
        <v>5001477</v>
      </c>
      <c r="I582" s="13">
        <v>3300003003</v>
      </c>
      <c r="J582" s="13">
        <v>5001475</v>
      </c>
      <c r="K582" s="13" t="s">
        <v>6116</v>
      </c>
      <c r="L582" s="13" t="s">
        <v>6117</v>
      </c>
      <c r="M582" s="13">
        <v>120704413</v>
      </c>
      <c r="N582" s="18" t="s">
        <v>3187</v>
      </c>
      <c r="O582" s="18" t="s">
        <v>6118</v>
      </c>
      <c r="P582" s="18" t="s">
        <v>6119</v>
      </c>
      <c r="Q582" s="19" t="s">
        <v>4225</v>
      </c>
    </row>
    <row r="583" spans="1:17">
      <c r="A583" s="17"/>
      <c r="B583" s="13" t="s">
        <v>5104</v>
      </c>
      <c r="C583" s="13" t="s">
        <v>5104</v>
      </c>
      <c r="D583" s="13" t="s">
        <v>366</v>
      </c>
      <c r="E583" s="13" t="s">
        <v>671</v>
      </c>
      <c r="F583" s="13" t="s">
        <v>4914</v>
      </c>
      <c r="G583" s="13">
        <v>5045651</v>
      </c>
      <c r="H583" s="13">
        <v>2117585</v>
      </c>
      <c r="I583" s="13" t="s">
        <v>5105</v>
      </c>
      <c r="J583" s="13"/>
      <c r="K583" s="13"/>
      <c r="L583" s="13" t="s">
        <v>5106</v>
      </c>
      <c r="M583" s="13">
        <v>120904621</v>
      </c>
      <c r="N583" s="18" t="s">
        <v>4721</v>
      </c>
      <c r="O583" s="18"/>
      <c r="P583" s="18" t="s">
        <v>5107</v>
      </c>
      <c r="Q583" s="19">
        <v>41841</v>
      </c>
    </row>
    <row r="584" spans="1:17">
      <c r="A584" s="17"/>
      <c r="B584" s="13" t="s">
        <v>6238</v>
      </c>
      <c r="C584" s="13" t="s">
        <v>24</v>
      </c>
      <c r="D584" s="13" t="s">
        <v>6239</v>
      </c>
      <c r="E584" s="13" t="s">
        <v>3277</v>
      </c>
      <c r="F584" s="13" t="s">
        <v>5843</v>
      </c>
      <c r="G584" s="13">
        <v>5059294</v>
      </c>
      <c r="H584" s="13" t="s">
        <v>6240</v>
      </c>
      <c r="I584" s="13">
        <v>2115891</v>
      </c>
      <c r="J584" s="13"/>
      <c r="K584" s="13"/>
      <c r="L584" s="13" t="s">
        <v>6241</v>
      </c>
      <c r="M584" s="13">
        <v>120709659</v>
      </c>
      <c r="N584" s="18" t="s">
        <v>3117</v>
      </c>
      <c r="O584" s="18"/>
      <c r="P584" s="18" t="s">
        <v>6242</v>
      </c>
      <c r="Q584" s="19" t="s">
        <v>2589</v>
      </c>
    </row>
    <row r="585" spans="1:17">
      <c r="A585" s="17"/>
      <c r="B585" s="13" t="s">
        <v>5108</v>
      </c>
      <c r="C585" s="13" t="s">
        <v>5109</v>
      </c>
      <c r="D585" s="13" t="s">
        <v>5110</v>
      </c>
      <c r="E585" s="13" t="s">
        <v>671</v>
      </c>
      <c r="F585" s="13" t="s">
        <v>4914</v>
      </c>
      <c r="G585" s="13">
        <v>2116243</v>
      </c>
      <c r="H585" s="13" t="s">
        <v>5111</v>
      </c>
      <c r="I585" s="13">
        <v>5059378</v>
      </c>
      <c r="J585" s="13"/>
      <c r="K585" s="13"/>
      <c r="L585" s="13" t="s">
        <v>5112</v>
      </c>
      <c r="M585" s="13">
        <v>120902330</v>
      </c>
      <c r="N585" s="18" t="s">
        <v>4721</v>
      </c>
      <c r="O585" s="18"/>
      <c r="P585" s="18" t="s">
        <v>5113</v>
      </c>
      <c r="Q585" s="19" t="s">
        <v>4919</v>
      </c>
    </row>
    <row r="586" spans="1:17">
      <c r="A586" s="17"/>
      <c r="B586" s="13" t="s">
        <v>2673</v>
      </c>
      <c r="C586" s="13" t="s">
        <v>2674</v>
      </c>
      <c r="D586" s="13" t="s">
        <v>2675</v>
      </c>
      <c r="E586" s="13" t="s">
        <v>2676</v>
      </c>
      <c r="F586" s="13" t="s">
        <v>2433</v>
      </c>
      <c r="G586" s="13">
        <v>5042671</v>
      </c>
      <c r="H586" s="13" t="s">
        <v>2677</v>
      </c>
      <c r="I586" s="13">
        <v>3300008892</v>
      </c>
      <c r="J586" s="13">
        <v>2119246</v>
      </c>
      <c r="K586" s="13">
        <v>5042672</v>
      </c>
      <c r="L586" s="13" t="s">
        <v>2678</v>
      </c>
      <c r="M586" s="13">
        <v>130700490</v>
      </c>
      <c r="N586" s="18" t="s">
        <v>2436</v>
      </c>
      <c r="O586" s="18"/>
      <c r="P586" s="18"/>
      <c r="Q586" s="19" t="s">
        <v>1167</v>
      </c>
    </row>
    <row r="587" spans="1:17">
      <c r="A587" s="17"/>
      <c r="B587" s="13" t="s">
        <v>5029</v>
      </c>
      <c r="C587" s="13" t="s">
        <v>5030</v>
      </c>
      <c r="D587" s="13" t="s">
        <v>5031</v>
      </c>
      <c r="E587" s="13" t="s">
        <v>5032</v>
      </c>
      <c r="F587" s="13" t="s">
        <v>4914</v>
      </c>
      <c r="G587" s="13">
        <v>5031845</v>
      </c>
      <c r="H587" s="13" t="s">
        <v>5033</v>
      </c>
      <c r="I587" s="13">
        <v>2119262</v>
      </c>
      <c r="J587" s="13">
        <v>5031855</v>
      </c>
      <c r="K587" s="13"/>
      <c r="L587" s="13" t="s">
        <v>5034</v>
      </c>
      <c r="M587" s="13">
        <v>120707844</v>
      </c>
      <c r="N587" s="18" t="s">
        <v>4721</v>
      </c>
      <c r="O587" s="18" t="s">
        <v>5035</v>
      </c>
      <c r="P587" s="18" t="s">
        <v>5036</v>
      </c>
      <c r="Q587" s="19" t="s">
        <v>5037</v>
      </c>
    </row>
    <row r="588" spans="1:17">
      <c r="A588" s="17" t="s">
        <v>839</v>
      </c>
      <c r="B588" s="13" t="s">
        <v>3446</v>
      </c>
      <c r="C588" s="13" t="s">
        <v>3447</v>
      </c>
      <c r="D588" s="13" t="s">
        <v>3448</v>
      </c>
      <c r="E588" s="13" t="s">
        <v>3449</v>
      </c>
      <c r="F588" s="13" t="s">
        <v>3101</v>
      </c>
      <c r="G588" s="13">
        <v>5042658</v>
      </c>
      <c r="H588" s="13" t="s">
        <v>3450</v>
      </c>
      <c r="I588" s="13">
        <v>2117087</v>
      </c>
      <c r="J588" s="13">
        <v>3300002928</v>
      </c>
      <c r="K588" s="13"/>
      <c r="L588" s="13" t="s">
        <v>3451</v>
      </c>
      <c r="M588" s="13">
        <v>120710773</v>
      </c>
      <c r="N588" s="18" t="s">
        <v>887</v>
      </c>
      <c r="O588" s="18" t="s">
        <v>3452</v>
      </c>
      <c r="P588" s="18" t="s">
        <v>3453</v>
      </c>
      <c r="Q588" s="19" t="s">
        <v>3454</v>
      </c>
    </row>
    <row r="589" spans="1:17">
      <c r="A589" s="17"/>
      <c r="B589" s="13" t="s">
        <v>6418</v>
      </c>
      <c r="C589" s="13" t="s">
        <v>6419</v>
      </c>
      <c r="D589" s="13" t="s">
        <v>211</v>
      </c>
      <c r="E589" s="13" t="s">
        <v>638</v>
      </c>
      <c r="F589" s="13" t="s">
        <v>5843</v>
      </c>
      <c r="G589" s="13" t="s">
        <v>6420</v>
      </c>
      <c r="H589" s="13">
        <v>5059369</v>
      </c>
      <c r="I589" s="13"/>
      <c r="J589" s="13"/>
      <c r="K589" s="13"/>
      <c r="L589" s="13" t="s">
        <v>6421</v>
      </c>
      <c r="M589" s="13">
        <v>120702950</v>
      </c>
      <c r="N589" s="18" t="s">
        <v>3105</v>
      </c>
      <c r="O589" s="18" t="s">
        <v>6422</v>
      </c>
      <c r="P589" s="18" t="s">
        <v>6423</v>
      </c>
      <c r="Q589" s="19" t="s">
        <v>2063</v>
      </c>
    </row>
    <row r="590" spans="1:17">
      <c r="A590" s="17"/>
      <c r="B590" s="13" t="s">
        <v>5120</v>
      </c>
      <c r="C590" s="13" t="s">
        <v>5121</v>
      </c>
      <c r="D590" s="13" t="s">
        <v>5122</v>
      </c>
      <c r="E590" s="13" t="s">
        <v>793</v>
      </c>
      <c r="F590" s="13" t="s">
        <v>4914</v>
      </c>
      <c r="G590" s="13">
        <v>2116251</v>
      </c>
      <c r="H590" s="13" t="s">
        <v>5123</v>
      </c>
      <c r="I590" s="13">
        <v>5050434</v>
      </c>
      <c r="J590" s="13"/>
      <c r="K590" s="13"/>
      <c r="L590" s="13" t="s">
        <v>5124</v>
      </c>
      <c r="M590" s="13">
        <v>140701403</v>
      </c>
      <c r="N590" s="18" t="s">
        <v>4721</v>
      </c>
      <c r="O590" s="18" t="s">
        <v>5125</v>
      </c>
      <c r="P590" s="18" t="s">
        <v>5126</v>
      </c>
      <c r="Q590" s="19">
        <v>41849</v>
      </c>
    </row>
    <row r="591" spans="1:17">
      <c r="A591" s="17"/>
      <c r="B591" s="13" t="s">
        <v>6011</v>
      </c>
      <c r="C591" s="13" t="s">
        <v>6012</v>
      </c>
      <c r="D591" s="13" t="s">
        <v>204</v>
      </c>
      <c r="E591" s="13" t="s">
        <v>631</v>
      </c>
      <c r="F591" s="13" t="s">
        <v>5843</v>
      </c>
      <c r="G591" s="13">
        <v>3300009758</v>
      </c>
      <c r="H591" s="13" t="s">
        <v>6013</v>
      </c>
      <c r="I591" s="13">
        <v>5049712</v>
      </c>
      <c r="J591" s="13"/>
      <c r="K591" s="13"/>
      <c r="L591" s="13" t="s">
        <v>6014</v>
      </c>
      <c r="M591" s="13">
        <v>120702232</v>
      </c>
      <c r="N591" s="18" t="s">
        <v>3117</v>
      </c>
      <c r="O591" s="18"/>
      <c r="P591" s="18" t="s">
        <v>6015</v>
      </c>
      <c r="Q591" s="19" t="s">
        <v>3729</v>
      </c>
    </row>
    <row r="592" spans="1:17">
      <c r="A592" s="17"/>
      <c r="B592" s="13" t="s">
        <v>4559</v>
      </c>
      <c r="C592" s="13" t="s">
        <v>4560</v>
      </c>
      <c r="D592" s="13" t="s">
        <v>4561</v>
      </c>
      <c r="E592" s="13" t="s">
        <v>776</v>
      </c>
      <c r="F592" s="13" t="s">
        <v>4395</v>
      </c>
      <c r="G592" s="13">
        <v>5006429</v>
      </c>
      <c r="H592" s="13" t="s">
        <v>4562</v>
      </c>
      <c r="I592" s="13">
        <v>3300008157</v>
      </c>
      <c r="J592" s="13">
        <v>5040899</v>
      </c>
      <c r="K592" s="13">
        <v>2103867</v>
      </c>
      <c r="L592" s="13" t="s">
        <v>4563</v>
      </c>
      <c r="M592" s="13">
        <v>120708319</v>
      </c>
      <c r="N592" s="18" t="s">
        <v>4399</v>
      </c>
      <c r="O592" s="18" t="s">
        <v>4564</v>
      </c>
      <c r="P592" s="18" t="s">
        <v>4565</v>
      </c>
      <c r="Q592" s="19" t="s">
        <v>4566</v>
      </c>
    </row>
    <row r="593" spans="1:17">
      <c r="A593" s="17" t="s">
        <v>839</v>
      </c>
      <c r="B593" s="13" t="s">
        <v>3026</v>
      </c>
      <c r="C593" s="13" t="s">
        <v>3027</v>
      </c>
      <c r="D593" s="13" t="s">
        <v>3028</v>
      </c>
      <c r="E593" s="13" t="s">
        <v>652</v>
      </c>
      <c r="F593" s="13" t="s">
        <v>2830</v>
      </c>
      <c r="G593" s="13">
        <v>2117085</v>
      </c>
      <c r="H593" s="13">
        <v>5031914</v>
      </c>
      <c r="I593" s="13">
        <v>3300006809</v>
      </c>
      <c r="J593" s="13" t="s">
        <v>3029</v>
      </c>
      <c r="K593" s="13" t="s">
        <v>3030</v>
      </c>
      <c r="L593" s="13" t="s">
        <v>3031</v>
      </c>
      <c r="M593" s="13">
        <v>120707832</v>
      </c>
      <c r="N593" s="18" t="s">
        <v>2436</v>
      </c>
      <c r="O593" s="18" t="s">
        <v>3032</v>
      </c>
      <c r="P593" s="18" t="s">
        <v>3033</v>
      </c>
      <c r="Q593" s="19">
        <v>41928</v>
      </c>
    </row>
    <row r="594" spans="1:17">
      <c r="A594" s="17"/>
      <c r="B594" s="13" t="s">
        <v>1296</v>
      </c>
      <c r="C594" s="13" t="s">
        <v>1297</v>
      </c>
      <c r="D594" s="13" t="s">
        <v>396</v>
      </c>
      <c r="E594" s="13" t="s">
        <v>745</v>
      </c>
      <c r="F594" s="13" t="s">
        <v>844</v>
      </c>
      <c r="G594" s="13">
        <v>2172009</v>
      </c>
      <c r="H594" s="13">
        <v>5049692</v>
      </c>
      <c r="I594" s="13" t="s">
        <v>1298</v>
      </c>
      <c r="J594" s="13">
        <v>3300002834</v>
      </c>
      <c r="K594" s="13">
        <v>2172006</v>
      </c>
      <c r="L594" s="13" t="s">
        <v>1299</v>
      </c>
      <c r="M594" s="13">
        <v>130700462</v>
      </c>
      <c r="N594" s="18" t="s">
        <v>879</v>
      </c>
      <c r="O594" s="18" t="s">
        <v>1300</v>
      </c>
      <c r="P594" s="18" t="s">
        <v>1301</v>
      </c>
      <c r="Q594" s="19" t="s">
        <v>1302</v>
      </c>
    </row>
    <row r="595" spans="1:17">
      <c r="A595" s="17" t="s">
        <v>839</v>
      </c>
      <c r="B595" s="13" t="s">
        <v>5739</v>
      </c>
      <c r="C595" s="13" t="s">
        <v>5740</v>
      </c>
      <c r="D595" s="13" t="s">
        <v>5741</v>
      </c>
      <c r="E595" s="13" t="s">
        <v>628</v>
      </c>
      <c r="F595" s="13" t="s">
        <v>5709</v>
      </c>
      <c r="G595" s="13">
        <v>2115638</v>
      </c>
      <c r="H595" s="13" t="s">
        <v>5742</v>
      </c>
      <c r="I595" s="13">
        <v>2115670</v>
      </c>
      <c r="J595" s="13" t="s">
        <v>5743</v>
      </c>
      <c r="K595" s="13">
        <v>5031868</v>
      </c>
      <c r="L595" s="13" t="s">
        <v>5744</v>
      </c>
      <c r="M595" s="13">
        <v>121000739</v>
      </c>
      <c r="N595" s="18" t="s">
        <v>4399</v>
      </c>
      <c r="O595" s="18"/>
      <c r="P595" s="18" t="s">
        <v>5745</v>
      </c>
      <c r="Q595" s="19" t="s">
        <v>5523</v>
      </c>
    </row>
    <row r="596" spans="1:17">
      <c r="A596" s="17"/>
      <c r="B596" s="13" t="s">
        <v>3777</v>
      </c>
      <c r="C596" s="13" t="s">
        <v>3778</v>
      </c>
      <c r="D596" s="13" t="s">
        <v>3779</v>
      </c>
      <c r="E596" s="13" t="s">
        <v>716</v>
      </c>
      <c r="F596" s="13" t="s">
        <v>3754</v>
      </c>
      <c r="G596" s="13">
        <v>5042645</v>
      </c>
      <c r="H596" s="13" t="s">
        <v>3780</v>
      </c>
      <c r="I596" s="13">
        <v>2117104</v>
      </c>
      <c r="J596" s="13">
        <v>5042661</v>
      </c>
      <c r="K596" s="13"/>
      <c r="L596" s="13" t="s">
        <v>3781</v>
      </c>
      <c r="M596" s="13">
        <v>120712742</v>
      </c>
      <c r="N596" s="18" t="s">
        <v>1018</v>
      </c>
      <c r="O596" s="18"/>
      <c r="P596" s="18" t="s">
        <v>3782</v>
      </c>
      <c r="Q596" s="19" t="s">
        <v>2050</v>
      </c>
    </row>
    <row r="597" spans="1:17">
      <c r="A597" s="17"/>
      <c r="B597" s="13" t="s">
        <v>3809</v>
      </c>
      <c r="C597" s="13" t="s">
        <v>3810</v>
      </c>
      <c r="D597" s="13" t="s">
        <v>206</v>
      </c>
      <c r="E597" s="13" t="s">
        <v>633</v>
      </c>
      <c r="F597" s="13" t="s">
        <v>3754</v>
      </c>
      <c r="G597" s="13">
        <v>5045683</v>
      </c>
      <c r="H597" s="13" t="s">
        <v>3811</v>
      </c>
      <c r="I597" s="13">
        <v>3300001697</v>
      </c>
      <c r="J597" s="13">
        <v>3300001682</v>
      </c>
      <c r="K597" s="13">
        <v>2183562</v>
      </c>
      <c r="L597" s="13" t="s">
        <v>3812</v>
      </c>
      <c r="M597" s="13">
        <v>120702241</v>
      </c>
      <c r="N597" s="18" t="s">
        <v>1018</v>
      </c>
      <c r="O597" s="18" t="s">
        <v>3813</v>
      </c>
      <c r="P597" s="18" t="s">
        <v>3814</v>
      </c>
      <c r="Q597" s="19" t="s">
        <v>1356</v>
      </c>
    </row>
    <row r="598" spans="1:17">
      <c r="A598" s="17" t="s">
        <v>839</v>
      </c>
      <c r="B598" s="13" t="s">
        <v>6294</v>
      </c>
      <c r="C598" s="13" t="s">
        <v>6295</v>
      </c>
      <c r="D598" s="13" t="s">
        <v>6296</v>
      </c>
      <c r="E598" s="13" t="s">
        <v>804</v>
      </c>
      <c r="F598" s="13" t="s">
        <v>5843</v>
      </c>
      <c r="G598" s="13">
        <v>5070901</v>
      </c>
      <c r="H598" s="13">
        <v>2183574</v>
      </c>
      <c r="I598" s="13">
        <v>3300009765</v>
      </c>
      <c r="J598" s="13"/>
      <c r="K598" s="13"/>
      <c r="L598" s="13" t="s">
        <v>6297</v>
      </c>
      <c r="M598" s="13">
        <v>140702605</v>
      </c>
      <c r="N598" s="18" t="s">
        <v>3105</v>
      </c>
      <c r="O598" s="18" t="s">
        <v>6298</v>
      </c>
      <c r="P598" s="18" t="s">
        <v>6299</v>
      </c>
      <c r="Q598" s="19">
        <v>41969</v>
      </c>
    </row>
    <row r="599" spans="1:17">
      <c r="A599" s="17" t="s">
        <v>839</v>
      </c>
      <c r="B599" s="13" t="s">
        <v>1887</v>
      </c>
      <c r="C599" s="13" t="s">
        <v>1888</v>
      </c>
      <c r="D599" s="13" t="s">
        <v>91</v>
      </c>
      <c r="E599" s="13" t="s">
        <v>550</v>
      </c>
      <c r="F599" s="13" t="s">
        <v>844</v>
      </c>
      <c r="G599" s="13" t="s">
        <v>1889</v>
      </c>
      <c r="H599" s="13" t="s">
        <v>1890</v>
      </c>
      <c r="I599" s="13" t="s">
        <v>1891</v>
      </c>
      <c r="J599" s="13" t="s">
        <v>1892</v>
      </c>
      <c r="K599" s="13">
        <v>2183558</v>
      </c>
      <c r="L599" s="13" t="s">
        <v>1893</v>
      </c>
      <c r="M599" s="13">
        <v>120700495</v>
      </c>
      <c r="N599" s="18" t="s">
        <v>1421</v>
      </c>
      <c r="O599" s="18" t="s">
        <v>1894</v>
      </c>
      <c r="P599" s="18" t="s">
        <v>1895</v>
      </c>
      <c r="Q599" s="19" t="s">
        <v>1754</v>
      </c>
    </row>
    <row r="600" spans="1:17">
      <c r="A600" s="17"/>
      <c r="B600" s="13" t="s">
        <v>858</v>
      </c>
      <c r="C600" s="13" t="s">
        <v>859</v>
      </c>
      <c r="D600" s="13" t="s">
        <v>860</v>
      </c>
      <c r="E600" s="13" t="s">
        <v>585</v>
      </c>
      <c r="F600" s="13" t="s">
        <v>844</v>
      </c>
      <c r="G600" s="13" t="s">
        <v>861</v>
      </c>
      <c r="H600" s="13">
        <v>2171918</v>
      </c>
      <c r="I600" s="13" t="s">
        <v>862</v>
      </c>
      <c r="J600" s="13"/>
      <c r="K600" s="13"/>
      <c r="L600" s="13" t="s">
        <v>863</v>
      </c>
      <c r="M600" s="13">
        <v>120703365</v>
      </c>
      <c r="N600" s="18" t="s">
        <v>856</v>
      </c>
      <c r="O600" s="18" t="s">
        <v>864</v>
      </c>
      <c r="P600" s="18" t="s">
        <v>865</v>
      </c>
      <c r="Q600" s="19" t="s">
        <v>866</v>
      </c>
    </row>
    <row r="601" spans="1:17">
      <c r="A601" s="17"/>
      <c r="B601" s="13" t="s">
        <v>1476</v>
      </c>
      <c r="C601" s="13" t="s">
        <v>1477</v>
      </c>
      <c r="D601" s="13" t="s">
        <v>1478</v>
      </c>
      <c r="E601" s="13" t="s">
        <v>566</v>
      </c>
      <c r="F601" s="13" t="s">
        <v>844</v>
      </c>
      <c r="G601" s="13" t="s">
        <v>1479</v>
      </c>
      <c r="H601" s="13">
        <v>3300009518</v>
      </c>
      <c r="I601" s="13">
        <v>2171909</v>
      </c>
      <c r="J601" s="13"/>
      <c r="K601" s="13"/>
      <c r="L601" s="13" t="s">
        <v>1480</v>
      </c>
      <c r="M601" s="13">
        <v>120706574</v>
      </c>
      <c r="N601" s="18" t="s">
        <v>879</v>
      </c>
      <c r="O601" s="18" t="s">
        <v>1481</v>
      </c>
      <c r="P601" s="18" t="s">
        <v>1482</v>
      </c>
      <c r="Q601" s="19" t="s">
        <v>866</v>
      </c>
    </row>
    <row r="602" spans="1:17">
      <c r="A602" s="17"/>
      <c r="B602" s="13" t="s">
        <v>5547</v>
      </c>
      <c r="C602" s="13" t="s">
        <v>5548</v>
      </c>
      <c r="D602" s="13" t="s">
        <v>5549</v>
      </c>
      <c r="E602" s="13" t="s">
        <v>731</v>
      </c>
      <c r="F602" s="13" t="s">
        <v>5164</v>
      </c>
      <c r="G602" s="13" t="s">
        <v>5550</v>
      </c>
      <c r="H602" s="13">
        <v>5032246</v>
      </c>
      <c r="I602" s="13">
        <v>2115899</v>
      </c>
      <c r="J602" s="13">
        <v>3300012811</v>
      </c>
      <c r="K602" s="13"/>
      <c r="L602" s="13" t="s">
        <v>5551</v>
      </c>
      <c r="M602" s="13">
        <v>130700708</v>
      </c>
      <c r="N602" s="18" t="s">
        <v>3187</v>
      </c>
      <c r="O602" s="18" t="s">
        <v>5552</v>
      </c>
      <c r="P602" s="18" t="s">
        <v>5553</v>
      </c>
      <c r="Q602" s="19" t="s">
        <v>5554</v>
      </c>
    </row>
    <row r="603" spans="1:17">
      <c r="A603" s="17"/>
      <c r="B603" s="13" t="s">
        <v>2203</v>
      </c>
      <c r="C603" s="13" t="s">
        <v>2204</v>
      </c>
      <c r="D603" s="13" t="s">
        <v>135</v>
      </c>
      <c r="E603" s="13" t="s">
        <v>537</v>
      </c>
      <c r="F603" s="20" t="s">
        <v>2191</v>
      </c>
      <c r="G603" s="13" t="s">
        <v>2205</v>
      </c>
      <c r="H603" s="13">
        <v>3300012810</v>
      </c>
      <c r="I603" s="13">
        <v>2171928</v>
      </c>
      <c r="J603" s="13">
        <v>2114761</v>
      </c>
      <c r="K603" s="13"/>
      <c r="L603" s="13" t="s">
        <v>2206</v>
      </c>
      <c r="M603" s="13">
        <v>120700793</v>
      </c>
      <c r="N603" s="18" t="s">
        <v>847</v>
      </c>
      <c r="O603" s="18"/>
      <c r="P603" s="18" t="s">
        <v>2207</v>
      </c>
      <c r="Q603" s="19" t="s">
        <v>1636</v>
      </c>
    </row>
    <row r="604" spans="1:17">
      <c r="A604" s="17"/>
      <c r="B604" s="13" t="s">
        <v>3730</v>
      </c>
      <c r="C604" s="13" t="s">
        <v>3731</v>
      </c>
      <c r="D604" s="13" t="s">
        <v>395</v>
      </c>
      <c r="E604" s="13" t="s">
        <v>657</v>
      </c>
      <c r="F604" s="13" t="s">
        <v>3558</v>
      </c>
      <c r="G604" s="13">
        <v>5049709</v>
      </c>
      <c r="H604" s="13" t="s">
        <v>3732</v>
      </c>
      <c r="I604" s="13">
        <v>2103946</v>
      </c>
      <c r="J604" s="13">
        <v>3300001693</v>
      </c>
      <c r="K604" s="13"/>
      <c r="L604" s="13" t="s">
        <v>3733</v>
      </c>
      <c r="M604" s="13">
        <v>130700456</v>
      </c>
      <c r="N604" s="18" t="s">
        <v>3478</v>
      </c>
      <c r="O604" s="18"/>
      <c r="P604" s="18"/>
      <c r="Q604" s="19" t="s">
        <v>1147</v>
      </c>
    </row>
    <row r="605" spans="1:17">
      <c r="A605" s="17"/>
      <c r="B605" s="13" t="s">
        <v>2868</v>
      </c>
      <c r="C605" s="13" t="s">
        <v>2868</v>
      </c>
      <c r="D605" s="13" t="s">
        <v>201</v>
      </c>
      <c r="E605" s="13" t="s">
        <v>630</v>
      </c>
      <c r="F605" s="13" t="s">
        <v>2830</v>
      </c>
      <c r="G605" s="13">
        <v>2172019</v>
      </c>
      <c r="H605" s="13" t="s">
        <v>2869</v>
      </c>
      <c r="I605" s="13">
        <v>5045669</v>
      </c>
      <c r="J605" s="13"/>
      <c r="K605" s="13"/>
      <c r="L605" s="13" t="s">
        <v>2870</v>
      </c>
      <c r="M605" s="13">
        <v>120702177</v>
      </c>
      <c r="N605" s="18" t="s">
        <v>887</v>
      </c>
      <c r="O605" s="18" t="s">
        <v>2871</v>
      </c>
      <c r="P605" s="18"/>
      <c r="Q605" s="19" t="s">
        <v>2872</v>
      </c>
    </row>
    <row r="606" spans="1:17">
      <c r="A606" s="17" t="s">
        <v>839</v>
      </c>
      <c r="B606" s="13" t="s">
        <v>6197</v>
      </c>
      <c r="C606" s="13" t="s">
        <v>6198</v>
      </c>
      <c r="D606" s="13" t="s">
        <v>6199</v>
      </c>
      <c r="E606" s="13" t="s">
        <v>6188</v>
      </c>
      <c r="F606" s="13" t="s">
        <v>5843</v>
      </c>
      <c r="G606" s="13">
        <v>2117074</v>
      </c>
      <c r="H606" s="13">
        <v>5031915</v>
      </c>
      <c r="I606" s="13">
        <v>3300002972</v>
      </c>
      <c r="J606" s="13"/>
      <c r="K606" s="13"/>
      <c r="L606" s="13" t="s">
        <v>6200</v>
      </c>
      <c r="M606" s="13">
        <v>120700372</v>
      </c>
      <c r="N606" s="18" t="s">
        <v>3105</v>
      </c>
      <c r="O606" s="18" t="s">
        <v>6201</v>
      </c>
      <c r="P606" s="18" t="s">
        <v>6202</v>
      </c>
      <c r="Q606" s="19" t="s">
        <v>3752</v>
      </c>
    </row>
    <row r="607" spans="1:17">
      <c r="A607" s="17" t="s">
        <v>839</v>
      </c>
      <c r="B607" s="13" t="s">
        <v>2772</v>
      </c>
      <c r="C607" s="13" t="s">
        <v>2773</v>
      </c>
      <c r="D607" s="13" t="s">
        <v>2774</v>
      </c>
      <c r="E607" s="13" t="s">
        <v>707</v>
      </c>
      <c r="F607" s="13" t="s">
        <v>2433</v>
      </c>
      <c r="G607" s="13" t="s">
        <v>2775</v>
      </c>
      <c r="H607" s="13">
        <v>2096474</v>
      </c>
      <c r="I607" s="13" t="s">
        <v>2776</v>
      </c>
      <c r="J607" s="13">
        <v>5059289</v>
      </c>
      <c r="K607" s="13">
        <v>3300012284</v>
      </c>
      <c r="L607" s="13" t="s">
        <v>2777</v>
      </c>
      <c r="M607" s="13">
        <v>120702192</v>
      </c>
      <c r="N607" s="18" t="s">
        <v>2436</v>
      </c>
      <c r="O607" s="18" t="s">
        <v>2778</v>
      </c>
      <c r="P607" s="18" t="s">
        <v>2779</v>
      </c>
      <c r="Q607" s="19" t="s">
        <v>2780</v>
      </c>
    </row>
    <row r="608" spans="1:17">
      <c r="A608" s="17" t="s">
        <v>839</v>
      </c>
      <c r="B608" s="13" t="s">
        <v>4598</v>
      </c>
      <c r="C608" s="13" t="s">
        <v>4593</v>
      </c>
      <c r="D608" s="13" t="s">
        <v>4599</v>
      </c>
      <c r="E608" s="13" t="s">
        <v>4600</v>
      </c>
      <c r="F608" s="13" t="s">
        <v>4395</v>
      </c>
      <c r="G608" s="13">
        <v>5070885</v>
      </c>
      <c r="H608" s="13">
        <v>2183567</v>
      </c>
      <c r="I608" s="13">
        <v>3300009750</v>
      </c>
      <c r="J608" s="13"/>
      <c r="K608" s="13"/>
      <c r="L608" s="13" t="s">
        <v>4601</v>
      </c>
      <c r="M608" s="13">
        <v>140703099</v>
      </c>
      <c r="N608" s="18" t="s">
        <v>4399</v>
      </c>
      <c r="O608" s="18" t="s">
        <v>4602</v>
      </c>
      <c r="P608" s="18" t="s">
        <v>873</v>
      </c>
      <c r="Q608" s="19">
        <v>41975</v>
      </c>
    </row>
    <row r="609" spans="1:17">
      <c r="A609" s="17"/>
      <c r="B609" s="13" t="s">
        <v>3416</v>
      </c>
      <c r="C609" s="13" t="s">
        <v>3417</v>
      </c>
      <c r="D609" s="13" t="s">
        <v>487</v>
      </c>
      <c r="E609" s="13" t="s">
        <v>603</v>
      </c>
      <c r="F609" s="13" t="s">
        <v>3101</v>
      </c>
      <c r="G609" s="13">
        <v>3300009535</v>
      </c>
      <c r="H609" s="13">
        <v>5050441</v>
      </c>
      <c r="I609" s="13" t="s">
        <v>3418</v>
      </c>
      <c r="J609" s="13">
        <v>2177181</v>
      </c>
      <c r="K609" s="13">
        <v>3300011803</v>
      </c>
      <c r="L609" s="13" t="s">
        <v>3419</v>
      </c>
      <c r="M609" s="13">
        <v>130904751</v>
      </c>
      <c r="N609" s="18" t="s">
        <v>3117</v>
      </c>
      <c r="O609" s="18" t="s">
        <v>3420</v>
      </c>
      <c r="P609" s="18" t="s">
        <v>3421</v>
      </c>
      <c r="Q609" s="19" t="s">
        <v>3422</v>
      </c>
    </row>
    <row r="610" spans="1:17">
      <c r="A610" s="17"/>
      <c r="B610" s="13" t="s">
        <v>3989</v>
      </c>
      <c r="C610" s="13" t="s">
        <v>3990</v>
      </c>
      <c r="D610" s="13" t="s">
        <v>325</v>
      </c>
      <c r="E610" s="13" t="s">
        <v>712</v>
      </c>
      <c r="F610" s="13" t="s">
        <v>3754</v>
      </c>
      <c r="G610" s="13">
        <v>2172439</v>
      </c>
      <c r="H610" s="13">
        <v>5031888</v>
      </c>
      <c r="I610" s="13" t="s">
        <v>3991</v>
      </c>
      <c r="J610" s="13"/>
      <c r="K610" s="13"/>
      <c r="L610" s="13" t="s">
        <v>3992</v>
      </c>
      <c r="M610" s="13">
        <v>120711279</v>
      </c>
      <c r="N610" s="18" t="s">
        <v>1018</v>
      </c>
      <c r="O610" s="18" t="s">
        <v>3993</v>
      </c>
      <c r="P610" s="18" t="s">
        <v>3994</v>
      </c>
      <c r="Q610" s="19" t="s">
        <v>2295</v>
      </c>
    </row>
    <row r="611" spans="1:17">
      <c r="A611" s="17"/>
      <c r="B611" s="20" t="s">
        <v>4260</v>
      </c>
      <c r="C611" s="20" t="s">
        <v>4261</v>
      </c>
      <c r="D611" s="20" t="s">
        <v>4262</v>
      </c>
      <c r="E611" s="13" t="s">
        <v>553</v>
      </c>
      <c r="F611" s="13" t="s">
        <v>3754</v>
      </c>
      <c r="G611" s="20">
        <v>2116303</v>
      </c>
      <c r="H611" s="20" t="s">
        <v>4263</v>
      </c>
      <c r="I611" s="20" t="s">
        <v>4264</v>
      </c>
      <c r="J611" s="20">
        <v>3300004124</v>
      </c>
      <c r="K611" s="20" t="s">
        <v>4265</v>
      </c>
      <c r="L611" s="20" t="s">
        <v>4266</v>
      </c>
      <c r="M611" s="20">
        <v>140704385</v>
      </c>
      <c r="N611" s="20"/>
      <c r="O611" s="18" t="s">
        <v>4267</v>
      </c>
      <c r="P611" s="18" t="s">
        <v>873</v>
      </c>
      <c r="Q611" s="24">
        <v>42129</v>
      </c>
    </row>
    <row r="612" spans="1:17">
      <c r="A612" s="17"/>
      <c r="B612" s="20" t="s">
        <v>4385</v>
      </c>
      <c r="C612" s="20" t="s">
        <v>4386</v>
      </c>
      <c r="D612" s="20" t="s">
        <v>4387</v>
      </c>
      <c r="E612" s="20" t="s">
        <v>4388</v>
      </c>
      <c r="F612" s="20" t="s">
        <v>4389</v>
      </c>
      <c r="G612" s="20">
        <v>2083295</v>
      </c>
      <c r="H612" s="20">
        <v>3300005179</v>
      </c>
      <c r="I612" s="20" t="s">
        <v>4390</v>
      </c>
      <c r="J612" s="20">
        <v>2096061</v>
      </c>
      <c r="K612" s="20"/>
      <c r="L612" s="20" t="s">
        <v>4391</v>
      </c>
      <c r="M612" s="20">
        <v>140704306</v>
      </c>
      <c r="N612" s="20"/>
      <c r="O612" s="18"/>
      <c r="P612" s="18"/>
      <c r="Q612" s="24"/>
    </row>
    <row r="613" spans="1:17">
      <c r="A613" s="17"/>
      <c r="B613" s="13" t="s">
        <v>6035</v>
      </c>
      <c r="C613" s="13" t="s">
        <v>6036</v>
      </c>
      <c r="D613" s="13" t="s">
        <v>217</v>
      </c>
      <c r="E613" s="13" t="s">
        <v>642</v>
      </c>
      <c r="F613" s="13" t="s">
        <v>5843</v>
      </c>
      <c r="G613" s="13" t="s">
        <v>6037</v>
      </c>
      <c r="H613" s="13">
        <v>3300001703</v>
      </c>
      <c r="I613" s="13">
        <v>2177518</v>
      </c>
      <c r="J613" s="13">
        <v>5032244</v>
      </c>
      <c r="K613" s="13">
        <v>3300001702</v>
      </c>
      <c r="L613" s="13" t="s">
        <v>6038</v>
      </c>
      <c r="M613" s="13">
        <v>120703333</v>
      </c>
      <c r="N613" s="18" t="s">
        <v>3105</v>
      </c>
      <c r="O613" s="18" t="s">
        <v>6039</v>
      </c>
      <c r="P613" s="18" t="s">
        <v>6040</v>
      </c>
      <c r="Q613" s="19" t="s">
        <v>6041</v>
      </c>
    </row>
    <row r="614" spans="1:17">
      <c r="A614" s="17"/>
      <c r="B614" s="20" t="s">
        <v>5949</v>
      </c>
      <c r="C614" s="20" t="s">
        <v>5950</v>
      </c>
      <c r="D614" s="20" t="s">
        <v>5951</v>
      </c>
      <c r="E614" s="13" t="s">
        <v>541</v>
      </c>
      <c r="F614" s="13" t="s">
        <v>5843</v>
      </c>
      <c r="G614" s="20">
        <v>5045667</v>
      </c>
      <c r="H614" s="20" t="s">
        <v>5952</v>
      </c>
      <c r="I614" s="20">
        <v>2087281</v>
      </c>
      <c r="J614" s="20">
        <v>3300004119</v>
      </c>
      <c r="K614" s="20"/>
      <c r="L614" s="20" t="s">
        <v>5953</v>
      </c>
      <c r="M614" s="20">
        <v>150700935</v>
      </c>
      <c r="N614" s="20"/>
      <c r="O614" s="18" t="s">
        <v>5954</v>
      </c>
      <c r="P614" s="18" t="s">
        <v>5955</v>
      </c>
      <c r="Q614" s="24">
        <v>42128</v>
      </c>
    </row>
    <row r="615" spans="1:17">
      <c r="A615" s="17" t="s">
        <v>839</v>
      </c>
      <c r="B615" s="13" t="s">
        <v>2579</v>
      </c>
      <c r="C615" s="13" t="s">
        <v>2580</v>
      </c>
      <c r="D615" s="13" t="s">
        <v>500</v>
      </c>
      <c r="E615" s="13" t="s">
        <v>640</v>
      </c>
      <c r="F615" s="13" t="s">
        <v>2433</v>
      </c>
      <c r="G615" s="13">
        <v>2183506</v>
      </c>
      <c r="H615" s="13">
        <v>5059361</v>
      </c>
      <c r="I615" s="13" t="s">
        <v>2581</v>
      </c>
      <c r="J615" s="13">
        <v>5031874</v>
      </c>
      <c r="K615" s="13"/>
      <c r="L615" s="13" t="s">
        <v>2582</v>
      </c>
      <c r="M615" s="13">
        <v>140700814</v>
      </c>
      <c r="N615" s="18" t="s">
        <v>2436</v>
      </c>
      <c r="O615" s="18" t="s">
        <v>2583</v>
      </c>
      <c r="P615" s="18" t="s">
        <v>2584</v>
      </c>
      <c r="Q615" s="19" t="s">
        <v>1512</v>
      </c>
    </row>
    <row r="616" spans="1:17">
      <c r="A616" s="17"/>
      <c r="B616" s="13" t="s">
        <v>3052</v>
      </c>
      <c r="C616" s="13" t="s">
        <v>3053</v>
      </c>
      <c r="D616" s="13" t="s">
        <v>142</v>
      </c>
      <c r="E616" s="13" t="s">
        <v>590</v>
      </c>
      <c r="F616" s="13" t="s">
        <v>2830</v>
      </c>
      <c r="G616" s="13" t="s">
        <v>3054</v>
      </c>
      <c r="H616" s="13">
        <v>2103920</v>
      </c>
      <c r="I616" s="13">
        <v>3300004134</v>
      </c>
      <c r="J616" s="13">
        <v>5050444</v>
      </c>
      <c r="K616" s="13"/>
      <c r="L616" s="13" t="s">
        <v>3055</v>
      </c>
      <c r="M616" s="13">
        <v>120701169</v>
      </c>
      <c r="N616" s="18" t="s">
        <v>887</v>
      </c>
      <c r="O616" s="18" t="s">
        <v>3056</v>
      </c>
      <c r="P616" s="18" t="s">
        <v>3057</v>
      </c>
      <c r="Q616" s="19" t="s">
        <v>2733</v>
      </c>
    </row>
    <row r="617" spans="1:17">
      <c r="A617" s="17"/>
      <c r="B617" s="13" t="s">
        <v>4268</v>
      </c>
      <c r="C617" s="13" t="s">
        <v>4269</v>
      </c>
      <c r="D617" s="13" t="s">
        <v>374</v>
      </c>
      <c r="E617" s="13" t="s">
        <v>553</v>
      </c>
      <c r="F617" s="13" t="s">
        <v>3754</v>
      </c>
      <c r="G617" s="13">
        <v>2177514</v>
      </c>
      <c r="H617" s="13" t="s">
        <v>4270</v>
      </c>
      <c r="I617" s="13">
        <v>3300005158</v>
      </c>
      <c r="J617" s="13">
        <v>5033023</v>
      </c>
      <c r="K617" s="13">
        <v>2119241</v>
      </c>
      <c r="L617" s="13" t="s">
        <v>4271</v>
      </c>
      <c r="M617" s="13">
        <v>120906443</v>
      </c>
      <c r="N617" s="18" t="s">
        <v>1018</v>
      </c>
      <c r="O617" s="18" t="s">
        <v>4272</v>
      </c>
      <c r="P617" s="18" t="s">
        <v>4273</v>
      </c>
      <c r="Q617" s="19" t="s">
        <v>4274</v>
      </c>
    </row>
    <row r="618" spans="1:17">
      <c r="A618" s="17"/>
      <c r="B618" s="21" t="s">
        <v>1967</v>
      </c>
      <c r="C618" s="21" t="s">
        <v>1968</v>
      </c>
      <c r="D618" s="21" t="s">
        <v>1969</v>
      </c>
      <c r="E618" s="21" t="s">
        <v>1954</v>
      </c>
      <c r="F618" s="13" t="s">
        <v>844</v>
      </c>
      <c r="G618" s="20">
        <v>2084087</v>
      </c>
      <c r="H618" s="20">
        <v>3300012249</v>
      </c>
      <c r="I618" s="20" t="s">
        <v>1970</v>
      </c>
      <c r="J618" s="20"/>
      <c r="K618" s="20"/>
      <c r="L618" s="20" t="s">
        <v>1971</v>
      </c>
      <c r="M618" s="25">
        <v>140700767</v>
      </c>
      <c r="N618" s="18" t="s">
        <v>896</v>
      </c>
      <c r="O618" s="18" t="s">
        <v>1972</v>
      </c>
      <c r="P618" s="18" t="s">
        <v>1973</v>
      </c>
      <c r="Q618" s="23" t="s">
        <v>899</v>
      </c>
    </row>
    <row r="619" spans="1:17">
      <c r="A619" s="17"/>
      <c r="B619" s="13" t="s">
        <v>3871</v>
      </c>
      <c r="C619" s="13" t="s">
        <v>3872</v>
      </c>
      <c r="D619" s="13" t="s">
        <v>3873</v>
      </c>
      <c r="E619" s="13" t="s">
        <v>549</v>
      </c>
      <c r="F619" s="13" t="s">
        <v>3754</v>
      </c>
      <c r="G619" s="13" t="s">
        <v>3874</v>
      </c>
      <c r="H619" s="13">
        <v>5059351</v>
      </c>
      <c r="I619" s="13">
        <v>3300011821</v>
      </c>
      <c r="J619" s="13">
        <v>5059337</v>
      </c>
      <c r="K619" s="13">
        <v>2183478</v>
      </c>
      <c r="L619" s="13" t="s">
        <v>3875</v>
      </c>
      <c r="M619" s="13">
        <v>120702188</v>
      </c>
      <c r="N619" s="18" t="s">
        <v>3478</v>
      </c>
      <c r="O619" s="18" t="s">
        <v>3876</v>
      </c>
      <c r="P619" s="18" t="s">
        <v>3877</v>
      </c>
      <c r="Q619" s="19"/>
    </row>
    <row r="620" spans="1:17">
      <c r="A620" s="17"/>
      <c r="B620" s="13" t="s">
        <v>2729</v>
      </c>
      <c r="C620" s="13" t="s">
        <v>2729</v>
      </c>
      <c r="D620" s="13" t="s">
        <v>171</v>
      </c>
      <c r="E620" s="13" t="s">
        <v>613</v>
      </c>
      <c r="F620" s="13" t="s">
        <v>2433</v>
      </c>
      <c r="G620" s="13">
        <v>3300011489</v>
      </c>
      <c r="H620" s="13" t="s">
        <v>2730</v>
      </c>
      <c r="I620" s="13">
        <v>5040898</v>
      </c>
      <c r="J620" s="13">
        <v>2119270</v>
      </c>
      <c r="K620" s="13"/>
      <c r="L620" s="13" t="s">
        <v>2731</v>
      </c>
      <c r="M620" s="13">
        <v>120701371</v>
      </c>
      <c r="N620" s="18" t="s">
        <v>2436</v>
      </c>
      <c r="O620" s="18"/>
      <c r="P620" s="18" t="s">
        <v>2732</v>
      </c>
      <c r="Q620" s="19" t="s">
        <v>2733</v>
      </c>
    </row>
    <row r="621" spans="1:17">
      <c r="A621" s="17"/>
      <c r="B621" s="13" t="s">
        <v>1565</v>
      </c>
      <c r="C621" s="13" t="s">
        <v>1566</v>
      </c>
      <c r="D621" s="13" t="s">
        <v>1567</v>
      </c>
      <c r="E621" s="13" t="s">
        <v>580</v>
      </c>
      <c r="F621" s="13" t="s">
        <v>844</v>
      </c>
      <c r="G621" s="13">
        <v>2114775</v>
      </c>
      <c r="H621" s="13" t="s">
        <v>1568</v>
      </c>
      <c r="I621" s="13">
        <v>2114734</v>
      </c>
      <c r="J621" s="13">
        <v>5031894</v>
      </c>
      <c r="K621" s="13">
        <v>3300009525</v>
      </c>
      <c r="L621" s="13" t="s">
        <v>1569</v>
      </c>
      <c r="M621" s="13">
        <v>120700555</v>
      </c>
      <c r="N621" s="18" t="s">
        <v>879</v>
      </c>
      <c r="O621" s="18"/>
      <c r="P621" s="18" t="s">
        <v>1570</v>
      </c>
      <c r="Q621" s="19" t="s">
        <v>1571</v>
      </c>
    </row>
    <row r="622" spans="1:17">
      <c r="A622" s="17" t="s">
        <v>839</v>
      </c>
      <c r="B622" s="21" t="s">
        <v>2160</v>
      </c>
      <c r="C622" s="21" t="s">
        <v>43</v>
      </c>
      <c r="D622" s="21" t="s">
        <v>2161</v>
      </c>
      <c r="E622" s="21" t="s">
        <v>2147</v>
      </c>
      <c r="F622" s="13" t="s">
        <v>844</v>
      </c>
      <c r="G622" s="20">
        <v>3300010664</v>
      </c>
      <c r="H622" s="20">
        <v>2182983</v>
      </c>
      <c r="I622" s="20" t="s">
        <v>2162</v>
      </c>
      <c r="J622" s="20">
        <v>5051835</v>
      </c>
      <c r="K622" s="20" t="s">
        <v>2163</v>
      </c>
      <c r="L622" s="20" t="s">
        <v>2164</v>
      </c>
      <c r="M622" s="22">
        <v>130703011</v>
      </c>
      <c r="N622" s="18" t="s">
        <v>896</v>
      </c>
      <c r="O622" s="18" t="s">
        <v>2165</v>
      </c>
      <c r="P622" s="18" t="s">
        <v>2166</v>
      </c>
      <c r="Q622" s="23" t="s">
        <v>899</v>
      </c>
    </row>
    <row r="623" spans="1:17">
      <c r="A623" s="17" t="s">
        <v>839</v>
      </c>
      <c r="B623" s="13" t="s">
        <v>3878</v>
      </c>
      <c r="C623" s="13" t="s">
        <v>3879</v>
      </c>
      <c r="D623" s="13" t="s">
        <v>203</v>
      </c>
      <c r="E623" s="13" t="s">
        <v>549</v>
      </c>
      <c r="F623" s="13" t="s">
        <v>3754</v>
      </c>
      <c r="G623" s="13">
        <v>3300003006</v>
      </c>
      <c r="H623" s="13">
        <v>5049672</v>
      </c>
      <c r="I623" s="13">
        <v>2103498</v>
      </c>
      <c r="J623" s="13" t="s">
        <v>3880</v>
      </c>
      <c r="K623" s="13" t="s">
        <v>3881</v>
      </c>
      <c r="L623" s="13" t="s">
        <v>3882</v>
      </c>
      <c r="M623" s="13">
        <v>120702226</v>
      </c>
      <c r="N623" s="18" t="s">
        <v>3478</v>
      </c>
      <c r="O623" s="18" t="s">
        <v>3883</v>
      </c>
      <c r="P623" s="18" t="s">
        <v>3884</v>
      </c>
      <c r="Q623" s="19" t="s">
        <v>3702</v>
      </c>
    </row>
    <row r="624" spans="1:17">
      <c r="A624" s="17"/>
      <c r="B624" s="13" t="s">
        <v>421</v>
      </c>
      <c r="C624" s="13" t="s">
        <v>4036</v>
      </c>
      <c r="D624" s="13" t="s">
        <v>4037</v>
      </c>
      <c r="E624" s="13" t="s">
        <v>543</v>
      </c>
      <c r="F624" s="13" t="s">
        <v>3754</v>
      </c>
      <c r="G624" s="13">
        <v>3300009768</v>
      </c>
      <c r="H624" s="13">
        <v>5047873</v>
      </c>
      <c r="I624" s="13" t="s">
        <v>4038</v>
      </c>
      <c r="J624" s="13">
        <v>2177332</v>
      </c>
      <c r="K624" s="13"/>
      <c r="L624" s="13" t="s">
        <v>4039</v>
      </c>
      <c r="M624" s="13">
        <v>130702826</v>
      </c>
      <c r="N624" s="18" t="s">
        <v>1188</v>
      </c>
      <c r="O624" s="18" t="s">
        <v>4040</v>
      </c>
      <c r="P624" s="18" t="s">
        <v>4041</v>
      </c>
      <c r="Q624" s="19" t="s">
        <v>2016</v>
      </c>
    </row>
    <row r="625" spans="1:17">
      <c r="A625" s="17"/>
      <c r="B625" s="13" t="s">
        <v>5531</v>
      </c>
      <c r="C625" s="13" t="s">
        <v>57</v>
      </c>
      <c r="D625" s="13" t="s">
        <v>523</v>
      </c>
      <c r="E625" s="13" t="s">
        <v>692</v>
      </c>
      <c r="F625" s="13" t="s">
        <v>5164</v>
      </c>
      <c r="G625" s="13" t="s">
        <v>5532</v>
      </c>
      <c r="H625" s="13">
        <v>3300003625</v>
      </c>
      <c r="I625" s="13">
        <v>5070902</v>
      </c>
      <c r="J625" s="13">
        <v>2183498</v>
      </c>
      <c r="K625" s="13">
        <v>2103522</v>
      </c>
      <c r="L625" s="13" t="s">
        <v>5533</v>
      </c>
      <c r="M625" s="13">
        <v>140703784</v>
      </c>
      <c r="N625" s="18"/>
      <c r="O625" s="18" t="s">
        <v>5534</v>
      </c>
      <c r="P625" s="18"/>
      <c r="Q625" s="19">
        <v>42101</v>
      </c>
    </row>
    <row r="626" spans="1:17">
      <c r="A626" s="17"/>
      <c r="B626" s="21" t="s">
        <v>982</v>
      </c>
      <c r="C626" s="21" t="s">
        <v>983</v>
      </c>
      <c r="D626" s="21" t="s">
        <v>984</v>
      </c>
      <c r="E626" s="21" t="s">
        <v>547</v>
      </c>
      <c r="F626" s="13" t="s">
        <v>844</v>
      </c>
      <c r="G626" s="20">
        <v>3300012473</v>
      </c>
      <c r="H626" s="20">
        <v>2084682</v>
      </c>
      <c r="I626" s="20" t="s">
        <v>985</v>
      </c>
      <c r="J626" s="20">
        <v>5053724</v>
      </c>
      <c r="K626" s="20" t="s">
        <v>986</v>
      </c>
      <c r="L626" s="20" t="s">
        <v>987</v>
      </c>
      <c r="M626" s="25">
        <v>140702914</v>
      </c>
      <c r="N626" s="18" t="s">
        <v>896</v>
      </c>
      <c r="O626" s="18" t="s">
        <v>988</v>
      </c>
      <c r="P626" s="18" t="s">
        <v>989</v>
      </c>
      <c r="Q626" s="23" t="s">
        <v>899</v>
      </c>
    </row>
    <row r="627" spans="1:17">
      <c r="A627" s="17"/>
      <c r="B627" s="13" t="s">
        <v>3960</v>
      </c>
      <c r="C627" s="13" t="s">
        <v>3961</v>
      </c>
      <c r="D627" s="13" t="s">
        <v>3962</v>
      </c>
      <c r="E627" s="13" t="s">
        <v>759</v>
      </c>
      <c r="F627" s="13" t="s">
        <v>3754</v>
      </c>
      <c r="G627" s="13">
        <v>2103885</v>
      </c>
      <c r="H627" s="13" t="s">
        <v>3963</v>
      </c>
      <c r="I627" s="13">
        <v>2103882</v>
      </c>
      <c r="J627" s="13"/>
      <c r="K627" s="13"/>
      <c r="L627" s="13" t="s">
        <v>3964</v>
      </c>
      <c r="M627" s="13">
        <v>120701403</v>
      </c>
      <c r="N627" s="18" t="s">
        <v>3117</v>
      </c>
      <c r="O627" s="18" t="s">
        <v>3965</v>
      </c>
      <c r="P627" s="18" t="s">
        <v>3966</v>
      </c>
      <c r="Q627" s="19" t="s">
        <v>2143</v>
      </c>
    </row>
    <row r="628" spans="1:17">
      <c r="A628" s="17"/>
      <c r="B628" s="13" t="s">
        <v>3960</v>
      </c>
      <c r="C628" s="13" t="s">
        <v>4516</v>
      </c>
      <c r="D628" s="13" t="s">
        <v>4517</v>
      </c>
      <c r="E628" s="13" t="s">
        <v>599</v>
      </c>
      <c r="F628" s="13" t="s">
        <v>4395</v>
      </c>
      <c r="G628" s="13">
        <v>2103948</v>
      </c>
      <c r="H628" s="13" t="s">
        <v>4518</v>
      </c>
      <c r="I628" s="13" t="s">
        <v>4519</v>
      </c>
      <c r="J628" s="13">
        <v>3300003606</v>
      </c>
      <c r="K628" s="13"/>
      <c r="L628" s="13" t="s">
        <v>4520</v>
      </c>
      <c r="M628" s="13">
        <v>120708140</v>
      </c>
      <c r="N628" s="18" t="s">
        <v>4399</v>
      </c>
      <c r="O628" s="18" t="s">
        <v>4521</v>
      </c>
      <c r="P628" s="18" t="s">
        <v>4522</v>
      </c>
      <c r="Q628" s="19" t="s">
        <v>4001</v>
      </c>
    </row>
    <row r="629" spans="1:17">
      <c r="A629" s="17" t="s">
        <v>839</v>
      </c>
      <c r="B629" s="13" t="s">
        <v>4592</v>
      </c>
      <c r="C629" s="13" t="s">
        <v>4593</v>
      </c>
      <c r="D629" s="13" t="s">
        <v>4594</v>
      </c>
      <c r="E629" s="13" t="s">
        <v>813</v>
      </c>
      <c r="F629" s="13" t="s">
        <v>4395</v>
      </c>
      <c r="G629" s="13">
        <v>2171990</v>
      </c>
      <c r="H629" s="13">
        <v>5050438</v>
      </c>
      <c r="I629" s="13" t="s">
        <v>4595</v>
      </c>
      <c r="J629" s="13">
        <v>3300012290</v>
      </c>
      <c r="K629" s="13">
        <v>2183552</v>
      </c>
      <c r="L629" s="13" t="s">
        <v>4596</v>
      </c>
      <c r="M629" s="13">
        <v>141001529</v>
      </c>
      <c r="N629" s="18" t="s">
        <v>4399</v>
      </c>
      <c r="O629" s="18" t="s">
        <v>4597</v>
      </c>
      <c r="P629" s="18"/>
      <c r="Q629" s="19">
        <v>41900</v>
      </c>
    </row>
    <row r="630" spans="1:17">
      <c r="A630" s="17"/>
      <c r="B630" s="13" t="s">
        <v>4603</v>
      </c>
      <c r="C630" s="13" t="s">
        <v>4593</v>
      </c>
      <c r="D630" s="13" t="s">
        <v>4604</v>
      </c>
      <c r="E630" s="13" t="s">
        <v>4600</v>
      </c>
      <c r="F630" s="13" t="s">
        <v>4395</v>
      </c>
      <c r="G630" s="13">
        <v>2177147</v>
      </c>
      <c r="H630" s="13">
        <v>5059372</v>
      </c>
      <c r="I630" s="13">
        <v>3300009563</v>
      </c>
      <c r="J630" s="13"/>
      <c r="K630" s="13"/>
      <c r="L630" s="13" t="s">
        <v>4605</v>
      </c>
      <c r="M630" s="13">
        <v>141001531</v>
      </c>
      <c r="N630" s="18" t="s">
        <v>4399</v>
      </c>
      <c r="O630" s="18" t="s">
        <v>4606</v>
      </c>
      <c r="P630" s="18"/>
      <c r="Q630" s="19">
        <v>41900</v>
      </c>
    </row>
    <row r="631" spans="1:17">
      <c r="A631" s="17"/>
      <c r="B631" s="28" t="s">
        <v>4567</v>
      </c>
      <c r="C631" s="28" t="s">
        <v>4568</v>
      </c>
      <c r="D631" s="29" t="s">
        <v>4569</v>
      </c>
      <c r="E631" s="29" t="s">
        <v>776</v>
      </c>
      <c r="F631" s="22" t="s">
        <v>4395</v>
      </c>
      <c r="G631" s="30" t="s">
        <v>4570</v>
      </c>
      <c r="H631" s="30" t="s">
        <v>4571</v>
      </c>
      <c r="I631" s="30" t="s">
        <v>4572</v>
      </c>
      <c r="J631" s="30">
        <v>3300009537</v>
      </c>
      <c r="K631" s="30" t="s">
        <v>4573</v>
      </c>
      <c r="L631" s="30" t="s">
        <v>4574</v>
      </c>
      <c r="M631" s="31" t="s">
        <v>4575</v>
      </c>
      <c r="N631" s="18" t="s">
        <v>4399</v>
      </c>
      <c r="O631" s="18" t="s">
        <v>4576</v>
      </c>
      <c r="P631" s="18" t="s">
        <v>4577</v>
      </c>
      <c r="Q631" s="19"/>
    </row>
    <row r="632" spans="1:17">
      <c r="A632" s="17"/>
      <c r="B632" s="13" t="s">
        <v>3802</v>
      </c>
      <c r="C632" s="13" t="s">
        <v>3803</v>
      </c>
      <c r="D632" s="13" t="s">
        <v>3804</v>
      </c>
      <c r="E632" s="13" t="s">
        <v>571</v>
      </c>
      <c r="F632" s="13" t="s">
        <v>3754</v>
      </c>
      <c r="G632" s="13">
        <v>5040880</v>
      </c>
      <c r="H632" s="13">
        <v>2119288</v>
      </c>
      <c r="I632" s="13" t="s">
        <v>3805</v>
      </c>
      <c r="J632" s="13">
        <v>3300001665</v>
      </c>
      <c r="K632" s="13">
        <v>5040896</v>
      </c>
      <c r="L632" s="13" t="s">
        <v>3806</v>
      </c>
      <c r="M632" s="13">
        <v>130701398</v>
      </c>
      <c r="N632" s="18" t="s">
        <v>1018</v>
      </c>
      <c r="O632" s="18" t="s">
        <v>3807</v>
      </c>
      <c r="P632" s="18" t="s">
        <v>3808</v>
      </c>
      <c r="Q632" s="19" t="s">
        <v>3454</v>
      </c>
    </row>
    <row r="633" spans="1:17">
      <c r="A633" s="17"/>
      <c r="B633" s="20" t="s">
        <v>1346</v>
      </c>
      <c r="C633" s="20" t="s">
        <v>1347</v>
      </c>
      <c r="D633" s="20" t="s">
        <v>1348</v>
      </c>
      <c r="E633" s="20" t="s">
        <v>744</v>
      </c>
      <c r="F633" s="13" t="s">
        <v>844</v>
      </c>
      <c r="G633" s="20">
        <v>5070903</v>
      </c>
      <c r="H633" s="20">
        <v>3300012826</v>
      </c>
      <c r="I633" s="20">
        <v>2183592</v>
      </c>
      <c r="J633" s="20">
        <v>5014452</v>
      </c>
      <c r="K633" s="20"/>
      <c r="L633" s="20" t="s">
        <v>1349</v>
      </c>
      <c r="M633" s="20">
        <v>140703250</v>
      </c>
      <c r="N633" s="18" t="s">
        <v>1188</v>
      </c>
      <c r="O633" s="18"/>
      <c r="P633" s="18" t="s">
        <v>1350</v>
      </c>
      <c r="Q633" s="24">
        <v>42016</v>
      </c>
    </row>
    <row r="634" spans="1:17">
      <c r="A634" s="17"/>
      <c r="B634" s="13" t="s">
        <v>1087</v>
      </c>
      <c r="C634" s="13" t="s">
        <v>1088</v>
      </c>
      <c r="D634" s="13" t="s">
        <v>1089</v>
      </c>
      <c r="E634" s="13" t="s">
        <v>627</v>
      </c>
      <c r="F634" s="13" t="s">
        <v>844</v>
      </c>
      <c r="G634" s="13">
        <v>2183507</v>
      </c>
      <c r="H634" s="13">
        <v>5059298</v>
      </c>
      <c r="I634" s="13"/>
      <c r="J634" s="13"/>
      <c r="K634" s="13"/>
      <c r="L634" s="13" t="s">
        <v>1090</v>
      </c>
      <c r="M634" s="13">
        <v>120702146</v>
      </c>
      <c r="N634" s="18" t="s">
        <v>856</v>
      </c>
      <c r="O634" s="18" t="s">
        <v>1091</v>
      </c>
      <c r="P634" s="18" t="s">
        <v>1092</v>
      </c>
      <c r="Q634" s="19">
        <v>41841</v>
      </c>
    </row>
    <row r="635" spans="1:17">
      <c r="A635" s="17"/>
      <c r="B635" s="13" t="s">
        <v>2666</v>
      </c>
      <c r="C635" s="13" t="s">
        <v>2667</v>
      </c>
      <c r="D635" s="13" t="s">
        <v>2668</v>
      </c>
      <c r="E635" s="13" t="s">
        <v>694</v>
      </c>
      <c r="F635" s="13" t="s">
        <v>2433</v>
      </c>
      <c r="G635" s="13" t="s">
        <v>2669</v>
      </c>
      <c r="H635" s="13">
        <v>3300012804</v>
      </c>
      <c r="I635" s="13">
        <v>2083241</v>
      </c>
      <c r="J635" s="13" t="s">
        <v>2670</v>
      </c>
      <c r="K635" s="13"/>
      <c r="L635" s="13" t="s">
        <v>2671</v>
      </c>
      <c r="M635" s="13">
        <v>140703636</v>
      </c>
      <c r="N635" s="18" t="s">
        <v>2436</v>
      </c>
      <c r="O635" s="18" t="s">
        <v>2672</v>
      </c>
      <c r="P635" s="18" t="s">
        <v>873</v>
      </c>
      <c r="Q635" s="19">
        <v>41992</v>
      </c>
    </row>
    <row r="636" spans="1:17">
      <c r="A636" s="17"/>
      <c r="B636" s="13" t="s">
        <v>4042</v>
      </c>
      <c r="C636" s="13" t="s">
        <v>4043</v>
      </c>
      <c r="D636" s="13" t="s">
        <v>404</v>
      </c>
      <c r="E636" s="13" t="s">
        <v>543</v>
      </c>
      <c r="F636" s="13" t="s">
        <v>3754</v>
      </c>
      <c r="G636" s="13" t="s">
        <v>4044</v>
      </c>
      <c r="H636" s="13">
        <v>3300009520</v>
      </c>
      <c r="I636" s="13">
        <v>5049693</v>
      </c>
      <c r="J636" s="13">
        <v>2172014</v>
      </c>
      <c r="K636" s="13"/>
      <c r="L636" s="13" t="s">
        <v>4045</v>
      </c>
      <c r="M636" s="13">
        <v>130700965</v>
      </c>
      <c r="N636" s="18" t="s">
        <v>1188</v>
      </c>
      <c r="O636" s="18" t="s">
        <v>4046</v>
      </c>
      <c r="P636" s="18" t="s">
        <v>4047</v>
      </c>
      <c r="Q636" s="19" t="s">
        <v>4048</v>
      </c>
    </row>
    <row r="637" spans="1:17">
      <c r="A637" s="17"/>
      <c r="B637" s="13" t="s">
        <v>3734</v>
      </c>
      <c r="C637" s="13" t="s">
        <v>3735</v>
      </c>
      <c r="D637" s="13" t="s">
        <v>3736</v>
      </c>
      <c r="E637" s="13" t="s">
        <v>657</v>
      </c>
      <c r="F637" s="13" t="s">
        <v>3558</v>
      </c>
      <c r="G637" s="13">
        <v>2183584</v>
      </c>
      <c r="H637" s="13">
        <v>5059382</v>
      </c>
      <c r="I637" s="13">
        <v>3300002946</v>
      </c>
      <c r="J637" s="13">
        <v>2183560</v>
      </c>
      <c r="K637" s="13"/>
      <c r="L637" s="13" t="s">
        <v>3737</v>
      </c>
      <c r="M637" s="13">
        <v>140701340</v>
      </c>
      <c r="N637" s="18" t="s">
        <v>3478</v>
      </c>
      <c r="O637" s="18" t="s">
        <v>3738</v>
      </c>
      <c r="P637" s="18" t="s">
        <v>3739</v>
      </c>
      <c r="Q637" s="19">
        <v>41871</v>
      </c>
    </row>
    <row r="638" spans="1:17">
      <c r="A638" s="17"/>
      <c r="B638" s="13" t="s">
        <v>4342</v>
      </c>
      <c r="C638" s="13" t="s">
        <v>54</v>
      </c>
      <c r="D638" s="13" t="s">
        <v>517</v>
      </c>
      <c r="E638" s="13" t="s">
        <v>765</v>
      </c>
      <c r="F638" s="13" t="s">
        <v>3754</v>
      </c>
      <c r="G638" s="13">
        <v>5059313</v>
      </c>
      <c r="H638" s="13">
        <v>3300009796</v>
      </c>
      <c r="I638" s="13" t="s">
        <v>4343</v>
      </c>
      <c r="J638" s="13">
        <v>2183489</v>
      </c>
      <c r="K638" s="13">
        <v>5070893</v>
      </c>
      <c r="L638" s="13" t="s">
        <v>4344</v>
      </c>
      <c r="M638" s="13">
        <v>140702452</v>
      </c>
      <c r="N638" s="18" t="s">
        <v>1018</v>
      </c>
      <c r="O638" s="18"/>
      <c r="P638" s="18" t="s">
        <v>873</v>
      </c>
      <c r="Q638" s="19">
        <v>41961</v>
      </c>
    </row>
    <row r="639" spans="1:17">
      <c r="A639" s="17"/>
      <c r="B639" s="13" t="s">
        <v>3695</v>
      </c>
      <c r="C639" s="13" t="s">
        <v>3696</v>
      </c>
      <c r="D639" s="13" t="s">
        <v>345</v>
      </c>
      <c r="E639" s="13" t="s">
        <v>563</v>
      </c>
      <c r="F639" s="13" t="s">
        <v>3558</v>
      </c>
      <c r="G639" s="13"/>
      <c r="H639" s="13"/>
      <c r="I639" s="13" t="s">
        <v>3697</v>
      </c>
      <c r="J639" s="13" t="s">
        <v>3698</v>
      </c>
      <c r="K639" s="13">
        <v>3300002998</v>
      </c>
      <c r="L639" s="13" t="s">
        <v>3699</v>
      </c>
      <c r="M639" s="13">
        <v>120806281</v>
      </c>
      <c r="N639" s="18" t="s">
        <v>3478</v>
      </c>
      <c r="O639" s="18" t="s">
        <v>3700</v>
      </c>
      <c r="P639" s="18" t="s">
        <v>3701</v>
      </c>
      <c r="Q639" s="19" t="s">
        <v>3702</v>
      </c>
    </row>
    <row r="640" spans="1:17">
      <c r="A640" s="17"/>
      <c r="B640" s="13" t="s">
        <v>5827</v>
      </c>
      <c r="C640" s="13" t="s">
        <v>5828</v>
      </c>
      <c r="D640" s="13" t="s">
        <v>335</v>
      </c>
      <c r="E640" s="13" t="s">
        <v>719</v>
      </c>
      <c r="F640" s="13" t="s">
        <v>5753</v>
      </c>
      <c r="G640" s="13">
        <v>2183482</v>
      </c>
      <c r="H640" s="13" t="s">
        <v>5829</v>
      </c>
      <c r="I640" s="13">
        <v>3300010899</v>
      </c>
      <c r="J640" s="13">
        <v>2183546</v>
      </c>
      <c r="K640" s="13"/>
      <c r="L640" s="13" t="s">
        <v>5830</v>
      </c>
      <c r="M640" s="13">
        <v>120713004</v>
      </c>
      <c r="N640" s="18" t="s">
        <v>4472</v>
      </c>
      <c r="O640" s="18" t="s">
        <v>5831</v>
      </c>
      <c r="P640" s="18" t="s">
        <v>5832</v>
      </c>
      <c r="Q640" s="19" t="s">
        <v>5148</v>
      </c>
    </row>
    <row r="641" spans="1:17">
      <c r="A641" s="17"/>
      <c r="B641" s="13" t="s">
        <v>4768</v>
      </c>
      <c r="C641" s="13" t="s">
        <v>4769</v>
      </c>
      <c r="D641" s="13" t="s">
        <v>4770</v>
      </c>
      <c r="E641" s="13" t="s">
        <v>4771</v>
      </c>
      <c r="F641" s="13" t="s">
        <v>4395</v>
      </c>
      <c r="G641" s="13">
        <v>2119181</v>
      </c>
      <c r="H641" s="13">
        <v>5031900</v>
      </c>
      <c r="I641" s="13">
        <v>3300002950</v>
      </c>
      <c r="J641" s="13"/>
      <c r="K641" s="13"/>
      <c r="L641" s="13" t="s">
        <v>4772</v>
      </c>
      <c r="M641" s="13">
        <v>120708194</v>
      </c>
      <c r="N641" s="18" t="s">
        <v>4399</v>
      </c>
      <c r="O641" s="18" t="s">
        <v>4773</v>
      </c>
      <c r="P641" s="18"/>
      <c r="Q641" s="19" t="s">
        <v>2760</v>
      </c>
    </row>
    <row r="642" spans="1:17">
      <c r="A642" s="17"/>
      <c r="B642" s="13" t="s">
        <v>5287</v>
      </c>
      <c r="C642" s="13" t="s">
        <v>5288</v>
      </c>
      <c r="D642" s="13" t="s">
        <v>5289</v>
      </c>
      <c r="E642" s="13" t="s">
        <v>5279</v>
      </c>
      <c r="F642" s="13" t="s">
        <v>5164</v>
      </c>
      <c r="G642" s="13">
        <v>2115640</v>
      </c>
      <c r="H642" s="13" t="s">
        <v>5290</v>
      </c>
      <c r="I642" s="13">
        <v>3300011790</v>
      </c>
      <c r="J642" s="13">
        <v>5059348</v>
      </c>
      <c r="K642" s="13"/>
      <c r="L642" s="13" t="s">
        <v>5291</v>
      </c>
      <c r="M642" s="13">
        <v>120708464</v>
      </c>
      <c r="N642" s="18" t="s">
        <v>4424</v>
      </c>
      <c r="O642" s="18"/>
      <c r="P642" s="18" t="s">
        <v>5292</v>
      </c>
      <c r="Q642" s="19" t="s">
        <v>5220</v>
      </c>
    </row>
    <row r="643" spans="1:17">
      <c r="A643" s="17"/>
      <c r="B643" s="21" t="s">
        <v>1318</v>
      </c>
      <c r="C643" s="21" t="s">
        <v>40</v>
      </c>
      <c r="D643" s="21" t="s">
        <v>1319</v>
      </c>
      <c r="E643" s="21" t="s">
        <v>561</v>
      </c>
      <c r="F643" s="13" t="s">
        <v>844</v>
      </c>
      <c r="G643" s="20">
        <v>3300010099</v>
      </c>
      <c r="H643" s="20">
        <v>2168130</v>
      </c>
      <c r="I643" s="20" t="s">
        <v>1320</v>
      </c>
      <c r="J643" s="20">
        <v>5048925</v>
      </c>
      <c r="K643" s="20" t="s">
        <v>1321</v>
      </c>
      <c r="L643" s="20" t="s">
        <v>1322</v>
      </c>
      <c r="M643" s="22">
        <v>130701472</v>
      </c>
      <c r="N643" s="18" t="s">
        <v>896</v>
      </c>
      <c r="O643" s="18" t="s">
        <v>1323</v>
      </c>
      <c r="P643" s="18" t="s">
        <v>1324</v>
      </c>
      <c r="Q643" s="23" t="s">
        <v>899</v>
      </c>
    </row>
    <row r="644" spans="1:17">
      <c r="A644" s="17"/>
      <c r="B644" s="13" t="s">
        <v>4788</v>
      </c>
      <c r="C644" s="13" t="s">
        <v>4789</v>
      </c>
      <c r="D644" s="13" t="s">
        <v>505</v>
      </c>
      <c r="E644" s="13" t="s">
        <v>535</v>
      </c>
      <c r="F644" s="13" t="s">
        <v>4395</v>
      </c>
      <c r="G644" s="13">
        <v>5059317</v>
      </c>
      <c r="H644" s="13" t="s">
        <v>4790</v>
      </c>
      <c r="I644" s="13">
        <v>2115655</v>
      </c>
      <c r="J644" s="13"/>
      <c r="K644" s="13"/>
      <c r="L644" s="13" t="s">
        <v>4791</v>
      </c>
      <c r="M644" s="13">
        <v>140701375</v>
      </c>
      <c r="N644" s="18" t="s">
        <v>4472</v>
      </c>
      <c r="O644" s="18" t="s">
        <v>4792</v>
      </c>
      <c r="P644" s="18" t="s">
        <v>873</v>
      </c>
      <c r="Q644" s="19"/>
    </row>
    <row r="645" spans="1:17">
      <c r="A645" s="17"/>
      <c r="B645" s="13" t="s">
        <v>5618</v>
      </c>
      <c r="C645" s="13" t="s">
        <v>5619</v>
      </c>
      <c r="D645" s="13" t="s">
        <v>332</v>
      </c>
      <c r="E645" s="13" t="s">
        <v>718</v>
      </c>
      <c r="F645" s="13" t="s">
        <v>5164</v>
      </c>
      <c r="G645" s="13" t="s">
        <v>5620</v>
      </c>
      <c r="H645" s="13">
        <v>3300002971</v>
      </c>
      <c r="I645" s="13">
        <v>2171933</v>
      </c>
      <c r="J645" s="13"/>
      <c r="K645" s="13"/>
      <c r="L645" s="13" t="s">
        <v>5621</v>
      </c>
      <c r="M645" s="13">
        <v>120712860</v>
      </c>
      <c r="N645" s="18" t="s">
        <v>4721</v>
      </c>
      <c r="O645" s="18" t="s">
        <v>5622</v>
      </c>
      <c r="P645" s="18" t="s">
        <v>5623</v>
      </c>
      <c r="Q645" s="19" t="s">
        <v>3146</v>
      </c>
    </row>
    <row r="646" spans="1:17">
      <c r="A646" s="17" t="s">
        <v>839</v>
      </c>
      <c r="B646" s="13" t="s">
        <v>1522</v>
      </c>
      <c r="C646" s="13" t="s">
        <v>1523</v>
      </c>
      <c r="D646" s="13" t="s">
        <v>1524</v>
      </c>
      <c r="E646" s="13" t="s">
        <v>794</v>
      </c>
      <c r="F646" s="13" t="s">
        <v>844</v>
      </c>
      <c r="G646" s="13">
        <v>2114737</v>
      </c>
      <c r="H646" s="13">
        <v>5059329</v>
      </c>
      <c r="I646" s="13" t="s">
        <v>1525</v>
      </c>
      <c r="J646" s="13">
        <v>3300002985</v>
      </c>
      <c r="K646" s="13">
        <v>2170083</v>
      </c>
      <c r="L646" s="13" t="s">
        <v>1526</v>
      </c>
      <c r="M646" s="13">
        <v>140701556</v>
      </c>
      <c r="N646" s="18" t="s">
        <v>847</v>
      </c>
      <c r="O646" s="18" t="s">
        <v>1527</v>
      </c>
      <c r="P646" s="18" t="s">
        <v>1528</v>
      </c>
      <c r="Q646" s="19"/>
    </row>
    <row r="647" spans="1:17">
      <c r="A647" s="17"/>
      <c r="B647" s="13" t="s">
        <v>1945</v>
      </c>
      <c r="C647" s="13" t="s">
        <v>1946</v>
      </c>
      <c r="D647" s="13" t="s">
        <v>1947</v>
      </c>
      <c r="E647" s="13" t="s">
        <v>601</v>
      </c>
      <c r="F647" s="13" t="s">
        <v>844</v>
      </c>
      <c r="G647" s="13">
        <v>2117103</v>
      </c>
      <c r="H647" s="13">
        <v>5031842</v>
      </c>
      <c r="I647" s="13">
        <v>3300001673</v>
      </c>
      <c r="J647" s="13"/>
      <c r="K647" s="13"/>
      <c r="L647" s="13" t="s">
        <v>1948</v>
      </c>
      <c r="M647" s="13">
        <v>120701239</v>
      </c>
      <c r="N647" s="18" t="s">
        <v>856</v>
      </c>
      <c r="O647" s="18" t="s">
        <v>1949</v>
      </c>
      <c r="P647" s="18" t="s">
        <v>1950</v>
      </c>
      <c r="Q647" s="19" t="s">
        <v>1636</v>
      </c>
    </row>
    <row r="648" spans="1:17">
      <c r="A648" s="17"/>
      <c r="B648" s="13" t="s">
        <v>1652</v>
      </c>
      <c r="C648" s="13" t="s">
        <v>1653</v>
      </c>
      <c r="D648" s="13" t="s">
        <v>326</v>
      </c>
      <c r="E648" s="13" t="s">
        <v>713</v>
      </c>
      <c r="F648" s="13" t="s">
        <v>844</v>
      </c>
      <c r="G648" s="13">
        <v>5049691</v>
      </c>
      <c r="H648" s="13" t="s">
        <v>1654</v>
      </c>
      <c r="I648" s="13">
        <v>2172030</v>
      </c>
      <c r="J648" s="13"/>
      <c r="K648" s="13"/>
      <c r="L648" s="13" t="s">
        <v>1655</v>
      </c>
      <c r="M648" s="13">
        <v>120711526</v>
      </c>
      <c r="N648" s="18" t="s">
        <v>879</v>
      </c>
      <c r="O648" s="18" t="s">
        <v>1656</v>
      </c>
      <c r="P648" s="18" t="s">
        <v>1657</v>
      </c>
      <c r="Q648" s="19" t="s">
        <v>1658</v>
      </c>
    </row>
    <row r="649" spans="1:17">
      <c r="A649" s="17"/>
      <c r="B649" s="13" t="s">
        <v>3587</v>
      </c>
      <c r="C649" s="13" t="s">
        <v>3588</v>
      </c>
      <c r="D649" s="13" t="s">
        <v>122</v>
      </c>
      <c r="E649" s="13" t="s">
        <v>572</v>
      </c>
      <c r="F649" s="13" t="s">
        <v>3558</v>
      </c>
      <c r="G649" s="13">
        <v>3300001262</v>
      </c>
      <c r="H649" s="13">
        <v>5045685</v>
      </c>
      <c r="I649" s="13">
        <v>3300001267</v>
      </c>
      <c r="J649" s="13" t="s">
        <v>3589</v>
      </c>
      <c r="K649" s="13"/>
      <c r="L649" s="13" t="s">
        <v>3590</v>
      </c>
      <c r="M649" s="13">
        <v>120700687</v>
      </c>
      <c r="N649" s="18" t="s">
        <v>3478</v>
      </c>
      <c r="O649" s="18"/>
      <c r="P649" s="18" t="s">
        <v>3591</v>
      </c>
      <c r="Q649" s="19" t="s">
        <v>3376</v>
      </c>
    </row>
    <row r="650" spans="1:17">
      <c r="A650" s="17" t="s">
        <v>839</v>
      </c>
      <c r="B650" s="13" t="s">
        <v>6120</v>
      </c>
      <c r="C650" s="13" t="s">
        <v>6121</v>
      </c>
      <c r="D650" s="13" t="s">
        <v>249</v>
      </c>
      <c r="E650" s="13" t="s">
        <v>532</v>
      </c>
      <c r="F650" s="13" t="s">
        <v>5843</v>
      </c>
      <c r="G650" s="13" t="s">
        <v>6122</v>
      </c>
      <c r="H650" s="13">
        <v>5001449</v>
      </c>
      <c r="I650" s="13">
        <v>2114748</v>
      </c>
      <c r="J650" s="13">
        <v>5059340</v>
      </c>
      <c r="K650" s="13">
        <v>3300005159</v>
      </c>
      <c r="L650" s="13" t="s">
        <v>6123</v>
      </c>
      <c r="M650" s="13">
        <v>120704954</v>
      </c>
      <c r="N650" s="18" t="s">
        <v>3187</v>
      </c>
      <c r="O650" s="18"/>
      <c r="P650" s="18" t="s">
        <v>6124</v>
      </c>
      <c r="Q650" s="19" t="s">
        <v>6090</v>
      </c>
    </row>
    <row r="651" spans="1:17">
      <c r="A651" s="17"/>
      <c r="B651" s="13" t="s">
        <v>3609</v>
      </c>
      <c r="C651" s="13" t="s">
        <v>3610</v>
      </c>
      <c r="D651" s="13" t="s">
        <v>3611</v>
      </c>
      <c r="E651" s="13" t="s">
        <v>579</v>
      </c>
      <c r="F651" s="13" t="s">
        <v>3558</v>
      </c>
      <c r="G651" s="13" t="s">
        <v>3612</v>
      </c>
      <c r="H651" s="13">
        <v>3300005169</v>
      </c>
      <c r="I651" s="13" t="s">
        <v>3613</v>
      </c>
      <c r="J651" s="13"/>
      <c r="K651" s="13"/>
      <c r="L651" s="13" t="s">
        <v>3614</v>
      </c>
      <c r="M651" s="13">
        <v>120704527</v>
      </c>
      <c r="N651" s="18" t="s">
        <v>3478</v>
      </c>
      <c r="O651" s="18"/>
      <c r="P651" s="18" t="s">
        <v>3615</v>
      </c>
      <c r="Q651" s="19" t="s">
        <v>1698</v>
      </c>
    </row>
    <row r="652" spans="1:17">
      <c r="A652" s="17"/>
      <c r="B652" s="13" t="s">
        <v>4060</v>
      </c>
      <c r="C652" s="13" t="s">
        <v>4061</v>
      </c>
      <c r="D652" s="13" t="s">
        <v>4062</v>
      </c>
      <c r="E652" s="13" t="s">
        <v>644</v>
      </c>
      <c r="F652" s="13" t="s">
        <v>3754</v>
      </c>
      <c r="G652" s="13">
        <v>5042664</v>
      </c>
      <c r="H652" s="13" t="s">
        <v>4063</v>
      </c>
      <c r="I652" s="13">
        <v>2119202</v>
      </c>
      <c r="J652" s="13">
        <v>5042656</v>
      </c>
      <c r="K652" s="13"/>
      <c r="L652" s="13" t="s">
        <v>4064</v>
      </c>
      <c r="M652" s="13">
        <v>120712411</v>
      </c>
      <c r="N652" s="18" t="s">
        <v>1018</v>
      </c>
      <c r="O652" s="18"/>
      <c r="P652" s="18" t="s">
        <v>4065</v>
      </c>
      <c r="Q652" s="19" t="s">
        <v>1112</v>
      </c>
    </row>
    <row r="653" spans="1:17">
      <c r="A653" s="17"/>
      <c r="B653" s="13" t="s">
        <v>3885</v>
      </c>
      <c r="C653" s="13" t="s">
        <v>3886</v>
      </c>
      <c r="D653" s="13" t="s">
        <v>90</v>
      </c>
      <c r="E653" s="13" t="s">
        <v>549</v>
      </c>
      <c r="F653" s="13" t="s">
        <v>3754</v>
      </c>
      <c r="G653" s="13" t="s">
        <v>3887</v>
      </c>
      <c r="H653" s="13">
        <v>3300004125</v>
      </c>
      <c r="I653" s="13">
        <v>2103476</v>
      </c>
      <c r="J653" s="13">
        <v>3300004144</v>
      </c>
      <c r="K653" s="13" t="s">
        <v>3888</v>
      </c>
      <c r="L653" s="13" t="s">
        <v>3889</v>
      </c>
      <c r="M653" s="13">
        <v>120700494</v>
      </c>
      <c r="N653" s="18" t="s">
        <v>3478</v>
      </c>
      <c r="O653" s="18"/>
      <c r="P653" s="18" t="s">
        <v>3890</v>
      </c>
      <c r="Q653" s="19" t="s">
        <v>1285</v>
      </c>
    </row>
    <row r="654" spans="1:17">
      <c r="A654" s="17"/>
      <c r="B654" s="13" t="s">
        <v>5450</v>
      </c>
      <c r="C654" s="13" t="s">
        <v>5451</v>
      </c>
      <c r="D654" s="13" t="s">
        <v>5452</v>
      </c>
      <c r="E654" s="13" t="s">
        <v>5453</v>
      </c>
      <c r="F654" s="13" t="s">
        <v>5164</v>
      </c>
      <c r="G654" s="13" t="s">
        <v>5454</v>
      </c>
      <c r="H654" s="13">
        <v>2171986</v>
      </c>
      <c r="I654" s="13"/>
      <c r="J654" s="13"/>
      <c r="K654" s="13"/>
      <c r="L654" s="13" t="s">
        <v>5455</v>
      </c>
      <c r="M654" s="13">
        <v>120709517</v>
      </c>
      <c r="N654" s="18" t="s">
        <v>5091</v>
      </c>
      <c r="O654" s="18"/>
      <c r="P654" s="18"/>
      <c r="Q654" s="19" t="s">
        <v>4048</v>
      </c>
    </row>
    <row r="655" spans="1:17">
      <c r="A655" s="17"/>
      <c r="B655" s="13" t="s">
        <v>3455</v>
      </c>
      <c r="C655" s="13" t="s">
        <v>3456</v>
      </c>
      <c r="D655" s="13" t="s">
        <v>412</v>
      </c>
      <c r="E655" s="13" t="s">
        <v>752</v>
      </c>
      <c r="F655" s="13" t="s">
        <v>3101</v>
      </c>
      <c r="G655" s="13" t="s">
        <v>3457</v>
      </c>
      <c r="H655" s="13">
        <v>2171897</v>
      </c>
      <c r="I655" s="13"/>
      <c r="J655" s="13"/>
      <c r="K655" s="13"/>
      <c r="L655" s="13" t="s">
        <v>3458</v>
      </c>
      <c r="M655" s="13">
        <v>130702041</v>
      </c>
      <c r="N655" s="18" t="s">
        <v>887</v>
      </c>
      <c r="O655" s="18" t="s">
        <v>3459</v>
      </c>
      <c r="P655" s="18" t="s">
        <v>3460</v>
      </c>
      <c r="Q655" s="19" t="s">
        <v>3146</v>
      </c>
    </row>
    <row r="656" spans="1:17">
      <c r="A656" s="17" t="s">
        <v>839</v>
      </c>
      <c r="B656" s="13" t="s">
        <v>2987</v>
      </c>
      <c r="C656" s="13" t="s">
        <v>2988</v>
      </c>
      <c r="D656" s="13" t="s">
        <v>2989</v>
      </c>
      <c r="E656" s="13" t="s">
        <v>2990</v>
      </c>
      <c r="F656" s="13" t="s">
        <v>2830</v>
      </c>
      <c r="G656" s="13">
        <v>532688</v>
      </c>
      <c r="H656" s="13" t="s">
        <v>2991</v>
      </c>
      <c r="I656" s="13">
        <v>3300005166</v>
      </c>
      <c r="J656" s="13">
        <v>2096477</v>
      </c>
      <c r="K656" s="13">
        <v>3300012297</v>
      </c>
      <c r="L656" s="13" t="s">
        <v>2992</v>
      </c>
      <c r="M656" s="13">
        <v>120700593</v>
      </c>
      <c r="N656" s="18" t="s">
        <v>2436</v>
      </c>
      <c r="O656" s="18"/>
      <c r="P656" s="18" t="s">
        <v>2993</v>
      </c>
      <c r="Q656" s="19" t="s">
        <v>2494</v>
      </c>
    </row>
    <row r="657" spans="1:17">
      <c r="A657" s="17"/>
      <c r="B657" s="20" t="s">
        <v>3342</v>
      </c>
      <c r="C657" s="20" t="s">
        <v>3342</v>
      </c>
      <c r="D657" s="20" t="s">
        <v>3343</v>
      </c>
      <c r="E657" s="20" t="s">
        <v>598</v>
      </c>
      <c r="F657" s="13" t="s">
        <v>3101</v>
      </c>
      <c r="G657" s="20" t="s">
        <v>3344</v>
      </c>
      <c r="H657" s="20">
        <v>3300004141</v>
      </c>
      <c r="I657" s="20">
        <v>2183530</v>
      </c>
      <c r="J657" s="20"/>
      <c r="K657" s="20"/>
      <c r="L657" s="20" t="s">
        <v>3345</v>
      </c>
      <c r="M657" s="20">
        <v>120710889</v>
      </c>
      <c r="N657" s="18" t="s">
        <v>887</v>
      </c>
      <c r="O657" s="18" t="s">
        <v>3346</v>
      </c>
      <c r="P657" s="18" t="s">
        <v>3347</v>
      </c>
      <c r="Q657" s="24">
        <v>42003</v>
      </c>
    </row>
    <row r="658" spans="1:17">
      <c r="A658" s="17"/>
      <c r="B658" s="13" t="s">
        <v>3078</v>
      </c>
      <c r="C658" s="13" t="s">
        <v>3001</v>
      </c>
      <c r="D658" s="13" t="s">
        <v>3079</v>
      </c>
      <c r="E658" s="13" t="s">
        <v>595</v>
      </c>
      <c r="F658" s="13" t="s">
        <v>2830</v>
      </c>
      <c r="G658" s="13">
        <v>5031883</v>
      </c>
      <c r="H658" s="13" t="s">
        <v>3080</v>
      </c>
      <c r="I658" s="13">
        <v>2119281</v>
      </c>
      <c r="J658" s="13">
        <v>3300002913</v>
      </c>
      <c r="K658" s="13">
        <v>2119207</v>
      </c>
      <c r="L658" s="13" t="s">
        <v>3081</v>
      </c>
      <c r="M658" s="13">
        <v>140700782</v>
      </c>
      <c r="N658" s="18" t="s">
        <v>887</v>
      </c>
      <c r="O658" s="18" t="s">
        <v>3082</v>
      </c>
      <c r="P658" s="18" t="s">
        <v>3083</v>
      </c>
      <c r="Q658" s="19" t="s">
        <v>1080</v>
      </c>
    </row>
    <row r="659" spans="1:17">
      <c r="A659" s="17"/>
      <c r="B659" s="13" t="s">
        <v>6125</v>
      </c>
      <c r="C659" s="13" t="s">
        <v>6126</v>
      </c>
      <c r="D659" s="13" t="s">
        <v>462</v>
      </c>
      <c r="E659" s="13" t="s">
        <v>532</v>
      </c>
      <c r="F659" s="13" t="s">
        <v>5843</v>
      </c>
      <c r="G659" s="13">
        <v>3300009743</v>
      </c>
      <c r="H659" s="13">
        <v>5050446</v>
      </c>
      <c r="I659" s="13"/>
      <c r="J659" s="13">
        <v>2177170</v>
      </c>
      <c r="K659" s="13"/>
      <c r="L659" s="13" t="s">
        <v>6127</v>
      </c>
      <c r="M659" s="13">
        <v>130705060</v>
      </c>
      <c r="N659" s="18" t="s">
        <v>3187</v>
      </c>
      <c r="O659" s="18"/>
      <c r="P659" s="18" t="s">
        <v>6128</v>
      </c>
      <c r="Q659" s="19" t="s">
        <v>6129</v>
      </c>
    </row>
    <row r="660" spans="1:17">
      <c r="A660" s="17"/>
      <c r="B660" s="13" t="s">
        <v>6307</v>
      </c>
      <c r="C660" s="13" t="s">
        <v>6308</v>
      </c>
      <c r="D660" s="13" t="s">
        <v>6309</v>
      </c>
      <c r="E660" s="13" t="s">
        <v>760</v>
      </c>
      <c r="F660" s="13" t="s">
        <v>5843</v>
      </c>
      <c r="G660" s="13" t="s">
        <v>6310</v>
      </c>
      <c r="H660" s="13">
        <v>2171922</v>
      </c>
      <c r="I660" s="13">
        <v>5059323</v>
      </c>
      <c r="J660" s="13"/>
      <c r="K660" s="13"/>
      <c r="L660" s="13" t="s">
        <v>6311</v>
      </c>
      <c r="M660" s="13">
        <v>140701614</v>
      </c>
      <c r="N660" s="18" t="s">
        <v>3187</v>
      </c>
      <c r="O660" s="18" t="s">
        <v>6312</v>
      </c>
      <c r="P660" s="18" t="s">
        <v>6313</v>
      </c>
      <c r="Q660" s="19"/>
    </row>
    <row r="661" spans="1:17">
      <c r="A661" s="17"/>
      <c r="B661" s="13" t="s">
        <v>4468</v>
      </c>
      <c r="C661" s="13" t="s">
        <v>4469</v>
      </c>
      <c r="D661" s="13" t="s">
        <v>242</v>
      </c>
      <c r="E661" s="13" t="s">
        <v>655</v>
      </c>
      <c r="F661" s="13" t="s">
        <v>4395</v>
      </c>
      <c r="G661" s="13">
        <v>2183490</v>
      </c>
      <c r="H661" s="13" t="s">
        <v>4470</v>
      </c>
      <c r="I661" s="13"/>
      <c r="J661" s="13"/>
      <c r="K661" s="13"/>
      <c r="L661" s="13" t="s">
        <v>4471</v>
      </c>
      <c r="M661" s="13">
        <v>120704754</v>
      </c>
      <c r="N661" s="18" t="s">
        <v>4472</v>
      </c>
      <c r="O661" s="18" t="s">
        <v>4473</v>
      </c>
      <c r="P661" s="18" t="s">
        <v>4474</v>
      </c>
      <c r="Q661" s="19" t="s">
        <v>1234</v>
      </c>
    </row>
    <row r="662" spans="1:17">
      <c r="A662" s="17" t="s">
        <v>839</v>
      </c>
      <c r="B662" s="13" t="s">
        <v>6363</v>
      </c>
      <c r="C662" s="13" t="s">
        <v>6364</v>
      </c>
      <c r="D662" s="13" t="s">
        <v>71</v>
      </c>
      <c r="E662" s="13" t="s">
        <v>6365</v>
      </c>
      <c r="F662" s="13" t="s">
        <v>5843</v>
      </c>
      <c r="G662" s="13">
        <v>2103932</v>
      </c>
      <c r="H662" s="13" t="s">
        <v>6366</v>
      </c>
      <c r="I662" s="13">
        <v>3400001173</v>
      </c>
      <c r="J662" s="13" t="s">
        <v>6367</v>
      </c>
      <c r="K662" s="13">
        <v>2103935</v>
      </c>
      <c r="L662" s="13" t="s">
        <v>6368</v>
      </c>
      <c r="M662" s="13">
        <v>120700323</v>
      </c>
      <c r="N662" s="18" t="s">
        <v>3105</v>
      </c>
      <c r="O662" s="18" t="s">
        <v>6369</v>
      </c>
      <c r="P662" s="18" t="s">
        <v>6370</v>
      </c>
      <c r="Q662" s="19" t="s">
        <v>5086</v>
      </c>
    </row>
    <row r="663" spans="1:17">
      <c r="A663" s="17"/>
      <c r="B663" s="13" t="s">
        <v>3128</v>
      </c>
      <c r="C663" s="13" t="s">
        <v>3129</v>
      </c>
      <c r="D663" s="13" t="s">
        <v>221</v>
      </c>
      <c r="E663" s="13" t="s">
        <v>646</v>
      </c>
      <c r="F663" s="13" t="s">
        <v>3101</v>
      </c>
      <c r="G663" s="13">
        <v>5045675</v>
      </c>
      <c r="H663" s="13">
        <v>2171895</v>
      </c>
      <c r="I663" s="13">
        <v>2103869</v>
      </c>
      <c r="J663" s="13">
        <v>3300011524</v>
      </c>
      <c r="K663" s="13"/>
      <c r="L663" s="13" t="s">
        <v>3130</v>
      </c>
      <c r="M663" s="13">
        <v>120703510</v>
      </c>
      <c r="N663" s="18" t="s">
        <v>887</v>
      </c>
      <c r="O663" s="18" t="s">
        <v>3131</v>
      </c>
      <c r="P663" s="18" t="s">
        <v>3132</v>
      </c>
      <c r="Q663" s="19" t="s">
        <v>1021</v>
      </c>
    </row>
    <row r="664" spans="1:17">
      <c r="A664" s="17" t="s">
        <v>839</v>
      </c>
      <c r="B664" s="13" t="s">
        <v>6130</v>
      </c>
      <c r="C664" s="13" t="s">
        <v>6131</v>
      </c>
      <c r="D664" s="13" t="s">
        <v>267</v>
      </c>
      <c r="E664" s="13" t="s">
        <v>532</v>
      </c>
      <c r="F664" s="13" t="s">
        <v>5843</v>
      </c>
      <c r="G664" s="13" t="s">
        <v>6132</v>
      </c>
      <c r="H664" s="13" t="s">
        <v>6133</v>
      </c>
      <c r="I664" s="13">
        <v>5033029</v>
      </c>
      <c r="J664" s="13">
        <v>2103768</v>
      </c>
      <c r="K664" s="13">
        <v>3300009755</v>
      </c>
      <c r="L664" s="13" t="s">
        <v>6134</v>
      </c>
      <c r="M664" s="13">
        <v>120706265</v>
      </c>
      <c r="N664" s="18" t="s">
        <v>3187</v>
      </c>
      <c r="O664" s="18" t="s">
        <v>6135</v>
      </c>
      <c r="P664" s="18" t="s">
        <v>6136</v>
      </c>
      <c r="Q664" s="19" t="s">
        <v>6010</v>
      </c>
    </row>
    <row r="665" spans="1:17">
      <c r="A665" s="17"/>
      <c r="B665" s="13" t="s">
        <v>5847</v>
      </c>
      <c r="C665" s="13" t="s">
        <v>5848</v>
      </c>
      <c r="D665" s="13" t="s">
        <v>228</v>
      </c>
      <c r="E665" s="13" t="s">
        <v>648</v>
      </c>
      <c r="F665" s="13" t="s">
        <v>5843</v>
      </c>
      <c r="G665" s="13">
        <v>3300004129</v>
      </c>
      <c r="H665" s="13"/>
      <c r="I665" s="13">
        <v>2114789</v>
      </c>
      <c r="J665" s="13">
        <v>3300004157</v>
      </c>
      <c r="K665" s="13"/>
      <c r="L665" s="13" t="s">
        <v>5849</v>
      </c>
      <c r="M665" s="13">
        <v>120704053</v>
      </c>
      <c r="N665" s="18" t="s">
        <v>3187</v>
      </c>
      <c r="O665" s="18" t="s">
        <v>5850</v>
      </c>
      <c r="P665" s="18" t="s">
        <v>5851</v>
      </c>
      <c r="Q665" s="19" t="s">
        <v>1679</v>
      </c>
    </row>
    <row r="666" spans="1:17">
      <c r="A666" s="17"/>
      <c r="B666" s="13" t="s">
        <v>4523</v>
      </c>
      <c r="C666" s="13" t="s">
        <v>4524</v>
      </c>
      <c r="D666" s="13" t="s">
        <v>4525</v>
      </c>
      <c r="E666" s="13" t="s">
        <v>599</v>
      </c>
      <c r="F666" s="13" t="s">
        <v>4395</v>
      </c>
      <c r="G666" s="13">
        <v>2115654</v>
      </c>
      <c r="H666" s="13">
        <v>5001470</v>
      </c>
      <c r="I666" s="13">
        <v>3300008140</v>
      </c>
      <c r="J666" s="13">
        <v>5001468</v>
      </c>
      <c r="K666" s="13">
        <v>2115644</v>
      </c>
      <c r="L666" s="13" t="s">
        <v>4526</v>
      </c>
      <c r="M666" s="13">
        <v>120702294</v>
      </c>
      <c r="N666" s="18" t="s">
        <v>4399</v>
      </c>
      <c r="O666" s="18"/>
      <c r="P666" s="18" t="s">
        <v>4527</v>
      </c>
      <c r="Q666" s="19" t="s">
        <v>4225</v>
      </c>
    </row>
    <row r="667" spans="1:17">
      <c r="A667" s="17" t="s">
        <v>839</v>
      </c>
      <c r="B667" s="13" t="s">
        <v>2223</v>
      </c>
      <c r="C667" s="13" t="s">
        <v>2223</v>
      </c>
      <c r="D667" s="13" t="s">
        <v>196</v>
      </c>
      <c r="E667" s="13" t="s">
        <v>627</v>
      </c>
      <c r="F667" s="20" t="s">
        <v>2191</v>
      </c>
      <c r="G667" s="13">
        <v>5039010</v>
      </c>
      <c r="H667" s="13">
        <v>2171997</v>
      </c>
      <c r="I667" s="13">
        <v>3300001699</v>
      </c>
      <c r="J667" s="13">
        <v>3300012831</v>
      </c>
      <c r="K667" s="13" t="s">
        <v>2224</v>
      </c>
      <c r="L667" s="13" t="s">
        <v>2225</v>
      </c>
      <c r="M667" s="13">
        <v>120702105</v>
      </c>
      <c r="N667" s="18" t="s">
        <v>856</v>
      </c>
      <c r="O667" s="18" t="s">
        <v>2226</v>
      </c>
      <c r="P667" s="18" t="s">
        <v>2227</v>
      </c>
      <c r="Q667" s="19" t="s">
        <v>1065</v>
      </c>
    </row>
    <row r="668" spans="1:17">
      <c r="A668" s="17" t="s">
        <v>839</v>
      </c>
      <c r="B668" s="13" t="s">
        <v>4345</v>
      </c>
      <c r="C668" s="13" t="s">
        <v>4346</v>
      </c>
      <c r="D668" s="13" t="s">
        <v>4347</v>
      </c>
      <c r="E668" s="13" t="s">
        <v>765</v>
      </c>
      <c r="F668" s="13" t="s">
        <v>3754</v>
      </c>
      <c r="G668" s="13">
        <v>2183518</v>
      </c>
      <c r="H668" s="13">
        <v>5059338</v>
      </c>
      <c r="I668" s="13" t="s">
        <v>4348</v>
      </c>
      <c r="J668" s="13">
        <v>3300012291</v>
      </c>
      <c r="K668" s="13" t="s">
        <v>4349</v>
      </c>
      <c r="L668" s="13" t="s">
        <v>4350</v>
      </c>
      <c r="M668" s="13">
        <v>140701670</v>
      </c>
      <c r="N668" s="18" t="s">
        <v>1018</v>
      </c>
      <c r="O668" s="18" t="s">
        <v>4351</v>
      </c>
      <c r="P668" s="18"/>
      <c r="Q668" s="19">
        <v>41848</v>
      </c>
    </row>
    <row r="669" spans="1:17">
      <c r="A669" s="17"/>
      <c r="B669" s="13" t="s">
        <v>5918</v>
      </c>
      <c r="C669" s="13" t="s">
        <v>5919</v>
      </c>
      <c r="D669" s="13" t="s">
        <v>207</v>
      </c>
      <c r="E669" s="13" t="s">
        <v>634</v>
      </c>
      <c r="F669" s="13" t="s">
        <v>5843</v>
      </c>
      <c r="G669" s="13">
        <v>3300002818</v>
      </c>
      <c r="H669" s="13">
        <v>3300004128</v>
      </c>
      <c r="I669" s="13" t="s">
        <v>5920</v>
      </c>
      <c r="J669" s="13"/>
      <c r="K669" s="13"/>
      <c r="L669" s="13" t="s">
        <v>5921</v>
      </c>
      <c r="M669" s="13">
        <v>120702247</v>
      </c>
      <c r="N669" s="18" t="s">
        <v>3187</v>
      </c>
      <c r="O669" s="18" t="s">
        <v>5922</v>
      </c>
      <c r="P669" s="18" t="s">
        <v>5923</v>
      </c>
      <c r="Q669" s="19" t="s">
        <v>5924</v>
      </c>
    </row>
    <row r="670" spans="1:17">
      <c r="A670" s="17" t="s">
        <v>839</v>
      </c>
      <c r="B670" s="13" t="s">
        <v>2056</v>
      </c>
      <c r="C670" s="13" t="s">
        <v>2057</v>
      </c>
      <c r="D670" s="13" t="s">
        <v>2058</v>
      </c>
      <c r="E670" s="13" t="s">
        <v>577</v>
      </c>
      <c r="F670" s="13" t="s">
        <v>844</v>
      </c>
      <c r="G670" s="13">
        <v>2117072</v>
      </c>
      <c r="H670" s="13">
        <v>5031831</v>
      </c>
      <c r="I670" s="13">
        <v>3300012255</v>
      </c>
      <c r="J670" s="13" t="s">
        <v>2059</v>
      </c>
      <c r="K670" s="13">
        <v>2103909</v>
      </c>
      <c r="L670" s="13" t="s">
        <v>2060</v>
      </c>
      <c r="M670" s="13">
        <v>120900783</v>
      </c>
      <c r="N670" s="18" t="s">
        <v>856</v>
      </c>
      <c r="O670" s="18" t="s">
        <v>2061</v>
      </c>
      <c r="P670" s="18" t="s">
        <v>2062</v>
      </c>
      <c r="Q670" s="19" t="s">
        <v>2063</v>
      </c>
    </row>
    <row r="671" spans="1:17">
      <c r="A671" s="17"/>
      <c r="B671" s="13" t="s">
        <v>4793</v>
      </c>
      <c r="C671" s="13" t="s">
        <v>4794</v>
      </c>
      <c r="D671" s="13" t="s">
        <v>511</v>
      </c>
      <c r="E671" s="13" t="s">
        <v>535</v>
      </c>
      <c r="F671" s="13" t="s">
        <v>4395</v>
      </c>
      <c r="G671" s="13">
        <v>2171888</v>
      </c>
      <c r="H671" s="13">
        <v>5049683</v>
      </c>
      <c r="I671" s="13">
        <v>3300001240</v>
      </c>
      <c r="J671" s="13"/>
      <c r="K671" s="13"/>
      <c r="L671" s="13" t="s">
        <v>4795</v>
      </c>
      <c r="M671" s="13">
        <v>140702142</v>
      </c>
      <c r="N671" s="18" t="s">
        <v>4472</v>
      </c>
      <c r="O671" s="18" t="s">
        <v>4796</v>
      </c>
      <c r="P671" s="18" t="s">
        <v>4797</v>
      </c>
      <c r="Q671" s="19">
        <v>41904</v>
      </c>
    </row>
    <row r="672" spans="1:17">
      <c r="A672" s="17" t="s">
        <v>839</v>
      </c>
      <c r="B672" s="13" t="s">
        <v>4275</v>
      </c>
      <c r="C672" s="13" t="s">
        <v>4276</v>
      </c>
      <c r="D672" s="13" t="s">
        <v>4277</v>
      </c>
      <c r="E672" s="13" t="s">
        <v>553</v>
      </c>
      <c r="F672" s="13" t="s">
        <v>3754</v>
      </c>
      <c r="G672" s="13">
        <v>2116244</v>
      </c>
      <c r="H672" s="13">
        <v>2116249</v>
      </c>
      <c r="I672" s="13" t="s">
        <v>4278</v>
      </c>
      <c r="J672" s="13">
        <v>3300009739</v>
      </c>
      <c r="K672" s="13"/>
      <c r="L672" s="13" t="s">
        <v>4279</v>
      </c>
      <c r="M672" s="13">
        <v>121001298</v>
      </c>
      <c r="N672" s="18" t="s">
        <v>1018</v>
      </c>
      <c r="O672" s="18" t="s">
        <v>4280</v>
      </c>
      <c r="P672" s="18" t="s">
        <v>4281</v>
      </c>
      <c r="Q672" s="19" t="s">
        <v>1602</v>
      </c>
    </row>
    <row r="673" spans="1:17">
      <c r="A673" s="17"/>
      <c r="B673" s="13" t="s">
        <v>3935</v>
      </c>
      <c r="C673" s="13" t="s">
        <v>3936</v>
      </c>
      <c r="D673" s="13" t="s">
        <v>3937</v>
      </c>
      <c r="E673" s="13" t="s">
        <v>555</v>
      </c>
      <c r="F673" s="13" t="s">
        <v>3754</v>
      </c>
      <c r="G673" s="13">
        <v>2116238</v>
      </c>
      <c r="H673" s="13">
        <v>3300002965</v>
      </c>
      <c r="I673" s="13">
        <v>2116267</v>
      </c>
      <c r="J673" s="13"/>
      <c r="K673" s="13"/>
      <c r="L673" s="13" t="s">
        <v>3938</v>
      </c>
      <c r="M673" s="13">
        <v>120700741</v>
      </c>
      <c r="N673" s="18" t="s">
        <v>847</v>
      </c>
      <c r="O673" s="18" t="s">
        <v>3939</v>
      </c>
      <c r="P673" s="18" t="s">
        <v>873</v>
      </c>
      <c r="Q673" s="19" t="s">
        <v>1602</v>
      </c>
    </row>
    <row r="674" spans="1:17">
      <c r="A674" s="17"/>
      <c r="B674" s="13" t="s">
        <v>2585</v>
      </c>
      <c r="C674" s="13" t="s">
        <v>51</v>
      </c>
      <c r="D674" s="13" t="s">
        <v>509</v>
      </c>
      <c r="E674" s="13" t="s">
        <v>640</v>
      </c>
      <c r="F674" s="13" t="s">
        <v>2433</v>
      </c>
      <c r="G674" s="13">
        <v>2183494</v>
      </c>
      <c r="H674" s="13">
        <v>5059320</v>
      </c>
      <c r="I674" s="13" t="s">
        <v>2586</v>
      </c>
      <c r="J674" s="13">
        <v>2183549</v>
      </c>
      <c r="K674" s="13"/>
      <c r="L674" s="13" t="s">
        <v>2587</v>
      </c>
      <c r="M674" s="13">
        <v>140701925</v>
      </c>
      <c r="N674" s="18" t="s">
        <v>2436</v>
      </c>
      <c r="O674" s="18" t="s">
        <v>2588</v>
      </c>
      <c r="P674" s="18"/>
      <c r="Q674" s="19" t="s">
        <v>2589</v>
      </c>
    </row>
    <row r="675" spans="1:17">
      <c r="A675" s="17"/>
      <c r="B675" s="13" t="s">
        <v>4698</v>
      </c>
      <c r="C675" s="13" t="s">
        <v>4699</v>
      </c>
      <c r="D675" s="13" t="s">
        <v>313</v>
      </c>
      <c r="E675" s="13" t="s">
        <v>708</v>
      </c>
      <c r="F675" s="13" t="s">
        <v>4395</v>
      </c>
      <c r="G675" s="13">
        <v>2117099</v>
      </c>
      <c r="H675" s="13">
        <v>5031919</v>
      </c>
      <c r="I675" s="13" t="s">
        <v>4700</v>
      </c>
      <c r="J675" s="13">
        <v>3300008147</v>
      </c>
      <c r="K675" s="13">
        <v>2119194</v>
      </c>
      <c r="L675" s="13" t="s">
        <v>4701</v>
      </c>
      <c r="M675" s="13">
        <v>120709254</v>
      </c>
      <c r="N675" s="18" t="s">
        <v>4399</v>
      </c>
      <c r="O675" s="18" t="s">
        <v>4702</v>
      </c>
      <c r="P675" s="18" t="s">
        <v>4703</v>
      </c>
      <c r="Q675" s="19" t="s">
        <v>4704</v>
      </c>
    </row>
    <row r="676" spans="1:17">
      <c r="A676" s="17" t="s">
        <v>839</v>
      </c>
      <c r="B676" s="13" t="s">
        <v>2189</v>
      </c>
      <c r="C676" s="13" t="s">
        <v>2190</v>
      </c>
      <c r="D676" s="13" t="s">
        <v>137</v>
      </c>
      <c r="E676" s="13" t="s">
        <v>585</v>
      </c>
      <c r="F676" s="20" t="s">
        <v>2191</v>
      </c>
      <c r="G676" s="13">
        <v>3300010909</v>
      </c>
      <c r="H676" s="13">
        <v>5045684</v>
      </c>
      <c r="I676" s="13" t="s">
        <v>2192</v>
      </c>
      <c r="J676" s="13">
        <v>5045674</v>
      </c>
      <c r="K676" s="13">
        <v>2171964</v>
      </c>
      <c r="L676" s="13" t="s">
        <v>2193</v>
      </c>
      <c r="M676" s="13">
        <v>120701150</v>
      </c>
      <c r="N676" s="18" t="s">
        <v>856</v>
      </c>
      <c r="O676" s="18"/>
      <c r="P676" s="18" t="s">
        <v>2194</v>
      </c>
      <c r="Q676" s="19" t="s">
        <v>1080</v>
      </c>
    </row>
    <row r="677" spans="1:17">
      <c r="A677" s="17"/>
      <c r="B677" s="13" t="s">
        <v>1066</v>
      </c>
      <c r="C677" s="13" t="s">
        <v>1067</v>
      </c>
      <c r="D677" s="13" t="s">
        <v>351</v>
      </c>
      <c r="E677" s="13" t="s">
        <v>619</v>
      </c>
      <c r="F677" s="13" t="s">
        <v>844</v>
      </c>
      <c r="G677" s="13">
        <v>3300009710</v>
      </c>
      <c r="H677" s="13" t="s">
        <v>1068</v>
      </c>
      <c r="I677" s="13">
        <v>5050465</v>
      </c>
      <c r="J677" s="13">
        <v>2103955</v>
      </c>
      <c r="K677" s="13">
        <v>3300011804</v>
      </c>
      <c r="L677" s="13" t="s">
        <v>1069</v>
      </c>
      <c r="M677" s="13">
        <v>120812599</v>
      </c>
      <c r="N677" s="18" t="s">
        <v>856</v>
      </c>
      <c r="O677" s="18" t="s">
        <v>1070</v>
      </c>
      <c r="P677" s="18" t="s">
        <v>1071</v>
      </c>
      <c r="Q677" s="19" t="s">
        <v>1072</v>
      </c>
    </row>
    <row r="678" spans="1:17">
      <c r="A678" s="17"/>
      <c r="B678" s="13" t="s">
        <v>3970</v>
      </c>
      <c r="C678" s="13" t="s">
        <v>58</v>
      </c>
      <c r="D678" s="13" t="s">
        <v>3971</v>
      </c>
      <c r="E678" s="13" t="s">
        <v>799</v>
      </c>
      <c r="F678" s="13" t="s">
        <v>3754</v>
      </c>
      <c r="G678" s="13">
        <v>1763220</v>
      </c>
      <c r="H678" s="13">
        <v>3400002965</v>
      </c>
      <c r="I678" s="13" t="s">
        <v>3972</v>
      </c>
      <c r="J678" s="13"/>
      <c r="K678" s="13"/>
      <c r="L678" s="13" t="s">
        <v>3973</v>
      </c>
      <c r="M678" s="13">
        <v>140703902</v>
      </c>
      <c r="N678" s="18"/>
      <c r="O678" s="18" t="s">
        <v>3974</v>
      </c>
      <c r="P678" s="18" t="s">
        <v>3975</v>
      </c>
      <c r="Q678" s="19">
        <v>42102</v>
      </c>
    </row>
    <row r="679" spans="1:17">
      <c r="A679" s="17" t="s">
        <v>839</v>
      </c>
      <c r="B679" s="13" t="s">
        <v>5596</v>
      </c>
      <c r="C679" s="13" t="s">
        <v>5030</v>
      </c>
      <c r="D679" s="13" t="s">
        <v>5597</v>
      </c>
      <c r="E679" s="13" t="s">
        <v>5598</v>
      </c>
      <c r="F679" s="13" t="s">
        <v>5164</v>
      </c>
      <c r="G679" s="13">
        <v>5031870</v>
      </c>
      <c r="H679" s="13">
        <v>2119272</v>
      </c>
      <c r="I679" s="13">
        <v>3300009756</v>
      </c>
      <c r="J679" s="13" t="s">
        <v>5599</v>
      </c>
      <c r="K679" s="13"/>
      <c r="L679" s="13" t="s">
        <v>5600</v>
      </c>
      <c r="M679" s="13">
        <v>120707845</v>
      </c>
      <c r="N679" s="18" t="s">
        <v>4424</v>
      </c>
      <c r="O679" s="18" t="s">
        <v>5601</v>
      </c>
      <c r="P679" s="18" t="s">
        <v>5602</v>
      </c>
      <c r="Q679" s="19" t="s">
        <v>5037</v>
      </c>
    </row>
    <row r="680" spans="1:17">
      <c r="A680" s="17"/>
      <c r="B680" s="13" t="s">
        <v>5786</v>
      </c>
      <c r="C680" s="13" t="s">
        <v>5787</v>
      </c>
      <c r="D680" s="13" t="s">
        <v>502</v>
      </c>
      <c r="E680" s="13" t="s">
        <v>588</v>
      </c>
      <c r="F680" s="13" t="s">
        <v>5753</v>
      </c>
      <c r="G680" s="13">
        <v>3300009793</v>
      </c>
      <c r="H680" s="13" t="s">
        <v>5788</v>
      </c>
      <c r="I680" s="13">
        <v>2115657</v>
      </c>
      <c r="J680" s="13">
        <v>3300005175</v>
      </c>
      <c r="K680" s="13"/>
      <c r="L680" s="13" t="s">
        <v>5789</v>
      </c>
      <c r="M680" s="13">
        <v>140701035</v>
      </c>
      <c r="N680" s="18" t="s">
        <v>4472</v>
      </c>
      <c r="O680" s="18" t="s">
        <v>5790</v>
      </c>
      <c r="P680" s="18" t="s">
        <v>5791</v>
      </c>
      <c r="Q680" s="19" t="s">
        <v>5792</v>
      </c>
    </row>
    <row r="681" spans="1:17">
      <c r="A681" s="17" t="s">
        <v>839</v>
      </c>
      <c r="B681" s="13" t="s">
        <v>1807</v>
      </c>
      <c r="C681" s="13" t="s">
        <v>33</v>
      </c>
      <c r="D681" s="13" t="s">
        <v>1808</v>
      </c>
      <c r="E681" s="13" t="s">
        <v>739</v>
      </c>
      <c r="F681" s="13" t="s">
        <v>844</v>
      </c>
      <c r="G681" s="13" t="s">
        <v>1809</v>
      </c>
      <c r="H681" s="13" t="s">
        <v>1810</v>
      </c>
      <c r="I681" s="13" t="s">
        <v>1811</v>
      </c>
      <c r="J681" s="13">
        <v>2116248</v>
      </c>
      <c r="K681" s="13">
        <v>3300011485</v>
      </c>
      <c r="L681" s="13" t="s">
        <v>1812</v>
      </c>
      <c r="M681" s="13">
        <v>121000518</v>
      </c>
      <c r="N681" s="18" t="s">
        <v>1421</v>
      </c>
      <c r="O681" s="18"/>
      <c r="P681" s="18" t="s">
        <v>1813</v>
      </c>
      <c r="Q681" s="19" t="s">
        <v>1265</v>
      </c>
    </row>
    <row r="682" spans="1:17">
      <c r="A682" s="17"/>
      <c r="B682" s="13" t="s">
        <v>3348</v>
      </c>
      <c r="C682" s="13" t="s">
        <v>3349</v>
      </c>
      <c r="D682" s="13" t="s">
        <v>328</v>
      </c>
      <c r="E682" s="13" t="s">
        <v>598</v>
      </c>
      <c r="F682" s="13" t="s">
        <v>3101</v>
      </c>
      <c r="G682" s="13">
        <v>2183474</v>
      </c>
      <c r="H682" s="13" t="s">
        <v>3350</v>
      </c>
      <c r="I682" s="13" t="s">
        <v>3351</v>
      </c>
      <c r="J682" s="13"/>
      <c r="K682" s="13"/>
      <c r="L682" s="13" t="s">
        <v>3352</v>
      </c>
      <c r="M682" s="13">
        <v>120711864</v>
      </c>
      <c r="N682" s="18" t="s">
        <v>887</v>
      </c>
      <c r="O682" s="18" t="s">
        <v>3353</v>
      </c>
      <c r="P682" s="18" t="s">
        <v>3354</v>
      </c>
      <c r="Q682" s="19" t="s">
        <v>3355</v>
      </c>
    </row>
    <row r="683" spans="1:17">
      <c r="A683" s="17"/>
      <c r="B683" s="13" t="s">
        <v>3058</v>
      </c>
      <c r="C683" s="13" t="s">
        <v>3059</v>
      </c>
      <c r="D683" s="13" t="s">
        <v>208</v>
      </c>
      <c r="E683" s="13" t="s">
        <v>635</v>
      </c>
      <c r="F683" s="13" t="s">
        <v>2830</v>
      </c>
      <c r="G683" s="13">
        <v>2172031</v>
      </c>
      <c r="H683" s="13">
        <v>3300011521</v>
      </c>
      <c r="I683" s="13" t="s">
        <v>3060</v>
      </c>
      <c r="J683" s="13"/>
      <c r="K683" s="13"/>
      <c r="L683" s="13" t="s">
        <v>3061</v>
      </c>
      <c r="M683" s="13">
        <v>120702271</v>
      </c>
      <c r="N683" s="18" t="s">
        <v>887</v>
      </c>
      <c r="O683" s="18" t="s">
        <v>3062</v>
      </c>
      <c r="P683" s="18" t="s">
        <v>3063</v>
      </c>
      <c r="Q683" s="19" t="s">
        <v>850</v>
      </c>
    </row>
    <row r="684" spans="1:17">
      <c r="A684" s="17" t="s">
        <v>839</v>
      </c>
      <c r="B684" s="13" t="s">
        <v>1610</v>
      </c>
      <c r="C684" s="13" t="s">
        <v>28</v>
      </c>
      <c r="D684" s="13" t="s">
        <v>1611</v>
      </c>
      <c r="E684" s="13" t="s">
        <v>1612</v>
      </c>
      <c r="F684" s="13" t="s">
        <v>844</v>
      </c>
      <c r="G684" s="13" t="s">
        <v>1613</v>
      </c>
      <c r="H684" s="13">
        <v>2119263</v>
      </c>
      <c r="I684" s="13">
        <v>2159931</v>
      </c>
      <c r="J684" s="13"/>
      <c r="K684" s="13"/>
      <c r="L684" s="13" t="s">
        <v>1614</v>
      </c>
      <c r="M684" s="13">
        <v>120712648</v>
      </c>
      <c r="N684" s="18" t="s">
        <v>1188</v>
      </c>
      <c r="O684" s="18" t="s">
        <v>1615</v>
      </c>
      <c r="P684" s="18"/>
      <c r="Q684" s="19" t="s">
        <v>1616</v>
      </c>
    </row>
    <row r="685" spans="1:17">
      <c r="A685" s="17" t="s">
        <v>839</v>
      </c>
      <c r="B685" s="13" t="s">
        <v>1181</v>
      </c>
      <c r="C685" s="13" t="s">
        <v>1182</v>
      </c>
      <c r="D685" s="13" t="s">
        <v>1183</v>
      </c>
      <c r="E685" s="13" t="s">
        <v>809</v>
      </c>
      <c r="F685" s="13" t="s">
        <v>844</v>
      </c>
      <c r="G685" s="13">
        <v>5059360</v>
      </c>
      <c r="H685" s="13">
        <v>2183504</v>
      </c>
      <c r="I685" s="13" t="s">
        <v>1184</v>
      </c>
      <c r="J685" s="13" t="s">
        <v>1185</v>
      </c>
      <c r="K685" s="13" t="s">
        <v>1186</v>
      </c>
      <c r="L685" s="13" t="s">
        <v>1187</v>
      </c>
      <c r="M685" s="13">
        <v>140703084</v>
      </c>
      <c r="N685" s="18" t="s">
        <v>1188</v>
      </c>
      <c r="O685" s="18" t="s">
        <v>1189</v>
      </c>
      <c r="P685" s="18" t="s">
        <v>873</v>
      </c>
      <c r="Q685" s="19">
        <v>41953</v>
      </c>
    </row>
    <row r="686" spans="1:17">
      <c r="A686" s="17"/>
      <c r="B686" s="13" t="s">
        <v>1483</v>
      </c>
      <c r="C686" s="13" t="s">
        <v>1484</v>
      </c>
      <c r="D686" s="13" t="s">
        <v>1485</v>
      </c>
      <c r="E686" s="13" t="s">
        <v>566</v>
      </c>
      <c r="F686" s="13" t="s">
        <v>844</v>
      </c>
      <c r="G686" s="13">
        <v>2114795</v>
      </c>
      <c r="H686" s="13">
        <v>3300002935</v>
      </c>
      <c r="I686" s="13" t="s">
        <v>1486</v>
      </c>
      <c r="J686" s="13"/>
      <c r="K686" s="13"/>
      <c r="L686" s="13" t="s">
        <v>1487</v>
      </c>
      <c r="M686" s="13">
        <v>120702249</v>
      </c>
      <c r="N686" s="18" t="s">
        <v>879</v>
      </c>
      <c r="O686" s="18" t="s">
        <v>1488</v>
      </c>
      <c r="P686" s="18" t="s">
        <v>1489</v>
      </c>
      <c r="Q686" s="19" t="s">
        <v>1490</v>
      </c>
    </row>
    <row r="687" spans="1:17">
      <c r="A687" s="17" t="s">
        <v>839</v>
      </c>
      <c r="B687" s="13" t="s">
        <v>3711</v>
      </c>
      <c r="C687" s="13" t="s">
        <v>36</v>
      </c>
      <c r="D687" s="13" t="s">
        <v>3712</v>
      </c>
      <c r="E687" s="13" t="s">
        <v>581</v>
      </c>
      <c r="F687" s="13" t="s">
        <v>3558</v>
      </c>
      <c r="G687" s="13">
        <v>2119187</v>
      </c>
      <c r="H687" s="13" t="s">
        <v>3713</v>
      </c>
      <c r="I687" s="13">
        <v>3300002980</v>
      </c>
      <c r="J687" s="13">
        <v>5059375</v>
      </c>
      <c r="K687" s="13"/>
      <c r="L687" s="13" t="s">
        <v>3714</v>
      </c>
      <c r="M687" s="13">
        <v>121011438</v>
      </c>
      <c r="N687" s="18" t="s">
        <v>3478</v>
      </c>
      <c r="O687" s="18"/>
      <c r="P687" s="18" t="s">
        <v>3715</v>
      </c>
      <c r="Q687" s="19" t="s">
        <v>2827</v>
      </c>
    </row>
    <row r="688" spans="1:17">
      <c r="A688" s="17"/>
      <c r="B688" s="13" t="s">
        <v>1491</v>
      </c>
      <c r="C688" s="13" t="s">
        <v>1492</v>
      </c>
      <c r="D688" s="13" t="s">
        <v>1493</v>
      </c>
      <c r="E688" s="13" t="s">
        <v>566</v>
      </c>
      <c r="F688" s="13" t="s">
        <v>844</v>
      </c>
      <c r="G688" s="13">
        <v>2116281</v>
      </c>
      <c r="H688" s="13" t="s">
        <v>1494</v>
      </c>
      <c r="I688" s="13" t="s">
        <v>1495</v>
      </c>
      <c r="J688" s="13">
        <v>3300002949</v>
      </c>
      <c r="K688" s="13">
        <v>2116286</v>
      </c>
      <c r="L688" s="13" t="s">
        <v>1496</v>
      </c>
      <c r="M688" s="13">
        <v>120903362</v>
      </c>
      <c r="N688" s="18" t="s">
        <v>879</v>
      </c>
      <c r="O688" s="18" t="s">
        <v>1497</v>
      </c>
      <c r="P688" s="18" t="s">
        <v>1498</v>
      </c>
      <c r="Q688" s="19" t="s">
        <v>1214</v>
      </c>
    </row>
    <row r="689" spans="1:17">
      <c r="A689" s="17" t="s">
        <v>839</v>
      </c>
      <c r="B689" s="13" t="s">
        <v>990</v>
      </c>
      <c r="C689" s="13" t="s">
        <v>991</v>
      </c>
      <c r="D689" s="13" t="s">
        <v>88</v>
      </c>
      <c r="E689" s="13" t="s">
        <v>547</v>
      </c>
      <c r="F689" s="13" t="s">
        <v>844</v>
      </c>
      <c r="G689" s="13" t="s">
        <v>992</v>
      </c>
      <c r="H689" s="13">
        <v>3300004138</v>
      </c>
      <c r="I689" s="13" t="s">
        <v>993</v>
      </c>
      <c r="J689" s="13">
        <v>3300004139</v>
      </c>
      <c r="K689" s="13">
        <v>2171886</v>
      </c>
      <c r="L689" s="13" t="s">
        <v>994</v>
      </c>
      <c r="M689" s="13">
        <v>120700489</v>
      </c>
      <c r="N689" s="18" t="s">
        <v>887</v>
      </c>
      <c r="O689" s="18" t="s">
        <v>995</v>
      </c>
      <c r="P689" s="18" t="s">
        <v>996</v>
      </c>
      <c r="Q689" s="19" t="s">
        <v>997</v>
      </c>
    </row>
    <row r="690" spans="1:17">
      <c r="A690" s="17"/>
      <c r="B690" s="13" t="s">
        <v>5492</v>
      </c>
      <c r="C690" s="13" t="s">
        <v>5493</v>
      </c>
      <c r="D690" s="13" t="s">
        <v>479</v>
      </c>
      <c r="E690" s="13" t="s">
        <v>782</v>
      </c>
      <c r="F690" s="13" t="s">
        <v>5164</v>
      </c>
      <c r="G690" s="13" t="s">
        <v>5494</v>
      </c>
      <c r="H690" s="13">
        <v>3300009517</v>
      </c>
      <c r="I690" s="13">
        <v>2171898</v>
      </c>
      <c r="J690" s="13">
        <v>5001465</v>
      </c>
      <c r="K690" s="13" t="s">
        <v>5495</v>
      </c>
      <c r="L690" s="13" t="s">
        <v>5496</v>
      </c>
      <c r="M690" s="13">
        <v>130706370</v>
      </c>
      <c r="N690" s="18" t="s">
        <v>4424</v>
      </c>
      <c r="O690" s="18" t="s">
        <v>5497</v>
      </c>
      <c r="P690" s="18"/>
      <c r="Q690" s="19" t="s">
        <v>3910</v>
      </c>
    </row>
    <row r="691" spans="1:17">
      <c r="A691" s="17"/>
      <c r="B691" s="13" t="s">
        <v>3216</v>
      </c>
      <c r="C691" s="13" t="s">
        <v>3217</v>
      </c>
      <c r="D691" s="13" t="s">
        <v>69</v>
      </c>
      <c r="E691" s="13" t="s">
        <v>545</v>
      </c>
      <c r="F691" s="13" t="s">
        <v>3101</v>
      </c>
      <c r="G691" s="13">
        <v>2103870</v>
      </c>
      <c r="H691" s="13" t="s">
        <v>3218</v>
      </c>
      <c r="I691" s="13">
        <v>3300003633</v>
      </c>
      <c r="J691" s="13">
        <v>2103921</v>
      </c>
      <c r="K691" s="13">
        <v>5059379</v>
      </c>
      <c r="L691" s="13" t="s">
        <v>3219</v>
      </c>
      <c r="M691" s="13">
        <v>120700314</v>
      </c>
      <c r="N691" s="18" t="s">
        <v>887</v>
      </c>
      <c r="O691" s="18" t="s">
        <v>3220</v>
      </c>
      <c r="P691" s="18" t="s">
        <v>3221</v>
      </c>
      <c r="Q691" s="19" t="s">
        <v>2143</v>
      </c>
    </row>
    <row r="692" spans="1:17">
      <c r="A692" s="17"/>
      <c r="B692" s="13" t="s">
        <v>2766</v>
      </c>
      <c r="C692" s="13" t="s">
        <v>2767</v>
      </c>
      <c r="D692" s="13" t="s">
        <v>413</v>
      </c>
      <c r="E692" s="13" t="s">
        <v>753</v>
      </c>
      <c r="F692" s="13" t="s">
        <v>2433</v>
      </c>
      <c r="G692" s="13" t="s">
        <v>2768</v>
      </c>
      <c r="H692" s="13">
        <v>3300012838</v>
      </c>
      <c r="I692" s="13">
        <v>2116305</v>
      </c>
      <c r="J692" s="13"/>
      <c r="K692" s="13"/>
      <c r="L692" s="13" t="s">
        <v>2769</v>
      </c>
      <c r="M692" s="13">
        <v>130702150</v>
      </c>
      <c r="N692" s="18" t="s">
        <v>2436</v>
      </c>
      <c r="O692" s="18" t="s">
        <v>2770</v>
      </c>
      <c r="P692" s="18" t="s">
        <v>2771</v>
      </c>
      <c r="Q692" s="19" t="s">
        <v>2657</v>
      </c>
    </row>
    <row r="693" spans="1:17">
      <c r="A693" s="17"/>
      <c r="B693" s="13" t="s">
        <v>5405</v>
      </c>
      <c r="C693" s="13" t="s">
        <v>5406</v>
      </c>
      <c r="D693" s="13" t="s">
        <v>5407</v>
      </c>
      <c r="E693" s="13" t="s">
        <v>778</v>
      </c>
      <c r="F693" s="13" t="s">
        <v>5164</v>
      </c>
      <c r="G693" s="13"/>
      <c r="H693" s="13"/>
      <c r="I693" s="13">
        <v>5033027</v>
      </c>
      <c r="J693" s="13" t="s">
        <v>5408</v>
      </c>
      <c r="K693" s="13">
        <v>2119243</v>
      </c>
      <c r="L693" s="13" t="s">
        <v>5409</v>
      </c>
      <c r="M693" s="13">
        <v>120702134</v>
      </c>
      <c r="N693" s="18" t="s">
        <v>4721</v>
      </c>
      <c r="O693" s="18"/>
      <c r="P693" s="18" t="s">
        <v>5410</v>
      </c>
      <c r="Q693" s="19" t="s">
        <v>1112</v>
      </c>
    </row>
    <row r="694" spans="1:17">
      <c r="A694" s="17"/>
      <c r="B694" s="20" t="s">
        <v>2422</v>
      </c>
      <c r="C694" s="20" t="s">
        <v>2423</v>
      </c>
      <c r="D694" s="20" t="s">
        <v>2424</v>
      </c>
      <c r="E694" s="20" t="s">
        <v>2425</v>
      </c>
      <c r="F694" s="20" t="s">
        <v>2426</v>
      </c>
      <c r="G694" s="20" t="s">
        <v>2427</v>
      </c>
      <c r="H694" s="20">
        <v>2110200</v>
      </c>
      <c r="I694" s="20">
        <v>3300012807</v>
      </c>
      <c r="J694" s="20">
        <v>2117075</v>
      </c>
      <c r="K694" s="20" t="s">
        <v>2428</v>
      </c>
      <c r="L694" s="20" t="s">
        <v>2429</v>
      </c>
      <c r="M694" s="20">
        <v>150700481</v>
      </c>
      <c r="N694" s="20"/>
      <c r="O694" s="20"/>
      <c r="P694" s="20"/>
      <c r="Q694" s="24"/>
    </row>
    <row r="695" spans="1:17">
      <c r="A695" s="17"/>
      <c r="B695" s="13" t="s">
        <v>2590</v>
      </c>
      <c r="C695" s="13" t="s">
        <v>41</v>
      </c>
      <c r="D695" s="13" t="s">
        <v>2591</v>
      </c>
      <c r="E695" s="13" t="s">
        <v>640</v>
      </c>
      <c r="F695" s="13" t="s">
        <v>2433</v>
      </c>
      <c r="G695" s="13" t="s">
        <v>2592</v>
      </c>
      <c r="H695" s="13">
        <v>2119204</v>
      </c>
      <c r="I695" s="13">
        <v>3300010910</v>
      </c>
      <c r="J695" s="13"/>
      <c r="K695" s="13"/>
      <c r="L695" s="13" t="s">
        <v>2593</v>
      </c>
      <c r="M695" s="13">
        <v>130702189</v>
      </c>
      <c r="N695" s="18" t="s">
        <v>2436</v>
      </c>
      <c r="O695" s="18" t="s">
        <v>873</v>
      </c>
      <c r="P695" s="18" t="s">
        <v>2594</v>
      </c>
      <c r="Q695" s="19" t="s">
        <v>2595</v>
      </c>
    </row>
    <row r="696" spans="1:17">
      <c r="A696" s="17"/>
      <c r="B696" s="13" t="s">
        <v>2679</v>
      </c>
      <c r="C696" s="13" t="s">
        <v>45</v>
      </c>
      <c r="D696" s="13" t="s">
        <v>2680</v>
      </c>
      <c r="E696" s="13" t="s">
        <v>2676</v>
      </c>
      <c r="F696" s="13" t="s">
        <v>2433</v>
      </c>
      <c r="G696" s="13"/>
      <c r="H696" s="13">
        <v>2084812</v>
      </c>
      <c r="I696" s="13" t="s">
        <v>2681</v>
      </c>
      <c r="J696" s="13" t="s">
        <v>2682</v>
      </c>
      <c r="K696" s="13"/>
      <c r="L696" s="13" t="s">
        <v>2683</v>
      </c>
      <c r="M696" s="13">
        <v>130704431</v>
      </c>
      <c r="N696" s="18" t="s">
        <v>2436</v>
      </c>
      <c r="O696" s="18" t="s">
        <v>2684</v>
      </c>
      <c r="P696" s="18" t="s">
        <v>2685</v>
      </c>
      <c r="Q696" s="19"/>
    </row>
    <row r="697" spans="1:17">
      <c r="A697" s="17"/>
      <c r="B697" s="21" t="s">
        <v>1974</v>
      </c>
      <c r="C697" s="22" t="s">
        <v>1975</v>
      </c>
      <c r="D697" s="21" t="s">
        <v>1976</v>
      </c>
      <c r="E697" s="21" t="s">
        <v>1954</v>
      </c>
      <c r="F697" s="13" t="s">
        <v>844</v>
      </c>
      <c r="G697" s="20">
        <v>2103799</v>
      </c>
      <c r="H697" s="20">
        <v>5050509</v>
      </c>
      <c r="I697" s="20" t="s">
        <v>1977</v>
      </c>
      <c r="J697" s="20" t="s">
        <v>1978</v>
      </c>
      <c r="K697" s="20">
        <v>3300009512</v>
      </c>
      <c r="L697" s="20" t="s">
        <v>1979</v>
      </c>
      <c r="M697" s="22">
        <v>120901428</v>
      </c>
      <c r="N697" s="18" t="s">
        <v>896</v>
      </c>
      <c r="O697" s="18" t="s">
        <v>1980</v>
      </c>
      <c r="P697" s="18" t="s">
        <v>1981</v>
      </c>
      <c r="Q697" s="23" t="s">
        <v>899</v>
      </c>
    </row>
    <row r="698" spans="1:17">
      <c r="A698" s="17" t="s">
        <v>839</v>
      </c>
      <c r="B698" s="13" t="s">
        <v>1258</v>
      </c>
      <c r="C698" s="13" t="s">
        <v>1259</v>
      </c>
      <c r="D698" s="13" t="s">
        <v>1260</v>
      </c>
      <c r="E698" s="13" t="s">
        <v>703</v>
      </c>
      <c r="F698" s="13" t="s">
        <v>844</v>
      </c>
      <c r="G698" s="13">
        <v>2116245</v>
      </c>
      <c r="H698" s="13" t="s">
        <v>1261</v>
      </c>
      <c r="I698" s="13">
        <v>2116260</v>
      </c>
      <c r="J698" s="13">
        <v>3300008129</v>
      </c>
      <c r="K698" s="13">
        <v>2116252</v>
      </c>
      <c r="L698" s="13" t="s">
        <v>1262</v>
      </c>
      <c r="M698" s="13">
        <v>120707633</v>
      </c>
      <c r="N698" s="18" t="s">
        <v>1188</v>
      </c>
      <c r="O698" s="18" t="s">
        <v>1263</v>
      </c>
      <c r="P698" s="18" t="s">
        <v>1264</v>
      </c>
      <c r="Q698" s="19" t="s">
        <v>1265</v>
      </c>
    </row>
    <row r="699" spans="1:17">
      <c r="A699" s="17" t="s">
        <v>839</v>
      </c>
      <c r="B699" s="28" t="s">
        <v>5376</v>
      </c>
      <c r="C699" s="28" t="s">
        <v>5377</v>
      </c>
      <c r="D699" s="29" t="s">
        <v>5378</v>
      </c>
      <c r="E699" s="29" t="s">
        <v>681</v>
      </c>
      <c r="F699" s="13" t="s">
        <v>5164</v>
      </c>
      <c r="G699" s="30" t="s">
        <v>5379</v>
      </c>
      <c r="H699" s="30" t="s">
        <v>5380</v>
      </c>
      <c r="I699" s="30" t="s">
        <v>5381</v>
      </c>
      <c r="J699" s="30" t="s">
        <v>5382</v>
      </c>
      <c r="K699" s="30" t="s">
        <v>5383</v>
      </c>
      <c r="L699" s="30" t="s">
        <v>5384</v>
      </c>
      <c r="M699" s="31" t="s">
        <v>5385</v>
      </c>
      <c r="N699" s="18" t="s">
        <v>5091</v>
      </c>
      <c r="O699" s="18"/>
      <c r="P699" s="18" t="s">
        <v>5386</v>
      </c>
      <c r="Q699" s="19"/>
    </row>
    <row r="700" spans="1:17">
      <c r="A700" s="17"/>
      <c r="B700" s="13" t="s">
        <v>4282</v>
      </c>
      <c r="C700" s="13" t="s">
        <v>4283</v>
      </c>
      <c r="D700" s="13" t="s">
        <v>240</v>
      </c>
      <c r="E700" s="13" t="s">
        <v>553</v>
      </c>
      <c r="F700" s="13" t="s">
        <v>3754</v>
      </c>
      <c r="G700" s="13">
        <v>2096484</v>
      </c>
      <c r="H700" s="13" t="s">
        <v>4284</v>
      </c>
      <c r="I700" s="13">
        <v>3300010894</v>
      </c>
      <c r="J700" s="13">
        <v>5032243</v>
      </c>
      <c r="K700" s="13">
        <v>2117097</v>
      </c>
      <c r="L700" s="13" t="s">
        <v>4285</v>
      </c>
      <c r="M700" s="13">
        <v>120704738</v>
      </c>
      <c r="N700" s="18" t="s">
        <v>1018</v>
      </c>
      <c r="O700" s="18" t="s">
        <v>4286</v>
      </c>
      <c r="P700" s="18" t="s">
        <v>4287</v>
      </c>
      <c r="Q700" s="19" t="s">
        <v>4274</v>
      </c>
    </row>
    <row r="701" spans="1:17">
      <c r="A701" s="17"/>
      <c r="B701" s="13" t="s">
        <v>2281</v>
      </c>
      <c r="C701" s="13" t="s">
        <v>2282</v>
      </c>
      <c r="D701" s="13" t="s">
        <v>189</v>
      </c>
      <c r="E701" s="13" t="s">
        <v>623</v>
      </c>
      <c r="F701" s="20" t="s">
        <v>2191</v>
      </c>
      <c r="G701" s="13">
        <v>3300005152</v>
      </c>
      <c r="H701" s="13" t="s">
        <v>2283</v>
      </c>
      <c r="I701" s="13" t="s">
        <v>2284</v>
      </c>
      <c r="J701" s="13" t="s">
        <v>2285</v>
      </c>
      <c r="K701" s="13">
        <v>3300005153</v>
      </c>
      <c r="L701" s="13" t="s">
        <v>2286</v>
      </c>
      <c r="M701" s="13">
        <v>120702059</v>
      </c>
      <c r="N701" s="18" t="s">
        <v>879</v>
      </c>
      <c r="O701" s="18" t="s">
        <v>2287</v>
      </c>
      <c r="P701" s="18" t="s">
        <v>2288</v>
      </c>
      <c r="Q701" s="19" t="s">
        <v>2289</v>
      </c>
    </row>
    <row r="702" spans="1:17">
      <c r="A702" s="17" t="s">
        <v>839</v>
      </c>
      <c r="B702" s="13" t="s">
        <v>1266</v>
      </c>
      <c r="C702" s="13" t="s">
        <v>1267</v>
      </c>
      <c r="D702" s="13" t="s">
        <v>1268</v>
      </c>
      <c r="E702" s="13" t="s">
        <v>814</v>
      </c>
      <c r="F702" s="13" t="s">
        <v>844</v>
      </c>
      <c r="G702" s="13" t="s">
        <v>1269</v>
      </c>
      <c r="H702" s="13">
        <v>3300012817</v>
      </c>
      <c r="I702" s="13" t="s">
        <v>1270</v>
      </c>
      <c r="J702" s="13">
        <v>2117090</v>
      </c>
      <c r="K702" s="13" t="s">
        <v>1271</v>
      </c>
      <c r="L702" s="13" t="s">
        <v>1272</v>
      </c>
      <c r="M702" s="13">
        <v>141002103</v>
      </c>
      <c r="N702" s="18" t="s">
        <v>1188</v>
      </c>
      <c r="O702" s="18" t="s">
        <v>1273</v>
      </c>
      <c r="P702" s="18"/>
      <c r="Q702" s="19">
        <v>41932</v>
      </c>
    </row>
    <row r="703" spans="1:17">
      <c r="A703" s="17"/>
      <c r="B703" s="13" t="s">
        <v>5114</v>
      </c>
      <c r="C703" s="13" t="s">
        <v>5115</v>
      </c>
      <c r="D703" s="13" t="s">
        <v>271</v>
      </c>
      <c r="E703" s="13" t="s">
        <v>671</v>
      </c>
      <c r="F703" s="13" t="s">
        <v>4914</v>
      </c>
      <c r="G703" s="13">
        <v>5045688</v>
      </c>
      <c r="H703" s="13">
        <v>2117096</v>
      </c>
      <c r="I703" s="13" t="s">
        <v>5116</v>
      </c>
      <c r="J703" s="13" t="s">
        <v>5117</v>
      </c>
      <c r="K703" s="13">
        <v>3300003619</v>
      </c>
      <c r="L703" s="13" t="s">
        <v>5118</v>
      </c>
      <c r="M703" s="13">
        <v>120706481</v>
      </c>
      <c r="N703" s="18" t="s">
        <v>4721</v>
      </c>
      <c r="O703" s="18"/>
      <c r="P703" s="18" t="s">
        <v>5119</v>
      </c>
      <c r="Q703" s="19" t="s">
        <v>1021</v>
      </c>
    </row>
    <row r="704" spans="1:17">
      <c r="A704" s="17"/>
      <c r="B704" s="13" t="s">
        <v>2296</v>
      </c>
      <c r="C704" s="13" t="s">
        <v>2297</v>
      </c>
      <c r="D704" s="13" t="s">
        <v>246</v>
      </c>
      <c r="E704" s="13" t="s">
        <v>564</v>
      </c>
      <c r="F704" s="20" t="s">
        <v>2191</v>
      </c>
      <c r="G704" s="13" t="s">
        <v>2298</v>
      </c>
      <c r="H704" s="13">
        <v>3300009719</v>
      </c>
      <c r="I704" s="13">
        <v>2172002</v>
      </c>
      <c r="J704" s="13"/>
      <c r="K704" s="13"/>
      <c r="L704" s="13" t="s">
        <v>2299</v>
      </c>
      <c r="M704" s="13">
        <v>120704879</v>
      </c>
      <c r="N704" s="18" t="s">
        <v>1188</v>
      </c>
      <c r="O704" s="18" t="s">
        <v>2300</v>
      </c>
      <c r="P704" s="18" t="s">
        <v>2301</v>
      </c>
      <c r="Q704" s="19" t="s">
        <v>866</v>
      </c>
    </row>
    <row r="705" spans="1:17">
      <c r="A705" s="17" t="s">
        <v>839</v>
      </c>
      <c r="B705" s="13" t="s">
        <v>1755</v>
      </c>
      <c r="C705" s="13" t="s">
        <v>1756</v>
      </c>
      <c r="D705" s="13" t="s">
        <v>210</v>
      </c>
      <c r="E705" s="13" t="s">
        <v>637</v>
      </c>
      <c r="F705" s="13" t="s">
        <v>844</v>
      </c>
      <c r="G705" s="13">
        <v>330000975</v>
      </c>
      <c r="H705" s="13">
        <v>2171994</v>
      </c>
      <c r="I705" s="13" t="s">
        <v>1757</v>
      </c>
      <c r="J705" s="13">
        <v>5059334</v>
      </c>
      <c r="K705" s="13"/>
      <c r="L705" s="13" t="s">
        <v>1758</v>
      </c>
      <c r="M705" s="13">
        <v>120702321</v>
      </c>
      <c r="N705" s="18" t="s">
        <v>856</v>
      </c>
      <c r="O705" s="18" t="s">
        <v>1759</v>
      </c>
      <c r="P705" s="18" t="s">
        <v>1760</v>
      </c>
      <c r="Q705" s="19" t="s">
        <v>1761</v>
      </c>
    </row>
    <row r="706" spans="1:17">
      <c r="A706" s="17"/>
      <c r="B706" s="13" t="s">
        <v>4528</v>
      </c>
      <c r="C706" s="13" t="s">
        <v>4529</v>
      </c>
      <c r="D706" s="13" t="s">
        <v>257</v>
      </c>
      <c r="E706" s="13" t="s">
        <v>599</v>
      </c>
      <c r="F706" s="13" t="s">
        <v>4395</v>
      </c>
      <c r="G706" s="13">
        <v>2103898</v>
      </c>
      <c r="H706" s="13" t="s">
        <v>4530</v>
      </c>
      <c r="I706" s="13" t="s">
        <v>4531</v>
      </c>
      <c r="J706" s="13">
        <v>3300003627</v>
      </c>
      <c r="K706" s="13"/>
      <c r="L706" s="13" t="s">
        <v>4532</v>
      </c>
      <c r="M706" s="13">
        <v>120705561</v>
      </c>
      <c r="N706" s="18" t="s">
        <v>4399</v>
      </c>
      <c r="O706" s="18" t="s">
        <v>4533</v>
      </c>
      <c r="P706" s="18" t="s">
        <v>4534</v>
      </c>
      <c r="Q706" s="19" t="s">
        <v>1424</v>
      </c>
    </row>
    <row r="707" spans="1:17">
      <c r="A707" s="17"/>
      <c r="B707" s="13" t="s">
        <v>1409</v>
      </c>
      <c r="C707" s="13" t="s">
        <v>1410</v>
      </c>
      <c r="D707" s="13" t="s">
        <v>399</v>
      </c>
      <c r="E707" s="13" t="s">
        <v>746</v>
      </c>
      <c r="F707" s="13" t="s">
        <v>844</v>
      </c>
      <c r="G707" s="13">
        <v>2116043</v>
      </c>
      <c r="H707" s="13" t="s">
        <v>1411</v>
      </c>
      <c r="I707" s="13">
        <v>3300009806</v>
      </c>
      <c r="J707" s="13">
        <v>5033020</v>
      </c>
      <c r="K707" s="13">
        <v>2119180</v>
      </c>
      <c r="L707" s="13" t="s">
        <v>1412</v>
      </c>
      <c r="M707" s="13">
        <v>130700658</v>
      </c>
      <c r="N707" s="18" t="s">
        <v>847</v>
      </c>
      <c r="O707" s="18" t="s">
        <v>1413</v>
      </c>
      <c r="P707" s="18"/>
      <c r="Q707" s="19" t="s">
        <v>1414</v>
      </c>
    </row>
    <row r="708" spans="1:17">
      <c r="A708" s="17"/>
      <c r="B708" s="13" t="s">
        <v>2124</v>
      </c>
      <c r="C708" s="13" t="s">
        <v>59</v>
      </c>
      <c r="D708" s="13" t="s">
        <v>2125</v>
      </c>
      <c r="E708" s="13" t="s">
        <v>811</v>
      </c>
      <c r="F708" s="13" t="s">
        <v>844</v>
      </c>
      <c r="G708" s="13" t="s">
        <v>2126</v>
      </c>
      <c r="H708" s="13">
        <v>2160454</v>
      </c>
      <c r="I708" s="13">
        <v>3300012813</v>
      </c>
      <c r="J708" s="13" t="s">
        <v>2127</v>
      </c>
      <c r="K708" s="13">
        <v>2170084</v>
      </c>
      <c r="L708" s="13" t="s">
        <v>2128</v>
      </c>
      <c r="M708" s="13">
        <v>140703966</v>
      </c>
      <c r="N708" s="18"/>
      <c r="O708" s="18" t="s">
        <v>2129</v>
      </c>
      <c r="P708" s="18"/>
      <c r="Q708" s="19">
        <v>42100</v>
      </c>
    </row>
    <row r="709" spans="1:17">
      <c r="A709" s="17"/>
      <c r="B709" s="13" t="s">
        <v>2781</v>
      </c>
      <c r="C709" s="13" t="s">
        <v>19</v>
      </c>
      <c r="D709" s="13" t="s">
        <v>312</v>
      </c>
      <c r="E709" s="13" t="s">
        <v>707</v>
      </c>
      <c r="F709" s="13" t="s">
        <v>2433</v>
      </c>
      <c r="G709" s="13">
        <v>2115668</v>
      </c>
      <c r="H709" s="13" t="s">
        <v>2782</v>
      </c>
      <c r="I709" s="13">
        <v>5040887</v>
      </c>
      <c r="J709" s="13"/>
      <c r="K709" s="13">
        <v>2117102</v>
      </c>
      <c r="L709" s="13" t="s">
        <v>2783</v>
      </c>
      <c r="M709" s="13">
        <v>120709160</v>
      </c>
      <c r="N709" s="18" t="s">
        <v>2436</v>
      </c>
      <c r="O709" s="18" t="s">
        <v>2784</v>
      </c>
      <c r="P709" s="18" t="s">
        <v>2785</v>
      </c>
      <c r="Q709" s="19" t="s">
        <v>2733</v>
      </c>
    </row>
    <row r="710" spans="1:17">
      <c r="A710" s="17"/>
      <c r="B710" s="13" t="s">
        <v>4288</v>
      </c>
      <c r="C710" s="13" t="s">
        <v>4289</v>
      </c>
      <c r="D710" s="13" t="s">
        <v>433</v>
      </c>
      <c r="E710" s="13" t="s">
        <v>553</v>
      </c>
      <c r="F710" s="13" t="s">
        <v>3754</v>
      </c>
      <c r="G710" s="13" t="s">
        <v>4290</v>
      </c>
      <c r="H710" s="13">
        <v>3300009540</v>
      </c>
      <c r="I710" s="13">
        <v>2172016</v>
      </c>
      <c r="J710" s="13"/>
      <c r="K710" s="13"/>
      <c r="L710" s="13" t="s">
        <v>4291</v>
      </c>
      <c r="M710" s="13">
        <v>130703324</v>
      </c>
      <c r="N710" s="18" t="s">
        <v>1018</v>
      </c>
      <c r="O710" s="18"/>
      <c r="P710" s="18" t="s">
        <v>4292</v>
      </c>
      <c r="Q710" s="19" t="s">
        <v>4197</v>
      </c>
    </row>
    <row r="711" spans="1:17">
      <c r="A711" s="17"/>
      <c r="B711" s="13" t="s">
        <v>4891</v>
      </c>
      <c r="C711" s="13" t="s">
        <v>4892</v>
      </c>
      <c r="D711" s="13" t="s">
        <v>515</v>
      </c>
      <c r="E711" s="13" t="s">
        <v>800</v>
      </c>
      <c r="F711" s="13" t="s">
        <v>4873</v>
      </c>
      <c r="G711" s="13">
        <v>2103864</v>
      </c>
      <c r="H711" s="13">
        <v>3300005730</v>
      </c>
      <c r="I711" s="13">
        <v>5059295</v>
      </c>
      <c r="J711" s="13" t="s">
        <v>4893</v>
      </c>
      <c r="K711" s="13"/>
      <c r="L711" s="13" t="s">
        <v>4894</v>
      </c>
      <c r="M711" s="13">
        <v>140702342</v>
      </c>
      <c r="N711" s="18" t="s">
        <v>4472</v>
      </c>
      <c r="O711" s="18"/>
      <c r="P711" s="18"/>
      <c r="Q711" s="19">
        <v>41891</v>
      </c>
    </row>
    <row r="712" spans="1:17">
      <c r="A712" s="17"/>
      <c r="B712" s="13" t="s">
        <v>5312</v>
      </c>
      <c r="C712" s="13" t="s">
        <v>5313</v>
      </c>
      <c r="D712" s="13" t="s">
        <v>118</v>
      </c>
      <c r="E712" s="13" t="s">
        <v>5032</v>
      </c>
      <c r="F712" s="13" t="s">
        <v>5164</v>
      </c>
      <c r="G712" s="13">
        <v>2103878</v>
      </c>
      <c r="H712" s="13" t="s">
        <v>5314</v>
      </c>
      <c r="I712" s="13">
        <v>3300002823</v>
      </c>
      <c r="J712" s="13" t="s">
        <v>5315</v>
      </c>
      <c r="K712" s="13">
        <v>2103943</v>
      </c>
      <c r="L712" s="13" t="s">
        <v>5316</v>
      </c>
      <c r="M712" s="13">
        <v>120700673</v>
      </c>
      <c r="N712" s="18" t="s">
        <v>4424</v>
      </c>
      <c r="O712" s="18" t="s">
        <v>5317</v>
      </c>
      <c r="P712" s="18" t="s">
        <v>5318</v>
      </c>
      <c r="Q712" s="19" t="s">
        <v>1990</v>
      </c>
    </row>
    <row r="713" spans="1:17">
      <c r="A713" s="17"/>
      <c r="B713" s="13" t="s">
        <v>6277</v>
      </c>
      <c r="C713" s="13" t="s">
        <v>6278</v>
      </c>
      <c r="D713" s="13" t="s">
        <v>232</v>
      </c>
      <c r="E713" s="13" t="s">
        <v>650</v>
      </c>
      <c r="F713" s="13" t="s">
        <v>5843</v>
      </c>
      <c r="G713" s="13">
        <v>3300001679</v>
      </c>
      <c r="H713" s="13">
        <v>5045698</v>
      </c>
      <c r="I713" s="13" t="s">
        <v>6279</v>
      </c>
      <c r="J713" s="13">
        <v>2171917</v>
      </c>
      <c r="K713" s="13"/>
      <c r="L713" s="13" t="s">
        <v>6280</v>
      </c>
      <c r="M713" s="13">
        <v>120704190</v>
      </c>
      <c r="N713" s="18" t="s">
        <v>3187</v>
      </c>
      <c r="O713" s="18" t="s">
        <v>6281</v>
      </c>
      <c r="P713" s="18" t="s">
        <v>6282</v>
      </c>
      <c r="Q713" s="19" t="s">
        <v>1356</v>
      </c>
    </row>
    <row r="714" spans="1:17">
      <c r="A714" s="17"/>
      <c r="B714" s="13" t="s">
        <v>5498</v>
      </c>
      <c r="C714" s="13" t="s">
        <v>5499</v>
      </c>
      <c r="D714" s="13" t="s">
        <v>455</v>
      </c>
      <c r="E714" s="13" t="s">
        <v>772</v>
      </c>
      <c r="F714" s="13" t="s">
        <v>5164</v>
      </c>
      <c r="G714" s="13">
        <v>3300008893</v>
      </c>
      <c r="H714" s="13" t="s">
        <v>5500</v>
      </c>
      <c r="I714" s="13">
        <v>2114776</v>
      </c>
      <c r="J714" s="13">
        <v>5050468</v>
      </c>
      <c r="K714" s="13"/>
      <c r="L714" s="13" t="s">
        <v>5501</v>
      </c>
      <c r="M714" s="13">
        <v>130704885</v>
      </c>
      <c r="N714" s="18" t="s">
        <v>5490</v>
      </c>
      <c r="O714" s="18" t="s">
        <v>5502</v>
      </c>
      <c r="P714" s="18" t="s">
        <v>5503</v>
      </c>
      <c r="Q714" s="19" t="s">
        <v>1512</v>
      </c>
    </row>
    <row r="715" spans="1:17">
      <c r="A715" s="17"/>
      <c r="B715" s="20" t="s">
        <v>2596</v>
      </c>
      <c r="C715" s="20" t="s">
        <v>60</v>
      </c>
      <c r="D715" s="20" t="s">
        <v>2597</v>
      </c>
      <c r="E715" s="20" t="s">
        <v>640</v>
      </c>
      <c r="F715" s="13" t="s">
        <v>2433</v>
      </c>
      <c r="G715" s="20">
        <v>2183580</v>
      </c>
      <c r="H715" s="20" t="s">
        <v>2598</v>
      </c>
      <c r="I715" s="20" t="s">
        <v>2599</v>
      </c>
      <c r="J715" s="20"/>
      <c r="K715" s="20"/>
      <c r="L715" s="20" t="s">
        <v>2600</v>
      </c>
      <c r="M715" s="20">
        <v>140704464</v>
      </c>
      <c r="N715" s="20"/>
      <c r="O715" s="18" t="s">
        <v>2601</v>
      </c>
      <c r="P715" s="18" t="s">
        <v>2602</v>
      </c>
      <c r="Q715" s="24">
        <v>42131</v>
      </c>
    </row>
    <row r="716" spans="1:17">
      <c r="A716" s="17"/>
      <c r="B716" s="13" t="s">
        <v>5888</v>
      </c>
      <c r="C716" s="13" t="s">
        <v>5889</v>
      </c>
      <c r="D716" s="13" t="s">
        <v>406</v>
      </c>
      <c r="E716" s="13" t="s">
        <v>750</v>
      </c>
      <c r="F716" s="13" t="s">
        <v>5843</v>
      </c>
      <c r="G716" s="13">
        <v>3300009731</v>
      </c>
      <c r="H716" s="13" t="s">
        <v>5890</v>
      </c>
      <c r="I716" s="13">
        <v>2171884</v>
      </c>
      <c r="J716" s="13">
        <v>3300009541</v>
      </c>
      <c r="K716" s="13"/>
      <c r="L716" s="13" t="s">
        <v>5891</v>
      </c>
      <c r="M716" s="13">
        <v>130701227</v>
      </c>
      <c r="N716" s="18" t="s">
        <v>3187</v>
      </c>
      <c r="O716" s="18"/>
      <c r="P716" s="18" t="s">
        <v>5892</v>
      </c>
      <c r="Q716" s="19" t="s">
        <v>4335</v>
      </c>
    </row>
    <row r="717" spans="1:17">
      <c r="A717" s="17"/>
      <c r="B717" s="20" t="s">
        <v>5685</v>
      </c>
      <c r="C717" s="20" t="s">
        <v>5686</v>
      </c>
      <c r="D717" s="20" t="s">
        <v>5687</v>
      </c>
      <c r="E717" s="20" t="s">
        <v>688</v>
      </c>
      <c r="F717" s="20" t="s">
        <v>5164</v>
      </c>
      <c r="G717" s="20">
        <v>2103720</v>
      </c>
      <c r="H717" s="20" t="s">
        <v>5688</v>
      </c>
      <c r="I717" s="20">
        <v>3300009713</v>
      </c>
      <c r="J717" s="20" t="s">
        <v>5689</v>
      </c>
      <c r="K717" s="20"/>
      <c r="L717" s="20" t="s">
        <v>5690</v>
      </c>
      <c r="M717" s="20">
        <v>130704053</v>
      </c>
      <c r="N717" s="20"/>
      <c r="O717" s="18"/>
      <c r="P717" s="18" t="s">
        <v>5691</v>
      </c>
      <c r="Q717" s="24">
        <v>42129</v>
      </c>
    </row>
    <row r="718" spans="1:17">
      <c r="A718" s="17"/>
      <c r="B718" s="13" t="s">
        <v>6003</v>
      </c>
      <c r="C718" s="13" t="s">
        <v>6004</v>
      </c>
      <c r="D718" s="13" t="s">
        <v>258</v>
      </c>
      <c r="E718" s="13" t="s">
        <v>663</v>
      </c>
      <c r="F718" s="13" t="s">
        <v>5843</v>
      </c>
      <c r="G718" s="13">
        <v>2103945</v>
      </c>
      <c r="H718" s="13" t="s">
        <v>6005</v>
      </c>
      <c r="I718" s="13">
        <v>2103938</v>
      </c>
      <c r="J718" s="13" t="s">
        <v>6006</v>
      </c>
      <c r="K718" s="13"/>
      <c r="L718" s="13" t="s">
        <v>6007</v>
      </c>
      <c r="M718" s="13">
        <v>120705573</v>
      </c>
      <c r="N718" s="18" t="s">
        <v>3187</v>
      </c>
      <c r="O718" s="18" t="s">
        <v>6008</v>
      </c>
      <c r="P718" s="18" t="s">
        <v>6009</v>
      </c>
      <c r="Q718" s="19" t="s">
        <v>6010</v>
      </c>
    </row>
    <row r="719" spans="1:17">
      <c r="A719" s="17"/>
      <c r="B719" s="13" t="s">
        <v>5221</v>
      </c>
      <c r="C719" s="13" t="s">
        <v>5222</v>
      </c>
      <c r="D719" s="13" t="s">
        <v>301</v>
      </c>
      <c r="E719" s="13" t="s">
        <v>695</v>
      </c>
      <c r="F719" s="13" t="s">
        <v>5164</v>
      </c>
      <c r="G719" s="13">
        <v>2103757</v>
      </c>
      <c r="H719" s="13" t="s">
        <v>5223</v>
      </c>
      <c r="I719" s="13">
        <v>2103772</v>
      </c>
      <c r="J719" s="13"/>
      <c r="K719" s="13"/>
      <c r="L719" s="13" t="s">
        <v>5224</v>
      </c>
      <c r="M719" s="13">
        <v>120708409</v>
      </c>
      <c r="N719" s="18" t="s">
        <v>5091</v>
      </c>
      <c r="O719" s="18" t="s">
        <v>5225</v>
      </c>
      <c r="P719" s="18" t="s">
        <v>5226</v>
      </c>
      <c r="Q719" s="19" t="s">
        <v>5227</v>
      </c>
    </row>
    <row r="720" spans="1:17">
      <c r="A720" s="17"/>
      <c r="B720" s="13" t="s">
        <v>3423</v>
      </c>
      <c r="C720" s="13" t="s">
        <v>3424</v>
      </c>
      <c r="D720" s="13" t="s">
        <v>158</v>
      </c>
      <c r="E720" s="13" t="s">
        <v>603</v>
      </c>
      <c r="F720" s="13" t="s">
        <v>3101</v>
      </c>
      <c r="G720" s="13" t="s">
        <v>3425</v>
      </c>
      <c r="H720" s="13">
        <v>3300002993</v>
      </c>
      <c r="I720" s="13">
        <v>5049698</v>
      </c>
      <c r="J720" s="13">
        <v>2103458</v>
      </c>
      <c r="K720" s="13" t="s">
        <v>3426</v>
      </c>
      <c r="L720" s="13" t="s">
        <v>3427</v>
      </c>
      <c r="M720" s="13">
        <v>120701234</v>
      </c>
      <c r="N720" s="18" t="s">
        <v>3117</v>
      </c>
      <c r="O720" s="18" t="s">
        <v>3428</v>
      </c>
      <c r="P720" s="18" t="s">
        <v>3429</v>
      </c>
      <c r="Q720" s="19" t="s">
        <v>1636</v>
      </c>
    </row>
    <row r="721" spans="1:17">
      <c r="A721" s="17" t="s">
        <v>839</v>
      </c>
      <c r="B721" s="13" t="s">
        <v>6137</v>
      </c>
      <c r="C721" s="13" t="s">
        <v>6138</v>
      </c>
      <c r="D721" s="13" t="s">
        <v>226</v>
      </c>
      <c r="E721" s="13" t="s">
        <v>532</v>
      </c>
      <c r="F721" s="13" t="s">
        <v>5843</v>
      </c>
      <c r="G721" s="13">
        <v>3300003012</v>
      </c>
      <c r="H721" s="13">
        <v>5001454</v>
      </c>
      <c r="I721" s="13" t="s">
        <v>6139</v>
      </c>
      <c r="J721" s="13">
        <v>5001460</v>
      </c>
      <c r="K721" s="13">
        <v>2116242</v>
      </c>
      <c r="L721" s="13" t="s">
        <v>6140</v>
      </c>
      <c r="M721" s="13">
        <v>120704042</v>
      </c>
      <c r="N721" s="18" t="s">
        <v>3187</v>
      </c>
      <c r="O721" s="18" t="s">
        <v>6141</v>
      </c>
      <c r="P721" s="18" t="s">
        <v>6142</v>
      </c>
      <c r="Q721" s="19" t="s">
        <v>4225</v>
      </c>
    </row>
    <row r="722" spans="1:17">
      <c r="A722" s="17" t="s">
        <v>839</v>
      </c>
      <c r="B722" s="13" t="s">
        <v>4578</v>
      </c>
      <c r="C722" s="13" t="s">
        <v>4579</v>
      </c>
      <c r="D722" s="13" t="s">
        <v>468</v>
      </c>
      <c r="E722" s="13" t="s">
        <v>776</v>
      </c>
      <c r="F722" s="13" t="s">
        <v>4395</v>
      </c>
      <c r="G722" s="13">
        <v>2183496</v>
      </c>
      <c r="H722" s="13">
        <v>5042674</v>
      </c>
      <c r="I722" s="13" t="s">
        <v>4580</v>
      </c>
      <c r="J722" s="13">
        <v>3300009821</v>
      </c>
      <c r="K722" s="13">
        <v>3300008130</v>
      </c>
      <c r="L722" s="13" t="s">
        <v>4581</v>
      </c>
      <c r="M722" s="13">
        <v>130705332</v>
      </c>
      <c r="N722" s="18" t="s">
        <v>4399</v>
      </c>
      <c r="O722" s="18"/>
      <c r="P722" s="18" t="s">
        <v>4582</v>
      </c>
      <c r="Q722" s="19" t="s">
        <v>4583</v>
      </c>
    </row>
    <row r="723" spans="1:17">
      <c r="A723" s="17"/>
      <c r="B723" s="20" t="s">
        <v>3222</v>
      </c>
      <c r="C723" s="20" t="s">
        <v>3223</v>
      </c>
      <c r="D723" s="20" t="s">
        <v>3224</v>
      </c>
      <c r="E723" s="13" t="s">
        <v>545</v>
      </c>
      <c r="F723" s="13" t="s">
        <v>3101</v>
      </c>
      <c r="G723" s="20" t="s">
        <v>3225</v>
      </c>
      <c r="H723" s="20">
        <v>2117605</v>
      </c>
      <c r="I723" s="20" t="s">
        <v>3226</v>
      </c>
      <c r="J723" s="20"/>
      <c r="K723" s="20"/>
      <c r="L723" s="20" t="s">
        <v>3227</v>
      </c>
      <c r="M723" s="20">
        <v>150700662</v>
      </c>
      <c r="N723" s="20"/>
      <c r="O723" s="18" t="s">
        <v>3228</v>
      </c>
      <c r="P723" s="18" t="s">
        <v>3229</v>
      </c>
      <c r="Q723" s="24">
        <v>42130</v>
      </c>
    </row>
    <row r="724" spans="1:17">
      <c r="A724" s="17"/>
      <c r="B724" s="13" t="s">
        <v>6464</v>
      </c>
      <c r="C724" s="13" t="s">
        <v>6465</v>
      </c>
      <c r="D724" s="13" t="s">
        <v>409</v>
      </c>
      <c r="E724" s="13" t="s">
        <v>556</v>
      </c>
      <c r="F724" s="13" t="s">
        <v>5843</v>
      </c>
      <c r="G724" s="13">
        <v>5050426</v>
      </c>
      <c r="H724" s="13" t="s">
        <v>6466</v>
      </c>
      <c r="I724" s="13">
        <v>2172012</v>
      </c>
      <c r="J724" s="13">
        <v>3300005726</v>
      </c>
      <c r="K724" s="13"/>
      <c r="L724" s="13" t="s">
        <v>6467</v>
      </c>
      <c r="M724" s="13">
        <v>130701687</v>
      </c>
      <c r="N724" s="18" t="s">
        <v>3105</v>
      </c>
      <c r="O724" s="18" t="s">
        <v>6468</v>
      </c>
      <c r="P724" s="18" t="s">
        <v>6469</v>
      </c>
      <c r="Q724" s="19" t="s">
        <v>6470</v>
      </c>
    </row>
    <row r="725" spans="1:17">
      <c r="A725" s="17"/>
      <c r="B725" s="13" t="s">
        <v>1357</v>
      </c>
      <c r="C725" s="13" t="s">
        <v>1358</v>
      </c>
      <c r="D725" s="12" t="s">
        <v>1359</v>
      </c>
      <c r="E725" s="13" t="s">
        <v>551</v>
      </c>
      <c r="F725" s="13" t="s">
        <v>844</v>
      </c>
      <c r="G725" s="13">
        <v>2176738</v>
      </c>
      <c r="H725" s="13">
        <v>3300010126</v>
      </c>
      <c r="I725" s="20">
        <v>41787</v>
      </c>
      <c r="J725" s="13">
        <v>5047872</v>
      </c>
      <c r="K725" s="13"/>
      <c r="L725" s="27" t="s">
        <v>1360</v>
      </c>
      <c r="M725" s="13">
        <v>130705027</v>
      </c>
      <c r="N725" s="18" t="s">
        <v>879</v>
      </c>
      <c r="O725" s="18" t="s">
        <v>1361</v>
      </c>
      <c r="P725" s="18" t="s">
        <v>1362</v>
      </c>
      <c r="Q725" s="19"/>
    </row>
    <row r="726" spans="1:17">
      <c r="A726" s="17"/>
      <c r="B726" s="13" t="s">
        <v>1043</v>
      </c>
      <c r="C726" s="13" t="s">
        <v>1044</v>
      </c>
      <c r="D726" s="13" t="s">
        <v>77</v>
      </c>
      <c r="E726" s="13" t="s">
        <v>537</v>
      </c>
      <c r="F726" s="13" t="s">
        <v>844</v>
      </c>
      <c r="G726" s="13">
        <v>5045660</v>
      </c>
      <c r="H726" s="13">
        <v>3300001692</v>
      </c>
      <c r="I726" s="13">
        <v>2172029</v>
      </c>
      <c r="J726" s="13">
        <v>3300001681</v>
      </c>
      <c r="K726" s="13" t="s">
        <v>1045</v>
      </c>
      <c r="L726" s="13" t="s">
        <v>1046</v>
      </c>
      <c r="M726" s="13">
        <v>120700396</v>
      </c>
      <c r="N726" s="18" t="s">
        <v>1047</v>
      </c>
      <c r="O726" s="18"/>
      <c r="P726" s="18" t="s">
        <v>1048</v>
      </c>
      <c r="Q726" s="19" t="s">
        <v>1049</v>
      </c>
    </row>
    <row r="727" spans="1:17">
      <c r="A727" s="17" t="s">
        <v>839</v>
      </c>
      <c r="B727" s="21" t="s">
        <v>998</v>
      </c>
      <c r="C727" s="21" t="s">
        <v>999</v>
      </c>
      <c r="D727" s="21" t="s">
        <v>1000</v>
      </c>
      <c r="E727" s="21" t="s">
        <v>547</v>
      </c>
      <c r="F727" s="13" t="s">
        <v>844</v>
      </c>
      <c r="G727" s="20" t="s">
        <v>1001</v>
      </c>
      <c r="H727" s="20">
        <v>2168599</v>
      </c>
      <c r="I727" s="20" t="s">
        <v>1002</v>
      </c>
      <c r="J727" s="20">
        <v>3300009967</v>
      </c>
      <c r="K727" s="20">
        <v>2168117</v>
      </c>
      <c r="L727" s="20" t="s">
        <v>1003</v>
      </c>
      <c r="M727" s="22">
        <v>120702995</v>
      </c>
      <c r="N727" s="18" t="s">
        <v>896</v>
      </c>
      <c r="O727" s="18" t="s">
        <v>1004</v>
      </c>
      <c r="P727" s="18" t="s">
        <v>1005</v>
      </c>
      <c r="Q727" s="23" t="s">
        <v>899</v>
      </c>
    </row>
    <row r="728" spans="1:17">
      <c r="A728" s="17"/>
      <c r="B728" s="21" t="s">
        <v>1818</v>
      </c>
      <c r="C728" s="21" t="s">
        <v>42</v>
      </c>
      <c r="D728" s="21" t="s">
        <v>1819</v>
      </c>
      <c r="E728" s="21" t="s">
        <v>542</v>
      </c>
      <c r="F728" s="13" t="s">
        <v>844</v>
      </c>
      <c r="G728" s="20">
        <v>2176281</v>
      </c>
      <c r="H728" s="20" t="s">
        <v>1820</v>
      </c>
      <c r="I728" s="20">
        <v>5010061</v>
      </c>
      <c r="J728" s="20"/>
      <c r="K728" s="20"/>
      <c r="L728" s="20" t="s">
        <v>1821</v>
      </c>
      <c r="M728" s="22">
        <v>130702919</v>
      </c>
      <c r="N728" s="18" t="s">
        <v>896</v>
      </c>
      <c r="O728" s="18" t="s">
        <v>1822</v>
      </c>
      <c r="P728" s="18" t="s">
        <v>1823</v>
      </c>
      <c r="Q728" s="23" t="s">
        <v>899</v>
      </c>
    </row>
    <row r="729" spans="1:17">
      <c r="A729" s="17"/>
      <c r="B729" s="20" t="s">
        <v>5692</v>
      </c>
      <c r="C729" s="20" t="s">
        <v>52</v>
      </c>
      <c r="D729" s="20" t="s">
        <v>5693</v>
      </c>
      <c r="E729" s="20" t="s">
        <v>688</v>
      </c>
      <c r="F729" s="20" t="s">
        <v>5164</v>
      </c>
      <c r="G729" s="20">
        <v>2087130</v>
      </c>
      <c r="H729" s="20" t="s">
        <v>5694</v>
      </c>
      <c r="I729" s="20" t="s">
        <v>5695</v>
      </c>
      <c r="J729" s="20">
        <v>3300012296</v>
      </c>
      <c r="K729" s="20">
        <v>2183594</v>
      </c>
      <c r="L729" s="20" t="s">
        <v>5696</v>
      </c>
      <c r="M729" s="20">
        <v>140702189</v>
      </c>
      <c r="N729" s="20"/>
      <c r="O729" s="18" t="s">
        <v>5697</v>
      </c>
      <c r="P729" s="18" t="s">
        <v>5698</v>
      </c>
      <c r="Q729" s="24">
        <v>42129</v>
      </c>
    </row>
    <row r="730" spans="1:17">
      <c r="A730" s="17"/>
      <c r="B730" s="13" t="s">
        <v>1824</v>
      </c>
      <c r="C730" s="13" t="s">
        <v>1825</v>
      </c>
      <c r="D730" s="13" t="s">
        <v>82</v>
      </c>
      <c r="E730" s="13" t="s">
        <v>542</v>
      </c>
      <c r="F730" s="13" t="s">
        <v>844</v>
      </c>
      <c r="G730" s="13" t="s">
        <v>1826</v>
      </c>
      <c r="H730" s="13" t="s">
        <v>1827</v>
      </c>
      <c r="I730" s="13" t="s">
        <v>1828</v>
      </c>
      <c r="J730" s="13" t="s">
        <v>1829</v>
      </c>
      <c r="K730" s="13"/>
      <c r="L730" s="13" t="s">
        <v>1830</v>
      </c>
      <c r="M730" s="13">
        <v>120700442</v>
      </c>
      <c r="N730" s="18" t="s">
        <v>887</v>
      </c>
      <c r="O730" s="18" t="s">
        <v>1831</v>
      </c>
      <c r="P730" s="18" t="s">
        <v>1832</v>
      </c>
      <c r="Q730" s="19" t="s">
        <v>1833</v>
      </c>
    </row>
    <row r="731" spans="1:17">
      <c r="A731" s="17"/>
      <c r="B731" s="13" t="s">
        <v>4705</v>
      </c>
      <c r="C731" s="13" t="s">
        <v>4614</v>
      </c>
      <c r="D731" s="13" t="s">
        <v>510</v>
      </c>
      <c r="E731" s="13" t="s">
        <v>708</v>
      </c>
      <c r="F731" s="13" t="s">
        <v>4395</v>
      </c>
      <c r="G731" s="13">
        <v>2171983</v>
      </c>
      <c r="H731" s="13">
        <v>5059376</v>
      </c>
      <c r="I731" s="13" t="s">
        <v>4706</v>
      </c>
      <c r="J731" s="13">
        <v>3300005141</v>
      </c>
      <c r="K731" s="13">
        <v>2183510</v>
      </c>
      <c r="L731" s="13" t="s">
        <v>4707</v>
      </c>
      <c r="M731" s="13">
        <v>140702014</v>
      </c>
      <c r="N731" s="18" t="s">
        <v>4399</v>
      </c>
      <c r="O731" s="18" t="s">
        <v>4708</v>
      </c>
      <c r="P731" s="18" t="s">
        <v>4709</v>
      </c>
      <c r="Q731" s="19">
        <v>41905</v>
      </c>
    </row>
    <row r="732" spans="1:17">
      <c r="A732" s="17" t="s">
        <v>839</v>
      </c>
      <c r="B732" s="13" t="s">
        <v>1513</v>
      </c>
      <c r="C732" s="13" t="s">
        <v>1514</v>
      </c>
      <c r="D732" s="13" t="s">
        <v>524</v>
      </c>
      <c r="E732" s="13" t="s">
        <v>815</v>
      </c>
      <c r="F732" s="13" t="s">
        <v>844</v>
      </c>
      <c r="G732" s="13">
        <v>5070900</v>
      </c>
      <c r="H732" s="13">
        <v>3300009777</v>
      </c>
      <c r="I732" s="13">
        <v>2183543</v>
      </c>
      <c r="J732" s="13" t="s">
        <v>1515</v>
      </c>
      <c r="K732" s="13"/>
      <c r="L732" s="13" t="s">
        <v>1516</v>
      </c>
      <c r="M732" s="13">
        <v>141002952</v>
      </c>
      <c r="N732" s="18" t="s">
        <v>1188</v>
      </c>
      <c r="O732" s="18"/>
      <c r="P732" s="18" t="s">
        <v>873</v>
      </c>
      <c r="Q732" s="19">
        <v>41960</v>
      </c>
    </row>
    <row r="733" spans="1:17">
      <c r="A733" s="17"/>
      <c r="B733" s="13" t="s">
        <v>4902</v>
      </c>
      <c r="C733" s="13" t="s">
        <v>4903</v>
      </c>
      <c r="D733" s="13" t="s">
        <v>4904</v>
      </c>
      <c r="E733" s="13" t="s">
        <v>4905</v>
      </c>
      <c r="F733" s="13" t="s">
        <v>4873</v>
      </c>
      <c r="G733" s="13">
        <v>5031891</v>
      </c>
      <c r="H733" s="13" t="s">
        <v>4906</v>
      </c>
      <c r="I733" s="13">
        <v>3300002968</v>
      </c>
      <c r="J733" s="13">
        <v>5031893</v>
      </c>
      <c r="K733" s="13">
        <v>2119188</v>
      </c>
      <c r="L733" s="13" t="s">
        <v>4907</v>
      </c>
      <c r="M733" s="13">
        <v>120711217</v>
      </c>
      <c r="N733" s="18" t="s">
        <v>4399</v>
      </c>
      <c r="O733" s="18" t="s">
        <v>4908</v>
      </c>
      <c r="P733" s="18" t="s">
        <v>4909</v>
      </c>
      <c r="Q733" s="19" t="s">
        <v>4910</v>
      </c>
    </row>
    <row r="734" spans="1:17">
      <c r="A734" s="17"/>
      <c r="B734" s="13" t="s">
        <v>2973</v>
      </c>
      <c r="C734" s="13" t="s">
        <v>2974</v>
      </c>
      <c r="D734" s="13" t="s">
        <v>2975</v>
      </c>
      <c r="E734" s="13" t="s">
        <v>685</v>
      </c>
      <c r="F734" s="13" t="s">
        <v>2830</v>
      </c>
      <c r="G734" s="13" t="s">
        <v>2976</v>
      </c>
      <c r="H734" s="13">
        <v>5014446</v>
      </c>
      <c r="I734" s="13" t="s">
        <v>2977</v>
      </c>
      <c r="J734" s="13">
        <v>3300005155</v>
      </c>
      <c r="K734" s="13"/>
      <c r="L734" s="13" t="s">
        <v>2978</v>
      </c>
      <c r="M734" s="13">
        <v>120705326</v>
      </c>
      <c r="N734" s="18" t="s">
        <v>2436</v>
      </c>
      <c r="O734" s="18"/>
      <c r="P734" s="18" t="s">
        <v>2979</v>
      </c>
      <c r="Q734" s="19" t="s">
        <v>2578</v>
      </c>
    </row>
    <row r="735" spans="1:17">
      <c r="A735" s="17"/>
      <c r="B735" s="13" t="s">
        <v>2208</v>
      </c>
      <c r="C735" s="13" t="s">
        <v>2209</v>
      </c>
      <c r="D735" s="13" t="s">
        <v>112</v>
      </c>
      <c r="E735" s="13" t="s">
        <v>537</v>
      </c>
      <c r="F735" s="20" t="s">
        <v>2191</v>
      </c>
      <c r="G735" s="13" t="s">
        <v>2210</v>
      </c>
      <c r="H735" s="13">
        <v>2171960</v>
      </c>
      <c r="I735" s="13">
        <v>3300001672</v>
      </c>
      <c r="J735" s="13">
        <v>5050429</v>
      </c>
      <c r="K735" s="13"/>
      <c r="L735" s="13" t="s">
        <v>2211</v>
      </c>
      <c r="M735" s="13">
        <v>120700639</v>
      </c>
      <c r="N735" s="18" t="s">
        <v>856</v>
      </c>
      <c r="O735" s="18"/>
      <c r="P735" s="18" t="s">
        <v>2212</v>
      </c>
      <c r="Q735" s="19" t="s">
        <v>1385</v>
      </c>
    </row>
    <row r="736" spans="1:17">
      <c r="A736" s="17" t="s">
        <v>839</v>
      </c>
      <c r="B736" s="13" t="s">
        <v>2330</v>
      </c>
      <c r="C736" s="13" t="s">
        <v>2331</v>
      </c>
      <c r="D736" s="13" t="s">
        <v>263</v>
      </c>
      <c r="E736" s="13" t="s">
        <v>546</v>
      </c>
      <c r="F736" s="20" t="s">
        <v>2191</v>
      </c>
      <c r="G736" s="13">
        <v>5059333</v>
      </c>
      <c r="H736" s="13" t="s">
        <v>2332</v>
      </c>
      <c r="I736" s="13">
        <v>3300003607</v>
      </c>
      <c r="J736" s="13">
        <v>2103936</v>
      </c>
      <c r="K736" s="13">
        <v>5031889</v>
      </c>
      <c r="L736" s="13" t="s">
        <v>2333</v>
      </c>
      <c r="M736" s="13">
        <v>120706057</v>
      </c>
      <c r="N736" s="18" t="s">
        <v>856</v>
      </c>
      <c r="O736" s="18" t="s">
        <v>2334</v>
      </c>
      <c r="P736" s="18" t="s">
        <v>2335</v>
      </c>
      <c r="Q736" s="19" t="s">
        <v>2143</v>
      </c>
    </row>
    <row r="737" spans="1:17">
      <c r="A737" s="17"/>
      <c r="B737" s="13" t="s">
        <v>2848</v>
      </c>
      <c r="C737" s="13" t="s">
        <v>2849</v>
      </c>
      <c r="D737" s="13" t="s">
        <v>149</v>
      </c>
      <c r="E737" s="13" t="s">
        <v>575</v>
      </c>
      <c r="F737" s="13" t="s">
        <v>2830</v>
      </c>
      <c r="G737" s="13">
        <v>5045670</v>
      </c>
      <c r="H737" s="13">
        <v>2119227</v>
      </c>
      <c r="I737" s="13"/>
      <c r="J737" s="13"/>
      <c r="K737" s="13"/>
      <c r="L737" s="13" t="s">
        <v>2850</v>
      </c>
      <c r="M737" s="13">
        <v>120701204</v>
      </c>
      <c r="N737" s="18" t="s">
        <v>2436</v>
      </c>
      <c r="O737" s="18"/>
      <c r="P737" s="18" t="s">
        <v>873</v>
      </c>
      <c r="Q737" s="19" t="s">
        <v>1202</v>
      </c>
    </row>
    <row r="738" spans="1:17">
      <c r="A738" s="17" t="s">
        <v>839</v>
      </c>
      <c r="B738" s="13" t="s">
        <v>3133</v>
      </c>
      <c r="C738" s="13" t="s">
        <v>3134</v>
      </c>
      <c r="D738" s="13" t="s">
        <v>3135</v>
      </c>
      <c r="E738" s="13" t="s">
        <v>646</v>
      </c>
      <c r="F738" s="13" t="s">
        <v>3101</v>
      </c>
      <c r="G738" s="13">
        <v>2114797</v>
      </c>
      <c r="H738" s="13">
        <v>3300002958</v>
      </c>
      <c r="I738" s="13">
        <v>2114730</v>
      </c>
      <c r="J738" s="13" t="s">
        <v>3136</v>
      </c>
      <c r="K738" s="13"/>
      <c r="L738" s="13" t="s">
        <v>3137</v>
      </c>
      <c r="M738" s="13">
        <v>120703518</v>
      </c>
      <c r="N738" s="18" t="s">
        <v>887</v>
      </c>
      <c r="O738" s="18" t="s">
        <v>3138</v>
      </c>
      <c r="P738" s="18" t="s">
        <v>3139</v>
      </c>
      <c r="Q738" s="19" t="s">
        <v>1490</v>
      </c>
    </row>
    <row r="739" spans="1:17">
      <c r="A739" s="17" t="s">
        <v>839</v>
      </c>
      <c r="B739" s="13" t="s">
        <v>1058</v>
      </c>
      <c r="C739" s="13" t="s">
        <v>1059</v>
      </c>
      <c r="D739" s="13" t="s">
        <v>76</v>
      </c>
      <c r="E739" s="13" t="s">
        <v>536</v>
      </c>
      <c r="F739" s="13" t="s">
        <v>844</v>
      </c>
      <c r="G739" s="13" t="s">
        <v>1060</v>
      </c>
      <c r="H739" s="13">
        <v>2172022</v>
      </c>
      <c r="I739" s="13" t="s">
        <v>1061</v>
      </c>
      <c r="J739" s="13"/>
      <c r="K739" s="13"/>
      <c r="L739" s="13" t="s">
        <v>1062</v>
      </c>
      <c r="M739" s="13">
        <v>120700390</v>
      </c>
      <c r="N739" s="18" t="s">
        <v>879</v>
      </c>
      <c r="O739" s="18" t="s">
        <v>1063</v>
      </c>
      <c r="P739" s="18" t="s">
        <v>1064</v>
      </c>
      <c r="Q739" s="19" t="s">
        <v>1065</v>
      </c>
    </row>
    <row r="740" spans="1:17">
      <c r="A740" s="17" t="s">
        <v>839</v>
      </c>
      <c r="B740" s="21" t="s">
        <v>1739</v>
      </c>
      <c r="C740" s="21" t="s">
        <v>1740</v>
      </c>
      <c r="D740" s="21" t="s">
        <v>1741</v>
      </c>
      <c r="E740" s="21" t="s">
        <v>1742</v>
      </c>
      <c r="F740" s="13" t="s">
        <v>844</v>
      </c>
      <c r="G740" s="20">
        <v>2110140</v>
      </c>
      <c r="H740" s="20">
        <v>5003022</v>
      </c>
      <c r="I740" s="20" t="s">
        <v>1743</v>
      </c>
      <c r="J740" s="20">
        <v>3300011761</v>
      </c>
      <c r="K740" s="20" t="s">
        <v>1744</v>
      </c>
      <c r="L740" s="20" t="s">
        <v>1745</v>
      </c>
      <c r="M740" s="22">
        <v>120701395</v>
      </c>
      <c r="N740" s="18" t="s">
        <v>896</v>
      </c>
      <c r="O740" s="18" t="s">
        <v>1746</v>
      </c>
      <c r="P740" s="18" t="s">
        <v>1747</v>
      </c>
      <c r="Q740" s="23" t="s">
        <v>899</v>
      </c>
    </row>
    <row r="741" spans="1:17">
      <c r="A741" s="17"/>
      <c r="B741" s="13" t="s">
        <v>5319</v>
      </c>
      <c r="C741" s="13" t="s">
        <v>5320</v>
      </c>
      <c r="D741" s="13" t="s">
        <v>5321</v>
      </c>
      <c r="E741" s="13" t="s">
        <v>5032</v>
      </c>
      <c r="F741" s="13" t="s">
        <v>5164</v>
      </c>
      <c r="G741" s="13" t="s">
        <v>5322</v>
      </c>
      <c r="H741" s="13">
        <v>3300002825</v>
      </c>
      <c r="I741" s="13">
        <v>5014461</v>
      </c>
      <c r="J741" s="13"/>
      <c r="K741" s="13"/>
      <c r="L741" s="13" t="s">
        <v>5323</v>
      </c>
      <c r="M741" s="13">
        <v>120705199</v>
      </c>
      <c r="N741" s="18" t="s">
        <v>4424</v>
      </c>
      <c r="O741" s="18" t="s">
        <v>5324</v>
      </c>
      <c r="P741" s="18" t="s">
        <v>5325</v>
      </c>
      <c r="Q741" s="19" t="s">
        <v>2934</v>
      </c>
    </row>
    <row r="742" spans="1:17">
      <c r="A742" s="17" t="s">
        <v>839</v>
      </c>
      <c r="B742" s="13" t="s">
        <v>2720</v>
      </c>
      <c r="C742" s="13" t="s">
        <v>2721</v>
      </c>
      <c r="D742" s="13" t="s">
        <v>2722</v>
      </c>
      <c r="E742" s="13" t="s">
        <v>2723</v>
      </c>
      <c r="F742" s="13" t="s">
        <v>2433</v>
      </c>
      <c r="G742" s="13" t="s">
        <v>2724</v>
      </c>
      <c r="H742" s="13">
        <v>5012464</v>
      </c>
      <c r="I742" s="13">
        <v>2116065</v>
      </c>
      <c r="J742" s="13" t="s">
        <v>2725</v>
      </c>
      <c r="K742" s="13">
        <v>5012467</v>
      </c>
      <c r="L742" s="13" t="s">
        <v>2726</v>
      </c>
      <c r="M742" s="13">
        <v>120702290</v>
      </c>
      <c r="N742" s="18" t="s">
        <v>2436</v>
      </c>
      <c r="O742" s="18" t="s">
        <v>2727</v>
      </c>
      <c r="P742" s="18" t="s">
        <v>2728</v>
      </c>
      <c r="Q742" s="19" t="s">
        <v>1990</v>
      </c>
    </row>
    <row r="743" spans="1:17">
      <c r="A743" s="17"/>
      <c r="B743" s="13" t="s">
        <v>3911</v>
      </c>
      <c r="C743" s="13" t="s">
        <v>3912</v>
      </c>
      <c r="D743" s="13" t="s">
        <v>108</v>
      </c>
      <c r="E743" s="13" t="s">
        <v>565</v>
      </c>
      <c r="F743" s="13" t="s">
        <v>3754</v>
      </c>
      <c r="G743" s="13">
        <v>2119269</v>
      </c>
      <c r="H743" s="13" t="s">
        <v>3913</v>
      </c>
      <c r="I743" s="13" t="s">
        <v>3914</v>
      </c>
      <c r="J743" s="13"/>
      <c r="K743" s="13"/>
      <c r="L743" s="13" t="s">
        <v>3915</v>
      </c>
      <c r="M743" s="13">
        <v>120700602</v>
      </c>
      <c r="N743" s="18" t="s">
        <v>1018</v>
      </c>
      <c r="O743" s="18" t="s">
        <v>3916</v>
      </c>
      <c r="P743" s="18" t="s">
        <v>3917</v>
      </c>
      <c r="Q743" s="19" t="s">
        <v>3918</v>
      </c>
    </row>
    <row r="744" spans="1:17">
      <c r="A744" s="17"/>
      <c r="B744" s="13" t="s">
        <v>2694</v>
      </c>
      <c r="C744" s="13" t="s">
        <v>2695</v>
      </c>
      <c r="D744" s="13" t="s">
        <v>177</v>
      </c>
      <c r="E744" s="13" t="s">
        <v>617</v>
      </c>
      <c r="F744" s="13" t="s">
        <v>2433</v>
      </c>
      <c r="G744" s="13">
        <v>2171920</v>
      </c>
      <c r="H744" s="13">
        <v>3300011504</v>
      </c>
      <c r="I744" s="13" t="s">
        <v>2696</v>
      </c>
      <c r="J744" s="13"/>
      <c r="K744" s="13"/>
      <c r="L744" s="13" t="s">
        <v>2697</v>
      </c>
      <c r="M744" s="13">
        <v>120701402</v>
      </c>
      <c r="N744" s="18" t="s">
        <v>2436</v>
      </c>
      <c r="O744" s="18" t="s">
        <v>2698</v>
      </c>
      <c r="P744" s="18" t="s">
        <v>2699</v>
      </c>
      <c r="Q744" s="19" t="s">
        <v>1589</v>
      </c>
    </row>
    <row r="745" spans="1:17">
      <c r="A745" s="17"/>
      <c r="B745" s="13" t="s">
        <v>3676</v>
      </c>
      <c r="C745" s="13" t="s">
        <v>3677</v>
      </c>
      <c r="D745" s="13" t="s">
        <v>275</v>
      </c>
      <c r="E745" s="13" t="s">
        <v>676</v>
      </c>
      <c r="F745" s="13" t="s">
        <v>3558</v>
      </c>
      <c r="G745" s="13">
        <v>2110102</v>
      </c>
      <c r="H745" s="13" t="s">
        <v>3678</v>
      </c>
      <c r="I745" s="13"/>
      <c r="J745" s="13"/>
      <c r="K745" s="13"/>
      <c r="L745" s="13" t="s">
        <v>3679</v>
      </c>
      <c r="M745" s="13">
        <v>120706765</v>
      </c>
      <c r="N745" s="18" t="s">
        <v>3478</v>
      </c>
      <c r="O745" s="18"/>
      <c r="P745" s="18" t="s">
        <v>3680</v>
      </c>
      <c r="Q745" s="19" t="s">
        <v>3681</v>
      </c>
    </row>
    <row r="746" spans="1:17">
      <c r="A746" s="17"/>
      <c r="B746" s="13" t="s">
        <v>2879</v>
      </c>
      <c r="C746" s="13" t="s">
        <v>2880</v>
      </c>
      <c r="D746" s="13" t="s">
        <v>2881</v>
      </c>
      <c r="E746" s="13" t="s">
        <v>754</v>
      </c>
      <c r="F746" s="13" t="s">
        <v>2830</v>
      </c>
      <c r="G746" s="13" t="s">
        <v>2882</v>
      </c>
      <c r="H746" s="13">
        <v>2084655</v>
      </c>
      <c r="I746" s="13" t="s">
        <v>2883</v>
      </c>
      <c r="J746" s="13" t="s">
        <v>2884</v>
      </c>
      <c r="K746" s="13">
        <v>3300006167</v>
      </c>
      <c r="L746" s="13" t="s">
        <v>2885</v>
      </c>
      <c r="M746" s="13">
        <v>150700009</v>
      </c>
      <c r="N746" s="18" t="s">
        <v>2436</v>
      </c>
      <c r="O746" s="18" t="s">
        <v>2886</v>
      </c>
      <c r="P746" s="18" t="s">
        <v>2887</v>
      </c>
      <c r="Q746" s="19">
        <v>42100</v>
      </c>
    </row>
    <row r="747" spans="1:17">
      <c r="A747" s="17"/>
      <c r="B747" s="13" t="s">
        <v>3904</v>
      </c>
      <c r="C747" s="13" t="s">
        <v>3905</v>
      </c>
      <c r="D747" s="13" t="s">
        <v>470</v>
      </c>
      <c r="E747" s="13" t="s">
        <v>779</v>
      </c>
      <c r="F747" s="13" t="s">
        <v>3754</v>
      </c>
      <c r="G747" s="13">
        <v>2183557</v>
      </c>
      <c r="H747" s="13" t="s">
        <v>3906</v>
      </c>
      <c r="I747" s="13">
        <v>41783</v>
      </c>
      <c r="J747" s="13"/>
      <c r="K747" s="13"/>
      <c r="L747" s="13" t="s">
        <v>3907</v>
      </c>
      <c r="M747" s="13">
        <v>130705656</v>
      </c>
      <c r="N747" s="18" t="s">
        <v>1018</v>
      </c>
      <c r="O747" s="18" t="s">
        <v>3908</v>
      </c>
      <c r="P747" s="18" t="s">
        <v>3909</v>
      </c>
      <c r="Q747" s="19" t="s">
        <v>3910</v>
      </c>
    </row>
    <row r="748" spans="1:17">
      <c r="A748" s="17"/>
      <c r="B748" s="13" t="s">
        <v>1499</v>
      </c>
      <c r="C748" s="13" t="s">
        <v>1500</v>
      </c>
      <c r="D748" s="13" t="s">
        <v>426</v>
      </c>
      <c r="E748" s="13" t="s">
        <v>629</v>
      </c>
      <c r="F748" s="13" t="s">
        <v>844</v>
      </c>
      <c r="G748" s="13" t="s">
        <v>1501</v>
      </c>
      <c r="H748" s="13">
        <v>5049706</v>
      </c>
      <c r="I748" s="13" t="s">
        <v>1502</v>
      </c>
      <c r="J748" s="13">
        <v>2171991</v>
      </c>
      <c r="K748" s="13"/>
      <c r="L748" s="13" t="s">
        <v>1503</v>
      </c>
      <c r="M748" s="13">
        <v>130703071</v>
      </c>
      <c r="N748" s="18" t="s">
        <v>887</v>
      </c>
      <c r="O748" s="18" t="s">
        <v>1504</v>
      </c>
      <c r="P748" s="18" t="s">
        <v>1505</v>
      </c>
      <c r="Q748" s="19" t="s">
        <v>1506</v>
      </c>
    </row>
    <row r="749" spans="1:17">
      <c r="A749" s="17"/>
      <c r="B749" s="13" t="s">
        <v>5208</v>
      </c>
      <c r="C749" s="13" t="s">
        <v>5209</v>
      </c>
      <c r="D749" s="13" t="s">
        <v>306</v>
      </c>
      <c r="E749" s="13" t="s">
        <v>702</v>
      </c>
      <c r="F749" s="13" t="s">
        <v>5164</v>
      </c>
      <c r="G749" s="13">
        <v>2172443</v>
      </c>
      <c r="H749" s="13" t="s">
        <v>5210</v>
      </c>
      <c r="I749" s="13"/>
      <c r="J749" s="13"/>
      <c r="K749" s="13"/>
      <c r="L749" s="13" t="s">
        <v>5211</v>
      </c>
      <c r="M749" s="13">
        <v>120708500</v>
      </c>
      <c r="N749" s="18" t="s">
        <v>4721</v>
      </c>
      <c r="O749" s="18"/>
      <c r="P749" s="18" t="s">
        <v>5212</v>
      </c>
      <c r="Q749" s="19" t="s">
        <v>2665</v>
      </c>
    </row>
    <row r="750" spans="1:17">
      <c r="A750" s="17" t="s">
        <v>839</v>
      </c>
      <c r="B750" s="13" t="s">
        <v>4293</v>
      </c>
      <c r="C750" s="13" t="s">
        <v>4294</v>
      </c>
      <c r="D750" s="13" t="s">
        <v>4295</v>
      </c>
      <c r="E750" s="13" t="s">
        <v>553</v>
      </c>
      <c r="F750" s="13" t="s">
        <v>3754</v>
      </c>
      <c r="G750" s="13" t="s">
        <v>4296</v>
      </c>
      <c r="H750" s="13">
        <v>2116270</v>
      </c>
      <c r="I750" s="13" t="s">
        <v>4297</v>
      </c>
      <c r="J750" s="13">
        <v>3300005145</v>
      </c>
      <c r="K750" s="13">
        <v>5040893</v>
      </c>
      <c r="L750" s="13" t="s">
        <v>4298</v>
      </c>
      <c r="M750" s="13">
        <v>120706451</v>
      </c>
      <c r="N750" s="18" t="s">
        <v>1018</v>
      </c>
      <c r="O750" s="18"/>
      <c r="P750" s="18" t="s">
        <v>4299</v>
      </c>
      <c r="Q750" s="19" t="s">
        <v>4300</v>
      </c>
    </row>
    <row r="751" spans="1:17">
      <c r="A751" s="17"/>
      <c r="B751" s="13" t="s">
        <v>3592</v>
      </c>
      <c r="C751" s="13" t="s">
        <v>3593</v>
      </c>
      <c r="D751" s="13" t="s">
        <v>161</v>
      </c>
      <c r="E751" s="13" t="s">
        <v>572</v>
      </c>
      <c r="F751" s="13" t="s">
        <v>3558</v>
      </c>
      <c r="G751" s="13">
        <v>3300011806</v>
      </c>
      <c r="H751" s="13">
        <v>5049674</v>
      </c>
      <c r="I751" s="13">
        <v>2171957</v>
      </c>
      <c r="J751" s="13"/>
      <c r="K751" s="13"/>
      <c r="L751" s="13" t="s">
        <v>3594</v>
      </c>
      <c r="M751" s="13">
        <v>120701243</v>
      </c>
      <c r="N751" s="18" t="s">
        <v>3478</v>
      </c>
      <c r="O751" s="18" t="s">
        <v>3595</v>
      </c>
      <c r="P751" s="18" t="s">
        <v>3596</v>
      </c>
      <c r="Q751" s="19" t="s">
        <v>1147</v>
      </c>
    </row>
    <row r="752" spans="1:17">
      <c r="A752" s="17"/>
      <c r="B752" s="13" t="s">
        <v>5391</v>
      </c>
      <c r="C752" s="13" t="s">
        <v>5392</v>
      </c>
      <c r="D752" s="13" t="s">
        <v>5393</v>
      </c>
      <c r="E752" s="13" t="s">
        <v>5394</v>
      </c>
      <c r="F752" s="13" t="s">
        <v>5164</v>
      </c>
      <c r="G752" s="13">
        <v>2114682</v>
      </c>
      <c r="H752" s="13" t="s">
        <v>5395</v>
      </c>
      <c r="I752" s="13">
        <v>5003089</v>
      </c>
      <c r="J752" s="13">
        <v>3300003019</v>
      </c>
      <c r="K752" s="13"/>
      <c r="L752" s="13" t="s">
        <v>5396</v>
      </c>
      <c r="M752" s="13">
        <v>120706579</v>
      </c>
      <c r="N752" s="18" t="s">
        <v>4721</v>
      </c>
      <c r="O752" s="18"/>
      <c r="P752" s="18" t="s">
        <v>5397</v>
      </c>
      <c r="Q752" s="19" t="s">
        <v>5398</v>
      </c>
    </row>
    <row r="753" spans="1:17">
      <c r="A753" s="17"/>
      <c r="B753" s="13" t="s">
        <v>4066</v>
      </c>
      <c r="C753" s="13" t="s">
        <v>4067</v>
      </c>
      <c r="D753" s="13" t="s">
        <v>4068</v>
      </c>
      <c r="E753" s="13" t="s">
        <v>644</v>
      </c>
      <c r="F753" s="13" t="s">
        <v>3754</v>
      </c>
      <c r="G753" s="13" t="s">
        <v>4069</v>
      </c>
      <c r="H753" s="13">
        <v>2119209</v>
      </c>
      <c r="I753" s="13"/>
      <c r="J753" s="13"/>
      <c r="K753" s="13"/>
      <c r="L753" s="13" t="s">
        <v>4070</v>
      </c>
      <c r="M753" s="13">
        <v>140704449</v>
      </c>
      <c r="N753" s="18"/>
      <c r="O753" s="18" t="s">
        <v>4071</v>
      </c>
      <c r="P753" s="18" t="s">
        <v>4072</v>
      </c>
      <c r="Q753" s="19"/>
    </row>
    <row r="754" spans="1:17">
      <c r="A754" s="17"/>
      <c r="B754" s="13" t="s">
        <v>3382</v>
      </c>
      <c r="C754" s="13" t="s">
        <v>3383</v>
      </c>
      <c r="D754" s="13" t="s">
        <v>123</v>
      </c>
      <c r="E754" s="13" t="s">
        <v>573</v>
      </c>
      <c r="F754" s="13" t="s">
        <v>3101</v>
      </c>
      <c r="G754" s="13">
        <v>2114767</v>
      </c>
      <c r="H754" s="13">
        <v>3300004147</v>
      </c>
      <c r="I754" s="13"/>
      <c r="J754" s="13"/>
      <c r="K754" s="13"/>
      <c r="L754" s="13" t="s">
        <v>3384</v>
      </c>
      <c r="M754" s="13">
        <v>120700688</v>
      </c>
      <c r="N754" s="18" t="s">
        <v>3117</v>
      </c>
      <c r="O754" s="18"/>
      <c r="P754" s="18" t="s">
        <v>3385</v>
      </c>
      <c r="Q754" s="19" t="s">
        <v>3386</v>
      </c>
    </row>
    <row r="755" spans="1:17">
      <c r="A755" s="17"/>
      <c r="B755" s="13" t="s">
        <v>3495</v>
      </c>
      <c r="C755" s="13" t="s">
        <v>3496</v>
      </c>
      <c r="D755" s="13" t="s">
        <v>461</v>
      </c>
      <c r="E755" s="13" t="s">
        <v>538</v>
      </c>
      <c r="F755" s="13" t="s">
        <v>3101</v>
      </c>
      <c r="G755" s="13" t="s">
        <v>3497</v>
      </c>
      <c r="H755" s="13">
        <v>5050431</v>
      </c>
      <c r="I755" s="13">
        <v>2171951</v>
      </c>
      <c r="J755" s="13">
        <v>3300009561</v>
      </c>
      <c r="K755" s="13" t="s">
        <v>3498</v>
      </c>
      <c r="L755" s="13" t="s">
        <v>3499</v>
      </c>
      <c r="M755" s="13">
        <v>130704970</v>
      </c>
      <c r="N755" s="18" t="s">
        <v>3117</v>
      </c>
      <c r="O755" s="18"/>
      <c r="P755" s="18" t="s">
        <v>3500</v>
      </c>
      <c r="Q755" s="19" t="s">
        <v>3486</v>
      </c>
    </row>
    <row r="756" spans="1:17">
      <c r="A756" s="17"/>
      <c r="B756" s="20" t="s">
        <v>2923</v>
      </c>
      <c r="C756" s="20" t="s">
        <v>2924</v>
      </c>
      <c r="D756" s="20" t="s">
        <v>498</v>
      </c>
      <c r="E756" s="13" t="s">
        <v>562</v>
      </c>
      <c r="F756" s="13" t="s">
        <v>2830</v>
      </c>
      <c r="G756" s="20">
        <v>2115672</v>
      </c>
      <c r="H756" s="20">
        <v>5059315</v>
      </c>
      <c r="I756" s="20">
        <v>3300008138</v>
      </c>
      <c r="J756" s="20" t="s">
        <v>2925</v>
      </c>
      <c r="K756" s="20"/>
      <c r="L756" s="20" t="s">
        <v>2926</v>
      </c>
      <c r="M756" s="20">
        <v>140700635</v>
      </c>
      <c r="N756" s="18" t="s">
        <v>2436</v>
      </c>
      <c r="O756" s="18" t="s">
        <v>2927</v>
      </c>
      <c r="P756" s="18" t="s">
        <v>2928</v>
      </c>
      <c r="Q756" s="24"/>
    </row>
    <row r="757" spans="1:17">
      <c r="A757" s="17"/>
      <c r="B757" s="13" t="s">
        <v>3716</v>
      </c>
      <c r="C757" s="13" t="s">
        <v>3717</v>
      </c>
      <c r="D757" s="13" t="s">
        <v>132</v>
      </c>
      <c r="E757" s="13" t="s">
        <v>581</v>
      </c>
      <c r="F757" s="13" t="s">
        <v>3558</v>
      </c>
      <c r="G757" s="13">
        <v>2183569</v>
      </c>
      <c r="H757" s="13" t="s">
        <v>3718</v>
      </c>
      <c r="I757" s="13"/>
      <c r="J757" s="13" t="s">
        <v>3719</v>
      </c>
      <c r="K757" s="13" t="s">
        <v>3720</v>
      </c>
      <c r="L757" s="13" t="s">
        <v>3721</v>
      </c>
      <c r="M757" s="13">
        <v>120700758</v>
      </c>
      <c r="N757" s="18" t="s">
        <v>3478</v>
      </c>
      <c r="O757" s="18"/>
      <c r="P757" s="18" t="s">
        <v>3722</v>
      </c>
      <c r="Q757" s="19" t="s">
        <v>3012</v>
      </c>
    </row>
    <row r="758" spans="1:17">
      <c r="A758" s="17" t="s">
        <v>839</v>
      </c>
      <c r="B758" s="13" t="s">
        <v>5637</v>
      </c>
      <c r="C758" s="13" t="s">
        <v>5638</v>
      </c>
      <c r="D758" s="13" t="s">
        <v>322</v>
      </c>
      <c r="E758" s="13" t="s">
        <v>710</v>
      </c>
      <c r="F758" s="13" t="s">
        <v>5164</v>
      </c>
      <c r="G758" s="13">
        <v>3300009564</v>
      </c>
      <c r="H758" s="13" t="s">
        <v>5639</v>
      </c>
      <c r="I758" s="13">
        <v>5050442</v>
      </c>
      <c r="J758" s="13" t="s">
        <v>5640</v>
      </c>
      <c r="K758" s="13">
        <v>2103758</v>
      </c>
      <c r="L758" s="13" t="s">
        <v>5641</v>
      </c>
      <c r="M758" s="13">
        <v>120711020</v>
      </c>
      <c r="N758" s="18" t="s">
        <v>4424</v>
      </c>
      <c r="O758" s="18" t="s">
        <v>5642</v>
      </c>
      <c r="P758" s="18" t="s">
        <v>5643</v>
      </c>
      <c r="Q758" s="19" t="s">
        <v>1072</v>
      </c>
    </row>
    <row r="759" spans="1:17">
      <c r="A759" s="17"/>
      <c r="B759" s="13" t="s">
        <v>2743</v>
      </c>
      <c r="C759" s="13" t="s">
        <v>2744</v>
      </c>
      <c r="D759" s="13" t="s">
        <v>2745</v>
      </c>
      <c r="E759" s="13" t="s">
        <v>684</v>
      </c>
      <c r="F759" s="13" t="s">
        <v>2433</v>
      </c>
      <c r="G759" s="13">
        <v>2119179</v>
      </c>
      <c r="H759" s="13">
        <v>5031902</v>
      </c>
      <c r="I759" s="13">
        <v>3300006804</v>
      </c>
      <c r="J759" s="13">
        <v>2117079</v>
      </c>
      <c r="K759" s="13"/>
      <c r="L759" s="13" t="s">
        <v>2746</v>
      </c>
      <c r="M759" s="13">
        <v>120709523</v>
      </c>
      <c r="N759" s="18" t="s">
        <v>2436</v>
      </c>
      <c r="O759" s="18" t="s">
        <v>2747</v>
      </c>
      <c r="P759" s="18" t="s">
        <v>2748</v>
      </c>
      <c r="Q759" s="19" t="s">
        <v>2517</v>
      </c>
    </row>
    <row r="760" spans="1:17">
      <c r="A760" s="17" t="s">
        <v>839</v>
      </c>
      <c r="B760" s="13" t="s">
        <v>2905</v>
      </c>
      <c r="C760" s="13" t="s">
        <v>2906</v>
      </c>
      <c r="D760" s="13" t="s">
        <v>145</v>
      </c>
      <c r="E760" s="13" t="s">
        <v>593</v>
      </c>
      <c r="F760" s="13" t="s">
        <v>2830</v>
      </c>
      <c r="G760" s="13">
        <v>2171896</v>
      </c>
      <c r="H760" s="13" t="s">
        <v>2907</v>
      </c>
      <c r="I760" s="13">
        <v>3300001684</v>
      </c>
      <c r="J760" s="13">
        <v>3300001701</v>
      </c>
      <c r="K760" s="13"/>
      <c r="L760" s="13" t="s">
        <v>2908</v>
      </c>
      <c r="M760" s="13">
        <v>120701193</v>
      </c>
      <c r="N760" s="18" t="s">
        <v>887</v>
      </c>
      <c r="O760" s="18" t="s">
        <v>2909</v>
      </c>
      <c r="P760" s="18" t="s">
        <v>2910</v>
      </c>
      <c r="Q760" s="19" t="s">
        <v>1112</v>
      </c>
    </row>
    <row r="761" spans="1:17">
      <c r="A761" s="17"/>
      <c r="B761" s="13" t="s">
        <v>6409</v>
      </c>
      <c r="C761" s="13" t="s">
        <v>6410</v>
      </c>
      <c r="D761" s="13" t="s">
        <v>512</v>
      </c>
      <c r="E761" s="13" t="s">
        <v>798</v>
      </c>
      <c r="F761" s="13" t="s">
        <v>5843</v>
      </c>
      <c r="G761" s="13">
        <v>2171908</v>
      </c>
      <c r="H761" s="13">
        <v>5059321</v>
      </c>
      <c r="I761" s="13"/>
      <c r="J761" s="13"/>
      <c r="K761" s="13"/>
      <c r="L761" s="13" t="s">
        <v>6411</v>
      </c>
      <c r="M761" s="13">
        <v>140702209</v>
      </c>
      <c r="N761" s="18" t="s">
        <v>3117</v>
      </c>
      <c r="O761" s="18"/>
      <c r="P761" s="18" t="s">
        <v>6412</v>
      </c>
      <c r="Q761" s="19">
        <v>41884</v>
      </c>
    </row>
    <row r="762" spans="1:17">
      <c r="A762" s="17"/>
      <c r="B762" s="13" t="s">
        <v>2645</v>
      </c>
      <c r="C762" s="13" t="s">
        <v>2646</v>
      </c>
      <c r="D762" s="13" t="s">
        <v>465</v>
      </c>
      <c r="E762" s="13" t="s">
        <v>775</v>
      </c>
      <c r="F762" s="13" t="s">
        <v>2433</v>
      </c>
      <c r="G762" s="13">
        <v>2183472</v>
      </c>
      <c r="H762" s="13" t="s">
        <v>2647</v>
      </c>
      <c r="I762" s="13">
        <v>3300009774</v>
      </c>
      <c r="J762" s="13"/>
      <c r="K762" s="13"/>
      <c r="L762" s="13" t="s">
        <v>2648</v>
      </c>
      <c r="M762" s="13">
        <v>130705215</v>
      </c>
      <c r="N762" s="18" t="s">
        <v>2436</v>
      </c>
      <c r="O762" s="18" t="s">
        <v>2649</v>
      </c>
      <c r="P762" s="18" t="s">
        <v>2650</v>
      </c>
      <c r="Q762" s="19" t="s">
        <v>1506</v>
      </c>
    </row>
    <row r="763" spans="1:17">
      <c r="A763" s="17" t="s">
        <v>839</v>
      </c>
      <c r="B763" s="13" t="s">
        <v>3034</v>
      </c>
      <c r="C763" s="13" t="s">
        <v>3027</v>
      </c>
      <c r="D763" s="13" t="s">
        <v>3035</v>
      </c>
      <c r="E763" s="13" t="s">
        <v>652</v>
      </c>
      <c r="F763" s="13" t="s">
        <v>2830</v>
      </c>
      <c r="G763" s="13">
        <v>2119176</v>
      </c>
      <c r="H763" s="13">
        <v>5031910</v>
      </c>
      <c r="I763" s="13">
        <v>3300008136</v>
      </c>
      <c r="J763" s="13" t="s">
        <v>3036</v>
      </c>
      <c r="K763" s="13"/>
      <c r="L763" s="13" t="s">
        <v>3037</v>
      </c>
      <c r="M763" s="13">
        <v>120707831</v>
      </c>
      <c r="N763" s="18" t="s">
        <v>2436</v>
      </c>
      <c r="O763" s="18" t="s">
        <v>3038</v>
      </c>
      <c r="P763" s="18" t="s">
        <v>3039</v>
      </c>
      <c r="Q763" s="19" t="s">
        <v>2578</v>
      </c>
    </row>
    <row r="764" spans="1:17">
      <c r="A764" s="17"/>
      <c r="B764" s="13" t="s">
        <v>4954</v>
      </c>
      <c r="C764" s="13" t="s">
        <v>4955</v>
      </c>
      <c r="D764" s="13" t="s">
        <v>4956</v>
      </c>
      <c r="E764" s="13" t="s">
        <v>583</v>
      </c>
      <c r="F764" s="13" t="s">
        <v>4914</v>
      </c>
      <c r="G764" s="13">
        <v>5059371</v>
      </c>
      <c r="H764" s="13">
        <v>2183491</v>
      </c>
      <c r="I764" s="13">
        <v>3300011822</v>
      </c>
      <c r="J764" s="13"/>
      <c r="K764" s="13"/>
      <c r="L764" s="13" t="s">
        <v>4957</v>
      </c>
      <c r="M764" s="13">
        <v>130703812</v>
      </c>
      <c r="N764" s="18" t="s">
        <v>4721</v>
      </c>
      <c r="O764" s="18"/>
      <c r="P764" s="18" t="s">
        <v>4958</v>
      </c>
      <c r="Q764" s="19">
        <v>41960</v>
      </c>
    </row>
    <row r="765" spans="1:17">
      <c r="A765" s="17"/>
      <c r="B765" s="13" t="s">
        <v>5585</v>
      </c>
      <c r="C765" s="13" t="s">
        <v>5586</v>
      </c>
      <c r="D765" s="13" t="s">
        <v>166</v>
      </c>
      <c r="E765" s="13" t="s">
        <v>609</v>
      </c>
      <c r="F765" s="13" t="s">
        <v>5164</v>
      </c>
      <c r="G765" s="13">
        <v>2115666</v>
      </c>
      <c r="H765" s="13">
        <v>5001441</v>
      </c>
      <c r="I765" s="13">
        <v>3300008153</v>
      </c>
      <c r="J765" s="13">
        <v>2115636</v>
      </c>
      <c r="K765" s="13"/>
      <c r="L765" s="13" t="s">
        <v>5587</v>
      </c>
      <c r="M765" s="13">
        <v>120701271</v>
      </c>
      <c r="N765" s="18" t="s">
        <v>4424</v>
      </c>
      <c r="O765" s="18"/>
      <c r="P765" s="18" t="s">
        <v>5588</v>
      </c>
      <c r="Q765" s="19" t="s">
        <v>5589</v>
      </c>
    </row>
    <row r="766" spans="1:17">
      <c r="A766" s="17"/>
      <c r="B766" s="13" t="s">
        <v>4762</v>
      </c>
      <c r="C766" s="13" t="s">
        <v>4763</v>
      </c>
      <c r="D766" s="13" t="s">
        <v>4764</v>
      </c>
      <c r="E766" s="13" t="s">
        <v>4756</v>
      </c>
      <c r="F766" s="13" t="s">
        <v>4395</v>
      </c>
      <c r="G766" s="13">
        <v>5059373</v>
      </c>
      <c r="H766" s="13" t="s">
        <v>4765</v>
      </c>
      <c r="I766" s="13">
        <v>2103907</v>
      </c>
      <c r="J766" s="13"/>
      <c r="K766" s="13"/>
      <c r="L766" s="13" t="s">
        <v>4766</v>
      </c>
      <c r="M766" s="13">
        <v>140700764</v>
      </c>
      <c r="N766" s="18" t="s">
        <v>4399</v>
      </c>
      <c r="O766" s="18" t="s">
        <v>4767</v>
      </c>
      <c r="P766" s="18"/>
      <c r="Q766" s="19"/>
    </row>
    <row r="767" spans="1:17">
      <c r="A767" s="17"/>
      <c r="B767" s="13" t="s">
        <v>3740</v>
      </c>
      <c r="C767" s="13" t="s">
        <v>35</v>
      </c>
      <c r="D767" s="13" t="s">
        <v>3741</v>
      </c>
      <c r="E767" s="13" t="s">
        <v>657</v>
      </c>
      <c r="F767" s="13" t="s">
        <v>3558</v>
      </c>
      <c r="G767" s="13">
        <v>5031825</v>
      </c>
      <c r="H767" s="13">
        <v>2119253</v>
      </c>
      <c r="I767" s="13">
        <v>2117587</v>
      </c>
      <c r="J767" s="13">
        <v>3300009778</v>
      </c>
      <c r="K767" s="13"/>
      <c r="L767" s="13" t="s">
        <v>3742</v>
      </c>
      <c r="M767" s="13">
        <v>121001285</v>
      </c>
      <c r="N767" s="18" t="s">
        <v>3478</v>
      </c>
      <c r="O767" s="18" t="s">
        <v>3743</v>
      </c>
      <c r="P767" s="18" t="s">
        <v>3744</v>
      </c>
      <c r="Q767" s="19" t="s">
        <v>2657</v>
      </c>
    </row>
    <row r="768" spans="1:17">
      <c r="A768" s="17"/>
      <c r="B768" s="13" t="s">
        <v>4584</v>
      </c>
      <c r="C768" s="13" t="s">
        <v>4585</v>
      </c>
      <c r="D768" s="13" t="s">
        <v>4586</v>
      </c>
      <c r="E768" s="13" t="s">
        <v>776</v>
      </c>
      <c r="F768" s="13" t="s">
        <v>4395</v>
      </c>
      <c r="G768" s="13" t="s">
        <v>4587</v>
      </c>
      <c r="H768" s="13">
        <v>3300001687</v>
      </c>
      <c r="I768" s="13" t="s">
        <v>4588</v>
      </c>
      <c r="J768" s="13">
        <v>2183554</v>
      </c>
      <c r="K768" s="13">
        <v>2117371</v>
      </c>
      <c r="L768" s="13" t="s">
        <v>4589</v>
      </c>
      <c r="M768" s="13">
        <v>140703475</v>
      </c>
      <c r="N768" s="18"/>
      <c r="O768" s="18" t="s">
        <v>4590</v>
      </c>
      <c r="P768" s="18" t="s">
        <v>4591</v>
      </c>
      <c r="Q768" s="19">
        <v>42103</v>
      </c>
    </row>
    <row r="769" spans="1:17">
      <c r="A769" s="17"/>
      <c r="B769" s="13" t="s">
        <v>4301</v>
      </c>
      <c r="C769" s="13" t="s">
        <v>4302</v>
      </c>
      <c r="D769" s="13" t="s">
        <v>4303</v>
      </c>
      <c r="E769" s="13" t="s">
        <v>553</v>
      </c>
      <c r="F769" s="13" t="s">
        <v>3754</v>
      </c>
      <c r="G769" s="13">
        <v>5070888</v>
      </c>
      <c r="H769" s="13">
        <v>3300006815</v>
      </c>
      <c r="I769" s="13">
        <v>2183544</v>
      </c>
      <c r="J769" s="13">
        <v>5059322</v>
      </c>
      <c r="K769" s="13"/>
      <c r="L769" s="13" t="s">
        <v>4304</v>
      </c>
      <c r="M769" s="13">
        <v>140702684</v>
      </c>
      <c r="N769" s="18" t="s">
        <v>1018</v>
      </c>
      <c r="O769" s="18" t="s">
        <v>4305</v>
      </c>
      <c r="P769" s="18" t="s">
        <v>4306</v>
      </c>
      <c r="Q769" s="19">
        <v>41967</v>
      </c>
    </row>
    <row r="770" spans="1:17">
      <c r="A770" s="17"/>
      <c r="B770" s="13" t="s">
        <v>2109</v>
      </c>
      <c r="C770" s="13" t="s">
        <v>2110</v>
      </c>
      <c r="D770" s="13" t="s">
        <v>193</v>
      </c>
      <c r="E770" s="13" t="s">
        <v>626</v>
      </c>
      <c r="F770" s="13" t="s">
        <v>844</v>
      </c>
      <c r="G770" s="13">
        <v>2103868</v>
      </c>
      <c r="H770" s="13" t="s">
        <v>2111</v>
      </c>
      <c r="I770" s="13" t="s">
        <v>2112</v>
      </c>
      <c r="J770" s="13">
        <v>5031858</v>
      </c>
      <c r="K770" s="13"/>
      <c r="L770" s="13" t="s">
        <v>2113</v>
      </c>
      <c r="M770" s="13">
        <v>120702095</v>
      </c>
      <c r="N770" s="18" t="s">
        <v>1421</v>
      </c>
      <c r="O770" s="18" t="s">
        <v>2114</v>
      </c>
      <c r="P770" s="18" t="s">
        <v>2115</v>
      </c>
      <c r="Q770" s="19" t="s">
        <v>2116</v>
      </c>
    </row>
    <row r="771" spans="1:17">
      <c r="A771" s="17"/>
      <c r="B771" s="13" t="s">
        <v>6357</v>
      </c>
      <c r="C771" s="13" t="s">
        <v>6358</v>
      </c>
      <c r="D771" s="13" t="s">
        <v>289</v>
      </c>
      <c r="E771" s="13" t="s">
        <v>687</v>
      </c>
      <c r="F771" s="13" t="s">
        <v>5843</v>
      </c>
      <c r="G771" s="13">
        <v>2183585</v>
      </c>
      <c r="H771" s="13" t="s">
        <v>6359</v>
      </c>
      <c r="I771" s="13">
        <v>3300010891</v>
      </c>
      <c r="J771" s="13"/>
      <c r="K771" s="13"/>
      <c r="L771" s="13" t="s">
        <v>6360</v>
      </c>
      <c r="M771" s="13">
        <v>120707737</v>
      </c>
      <c r="N771" s="18" t="s">
        <v>3105</v>
      </c>
      <c r="O771" s="18" t="s">
        <v>6361</v>
      </c>
      <c r="P771" s="18" t="s">
        <v>6362</v>
      </c>
      <c r="Q771" s="19" t="s">
        <v>3644</v>
      </c>
    </row>
    <row r="772" spans="1:17">
      <c r="A772" s="17"/>
      <c r="B772" s="13" t="s">
        <v>6048</v>
      </c>
      <c r="C772" s="13" t="s">
        <v>6049</v>
      </c>
      <c r="D772" s="13" t="s">
        <v>508</v>
      </c>
      <c r="E772" s="13" t="s">
        <v>643</v>
      </c>
      <c r="F772" s="13" t="s">
        <v>5843</v>
      </c>
      <c r="G772" s="13">
        <v>2183568</v>
      </c>
      <c r="H772" s="13">
        <v>5059349</v>
      </c>
      <c r="I772" s="13">
        <v>3300009532</v>
      </c>
      <c r="J772" s="13"/>
      <c r="K772" s="13"/>
      <c r="L772" s="13" t="s">
        <v>6050</v>
      </c>
      <c r="M772" s="13">
        <v>140701863</v>
      </c>
      <c r="N772" s="18" t="s">
        <v>3105</v>
      </c>
      <c r="O772" s="18" t="s">
        <v>6051</v>
      </c>
      <c r="P772" s="18"/>
      <c r="Q772" s="19">
        <v>41897</v>
      </c>
    </row>
    <row r="773" spans="1:17">
      <c r="A773" s="17"/>
      <c r="B773" s="13" t="s">
        <v>5726</v>
      </c>
      <c r="C773" s="13" t="s">
        <v>5727</v>
      </c>
      <c r="D773" s="13" t="s">
        <v>215</v>
      </c>
      <c r="E773" s="13" t="s">
        <v>548</v>
      </c>
      <c r="F773" s="13" t="s">
        <v>5709</v>
      </c>
      <c r="G773" s="13"/>
      <c r="H773" s="13" t="s">
        <v>5728</v>
      </c>
      <c r="I773" s="13">
        <v>2103527</v>
      </c>
      <c r="J773" s="13" t="s">
        <v>5729</v>
      </c>
      <c r="K773" s="13">
        <v>2115647</v>
      </c>
      <c r="L773" s="13" t="s">
        <v>5730</v>
      </c>
      <c r="M773" s="13">
        <v>120703201</v>
      </c>
      <c r="N773" s="18" t="s">
        <v>4399</v>
      </c>
      <c r="O773" s="18" t="s">
        <v>5731</v>
      </c>
      <c r="P773" s="18" t="s">
        <v>5732</v>
      </c>
      <c r="Q773" s="19" t="s">
        <v>5173</v>
      </c>
    </row>
    <row r="774" spans="1:17">
      <c r="A774" s="17" t="s">
        <v>839</v>
      </c>
      <c r="B774" s="13" t="s">
        <v>2070</v>
      </c>
      <c r="C774" s="13" t="s">
        <v>37</v>
      </c>
      <c r="D774" s="13" t="s">
        <v>2071</v>
      </c>
      <c r="E774" s="13" t="s">
        <v>717</v>
      </c>
      <c r="F774" s="13" t="s">
        <v>844</v>
      </c>
      <c r="G774" s="13">
        <v>5042640</v>
      </c>
      <c r="H774" s="13" t="s">
        <v>2072</v>
      </c>
      <c r="I774" s="13" t="s">
        <v>2073</v>
      </c>
      <c r="J774" s="13">
        <v>2159932</v>
      </c>
      <c r="K774" s="13">
        <v>3300005156</v>
      </c>
      <c r="L774" s="13" t="s">
        <v>2074</v>
      </c>
      <c r="M774" s="13">
        <v>130700238</v>
      </c>
      <c r="N774" s="18" t="s">
        <v>856</v>
      </c>
      <c r="O774" s="18" t="s">
        <v>2075</v>
      </c>
      <c r="P774" s="18" t="s">
        <v>2076</v>
      </c>
      <c r="Q774" s="19" t="s">
        <v>1112</v>
      </c>
    </row>
    <row r="775" spans="1:17">
      <c r="A775" s="17"/>
      <c r="B775" s="13" t="s">
        <v>3656</v>
      </c>
      <c r="C775" s="13" t="s">
        <v>3656</v>
      </c>
      <c r="D775" s="13" t="s">
        <v>3657</v>
      </c>
      <c r="E775" s="13" t="s">
        <v>560</v>
      </c>
      <c r="F775" s="13" t="s">
        <v>3558</v>
      </c>
      <c r="G775" s="13">
        <v>2103461</v>
      </c>
      <c r="H775" s="13">
        <v>5059345</v>
      </c>
      <c r="I775" s="13"/>
      <c r="J775" s="13"/>
      <c r="K775" s="13"/>
      <c r="L775" s="13" t="s">
        <v>3658</v>
      </c>
      <c r="M775" s="13">
        <v>140701693</v>
      </c>
      <c r="N775" s="18" t="s">
        <v>3478</v>
      </c>
      <c r="O775" s="18" t="s">
        <v>3659</v>
      </c>
      <c r="P775" s="18" t="s">
        <v>3660</v>
      </c>
      <c r="Q775" s="19">
        <v>41871</v>
      </c>
    </row>
    <row r="776" spans="1:17">
      <c r="A776" s="17"/>
      <c r="B776" s="13" t="s">
        <v>5326</v>
      </c>
      <c r="C776" s="13" t="s">
        <v>5327</v>
      </c>
      <c r="D776" s="13" t="s">
        <v>5328</v>
      </c>
      <c r="E776" s="13" t="s">
        <v>5329</v>
      </c>
      <c r="F776" s="13" t="s">
        <v>5164</v>
      </c>
      <c r="G776" s="13">
        <v>5031854</v>
      </c>
      <c r="H776" s="13" t="s">
        <v>5330</v>
      </c>
      <c r="I776" s="13">
        <v>3300006793</v>
      </c>
      <c r="J776" s="13">
        <v>5040895</v>
      </c>
      <c r="K776" s="13">
        <v>2183572</v>
      </c>
      <c r="L776" s="13" t="s">
        <v>5331</v>
      </c>
      <c r="M776" s="13">
        <v>120709246</v>
      </c>
      <c r="N776" s="18" t="s">
        <v>5091</v>
      </c>
      <c r="O776" s="18"/>
      <c r="P776" s="18" t="s">
        <v>5332</v>
      </c>
      <c r="Q776" s="19" t="s">
        <v>5333</v>
      </c>
    </row>
    <row r="777" spans="1:17">
      <c r="A777" s="17"/>
      <c r="B777" s="13" t="s">
        <v>3891</v>
      </c>
      <c r="C777" s="13" t="s">
        <v>3892</v>
      </c>
      <c r="D777" s="13" t="s">
        <v>3893</v>
      </c>
      <c r="E777" s="13" t="s">
        <v>549</v>
      </c>
      <c r="F777" s="13" t="s">
        <v>3754</v>
      </c>
      <c r="G777" s="13">
        <v>2116279</v>
      </c>
      <c r="H777" s="13" t="s">
        <v>3894</v>
      </c>
      <c r="I777" s="13" t="s">
        <v>3895</v>
      </c>
      <c r="J777" s="13">
        <v>3300009741</v>
      </c>
      <c r="K777" s="13"/>
      <c r="L777" s="13" t="s">
        <v>3896</v>
      </c>
      <c r="M777" s="13">
        <v>140701808</v>
      </c>
      <c r="N777" s="18"/>
      <c r="O777" s="18" t="s">
        <v>3897</v>
      </c>
      <c r="P777" s="18" t="s">
        <v>3898</v>
      </c>
      <c r="Q777" s="19">
        <v>42102</v>
      </c>
    </row>
    <row r="778" spans="1:17">
      <c r="A778" s="17"/>
      <c r="B778" s="13" t="s">
        <v>5535</v>
      </c>
      <c r="C778" s="13" t="s">
        <v>5536</v>
      </c>
      <c r="D778" s="13" t="s">
        <v>477</v>
      </c>
      <c r="E778" s="13" t="s">
        <v>692</v>
      </c>
      <c r="F778" s="13" t="s">
        <v>5164</v>
      </c>
      <c r="G778" s="13">
        <v>2183608</v>
      </c>
      <c r="H778" s="13" t="s">
        <v>5537</v>
      </c>
      <c r="I778" s="13">
        <v>3300009782</v>
      </c>
      <c r="J778" s="13">
        <v>2183610</v>
      </c>
      <c r="K778" s="13"/>
      <c r="L778" s="13" t="s">
        <v>5538</v>
      </c>
      <c r="M778" s="13">
        <v>130706231</v>
      </c>
      <c r="N778" s="18" t="s">
        <v>5091</v>
      </c>
      <c r="O778" s="18" t="s">
        <v>5539</v>
      </c>
      <c r="P778" s="18" t="s">
        <v>5540</v>
      </c>
      <c r="Q778" s="19" t="s">
        <v>1234</v>
      </c>
    </row>
    <row r="779" spans="1:17">
      <c r="A779" s="17"/>
      <c r="B779" s="13" t="s">
        <v>5793</v>
      </c>
      <c r="C779" s="13" t="s">
        <v>5794</v>
      </c>
      <c r="D779" s="13" t="s">
        <v>172</v>
      </c>
      <c r="E779" s="13" t="s">
        <v>588</v>
      </c>
      <c r="F779" s="13" t="s">
        <v>5753</v>
      </c>
      <c r="G779" s="13">
        <v>2103900</v>
      </c>
      <c r="H779" s="13" t="s">
        <v>5795</v>
      </c>
      <c r="I779" s="13">
        <v>3300003615</v>
      </c>
      <c r="J779" s="13" t="s">
        <v>5796</v>
      </c>
      <c r="K779" s="13">
        <v>2103883</v>
      </c>
      <c r="L779" s="13" t="s">
        <v>5797</v>
      </c>
      <c r="M779" s="13">
        <v>120701372</v>
      </c>
      <c r="N779" s="18" t="s">
        <v>4472</v>
      </c>
      <c r="O779" s="18"/>
      <c r="P779" s="18" t="s">
        <v>5798</v>
      </c>
      <c r="Q779" s="19" t="s">
        <v>2494</v>
      </c>
    </row>
    <row r="780" spans="1:17">
      <c r="A780" s="17"/>
      <c r="B780" s="13" t="s">
        <v>4747</v>
      </c>
      <c r="C780" s="13" t="s">
        <v>4748</v>
      </c>
      <c r="D780" s="13" t="s">
        <v>418</v>
      </c>
      <c r="E780" s="13" t="s">
        <v>757</v>
      </c>
      <c r="F780" s="13" t="s">
        <v>4395</v>
      </c>
      <c r="G780" s="13">
        <v>3300009706</v>
      </c>
      <c r="H780" s="13" t="s">
        <v>4749</v>
      </c>
      <c r="I780" s="13">
        <v>2103454</v>
      </c>
      <c r="J780" s="13"/>
      <c r="K780" s="13"/>
      <c r="L780" s="13" t="s">
        <v>4750</v>
      </c>
      <c r="M780" s="13">
        <v>130702726</v>
      </c>
      <c r="N780" s="18" t="s">
        <v>4399</v>
      </c>
      <c r="O780" s="18" t="s">
        <v>4751</v>
      </c>
      <c r="P780" s="18"/>
      <c r="Q780" s="19" t="s">
        <v>4752</v>
      </c>
    </row>
    <row r="781" spans="1:17">
      <c r="A781" s="17"/>
      <c r="B781" s="13" t="s">
        <v>2302</v>
      </c>
      <c r="C781" s="13" t="s">
        <v>2303</v>
      </c>
      <c r="D781" s="13" t="s">
        <v>105</v>
      </c>
      <c r="E781" s="13" t="s">
        <v>564</v>
      </c>
      <c r="F781" s="20" t="s">
        <v>2191</v>
      </c>
      <c r="G781" s="13">
        <v>3300001704</v>
      </c>
      <c r="H781" s="13" t="s">
        <v>2304</v>
      </c>
      <c r="I781" s="13">
        <v>5031882</v>
      </c>
      <c r="J781" s="13">
        <v>2119197</v>
      </c>
      <c r="K781" s="13">
        <v>3300003016</v>
      </c>
      <c r="L781" s="13" t="s">
        <v>2305</v>
      </c>
      <c r="M781" s="13">
        <v>120700587</v>
      </c>
      <c r="N781" s="18" t="s">
        <v>856</v>
      </c>
      <c r="O781" s="18"/>
      <c r="P781" s="18" t="s">
        <v>2306</v>
      </c>
      <c r="Q781" s="19" t="s">
        <v>1385</v>
      </c>
    </row>
    <row r="782" spans="1:17">
      <c r="A782" s="17" t="s">
        <v>839</v>
      </c>
      <c r="B782" s="13" t="s">
        <v>3899</v>
      </c>
      <c r="C782" s="13" t="s">
        <v>3900</v>
      </c>
      <c r="D782" s="13" t="s">
        <v>453</v>
      </c>
      <c r="E782" s="13" t="s">
        <v>549</v>
      </c>
      <c r="F782" s="13" t="s">
        <v>3754</v>
      </c>
      <c r="G782" s="13" t="s">
        <v>3901</v>
      </c>
      <c r="H782" s="13">
        <v>5050445</v>
      </c>
      <c r="I782" s="13">
        <v>3300005728</v>
      </c>
      <c r="J782" s="13">
        <v>2171893</v>
      </c>
      <c r="K782" s="13"/>
      <c r="L782" s="13" t="s">
        <v>3902</v>
      </c>
      <c r="M782" s="13">
        <v>130704831</v>
      </c>
      <c r="N782" s="18" t="s">
        <v>3478</v>
      </c>
      <c r="O782" s="18"/>
      <c r="P782" s="18" t="s">
        <v>3903</v>
      </c>
      <c r="Q782" s="19" t="s">
        <v>3828</v>
      </c>
    </row>
    <row r="783" spans="1:17">
      <c r="A783" s="17"/>
      <c r="B783" s="13" t="s">
        <v>2182</v>
      </c>
      <c r="C783" s="13" t="s">
        <v>2183</v>
      </c>
      <c r="D783" s="13" t="s">
        <v>256</v>
      </c>
      <c r="E783" s="13" t="s">
        <v>662</v>
      </c>
      <c r="F783" s="20" t="s">
        <v>2178</v>
      </c>
      <c r="G783" s="13">
        <v>5049720</v>
      </c>
      <c r="H783" s="13" t="s">
        <v>2184</v>
      </c>
      <c r="I783" s="13">
        <v>2171936</v>
      </c>
      <c r="J783" s="13">
        <v>5049711</v>
      </c>
      <c r="K783" s="13" t="s">
        <v>2185</v>
      </c>
      <c r="L783" s="13" t="s">
        <v>2186</v>
      </c>
      <c r="M783" s="13">
        <v>120705512</v>
      </c>
      <c r="N783" s="18" t="s">
        <v>856</v>
      </c>
      <c r="O783" s="18"/>
      <c r="P783" s="18" t="s">
        <v>2187</v>
      </c>
      <c r="Q783" s="19" t="s">
        <v>2188</v>
      </c>
    </row>
    <row r="784" spans="1:17">
      <c r="A784" s="17"/>
      <c r="B784" s="13" t="s">
        <v>6424</v>
      </c>
      <c r="C784" s="13" t="s">
        <v>6425</v>
      </c>
      <c r="D784" s="13" t="s">
        <v>6426</v>
      </c>
      <c r="E784" s="13" t="s">
        <v>638</v>
      </c>
      <c r="F784" s="13" t="s">
        <v>5843</v>
      </c>
      <c r="G784" s="13">
        <v>5031822</v>
      </c>
      <c r="H784" s="13">
        <v>2119259</v>
      </c>
      <c r="I784" s="13"/>
      <c r="J784" s="13"/>
      <c r="K784" s="13"/>
      <c r="L784" s="13" t="s">
        <v>6427</v>
      </c>
      <c r="M784" s="13">
        <v>120710896</v>
      </c>
      <c r="N784" s="18" t="s">
        <v>3105</v>
      </c>
      <c r="O784" s="18" t="s">
        <v>6428</v>
      </c>
      <c r="P784" s="18" t="s">
        <v>6429</v>
      </c>
      <c r="Q784" s="19" t="s">
        <v>6430</v>
      </c>
    </row>
    <row r="785" spans="1:17">
      <c r="A785" s="17"/>
      <c r="B785" s="13" t="s">
        <v>2749</v>
      </c>
      <c r="C785" s="13" t="s">
        <v>2750</v>
      </c>
      <c r="D785" s="13" t="s">
        <v>286</v>
      </c>
      <c r="E785" s="13" t="s">
        <v>684</v>
      </c>
      <c r="F785" s="13" t="s">
        <v>2433</v>
      </c>
      <c r="G785" s="13">
        <v>3300009799</v>
      </c>
      <c r="H785" s="13" t="s">
        <v>2751</v>
      </c>
      <c r="I785" s="13">
        <v>2114750</v>
      </c>
      <c r="J785" s="13"/>
      <c r="K785" s="13"/>
      <c r="L785" s="13" t="s">
        <v>2752</v>
      </c>
      <c r="M785" s="13">
        <v>120707542</v>
      </c>
      <c r="N785" s="18" t="s">
        <v>2436</v>
      </c>
      <c r="O785" s="18" t="s">
        <v>2753</v>
      </c>
      <c r="P785" s="18" t="s">
        <v>2754</v>
      </c>
      <c r="Q785" s="19" t="s">
        <v>1049</v>
      </c>
    </row>
    <row r="786" spans="1:17">
      <c r="A786" s="17"/>
      <c r="B786" s="13" t="s">
        <v>5893</v>
      </c>
      <c r="C786" s="13" t="s">
        <v>5894</v>
      </c>
      <c r="D786" s="13" t="s">
        <v>511</v>
      </c>
      <c r="E786" s="13" t="s">
        <v>5895</v>
      </c>
      <c r="F786" s="13" t="s">
        <v>5843</v>
      </c>
      <c r="G786" s="13">
        <v>2116276</v>
      </c>
      <c r="H786" s="13">
        <v>3300002963</v>
      </c>
      <c r="I786" s="13" t="s">
        <v>5896</v>
      </c>
      <c r="J786" s="13"/>
      <c r="K786" s="13"/>
      <c r="L786" s="13" t="s">
        <v>5897</v>
      </c>
      <c r="M786" s="13">
        <v>120700385</v>
      </c>
      <c r="N786" s="18" t="s">
        <v>3105</v>
      </c>
      <c r="O786" s="18" t="s">
        <v>5898</v>
      </c>
      <c r="P786" s="18" t="s">
        <v>5899</v>
      </c>
      <c r="Q786" s="19" t="s">
        <v>1874</v>
      </c>
    </row>
    <row r="787" spans="1:17">
      <c r="A787" s="17"/>
      <c r="B787" s="13" t="s">
        <v>3084</v>
      </c>
      <c r="C787" s="13" t="s">
        <v>3085</v>
      </c>
      <c r="D787" s="13" t="s">
        <v>147</v>
      </c>
      <c r="E787" s="13" t="s">
        <v>595</v>
      </c>
      <c r="F787" s="13" t="s">
        <v>2830</v>
      </c>
      <c r="G787" s="13">
        <v>2172017</v>
      </c>
      <c r="H787" s="13" t="s">
        <v>3086</v>
      </c>
      <c r="I787" s="13">
        <v>5045680</v>
      </c>
      <c r="J787" s="13">
        <v>3300012257</v>
      </c>
      <c r="K787" s="13" t="s">
        <v>3087</v>
      </c>
      <c r="L787" s="13" t="s">
        <v>3088</v>
      </c>
      <c r="M787" s="13">
        <v>120701201</v>
      </c>
      <c r="N787" s="18" t="s">
        <v>887</v>
      </c>
      <c r="O787" s="18" t="s">
        <v>3089</v>
      </c>
      <c r="P787" s="18" t="s">
        <v>3090</v>
      </c>
      <c r="Q787" s="19" t="s">
        <v>1105</v>
      </c>
    </row>
    <row r="788" spans="1:17">
      <c r="A788" s="17" t="s">
        <v>839</v>
      </c>
      <c r="B788" s="13" t="s">
        <v>3623</v>
      </c>
      <c r="C788" s="13" t="s">
        <v>3624</v>
      </c>
      <c r="D788" s="13" t="s">
        <v>84</v>
      </c>
      <c r="E788" s="13" t="s">
        <v>544</v>
      </c>
      <c r="F788" s="13" t="s">
        <v>3558</v>
      </c>
      <c r="G788" s="13">
        <v>2171905</v>
      </c>
      <c r="H788" s="13" t="s">
        <v>3625</v>
      </c>
      <c r="I788" s="13" t="s">
        <v>3626</v>
      </c>
      <c r="J788" s="13" t="s">
        <v>3627</v>
      </c>
      <c r="K788" s="13" t="s">
        <v>3628</v>
      </c>
      <c r="L788" s="13" t="s">
        <v>3629</v>
      </c>
      <c r="M788" s="13">
        <v>120700475</v>
      </c>
      <c r="N788" s="18" t="s">
        <v>3478</v>
      </c>
      <c r="O788" s="18"/>
      <c r="P788" s="18" t="s">
        <v>3630</v>
      </c>
      <c r="Q788" s="19" t="s">
        <v>3631</v>
      </c>
    </row>
    <row r="789" spans="1:17">
      <c r="A789" s="17" t="s">
        <v>839</v>
      </c>
      <c r="B789" s="13" t="s">
        <v>2022</v>
      </c>
      <c r="C789" s="13" t="s">
        <v>13</v>
      </c>
      <c r="D789" s="13" t="s">
        <v>2023</v>
      </c>
      <c r="E789" s="13" t="s">
        <v>767</v>
      </c>
      <c r="F789" s="13" t="s">
        <v>844</v>
      </c>
      <c r="G789" s="13">
        <v>2119173</v>
      </c>
      <c r="H789" s="13">
        <v>3300006797</v>
      </c>
      <c r="I789" s="13" t="s">
        <v>2024</v>
      </c>
      <c r="J789" s="13">
        <v>5040884</v>
      </c>
      <c r="K789" s="13">
        <v>2119174</v>
      </c>
      <c r="L789" s="13" t="s">
        <v>2025</v>
      </c>
      <c r="M789" s="13">
        <v>120707262</v>
      </c>
      <c r="N789" s="18" t="s">
        <v>879</v>
      </c>
      <c r="O789" s="18"/>
      <c r="P789" s="18" t="s">
        <v>2026</v>
      </c>
      <c r="Q789" s="19" t="s">
        <v>2027</v>
      </c>
    </row>
    <row r="790" spans="1:17">
      <c r="A790" s="17" t="s">
        <v>839</v>
      </c>
      <c r="B790" s="13" t="s">
        <v>3789</v>
      </c>
      <c r="C790" s="13" t="s">
        <v>3790</v>
      </c>
      <c r="D790" s="13" t="s">
        <v>3791</v>
      </c>
      <c r="E790" s="13" t="s">
        <v>742</v>
      </c>
      <c r="F790" s="13" t="s">
        <v>3754</v>
      </c>
      <c r="G790" s="13">
        <v>2114783</v>
      </c>
      <c r="H790" s="13" t="s">
        <v>3792</v>
      </c>
      <c r="I790" s="13">
        <v>2114780</v>
      </c>
      <c r="J790" s="13">
        <v>3300002921</v>
      </c>
      <c r="K790" s="13">
        <v>5049690</v>
      </c>
      <c r="L790" s="13" t="s">
        <v>3793</v>
      </c>
      <c r="M790" s="13">
        <v>120703363</v>
      </c>
      <c r="N790" s="18" t="s">
        <v>3117</v>
      </c>
      <c r="O790" s="18" t="s">
        <v>3794</v>
      </c>
      <c r="P790" s="18" t="s">
        <v>3795</v>
      </c>
      <c r="Q790" s="19" t="s">
        <v>1167</v>
      </c>
    </row>
    <row r="791" spans="1:17">
      <c r="A791" s="17"/>
      <c r="B791" s="13" t="s">
        <v>2929</v>
      </c>
      <c r="C791" s="13" t="s">
        <v>2930</v>
      </c>
      <c r="D791" s="13" t="s">
        <v>400</v>
      </c>
      <c r="E791" s="13" t="s">
        <v>562</v>
      </c>
      <c r="F791" s="13" t="s">
        <v>2830</v>
      </c>
      <c r="G791" s="13" t="s">
        <v>2931</v>
      </c>
      <c r="H791" s="13">
        <v>3300009521</v>
      </c>
      <c r="I791" s="13">
        <v>5050443</v>
      </c>
      <c r="J791" s="13">
        <v>2171993</v>
      </c>
      <c r="K791" s="13">
        <v>5042641</v>
      </c>
      <c r="L791" s="13" t="s">
        <v>2932</v>
      </c>
      <c r="M791" s="13">
        <v>130700687</v>
      </c>
      <c r="N791" s="18" t="s">
        <v>2436</v>
      </c>
      <c r="O791" s="18" t="s">
        <v>2933</v>
      </c>
      <c r="P791" s="18" t="s">
        <v>873</v>
      </c>
      <c r="Q791" s="19" t="s">
        <v>2934</v>
      </c>
    </row>
    <row r="792" spans="1:17">
      <c r="A792" s="17"/>
      <c r="B792" s="13" t="s">
        <v>4447</v>
      </c>
      <c r="C792" s="13" t="s">
        <v>4448</v>
      </c>
      <c r="D792" s="13" t="s">
        <v>4449</v>
      </c>
      <c r="E792" s="13" t="s">
        <v>4450</v>
      </c>
      <c r="F792" s="13" t="s">
        <v>4395</v>
      </c>
      <c r="G792" s="13" t="s">
        <v>4451</v>
      </c>
      <c r="H792" s="13">
        <v>5012460</v>
      </c>
      <c r="I792" s="13">
        <v>5012468</v>
      </c>
      <c r="J792" s="13">
        <v>3300001277</v>
      </c>
      <c r="K792" s="13" t="s">
        <v>4452</v>
      </c>
      <c r="L792" s="13" t="s">
        <v>4453</v>
      </c>
      <c r="M792" s="13">
        <v>120708857</v>
      </c>
      <c r="N792" s="18" t="s">
        <v>4424</v>
      </c>
      <c r="O792" s="18" t="s">
        <v>4454</v>
      </c>
      <c r="P792" s="18" t="s">
        <v>4455</v>
      </c>
      <c r="Q792" s="19" t="s">
        <v>4456</v>
      </c>
    </row>
    <row r="793" spans="1:17">
      <c r="A793" s="17"/>
      <c r="B793" s="13" t="s">
        <v>3159</v>
      </c>
      <c r="C793" s="13" t="s">
        <v>3160</v>
      </c>
      <c r="D793" s="13" t="s">
        <v>244</v>
      </c>
      <c r="E793" s="13" t="s">
        <v>656</v>
      </c>
      <c r="F793" s="13" t="s">
        <v>3101</v>
      </c>
      <c r="G793" s="13">
        <v>3300002923</v>
      </c>
      <c r="H793" s="13">
        <v>2103483</v>
      </c>
      <c r="I793" s="13" t="s">
        <v>3161</v>
      </c>
      <c r="J793" s="13">
        <v>5059308</v>
      </c>
      <c r="K793" s="13"/>
      <c r="L793" s="13" t="s">
        <v>3162</v>
      </c>
      <c r="M793" s="13">
        <v>120704797</v>
      </c>
      <c r="N793" s="18" t="s">
        <v>3117</v>
      </c>
      <c r="O793" s="18" t="s">
        <v>3163</v>
      </c>
      <c r="P793" s="18" t="s">
        <v>3164</v>
      </c>
      <c r="Q793" s="19" t="s">
        <v>3120</v>
      </c>
    </row>
    <row r="794" spans="1:17">
      <c r="A794" s="17" t="s">
        <v>839</v>
      </c>
      <c r="B794" s="13" t="s">
        <v>3597</v>
      </c>
      <c r="C794" s="13" t="s">
        <v>3598</v>
      </c>
      <c r="D794" s="13" t="s">
        <v>3599</v>
      </c>
      <c r="E794" s="13" t="s">
        <v>572</v>
      </c>
      <c r="F794" s="13" t="s">
        <v>3558</v>
      </c>
      <c r="G794" s="13">
        <v>5031823</v>
      </c>
      <c r="H794" s="13">
        <v>2119258</v>
      </c>
      <c r="I794" s="13">
        <v>3300008137</v>
      </c>
      <c r="J794" s="13">
        <v>5031827</v>
      </c>
      <c r="K794" s="13"/>
      <c r="L794" s="13" t="s">
        <v>3600</v>
      </c>
      <c r="M794" s="13">
        <v>120704623</v>
      </c>
      <c r="N794" s="18" t="s">
        <v>3478</v>
      </c>
      <c r="O794" s="18" t="s">
        <v>3601</v>
      </c>
      <c r="P794" s="18" t="s">
        <v>3602</v>
      </c>
      <c r="Q794" s="19" t="s">
        <v>3321</v>
      </c>
    </row>
    <row r="795" spans="1:17">
      <c r="A795" s="17"/>
      <c r="B795" s="13" t="s">
        <v>2390</v>
      </c>
      <c r="C795" s="13" t="s">
        <v>64</v>
      </c>
      <c r="D795" s="13" t="s">
        <v>526</v>
      </c>
      <c r="E795" s="13" t="s">
        <v>557</v>
      </c>
      <c r="F795" s="13" t="s">
        <v>2345</v>
      </c>
      <c r="G795" s="13" t="s">
        <v>2391</v>
      </c>
      <c r="H795" s="13">
        <v>2183573</v>
      </c>
      <c r="I795" s="13">
        <v>3300001690</v>
      </c>
      <c r="J795" s="13" t="s">
        <v>2392</v>
      </c>
      <c r="K795" s="13">
        <v>2183488</v>
      </c>
      <c r="L795" s="13" t="s">
        <v>2393</v>
      </c>
      <c r="M795" s="13">
        <v>150700029</v>
      </c>
      <c r="N795" s="18"/>
      <c r="O795" s="18" t="s">
        <v>2394</v>
      </c>
      <c r="P795" s="18" t="s">
        <v>2395</v>
      </c>
      <c r="Q795" s="19">
        <v>42101</v>
      </c>
    </row>
    <row r="796" spans="1:17">
      <c r="A796" s="17"/>
      <c r="B796" s="13" t="s">
        <v>1073</v>
      </c>
      <c r="C796" s="13" t="s">
        <v>1074</v>
      </c>
      <c r="D796" s="13" t="s">
        <v>183</v>
      </c>
      <c r="E796" s="13" t="s">
        <v>619</v>
      </c>
      <c r="F796" s="13" t="s">
        <v>844</v>
      </c>
      <c r="G796" s="13">
        <v>5045672</v>
      </c>
      <c r="H796" s="13" t="s">
        <v>1075</v>
      </c>
      <c r="I796" s="13">
        <v>2171891</v>
      </c>
      <c r="J796" s="13">
        <v>3300011496</v>
      </c>
      <c r="K796" s="13" t="s">
        <v>1076</v>
      </c>
      <c r="L796" s="13" t="s">
        <v>1077</v>
      </c>
      <c r="M796" s="13">
        <v>120701476</v>
      </c>
      <c r="N796" s="18" t="s">
        <v>879</v>
      </c>
      <c r="O796" s="18" t="s">
        <v>1078</v>
      </c>
      <c r="P796" s="18" t="s">
        <v>1079</v>
      </c>
      <c r="Q796" s="19" t="s">
        <v>1080</v>
      </c>
    </row>
    <row r="797" spans="1:17">
      <c r="A797" s="17"/>
      <c r="B797" s="13" t="s">
        <v>5156</v>
      </c>
      <c r="C797" s="13" t="s">
        <v>5157</v>
      </c>
      <c r="D797" s="13" t="s">
        <v>238</v>
      </c>
      <c r="E797" s="13" t="s">
        <v>653</v>
      </c>
      <c r="F797" s="13" t="s">
        <v>4914</v>
      </c>
      <c r="G797" s="13"/>
      <c r="H797" s="13">
        <v>5050435</v>
      </c>
      <c r="I797" s="13" t="s">
        <v>5158</v>
      </c>
      <c r="J797" s="13">
        <v>2177352</v>
      </c>
      <c r="K797" s="13">
        <v>3300009760</v>
      </c>
      <c r="L797" s="13" t="s">
        <v>5159</v>
      </c>
      <c r="M797" s="13">
        <v>120704513</v>
      </c>
      <c r="N797" s="18" t="s">
        <v>4721</v>
      </c>
      <c r="O797" s="18" t="s">
        <v>5160</v>
      </c>
      <c r="P797" s="18" t="s">
        <v>873</v>
      </c>
      <c r="Q797" s="19" t="s">
        <v>5094</v>
      </c>
    </row>
    <row r="798" spans="1:17">
      <c r="A798" s="17"/>
      <c r="B798" s="13" t="s">
        <v>5746</v>
      </c>
      <c r="C798" s="13" t="s">
        <v>5747</v>
      </c>
      <c r="D798" s="13" t="s">
        <v>359</v>
      </c>
      <c r="E798" s="13" t="s">
        <v>628</v>
      </c>
      <c r="F798" s="13" t="s">
        <v>5709</v>
      </c>
      <c r="G798" s="13">
        <v>2115667</v>
      </c>
      <c r="H798" s="13">
        <v>5001463</v>
      </c>
      <c r="I798" s="13">
        <v>3300008148</v>
      </c>
      <c r="J798" s="13">
        <v>5001478</v>
      </c>
      <c r="K798" s="13">
        <v>2115645</v>
      </c>
      <c r="L798" s="13" t="s">
        <v>5748</v>
      </c>
      <c r="M798" s="13">
        <v>120901977</v>
      </c>
      <c r="N798" s="18" t="s">
        <v>4399</v>
      </c>
      <c r="O798" s="18" t="s">
        <v>5749</v>
      </c>
      <c r="P798" s="18" t="s">
        <v>5750</v>
      </c>
      <c r="Q798" s="19" t="s">
        <v>4225</v>
      </c>
    </row>
    <row r="799" spans="1:17">
      <c r="A799" s="17"/>
      <c r="B799" s="13" t="s">
        <v>6178</v>
      </c>
      <c r="C799" s="13" t="s">
        <v>6179</v>
      </c>
      <c r="D799" s="13" t="s">
        <v>6180</v>
      </c>
      <c r="E799" s="13" t="s">
        <v>747</v>
      </c>
      <c r="F799" s="13" t="s">
        <v>5843</v>
      </c>
      <c r="G799" s="13">
        <v>2114745</v>
      </c>
      <c r="H799" s="13" t="s">
        <v>6181</v>
      </c>
      <c r="I799" s="13">
        <v>2114790</v>
      </c>
      <c r="J799" s="13">
        <v>3300002940</v>
      </c>
      <c r="K799" s="13"/>
      <c r="L799" s="13" t="s">
        <v>6182</v>
      </c>
      <c r="M799" s="13">
        <v>120908731</v>
      </c>
      <c r="N799" s="18" t="s">
        <v>3105</v>
      </c>
      <c r="O799" s="18" t="s">
        <v>6183</v>
      </c>
      <c r="P799" s="18" t="s">
        <v>6184</v>
      </c>
      <c r="Q799" s="19" t="s">
        <v>5398</v>
      </c>
    </row>
    <row r="800" spans="1:17">
      <c r="A800" s="17"/>
      <c r="B800" s="13" t="s">
        <v>2935</v>
      </c>
      <c r="C800" s="13" t="s">
        <v>2936</v>
      </c>
      <c r="D800" s="13" t="s">
        <v>371</v>
      </c>
      <c r="E800" s="13" t="s">
        <v>562</v>
      </c>
      <c r="F800" s="13" t="s">
        <v>2830</v>
      </c>
      <c r="G800" s="13">
        <v>3300002994</v>
      </c>
      <c r="H800" s="13" t="s">
        <v>2937</v>
      </c>
      <c r="I800" s="13">
        <v>2114794</v>
      </c>
      <c r="J800" s="13">
        <v>3300009715</v>
      </c>
      <c r="K800" s="13">
        <v>5032249</v>
      </c>
      <c r="L800" s="13" t="s">
        <v>2938</v>
      </c>
      <c r="M800" s="13">
        <v>120905051</v>
      </c>
      <c r="N800" s="18" t="s">
        <v>2436</v>
      </c>
      <c r="O800" s="18" t="s">
        <v>2939</v>
      </c>
      <c r="P800" s="18" t="s">
        <v>2940</v>
      </c>
      <c r="Q800" s="19" t="s">
        <v>1035</v>
      </c>
    </row>
    <row r="801" spans="1:17">
      <c r="A801" s="17"/>
      <c r="B801" s="13" t="s">
        <v>2486</v>
      </c>
      <c r="C801" s="13" t="s">
        <v>2487</v>
      </c>
      <c r="D801" s="13" t="s">
        <v>2488</v>
      </c>
      <c r="E801" s="13" t="s">
        <v>670</v>
      </c>
      <c r="F801" s="13" t="s">
        <v>2433</v>
      </c>
      <c r="G801" s="13">
        <v>2114779</v>
      </c>
      <c r="H801" s="13">
        <v>3300002932</v>
      </c>
      <c r="I801" s="13">
        <v>2114786</v>
      </c>
      <c r="J801" s="13" t="s">
        <v>2489</v>
      </c>
      <c r="K801" s="13" t="s">
        <v>2490</v>
      </c>
      <c r="L801" s="13" t="s">
        <v>2491</v>
      </c>
      <c r="M801" s="13">
        <v>120907747</v>
      </c>
      <c r="N801" s="18" t="s">
        <v>2436</v>
      </c>
      <c r="O801" s="18" t="s">
        <v>2492</v>
      </c>
      <c r="P801" s="18" t="s">
        <v>2493</v>
      </c>
      <c r="Q801" s="19" t="s">
        <v>2494</v>
      </c>
    </row>
    <row r="802" spans="1:17">
      <c r="A802" s="17"/>
      <c r="B802" s="13" t="s">
        <v>5864</v>
      </c>
      <c r="C802" s="13" t="s">
        <v>5865</v>
      </c>
      <c r="D802" s="13" t="s">
        <v>5866</v>
      </c>
      <c r="E802" s="13" t="s">
        <v>781</v>
      </c>
      <c r="F802" s="13" t="s">
        <v>5843</v>
      </c>
      <c r="G802" s="13"/>
      <c r="H802" s="13">
        <v>2119278</v>
      </c>
      <c r="I802" s="13">
        <v>3300001238</v>
      </c>
      <c r="J802" s="13"/>
      <c r="K802" s="13"/>
      <c r="L802" s="13" t="s">
        <v>5867</v>
      </c>
      <c r="M802" s="13">
        <v>120910348</v>
      </c>
      <c r="N802" s="18" t="s">
        <v>3187</v>
      </c>
      <c r="O802" s="18" t="s">
        <v>5868</v>
      </c>
      <c r="P802" s="18" t="s">
        <v>5869</v>
      </c>
      <c r="Q802" s="19" t="s">
        <v>5870</v>
      </c>
    </row>
    <row r="803" spans="1:17">
      <c r="A803" s="17"/>
      <c r="B803" s="13" t="s">
        <v>2603</v>
      </c>
      <c r="C803" s="13" t="s">
        <v>2604</v>
      </c>
      <c r="D803" s="13" t="s">
        <v>369</v>
      </c>
      <c r="E803" s="13" t="s">
        <v>640</v>
      </c>
      <c r="F803" s="13" t="s">
        <v>2433</v>
      </c>
      <c r="G803" s="13">
        <v>2103927</v>
      </c>
      <c r="H803" s="13" t="s">
        <v>2605</v>
      </c>
      <c r="I803" s="13">
        <v>2103947</v>
      </c>
      <c r="J803" s="13"/>
      <c r="K803" s="13"/>
      <c r="L803" s="13" t="s">
        <v>2606</v>
      </c>
      <c r="M803" s="13">
        <v>120904892</v>
      </c>
      <c r="N803" s="18" t="s">
        <v>2436</v>
      </c>
      <c r="O803" s="18" t="s">
        <v>2607</v>
      </c>
      <c r="P803" s="18" t="s">
        <v>2608</v>
      </c>
      <c r="Q803" s="19" t="s">
        <v>1167</v>
      </c>
    </row>
    <row r="804" spans="1:17">
      <c r="A804" s="17"/>
      <c r="B804" s="13" t="s">
        <v>5362</v>
      </c>
      <c r="C804" s="13" t="s">
        <v>5363</v>
      </c>
      <c r="D804" s="13" t="s">
        <v>5364</v>
      </c>
      <c r="E804" s="13" t="s">
        <v>651</v>
      </c>
      <c r="F804" s="13" t="s">
        <v>5164</v>
      </c>
      <c r="G804" s="13">
        <v>1723939</v>
      </c>
      <c r="H804" s="13" t="s">
        <v>5365</v>
      </c>
      <c r="I804" s="13">
        <v>1756703</v>
      </c>
      <c r="J804" s="13"/>
      <c r="K804" s="13"/>
      <c r="L804" s="13" t="s">
        <v>5366</v>
      </c>
      <c r="M804" s="13">
        <v>120908186</v>
      </c>
      <c r="N804" s="18" t="s">
        <v>5091</v>
      </c>
      <c r="O804" s="18"/>
      <c r="P804" s="18" t="s">
        <v>5367</v>
      </c>
      <c r="Q804" s="19" t="s">
        <v>5368</v>
      </c>
    </row>
    <row r="805" spans="1:17">
      <c r="A805" s="17"/>
      <c r="B805" s="13" t="s">
        <v>5624</v>
      </c>
      <c r="C805" s="13" t="s">
        <v>5625</v>
      </c>
      <c r="D805" s="13" t="s">
        <v>5626</v>
      </c>
      <c r="E805" s="13" t="s">
        <v>5627</v>
      </c>
      <c r="F805" s="13" t="s">
        <v>5164</v>
      </c>
      <c r="G805" s="13">
        <v>2119191</v>
      </c>
      <c r="H805" s="13">
        <v>5031844</v>
      </c>
      <c r="I805" s="13">
        <v>3300008123</v>
      </c>
      <c r="J805" s="13"/>
      <c r="K805" s="13"/>
      <c r="L805" s="13" t="s">
        <v>5628</v>
      </c>
      <c r="M805" s="13">
        <v>120908624</v>
      </c>
      <c r="N805" s="18" t="s">
        <v>4424</v>
      </c>
      <c r="O805" s="18" t="s">
        <v>5629</v>
      </c>
      <c r="P805" s="18" t="s">
        <v>5630</v>
      </c>
      <c r="Q805" s="19" t="s">
        <v>3473</v>
      </c>
    </row>
    <row r="806" spans="1:17">
      <c r="A806" s="17"/>
      <c r="B806" s="13" t="s">
        <v>6371</v>
      </c>
      <c r="C806" s="13" t="s">
        <v>6372</v>
      </c>
      <c r="D806" s="13" t="s">
        <v>6373</v>
      </c>
      <c r="E806" s="13" t="s">
        <v>6365</v>
      </c>
      <c r="F806" s="13" t="s">
        <v>5843</v>
      </c>
      <c r="G806" s="13">
        <v>5040882</v>
      </c>
      <c r="H806" s="13" t="s">
        <v>6374</v>
      </c>
      <c r="I806" s="13">
        <v>3300006791</v>
      </c>
      <c r="J806" s="13">
        <v>5040894</v>
      </c>
      <c r="K806" s="13"/>
      <c r="L806" s="13" t="s">
        <v>6375</v>
      </c>
      <c r="M806" s="13">
        <v>120909516</v>
      </c>
      <c r="N806" s="18" t="s">
        <v>3105</v>
      </c>
      <c r="O806" s="18" t="s">
        <v>6376</v>
      </c>
      <c r="P806" s="18" t="s">
        <v>6377</v>
      </c>
      <c r="Q806" s="19" t="s">
        <v>4910</v>
      </c>
    </row>
    <row r="807" spans="1:17">
      <c r="A807" s="17"/>
      <c r="B807" s="13" t="s">
        <v>5590</v>
      </c>
      <c r="C807" s="13" t="s">
        <v>5591</v>
      </c>
      <c r="D807" s="13" t="s">
        <v>5592</v>
      </c>
      <c r="E807" s="13" t="s">
        <v>609</v>
      </c>
      <c r="F807" s="13" t="s">
        <v>5164</v>
      </c>
      <c r="G807" s="13">
        <v>2115646</v>
      </c>
      <c r="H807" s="13">
        <v>5001450</v>
      </c>
      <c r="I807" s="13">
        <v>3300008128</v>
      </c>
      <c r="J807" s="13">
        <v>2115658</v>
      </c>
      <c r="K807" s="13"/>
      <c r="L807" s="13" t="s">
        <v>5593</v>
      </c>
      <c r="M807" s="13">
        <v>120901350</v>
      </c>
      <c r="N807" s="18" t="s">
        <v>4424</v>
      </c>
      <c r="O807" s="18" t="s">
        <v>5594</v>
      </c>
      <c r="P807" s="18" t="s">
        <v>5595</v>
      </c>
      <c r="Q807" s="19" t="s">
        <v>4225</v>
      </c>
    </row>
    <row r="808" spans="1:17">
      <c r="A808" s="17"/>
      <c r="B808" s="13" t="s">
        <v>3182</v>
      </c>
      <c r="C808" s="13" t="s">
        <v>3183</v>
      </c>
      <c r="D808" s="13" t="s">
        <v>377</v>
      </c>
      <c r="E808" s="13" t="s">
        <v>733</v>
      </c>
      <c r="F808" s="13" t="s">
        <v>3101</v>
      </c>
      <c r="G808" s="13">
        <v>5014449</v>
      </c>
      <c r="H808" s="13" t="s">
        <v>3184</v>
      </c>
      <c r="I808" s="13">
        <v>3300005177</v>
      </c>
      <c r="J808" s="13" t="s">
        <v>3185</v>
      </c>
      <c r="K808" s="13"/>
      <c r="L808" s="13" t="s">
        <v>3186</v>
      </c>
      <c r="M808" s="13">
        <v>120908305</v>
      </c>
      <c r="N808" s="18" t="s">
        <v>3187</v>
      </c>
      <c r="O808" s="18"/>
      <c r="P808" s="18" t="s">
        <v>3188</v>
      </c>
      <c r="Q808" s="19" t="s">
        <v>3189</v>
      </c>
    </row>
    <row r="809" spans="1:17">
      <c r="A809" s="17"/>
      <c r="B809" s="13" t="s">
        <v>1630</v>
      </c>
      <c r="C809" s="13" t="s">
        <v>1631</v>
      </c>
      <c r="D809" s="13" t="s">
        <v>119</v>
      </c>
      <c r="E809" s="13" t="s">
        <v>568</v>
      </c>
      <c r="F809" s="13" t="s">
        <v>844</v>
      </c>
      <c r="G809" s="13">
        <v>3300011818</v>
      </c>
      <c r="H809" s="13" t="s">
        <v>1632</v>
      </c>
      <c r="I809" s="13">
        <v>2103958</v>
      </c>
      <c r="J809" s="13"/>
      <c r="K809" s="13"/>
      <c r="L809" s="13" t="s">
        <v>1633</v>
      </c>
      <c r="M809" s="13">
        <v>120700682</v>
      </c>
      <c r="N809" s="18" t="s">
        <v>1421</v>
      </c>
      <c r="O809" s="18" t="s">
        <v>1634</v>
      </c>
      <c r="P809" s="18" t="s">
        <v>1635</v>
      </c>
      <c r="Q809" s="19" t="s">
        <v>1636</v>
      </c>
    </row>
    <row r="810" spans="1:17">
      <c r="A810" s="17"/>
      <c r="B810" s="13" t="s">
        <v>1507</v>
      </c>
      <c r="C810" s="13" t="s">
        <v>1508</v>
      </c>
      <c r="D810" s="13" t="s">
        <v>198</v>
      </c>
      <c r="E810" s="13" t="s">
        <v>629</v>
      </c>
      <c r="F810" s="13" t="s">
        <v>844</v>
      </c>
      <c r="G810" s="13">
        <v>2114742</v>
      </c>
      <c r="H810" s="13">
        <v>5042660</v>
      </c>
      <c r="I810" s="13">
        <v>2159910</v>
      </c>
      <c r="J810" s="13">
        <v>3300002807</v>
      </c>
      <c r="K810" s="13" t="s">
        <v>1509</v>
      </c>
      <c r="L810" s="13" t="s">
        <v>1510</v>
      </c>
      <c r="M810" s="13">
        <v>120702125</v>
      </c>
      <c r="N810" s="18" t="s">
        <v>887</v>
      </c>
      <c r="O810" s="18"/>
      <c r="P810" s="18" t="s">
        <v>1511</v>
      </c>
      <c r="Q810" s="19" t="s">
        <v>1512</v>
      </c>
    </row>
    <row r="811" spans="1:17">
      <c r="A811" s="17"/>
      <c r="B811" s="13" t="s">
        <v>5852</v>
      </c>
      <c r="C811" s="13" t="s">
        <v>5853</v>
      </c>
      <c r="D811" s="13" t="s">
        <v>227</v>
      </c>
      <c r="E811" s="13" t="s">
        <v>648</v>
      </c>
      <c r="F811" s="13" t="s">
        <v>5843</v>
      </c>
      <c r="G811" s="13" t="s">
        <v>5854</v>
      </c>
      <c r="H811" s="13">
        <v>3300004162</v>
      </c>
      <c r="I811" s="13">
        <v>2096094</v>
      </c>
      <c r="J811" s="13">
        <v>3300004143</v>
      </c>
      <c r="K811" s="13" t="s">
        <v>5855</v>
      </c>
      <c r="L811" s="13" t="s">
        <v>5856</v>
      </c>
      <c r="M811" s="13">
        <v>120704046</v>
      </c>
      <c r="N811" s="18" t="s">
        <v>3187</v>
      </c>
      <c r="O811" s="18" t="s">
        <v>5857</v>
      </c>
      <c r="P811" s="18" t="s">
        <v>5858</v>
      </c>
      <c r="Q811" s="19" t="s">
        <v>1679</v>
      </c>
    </row>
    <row r="812" spans="1:17">
      <c r="A812" s="17" t="s">
        <v>839</v>
      </c>
      <c r="B812" s="13" t="s">
        <v>1699</v>
      </c>
      <c r="C812" s="13" t="s">
        <v>1700</v>
      </c>
      <c r="D812" s="13" t="s">
        <v>1701</v>
      </c>
      <c r="E812" s="13" t="s">
        <v>615</v>
      </c>
      <c r="F812" s="13" t="s">
        <v>844</v>
      </c>
      <c r="G812" s="13">
        <v>5014453</v>
      </c>
      <c r="H812" s="13" t="s">
        <v>1702</v>
      </c>
      <c r="I812" s="13">
        <v>3300005178</v>
      </c>
      <c r="J812" s="13">
        <v>2116315</v>
      </c>
      <c r="K812" s="13"/>
      <c r="L812" s="13" t="s">
        <v>1703</v>
      </c>
      <c r="M812" s="13">
        <v>120706373</v>
      </c>
      <c r="N812" s="18" t="s">
        <v>879</v>
      </c>
      <c r="O812" s="18"/>
      <c r="P812" s="18" t="s">
        <v>1704</v>
      </c>
      <c r="Q812" s="19" t="s">
        <v>1705</v>
      </c>
    </row>
    <row r="813" spans="1:17">
      <c r="A813" s="17"/>
      <c r="B813" s="13" t="s">
        <v>3040</v>
      </c>
      <c r="C813" s="13" t="s">
        <v>10</v>
      </c>
      <c r="D813" s="13" t="s">
        <v>3041</v>
      </c>
      <c r="E813" s="13" t="s">
        <v>675</v>
      </c>
      <c r="F813" s="13" t="s">
        <v>2830</v>
      </c>
      <c r="G813" s="13"/>
      <c r="H813" s="13" t="s">
        <v>3042</v>
      </c>
      <c r="I813" s="13">
        <v>2119283</v>
      </c>
      <c r="J813" s="13"/>
      <c r="K813" s="13"/>
      <c r="L813" s="13" t="s">
        <v>3043</v>
      </c>
      <c r="M813" s="13">
        <v>120706763</v>
      </c>
      <c r="N813" s="18" t="s">
        <v>2436</v>
      </c>
      <c r="O813" s="18" t="s">
        <v>3044</v>
      </c>
      <c r="P813" s="18" t="s">
        <v>3045</v>
      </c>
      <c r="Q813" s="19" t="s">
        <v>1589</v>
      </c>
    </row>
    <row r="814" spans="1:17">
      <c r="A814" s="17"/>
      <c r="B814" s="20" t="s">
        <v>6283</v>
      </c>
      <c r="C814" s="20" t="s">
        <v>6284</v>
      </c>
      <c r="D814" s="20" t="s">
        <v>6285</v>
      </c>
      <c r="E814" s="20" t="s">
        <v>6286</v>
      </c>
      <c r="F814" s="20" t="s">
        <v>5843</v>
      </c>
      <c r="G814" s="20">
        <v>2103486</v>
      </c>
      <c r="H814" s="20">
        <v>3300001711</v>
      </c>
      <c r="I814" s="20" t="s">
        <v>6287</v>
      </c>
      <c r="J814" s="20"/>
      <c r="K814" s="20"/>
      <c r="L814" s="20" t="s">
        <v>6288</v>
      </c>
      <c r="M814" s="20">
        <v>150700192</v>
      </c>
      <c r="N814" s="20"/>
      <c r="O814" s="20"/>
      <c r="P814" s="20"/>
      <c r="Q814" s="24">
        <v>42135</v>
      </c>
    </row>
    <row r="815" spans="1:17">
      <c r="A815" s="17" t="s">
        <v>839</v>
      </c>
      <c r="B815" s="13" t="s">
        <v>3995</v>
      </c>
      <c r="C815" s="13" t="s">
        <v>3996</v>
      </c>
      <c r="D815" s="13" t="s">
        <v>93</v>
      </c>
      <c r="E815" s="13" t="s">
        <v>712</v>
      </c>
      <c r="F815" s="13" t="s">
        <v>3754</v>
      </c>
      <c r="G815" s="13" t="s">
        <v>3997</v>
      </c>
      <c r="H815" s="13">
        <v>2103902</v>
      </c>
      <c r="I815" s="13" t="s">
        <v>3998</v>
      </c>
      <c r="J815" s="13">
        <v>3400001172</v>
      </c>
      <c r="K815" s="13">
        <v>1776717</v>
      </c>
      <c r="L815" s="13" t="s">
        <v>3999</v>
      </c>
      <c r="M815" s="13">
        <v>120700502</v>
      </c>
      <c r="N815" s="18" t="s">
        <v>1018</v>
      </c>
      <c r="O815" s="18"/>
      <c r="P815" s="18" t="s">
        <v>4000</v>
      </c>
      <c r="Q815" s="19" t="s">
        <v>4001</v>
      </c>
    </row>
    <row r="816" spans="1:17">
      <c r="A816" s="17" t="s">
        <v>839</v>
      </c>
      <c r="B816" s="13" t="s">
        <v>4002</v>
      </c>
      <c r="C816" s="13" t="s">
        <v>4003</v>
      </c>
      <c r="D816" s="13" t="s">
        <v>411</v>
      </c>
      <c r="E816" s="13" t="s">
        <v>712</v>
      </c>
      <c r="F816" s="13" t="s">
        <v>3754</v>
      </c>
      <c r="G816" s="13">
        <v>5049719</v>
      </c>
      <c r="H816" s="13" t="s">
        <v>4004</v>
      </c>
      <c r="I816" s="13">
        <v>3300009725</v>
      </c>
      <c r="J816" s="13">
        <v>2171889</v>
      </c>
      <c r="K816" s="13">
        <v>5049704</v>
      </c>
      <c r="L816" s="13" t="s">
        <v>4005</v>
      </c>
      <c r="M816" s="13">
        <v>130701999</v>
      </c>
      <c r="N816" s="18" t="s">
        <v>1018</v>
      </c>
      <c r="O816" s="18"/>
      <c r="P816" s="18"/>
      <c r="Q816" s="19" t="s">
        <v>2069</v>
      </c>
    </row>
    <row r="817" spans="1:17">
      <c r="A817" s="17" t="s">
        <v>839</v>
      </c>
      <c r="B817" s="13" t="s">
        <v>2396</v>
      </c>
      <c r="C817" s="13" t="s">
        <v>2397</v>
      </c>
      <c r="D817" s="13" t="s">
        <v>2398</v>
      </c>
      <c r="E817" s="13" t="s">
        <v>557</v>
      </c>
      <c r="F817" s="13" t="s">
        <v>2345</v>
      </c>
      <c r="G817" s="13" t="s">
        <v>2399</v>
      </c>
      <c r="H817" s="13">
        <v>3400002959</v>
      </c>
      <c r="I817" s="13" t="s">
        <v>2400</v>
      </c>
      <c r="J817" s="13">
        <v>2199639</v>
      </c>
      <c r="K817" s="13">
        <v>3400002967</v>
      </c>
      <c r="L817" s="13" t="s">
        <v>2401</v>
      </c>
      <c r="M817" s="13">
        <v>140704307</v>
      </c>
      <c r="N817" s="18"/>
      <c r="O817" s="18" t="s">
        <v>2402</v>
      </c>
      <c r="P817" s="18"/>
      <c r="Q817" s="19">
        <v>42101</v>
      </c>
    </row>
    <row r="818" spans="1:17">
      <c r="A818" s="17"/>
      <c r="B818" s="13" t="s">
        <v>1195</v>
      </c>
      <c r="C818" s="13" t="s">
        <v>1196</v>
      </c>
      <c r="D818" s="13" t="s">
        <v>1197</v>
      </c>
      <c r="E818" s="13" t="s">
        <v>578</v>
      </c>
      <c r="F818" s="13" t="s">
        <v>844</v>
      </c>
      <c r="G818" s="13">
        <v>2119260</v>
      </c>
      <c r="H818" s="13">
        <v>5050450</v>
      </c>
      <c r="I818" s="13" t="s">
        <v>1198</v>
      </c>
      <c r="J818" s="13">
        <v>3300011514</v>
      </c>
      <c r="K818" s="13">
        <v>2119277</v>
      </c>
      <c r="L818" s="13" t="s">
        <v>1199</v>
      </c>
      <c r="M818" s="13">
        <v>120700727</v>
      </c>
      <c r="N818" s="18" t="s">
        <v>879</v>
      </c>
      <c r="O818" s="18" t="s">
        <v>1200</v>
      </c>
      <c r="P818" s="18" t="s">
        <v>1201</v>
      </c>
      <c r="Q818" s="19" t="s">
        <v>1202</v>
      </c>
    </row>
    <row r="819" spans="1:17">
      <c r="A819" s="17"/>
      <c r="B819" s="13" t="s">
        <v>3430</v>
      </c>
      <c r="C819" s="13" t="s">
        <v>3431</v>
      </c>
      <c r="D819" s="13" t="s">
        <v>167</v>
      </c>
      <c r="E819" s="13" t="s">
        <v>603</v>
      </c>
      <c r="F819" s="13" t="s">
        <v>3101</v>
      </c>
      <c r="G819" s="13">
        <v>3300001688</v>
      </c>
      <c r="H819" s="13" t="s">
        <v>3432</v>
      </c>
      <c r="I819" s="13">
        <v>5045658</v>
      </c>
      <c r="J819" s="13">
        <v>2171887</v>
      </c>
      <c r="K819" s="13">
        <v>2183556</v>
      </c>
      <c r="L819" s="13" t="s">
        <v>3433</v>
      </c>
      <c r="M819" s="13">
        <v>120701291</v>
      </c>
      <c r="N819" s="18" t="s">
        <v>3117</v>
      </c>
      <c r="O819" s="18"/>
      <c r="P819" s="18" t="s">
        <v>3434</v>
      </c>
      <c r="Q819" s="19" t="s">
        <v>1202</v>
      </c>
    </row>
    <row r="820" spans="1:17">
      <c r="A820" s="17"/>
      <c r="B820" s="13" t="s">
        <v>1030</v>
      </c>
      <c r="C820" s="13" t="s">
        <v>1031</v>
      </c>
      <c r="D820" s="13" t="s">
        <v>100</v>
      </c>
      <c r="E820" s="13" t="s">
        <v>557</v>
      </c>
      <c r="F820" s="13" t="s">
        <v>844</v>
      </c>
      <c r="G820" s="13">
        <v>2114732</v>
      </c>
      <c r="H820" s="13">
        <v>5045653</v>
      </c>
      <c r="I820" s="13" t="s">
        <v>1032</v>
      </c>
      <c r="J820" s="13">
        <v>3300006803</v>
      </c>
      <c r="K820" s="13">
        <v>2103886</v>
      </c>
      <c r="L820" s="13" t="s">
        <v>1033</v>
      </c>
      <c r="M820" s="13">
        <v>120700535</v>
      </c>
      <c r="N820" s="18" t="s">
        <v>847</v>
      </c>
      <c r="O820" s="18"/>
      <c r="P820" s="18" t="s">
        <v>1034</v>
      </c>
      <c r="Q820" s="19" t="s">
        <v>1035</v>
      </c>
    </row>
    <row r="821" spans="1:17">
      <c r="A821" s="17" t="s">
        <v>839</v>
      </c>
      <c r="B821" s="13" t="s">
        <v>3501</v>
      </c>
      <c r="C821" s="13" t="s">
        <v>3502</v>
      </c>
      <c r="D821" s="13" t="s">
        <v>274</v>
      </c>
      <c r="E821" s="13" t="s">
        <v>538</v>
      </c>
      <c r="F821" s="13" t="s">
        <v>3101</v>
      </c>
      <c r="G821" s="13">
        <v>2114766</v>
      </c>
      <c r="H821" s="13">
        <v>3300004146</v>
      </c>
      <c r="I821" s="13" t="s">
        <v>3503</v>
      </c>
      <c r="J821" s="13">
        <v>3300004148</v>
      </c>
      <c r="K821" s="13">
        <v>5047876</v>
      </c>
      <c r="L821" s="13" t="s">
        <v>3504</v>
      </c>
      <c r="M821" s="13">
        <v>120706759</v>
      </c>
      <c r="N821" s="18" t="s">
        <v>3117</v>
      </c>
      <c r="O821" s="18"/>
      <c r="P821" s="18" t="s">
        <v>3505</v>
      </c>
      <c r="Q821" s="19" t="s">
        <v>2733</v>
      </c>
    </row>
    <row r="822" spans="1:17">
      <c r="A822" s="17"/>
      <c r="B822" s="13" t="s">
        <v>1093</v>
      </c>
      <c r="C822" s="13" t="s">
        <v>18</v>
      </c>
      <c r="D822" s="13" t="s">
        <v>311</v>
      </c>
      <c r="E822" s="13" t="s">
        <v>706</v>
      </c>
      <c r="F822" s="13" t="s">
        <v>844</v>
      </c>
      <c r="G822" s="13">
        <v>3300009752</v>
      </c>
      <c r="H822" s="13">
        <v>5050436</v>
      </c>
      <c r="I822" s="13" t="s">
        <v>1094</v>
      </c>
      <c r="J822" s="13">
        <v>2177122</v>
      </c>
      <c r="K822" s="13">
        <v>3300009740</v>
      </c>
      <c r="L822" s="13" t="s">
        <v>1095</v>
      </c>
      <c r="M822" s="13">
        <v>120709151</v>
      </c>
      <c r="N822" s="18" t="s">
        <v>847</v>
      </c>
      <c r="O822" s="18"/>
      <c r="P822" s="18" t="s">
        <v>1096</v>
      </c>
      <c r="Q822" s="19" t="s">
        <v>1097</v>
      </c>
    </row>
    <row r="823" spans="1:17">
      <c r="A823" s="17"/>
      <c r="B823" s="13" t="s">
        <v>2130</v>
      </c>
      <c r="C823" s="13" t="s">
        <v>2131</v>
      </c>
      <c r="D823" s="13" t="s">
        <v>2132</v>
      </c>
      <c r="E823" s="13" t="s">
        <v>811</v>
      </c>
      <c r="F823" s="13" t="s">
        <v>844</v>
      </c>
      <c r="G823" s="13"/>
      <c r="H823" s="13">
        <v>3300003001</v>
      </c>
      <c r="I823" s="13">
        <v>2171988</v>
      </c>
      <c r="J823" s="13"/>
      <c r="K823" s="13"/>
      <c r="L823" s="13" t="s">
        <v>2133</v>
      </c>
      <c r="M823" s="13">
        <v>120700612</v>
      </c>
      <c r="N823" s="18" t="s">
        <v>847</v>
      </c>
      <c r="O823" s="18" t="s">
        <v>2134</v>
      </c>
      <c r="P823" s="18" t="s">
        <v>2135</v>
      </c>
      <c r="Q823" s="19" t="s">
        <v>2136</v>
      </c>
    </row>
    <row r="824" spans="1:17">
      <c r="A824" s="17" t="s">
        <v>839</v>
      </c>
      <c r="B824" s="13" t="s">
        <v>3356</v>
      </c>
      <c r="C824" s="13" t="s">
        <v>3357</v>
      </c>
      <c r="D824" s="13" t="s">
        <v>154</v>
      </c>
      <c r="E824" s="13" t="s">
        <v>598</v>
      </c>
      <c r="F824" s="13" t="s">
        <v>3101</v>
      </c>
      <c r="G824" s="13" t="s">
        <v>3358</v>
      </c>
      <c r="H824" s="13" t="s">
        <v>3359</v>
      </c>
      <c r="I824" s="13">
        <v>2103445</v>
      </c>
      <c r="J824" s="13">
        <v>2116290</v>
      </c>
      <c r="K824" s="13">
        <v>3300012264</v>
      </c>
      <c r="L824" s="13" t="s">
        <v>3360</v>
      </c>
      <c r="M824" s="13">
        <v>120701221</v>
      </c>
      <c r="N824" s="18" t="s">
        <v>887</v>
      </c>
      <c r="O824" s="18" t="s">
        <v>3361</v>
      </c>
      <c r="P824" s="18" t="s">
        <v>3362</v>
      </c>
      <c r="Q824" s="19" t="s">
        <v>3363</v>
      </c>
    </row>
    <row r="825" spans="1:17">
      <c r="A825" s="17"/>
      <c r="B825" s="13" t="s">
        <v>4847</v>
      </c>
      <c r="C825" s="13" t="s">
        <v>4848</v>
      </c>
      <c r="D825" s="13" t="s">
        <v>4849</v>
      </c>
      <c r="E825" s="13" t="s">
        <v>4834</v>
      </c>
      <c r="F825" s="13" t="s">
        <v>4395</v>
      </c>
      <c r="G825" s="13">
        <v>5042655</v>
      </c>
      <c r="H825" s="13">
        <v>3300002927</v>
      </c>
      <c r="I825" s="13">
        <v>2114777</v>
      </c>
      <c r="J825" s="13"/>
      <c r="K825" s="13"/>
      <c r="L825" s="13" t="s">
        <v>4850</v>
      </c>
      <c r="M825" s="13">
        <v>120701386</v>
      </c>
      <c r="N825" s="18" t="s">
        <v>4399</v>
      </c>
      <c r="O825" s="18" t="s">
        <v>4851</v>
      </c>
      <c r="P825" s="18" t="s">
        <v>4852</v>
      </c>
      <c r="Q825" s="19" t="s">
        <v>4853</v>
      </c>
    </row>
    <row r="826" spans="1:17">
      <c r="A826" s="17"/>
      <c r="B826" s="13" t="s">
        <v>2213</v>
      </c>
      <c r="C826" s="13" t="s">
        <v>32</v>
      </c>
      <c r="D826" s="13" t="s">
        <v>357</v>
      </c>
      <c r="E826" s="13" t="s">
        <v>619</v>
      </c>
      <c r="F826" s="20" t="s">
        <v>2191</v>
      </c>
      <c r="G826" s="13">
        <v>3300005151</v>
      </c>
      <c r="H826" s="13" t="s">
        <v>2214</v>
      </c>
      <c r="I826" s="13">
        <v>3300005149</v>
      </c>
      <c r="J826" s="13">
        <v>2114774</v>
      </c>
      <c r="K826" s="13"/>
      <c r="L826" s="13" t="s">
        <v>2215</v>
      </c>
      <c r="M826" s="13">
        <v>120901304</v>
      </c>
      <c r="N826" s="18" t="s">
        <v>879</v>
      </c>
      <c r="O826" s="18" t="s">
        <v>2216</v>
      </c>
      <c r="P826" s="18" t="s">
        <v>2217</v>
      </c>
      <c r="Q826" s="19" t="s">
        <v>1160</v>
      </c>
    </row>
    <row r="827" spans="1:17">
      <c r="A827" s="17"/>
      <c r="B827" s="13" t="s">
        <v>5445</v>
      </c>
      <c r="C827" s="13" t="s">
        <v>5446</v>
      </c>
      <c r="D827" s="13" t="s">
        <v>320</v>
      </c>
      <c r="E827" s="13" t="s">
        <v>576</v>
      </c>
      <c r="F827" s="13" t="s">
        <v>5164</v>
      </c>
      <c r="G827" s="13">
        <v>2183473</v>
      </c>
      <c r="H827" s="13">
        <v>5059335</v>
      </c>
      <c r="I827" s="13">
        <v>3300002918</v>
      </c>
      <c r="J827" s="13"/>
      <c r="K827" s="13"/>
      <c r="L827" s="13" t="s">
        <v>5447</v>
      </c>
      <c r="M827" s="13">
        <v>120710386</v>
      </c>
      <c r="N827" s="18" t="s">
        <v>5091</v>
      </c>
      <c r="O827" s="18" t="s">
        <v>5448</v>
      </c>
      <c r="P827" s="18" t="s">
        <v>5449</v>
      </c>
      <c r="Q827" s="19" t="s">
        <v>4980</v>
      </c>
    </row>
    <row r="828" spans="1:17">
      <c r="A828" s="17"/>
      <c r="B828" s="13" t="s">
        <v>3091</v>
      </c>
      <c r="C828" s="13" t="s">
        <v>3092</v>
      </c>
      <c r="D828" s="13" t="s">
        <v>3093</v>
      </c>
      <c r="E828" s="13" t="s">
        <v>595</v>
      </c>
      <c r="F828" s="13" t="s">
        <v>2830</v>
      </c>
      <c r="G828" s="13">
        <v>2103930</v>
      </c>
      <c r="H828" s="13">
        <v>3300003153</v>
      </c>
      <c r="I828" s="13">
        <v>2103467</v>
      </c>
      <c r="J828" s="13" t="s">
        <v>3094</v>
      </c>
      <c r="K828" s="13">
        <v>5032247</v>
      </c>
      <c r="L828" s="13" t="s">
        <v>3095</v>
      </c>
      <c r="M828" s="13">
        <v>140704222</v>
      </c>
      <c r="N828" s="18"/>
      <c r="O828" s="18" t="s">
        <v>3096</v>
      </c>
      <c r="P828" s="18"/>
      <c r="Q828" s="19">
        <v>42100</v>
      </c>
    </row>
    <row r="829" spans="1:17">
      <c r="A829" s="17"/>
      <c r="B829" s="13" t="s">
        <v>3435</v>
      </c>
      <c r="C829" s="13" t="s">
        <v>3436</v>
      </c>
      <c r="D829" s="13" t="s">
        <v>499</v>
      </c>
      <c r="E829" s="13" t="s">
        <v>603</v>
      </c>
      <c r="F829" s="13" t="s">
        <v>3101</v>
      </c>
      <c r="G829" s="13">
        <v>2183545</v>
      </c>
      <c r="H829" s="13">
        <v>5059387</v>
      </c>
      <c r="I829" s="13" t="s">
        <v>3437</v>
      </c>
      <c r="J829" s="13">
        <v>3300002820</v>
      </c>
      <c r="K829" s="13">
        <v>2183575</v>
      </c>
      <c r="L829" s="13" t="s">
        <v>3438</v>
      </c>
      <c r="M829" s="13">
        <v>140700643</v>
      </c>
      <c r="N829" s="18" t="s">
        <v>3117</v>
      </c>
      <c r="O829" s="18" t="s">
        <v>3439</v>
      </c>
      <c r="P829" s="18"/>
      <c r="Q829" s="19"/>
    </row>
    <row r="830" spans="1:17">
      <c r="A830" s="17" t="s">
        <v>839</v>
      </c>
      <c r="B830" s="13" t="s">
        <v>4307</v>
      </c>
      <c r="C830" s="13" t="s">
        <v>4308</v>
      </c>
      <c r="D830" s="13" t="s">
        <v>113</v>
      </c>
      <c r="E830" s="13" t="s">
        <v>553</v>
      </c>
      <c r="F830" s="13" t="s">
        <v>3754</v>
      </c>
      <c r="G830" s="13">
        <v>2115660</v>
      </c>
      <c r="H830" s="13">
        <v>5001448</v>
      </c>
      <c r="I830" s="13" t="s">
        <v>4309</v>
      </c>
      <c r="J830" s="13" t="s">
        <v>4310</v>
      </c>
      <c r="K830" s="13">
        <v>3300004121</v>
      </c>
      <c r="L830" s="13" t="s">
        <v>4311</v>
      </c>
      <c r="M830" s="13">
        <v>120700655</v>
      </c>
      <c r="N830" s="18" t="s">
        <v>1018</v>
      </c>
      <c r="O830" s="18" t="s">
        <v>4312</v>
      </c>
      <c r="P830" s="18" t="s">
        <v>4313</v>
      </c>
      <c r="Q830" s="19" t="s">
        <v>4225</v>
      </c>
    </row>
    <row r="831" spans="1:17">
      <c r="A831" s="17"/>
      <c r="B831" s="13" t="s">
        <v>4544</v>
      </c>
      <c r="C831" s="13" t="s">
        <v>4545</v>
      </c>
      <c r="D831" s="13" t="s">
        <v>4546</v>
      </c>
      <c r="E831" s="13" t="s">
        <v>4547</v>
      </c>
      <c r="F831" s="13" t="s">
        <v>4395</v>
      </c>
      <c r="G831" s="13">
        <v>2116261</v>
      </c>
      <c r="H831" s="13">
        <v>3300011486</v>
      </c>
      <c r="I831" s="13" t="s">
        <v>4548</v>
      </c>
      <c r="J831" s="13"/>
      <c r="K831" s="13"/>
      <c r="L831" s="13" t="s">
        <v>4549</v>
      </c>
      <c r="M831" s="13">
        <v>140701782</v>
      </c>
      <c r="N831" s="18"/>
      <c r="O831" s="18" t="s">
        <v>4550</v>
      </c>
      <c r="P831" s="18" t="s">
        <v>4551</v>
      </c>
      <c r="Q831" s="19">
        <v>42103</v>
      </c>
    </row>
    <row r="832" spans="1:17">
      <c r="A832" s="17" t="s">
        <v>839</v>
      </c>
      <c r="B832" s="13" t="s">
        <v>4314</v>
      </c>
      <c r="C832" s="13" t="s">
        <v>39</v>
      </c>
      <c r="D832" s="13" t="s">
        <v>4315</v>
      </c>
      <c r="E832" s="13" t="s">
        <v>553</v>
      </c>
      <c r="F832" s="13" t="s">
        <v>3754</v>
      </c>
      <c r="G832" s="13" t="s">
        <v>4316</v>
      </c>
      <c r="H832" s="13">
        <v>2119206</v>
      </c>
      <c r="I832" s="13">
        <v>3300009526</v>
      </c>
      <c r="J832" s="13" t="s">
        <v>4317</v>
      </c>
      <c r="K832" s="13">
        <v>5040897</v>
      </c>
      <c r="L832" s="13" t="s">
        <v>4318</v>
      </c>
      <c r="M832" s="13">
        <v>130700967</v>
      </c>
      <c r="N832" s="18" t="s">
        <v>1018</v>
      </c>
      <c r="O832" s="18" t="s">
        <v>4319</v>
      </c>
      <c r="P832" s="18" t="s">
        <v>4320</v>
      </c>
      <c r="Q832" s="19" t="s">
        <v>2578</v>
      </c>
    </row>
    <row r="833" spans="1:17">
      <c r="A833" s="17" t="s">
        <v>839</v>
      </c>
      <c r="B833" s="13" t="s">
        <v>2447</v>
      </c>
      <c r="C833" s="13" t="s">
        <v>2448</v>
      </c>
      <c r="D833" s="13" t="s">
        <v>2449</v>
      </c>
      <c r="E833" s="13" t="s">
        <v>2450</v>
      </c>
      <c r="F833" s="13" t="s">
        <v>2433</v>
      </c>
      <c r="G833" s="13" t="s">
        <v>2451</v>
      </c>
      <c r="H833" s="13" t="s">
        <v>2452</v>
      </c>
      <c r="I833" s="13">
        <v>3300011523</v>
      </c>
      <c r="J833" s="13">
        <v>2119566</v>
      </c>
      <c r="K833" s="13" t="s">
        <v>2453</v>
      </c>
      <c r="L833" s="13" t="s">
        <v>2454</v>
      </c>
      <c r="M833" s="13">
        <v>120701211</v>
      </c>
      <c r="N833" s="18" t="s">
        <v>2436</v>
      </c>
      <c r="O833" s="18" t="s">
        <v>2455</v>
      </c>
      <c r="P833" s="18" t="s">
        <v>2456</v>
      </c>
      <c r="Q833" s="19" t="s">
        <v>1547</v>
      </c>
    </row>
    <row r="834" spans="1:17">
      <c r="A834" s="17" t="s">
        <v>839</v>
      </c>
      <c r="B834" s="13" t="s">
        <v>1659</v>
      </c>
      <c r="C834" s="13" t="s">
        <v>1660</v>
      </c>
      <c r="D834" s="12" t="s">
        <v>1661</v>
      </c>
      <c r="E834" s="13" t="s">
        <v>713</v>
      </c>
      <c r="F834" s="13" t="s">
        <v>844</v>
      </c>
      <c r="G834" s="13">
        <v>2114807</v>
      </c>
      <c r="H834" s="13">
        <v>2160439</v>
      </c>
      <c r="I834" s="13">
        <v>5036919</v>
      </c>
      <c r="J834" s="13">
        <v>5036924</v>
      </c>
      <c r="K834" s="13">
        <v>3300006713</v>
      </c>
      <c r="L834" s="13" t="s">
        <v>1662</v>
      </c>
      <c r="M834" s="13">
        <v>120911211</v>
      </c>
      <c r="N834" s="18" t="s">
        <v>879</v>
      </c>
      <c r="O834" s="18" t="s">
        <v>1663</v>
      </c>
      <c r="P834" s="18" t="s">
        <v>1664</v>
      </c>
      <c r="Q834" s="19"/>
    </row>
    <row r="835" spans="1:17">
      <c r="A835" s="17"/>
      <c r="B835" s="13" t="s">
        <v>1665</v>
      </c>
      <c r="C835" s="13" t="s">
        <v>1666</v>
      </c>
      <c r="D835" s="13" t="s">
        <v>327</v>
      </c>
      <c r="E835" s="13" t="s">
        <v>713</v>
      </c>
      <c r="F835" s="13" t="s">
        <v>844</v>
      </c>
      <c r="G835" s="13">
        <v>2119220</v>
      </c>
      <c r="H835" s="13" t="s">
        <v>1667</v>
      </c>
      <c r="I835" s="13">
        <v>3300010900</v>
      </c>
      <c r="J835" s="13"/>
      <c r="K835" s="13"/>
      <c r="L835" s="13" t="s">
        <v>1668</v>
      </c>
      <c r="M835" s="13">
        <v>120711788</v>
      </c>
      <c r="N835" s="18" t="s">
        <v>879</v>
      </c>
      <c r="O835" s="18" t="s">
        <v>1669</v>
      </c>
      <c r="P835" s="18" t="s">
        <v>1670</v>
      </c>
      <c r="Q835" s="19" t="s">
        <v>1671</v>
      </c>
    </row>
    <row r="836" spans="1:17">
      <c r="A836" s="17" t="s">
        <v>839</v>
      </c>
      <c r="B836" s="13" t="s">
        <v>1291</v>
      </c>
      <c r="C836" s="13" t="s">
        <v>1291</v>
      </c>
      <c r="D836" s="13" t="s">
        <v>163</v>
      </c>
      <c r="E836" s="13" t="s">
        <v>607</v>
      </c>
      <c r="F836" s="13" t="s">
        <v>844</v>
      </c>
      <c r="G836" s="13">
        <v>3300008121</v>
      </c>
      <c r="H836" s="13">
        <v>2103520</v>
      </c>
      <c r="I836" s="13">
        <v>3300005171</v>
      </c>
      <c r="J836" s="13">
        <v>5031856</v>
      </c>
      <c r="K836" s="13" t="s">
        <v>1292</v>
      </c>
      <c r="L836" s="13" t="s">
        <v>1293</v>
      </c>
      <c r="M836" s="13">
        <v>120701255</v>
      </c>
      <c r="N836" s="18" t="s">
        <v>887</v>
      </c>
      <c r="O836" s="18" t="s">
        <v>1294</v>
      </c>
      <c r="P836" s="18" t="s">
        <v>873</v>
      </c>
      <c r="Q836" s="19" t="s">
        <v>1295</v>
      </c>
    </row>
    <row r="837" spans="1:17">
      <c r="A837" s="17"/>
      <c r="B837" s="13" t="s">
        <v>2098</v>
      </c>
      <c r="C837" s="12" t="s">
        <v>2099</v>
      </c>
      <c r="D837" s="13" t="s">
        <v>2100</v>
      </c>
      <c r="E837" s="13" t="s">
        <v>696</v>
      </c>
      <c r="F837" s="13" t="s">
        <v>844</v>
      </c>
      <c r="G837" s="13">
        <v>2081823</v>
      </c>
      <c r="H837" s="13">
        <v>2087336</v>
      </c>
      <c r="I837" s="13">
        <v>5043112</v>
      </c>
      <c r="J837" s="13">
        <v>3300005982</v>
      </c>
      <c r="K837" s="13">
        <v>3300005987</v>
      </c>
      <c r="L837" s="13" t="s">
        <v>2101</v>
      </c>
      <c r="M837" s="13">
        <v>120806275</v>
      </c>
      <c r="N837" s="18" t="s">
        <v>879</v>
      </c>
      <c r="O837" s="18" t="s">
        <v>2102</v>
      </c>
      <c r="P837" s="18" t="s">
        <v>2103</v>
      </c>
      <c r="Q837" s="19"/>
    </row>
    <row r="838" spans="1:17">
      <c r="A838" s="17"/>
      <c r="B838" s="13" t="s">
        <v>2104</v>
      </c>
      <c r="C838" s="13" t="s">
        <v>2105</v>
      </c>
      <c r="D838" s="13" t="s">
        <v>522</v>
      </c>
      <c r="E838" s="13" t="s">
        <v>696</v>
      </c>
      <c r="F838" s="13" t="s">
        <v>844</v>
      </c>
      <c r="G838" s="13">
        <v>5070899</v>
      </c>
      <c r="H838" s="13">
        <v>3300012805</v>
      </c>
      <c r="I838" s="13">
        <v>2171901</v>
      </c>
      <c r="J838" s="13" t="s">
        <v>2106</v>
      </c>
      <c r="K838" s="13"/>
      <c r="L838" s="13" t="s">
        <v>2107</v>
      </c>
      <c r="M838" s="13">
        <v>140703104</v>
      </c>
      <c r="N838" s="18" t="s">
        <v>879</v>
      </c>
      <c r="O838" s="18" t="s">
        <v>2108</v>
      </c>
      <c r="P838" s="18" t="s">
        <v>873</v>
      </c>
      <c r="Q838" s="19">
        <v>41960</v>
      </c>
    </row>
    <row r="839" spans="1:17">
      <c r="A839" s="17"/>
      <c r="B839" s="13" t="s">
        <v>5657</v>
      </c>
      <c r="C839" s="13" t="s">
        <v>5658</v>
      </c>
      <c r="D839" s="13" t="s">
        <v>430</v>
      </c>
      <c r="E839" s="13" t="s">
        <v>764</v>
      </c>
      <c r="F839" s="13" t="s">
        <v>5164</v>
      </c>
      <c r="G839" s="13">
        <v>5045696</v>
      </c>
      <c r="H839" s="13" t="s">
        <v>5659</v>
      </c>
      <c r="I839" s="13"/>
      <c r="J839" s="13"/>
      <c r="K839" s="13">
        <v>2103443</v>
      </c>
      <c r="L839" s="13" t="s">
        <v>5660</v>
      </c>
      <c r="M839" s="13">
        <v>130703263</v>
      </c>
      <c r="N839" s="18" t="s">
        <v>4721</v>
      </c>
      <c r="O839" s="18"/>
      <c r="P839" s="18" t="s">
        <v>5661</v>
      </c>
      <c r="Q839" s="19" t="s">
        <v>1065</v>
      </c>
    </row>
    <row r="840" spans="1:17">
      <c r="A840" s="17"/>
      <c r="B840" s="13" t="s">
        <v>2167</v>
      </c>
      <c r="C840" s="13" t="s">
        <v>2168</v>
      </c>
      <c r="D840" s="13" t="s">
        <v>2169</v>
      </c>
      <c r="E840" s="13" t="s">
        <v>2147</v>
      </c>
      <c r="F840" s="13" t="s">
        <v>844</v>
      </c>
      <c r="G840" s="13">
        <v>3300011816</v>
      </c>
      <c r="H840" s="13" t="s">
        <v>2170</v>
      </c>
      <c r="I840" s="13" t="s">
        <v>2171</v>
      </c>
      <c r="J840" s="13">
        <v>2119257</v>
      </c>
      <c r="K840" s="13" t="s">
        <v>2172</v>
      </c>
      <c r="L840" s="13" t="s">
        <v>2173</v>
      </c>
      <c r="M840" s="13">
        <v>140702269</v>
      </c>
      <c r="N840" s="18"/>
      <c r="O840" s="18" t="s">
        <v>2174</v>
      </c>
      <c r="P840" s="18" t="s">
        <v>2175</v>
      </c>
      <c r="Q840" s="19">
        <v>42102</v>
      </c>
    </row>
    <row r="841" spans="1:17">
      <c r="A841" s="17"/>
      <c r="B841" s="13" t="s">
        <v>1585</v>
      </c>
      <c r="C841" s="13" t="s">
        <v>1586</v>
      </c>
      <c r="D841" s="13" t="s">
        <v>1587</v>
      </c>
      <c r="E841" s="13" t="s">
        <v>1579</v>
      </c>
      <c r="F841" s="13" t="s">
        <v>844</v>
      </c>
      <c r="G841" s="13" t="s">
        <v>820</v>
      </c>
      <c r="H841" s="13" t="s">
        <v>1588</v>
      </c>
      <c r="I841" s="13">
        <v>3300002922</v>
      </c>
      <c r="J841" s="13">
        <v>5032242</v>
      </c>
      <c r="K841" s="13"/>
      <c r="L841" s="13" t="s">
        <v>819</v>
      </c>
      <c r="M841" s="13">
        <v>120700143</v>
      </c>
      <c r="N841" s="18" t="s">
        <v>1188</v>
      </c>
      <c r="O841" s="18"/>
      <c r="P841" s="18" t="s">
        <v>873</v>
      </c>
      <c r="Q841" s="19" t="s">
        <v>1589</v>
      </c>
    </row>
    <row r="842" spans="1:17">
      <c r="A842" s="17" t="s">
        <v>839</v>
      </c>
      <c r="B842" s="13" t="s">
        <v>1081</v>
      </c>
      <c r="C842" s="13" t="s">
        <v>1082</v>
      </c>
      <c r="D842" s="13" t="s">
        <v>402</v>
      </c>
      <c r="E842" s="13" t="s">
        <v>619</v>
      </c>
      <c r="F842" s="13" t="s">
        <v>844</v>
      </c>
      <c r="G842" s="13">
        <v>3300009791</v>
      </c>
      <c r="H842" s="13" t="s">
        <v>1083</v>
      </c>
      <c r="I842" s="13">
        <v>2177524</v>
      </c>
      <c r="J842" s="13">
        <v>5050469</v>
      </c>
      <c r="K842" s="13">
        <v>3300009779</v>
      </c>
      <c r="L842" s="13" t="s">
        <v>1084</v>
      </c>
      <c r="M842" s="13">
        <v>130700741</v>
      </c>
      <c r="N842" s="18" t="s">
        <v>847</v>
      </c>
      <c r="O842" s="18" t="s">
        <v>1085</v>
      </c>
      <c r="P842" s="18"/>
      <c r="Q842" s="19" t="s">
        <v>1086</v>
      </c>
    </row>
    <row r="843" spans="1:17">
      <c r="A843" s="17"/>
      <c r="B843" s="13" t="s">
        <v>1081</v>
      </c>
      <c r="C843" s="13" t="s">
        <v>1572</v>
      </c>
      <c r="D843" s="13" t="s">
        <v>1573</v>
      </c>
      <c r="E843" s="13" t="s">
        <v>580</v>
      </c>
      <c r="F843" s="13" t="s">
        <v>844</v>
      </c>
      <c r="G843" s="13">
        <v>2183464</v>
      </c>
      <c r="H843" s="13">
        <v>5059299</v>
      </c>
      <c r="I843" s="13" t="s">
        <v>1574</v>
      </c>
      <c r="J843" s="13">
        <v>3300012259</v>
      </c>
      <c r="K843" s="13">
        <v>2183476</v>
      </c>
      <c r="L843" s="13" t="s">
        <v>1575</v>
      </c>
      <c r="M843" s="13">
        <v>140701624</v>
      </c>
      <c r="N843" s="18" t="s">
        <v>1188</v>
      </c>
      <c r="O843" s="18" t="s">
        <v>1576</v>
      </c>
      <c r="P843" s="18" t="s">
        <v>873</v>
      </c>
      <c r="Q843" s="19">
        <v>41869</v>
      </c>
    </row>
    <row r="844" spans="1:17">
      <c r="A844" s="17"/>
      <c r="B844" s="13" t="s">
        <v>4895</v>
      </c>
      <c r="C844" s="13" t="s">
        <v>4896</v>
      </c>
      <c r="D844" s="13" t="s">
        <v>4897</v>
      </c>
      <c r="E844" s="13" t="s">
        <v>4898</v>
      </c>
      <c r="F844" s="13" t="s">
        <v>4873</v>
      </c>
      <c r="G844" s="13"/>
      <c r="H844" s="13">
        <v>5031913</v>
      </c>
      <c r="I844" s="13">
        <v>3300002979</v>
      </c>
      <c r="J844" s="13">
        <v>2119212</v>
      </c>
      <c r="K844" s="13"/>
      <c r="L844" s="13" t="s">
        <v>4899</v>
      </c>
      <c r="M844" s="13">
        <v>120707300</v>
      </c>
      <c r="N844" s="18" t="s">
        <v>4472</v>
      </c>
      <c r="O844" s="18" t="s">
        <v>4900</v>
      </c>
      <c r="P844" s="18" t="s">
        <v>4901</v>
      </c>
      <c r="Q844" s="19" t="s">
        <v>4859</v>
      </c>
    </row>
    <row r="845" spans="1:17">
      <c r="A845" s="17"/>
      <c r="B845" s="13" t="s">
        <v>5461</v>
      </c>
      <c r="C845" s="13" t="s">
        <v>38</v>
      </c>
      <c r="D845" s="13" t="s">
        <v>5462</v>
      </c>
      <c r="E845" s="13" t="s">
        <v>741</v>
      </c>
      <c r="F845" s="13" t="s">
        <v>5164</v>
      </c>
      <c r="G845" s="13" t="s">
        <v>5463</v>
      </c>
      <c r="H845" s="13">
        <v>2103894</v>
      </c>
      <c r="I845" s="13" t="s">
        <v>5464</v>
      </c>
      <c r="J845" s="13"/>
      <c r="K845" s="13"/>
      <c r="L845" s="13" t="s">
        <v>5465</v>
      </c>
      <c r="M845" s="13">
        <v>130700255</v>
      </c>
      <c r="N845" s="18" t="s">
        <v>5091</v>
      </c>
      <c r="O845" s="18"/>
      <c r="P845" s="18" t="s">
        <v>5466</v>
      </c>
      <c r="Q845" s="19">
        <v>41953</v>
      </c>
    </row>
    <row r="846" spans="1:17">
      <c r="A846" s="17"/>
      <c r="B846" s="13" t="s">
        <v>6314</v>
      </c>
      <c r="C846" s="13" t="s">
        <v>6315</v>
      </c>
      <c r="D846" s="13" t="s">
        <v>424</v>
      </c>
      <c r="E846" s="13" t="s">
        <v>760</v>
      </c>
      <c r="F846" s="13" t="s">
        <v>5843</v>
      </c>
      <c r="G846" s="13">
        <v>3300001257</v>
      </c>
      <c r="H846" s="13" t="s">
        <v>6316</v>
      </c>
      <c r="I846" s="13"/>
      <c r="J846" s="13"/>
      <c r="K846" s="13"/>
      <c r="L846" s="13" t="s">
        <v>6317</v>
      </c>
      <c r="M846" s="13">
        <v>130703005</v>
      </c>
      <c r="N846" s="18" t="s">
        <v>3187</v>
      </c>
      <c r="O846" s="18"/>
      <c r="P846" s="18" t="s">
        <v>6318</v>
      </c>
      <c r="Q846" s="19" t="s">
        <v>2136</v>
      </c>
    </row>
    <row r="847" spans="1:17">
      <c r="A847" s="17" t="s">
        <v>839</v>
      </c>
      <c r="B847" s="13" t="s">
        <v>4854</v>
      </c>
      <c r="C847" s="13" t="s">
        <v>4855</v>
      </c>
      <c r="D847" s="13" t="s">
        <v>4856</v>
      </c>
      <c r="E847" s="13" t="s">
        <v>789</v>
      </c>
      <c r="F847" s="13" t="s">
        <v>4395</v>
      </c>
      <c r="G847" s="13">
        <v>2119190</v>
      </c>
      <c r="H847" s="13">
        <v>5031904</v>
      </c>
      <c r="I847" s="13">
        <v>3300008155</v>
      </c>
      <c r="J847" s="13">
        <v>5045686</v>
      </c>
      <c r="K847" s="13" t="s">
        <v>4857</v>
      </c>
      <c r="L847" s="13" t="s">
        <v>4858</v>
      </c>
      <c r="M847" s="13">
        <v>120709214</v>
      </c>
      <c r="N847" s="18" t="s">
        <v>4399</v>
      </c>
      <c r="O847" s="18"/>
      <c r="P847" s="18"/>
      <c r="Q847" s="19" t="s">
        <v>4859</v>
      </c>
    </row>
    <row r="848" spans="1:17">
      <c r="A848" s="17"/>
      <c r="B848" s="13" t="s">
        <v>4860</v>
      </c>
      <c r="C848" s="13" t="s">
        <v>4861</v>
      </c>
      <c r="D848" s="13" t="s">
        <v>495</v>
      </c>
      <c r="E848" s="13" t="s">
        <v>789</v>
      </c>
      <c r="F848" s="13" t="s">
        <v>4395</v>
      </c>
      <c r="G848" s="13">
        <v>2183540</v>
      </c>
      <c r="H848" s="13" t="s">
        <v>4862</v>
      </c>
      <c r="I848" s="13">
        <v>3300009776</v>
      </c>
      <c r="J848" s="13">
        <v>2183532</v>
      </c>
      <c r="K848" s="13"/>
      <c r="L848" s="13" t="s">
        <v>4863</v>
      </c>
      <c r="M848" s="13">
        <v>140700008</v>
      </c>
      <c r="N848" s="18" t="s">
        <v>4399</v>
      </c>
      <c r="O848" s="18"/>
      <c r="P848" s="18"/>
      <c r="Q848" s="19" t="s">
        <v>1234</v>
      </c>
    </row>
    <row r="849" spans="1:17">
      <c r="A849" s="17"/>
      <c r="B849" s="13" t="s">
        <v>3364</v>
      </c>
      <c r="C849" s="13" t="s">
        <v>3365</v>
      </c>
      <c r="D849" s="13" t="s">
        <v>213</v>
      </c>
      <c r="E849" s="13" t="s">
        <v>598</v>
      </c>
      <c r="F849" s="13" t="s">
        <v>3101</v>
      </c>
      <c r="G849" s="13">
        <v>5053833</v>
      </c>
      <c r="H849" s="13">
        <v>2171934</v>
      </c>
      <c r="I849" s="13"/>
      <c r="J849" s="13"/>
      <c r="K849" s="13"/>
      <c r="L849" s="13" t="s">
        <v>3366</v>
      </c>
      <c r="M849" s="13">
        <v>120702998</v>
      </c>
      <c r="N849" s="18" t="s">
        <v>887</v>
      </c>
      <c r="O849" s="18"/>
      <c r="P849" s="18" t="s">
        <v>3367</v>
      </c>
      <c r="Q849" s="19" t="s">
        <v>1623</v>
      </c>
    </row>
    <row r="850" spans="1:17">
      <c r="A850" s="17"/>
      <c r="B850" s="13" t="s">
        <v>6052</v>
      </c>
      <c r="C850" s="13" t="s">
        <v>6053</v>
      </c>
      <c r="D850" s="13" t="s">
        <v>218</v>
      </c>
      <c r="E850" s="13" t="s">
        <v>643</v>
      </c>
      <c r="F850" s="13" t="s">
        <v>5843</v>
      </c>
      <c r="G850" s="13">
        <v>3300001706</v>
      </c>
      <c r="H850" s="13">
        <v>2116266</v>
      </c>
      <c r="I850" s="13" t="s">
        <v>6054</v>
      </c>
      <c r="J850" s="13"/>
      <c r="K850" s="13"/>
      <c r="L850" s="13" t="s">
        <v>6055</v>
      </c>
      <c r="M850" s="13">
        <v>120703334</v>
      </c>
      <c r="N850" s="18" t="s">
        <v>3105</v>
      </c>
      <c r="O850" s="18" t="s">
        <v>6056</v>
      </c>
      <c r="P850" s="18" t="s">
        <v>6057</v>
      </c>
      <c r="Q850" s="19" t="s">
        <v>5962</v>
      </c>
    </row>
    <row r="851" spans="1:17">
      <c r="A851" s="17"/>
      <c r="B851" s="13" t="s">
        <v>6431</v>
      </c>
      <c r="C851" s="13" t="s">
        <v>6432</v>
      </c>
      <c r="D851" s="13" t="s">
        <v>6433</v>
      </c>
      <c r="E851" s="13" t="s">
        <v>6434</v>
      </c>
      <c r="F851" s="13" t="s">
        <v>5843</v>
      </c>
      <c r="G851" s="13">
        <v>2170044</v>
      </c>
      <c r="H851" s="13" t="s">
        <v>6435</v>
      </c>
      <c r="I851" s="13">
        <v>41709</v>
      </c>
      <c r="J851" s="13"/>
      <c r="K851" s="13"/>
      <c r="L851" s="13" t="s">
        <v>6436</v>
      </c>
      <c r="M851" s="13">
        <v>120712293</v>
      </c>
      <c r="N851" s="18" t="s">
        <v>3105</v>
      </c>
      <c r="O851" s="18" t="s">
        <v>6437</v>
      </c>
      <c r="P851" s="18" t="s">
        <v>6438</v>
      </c>
      <c r="Q851" s="19" t="s">
        <v>4988</v>
      </c>
    </row>
    <row r="852" spans="1:17">
      <c r="A852" s="17"/>
      <c r="B852" s="13" t="s">
        <v>2117</v>
      </c>
      <c r="C852" s="13" t="s">
        <v>2118</v>
      </c>
      <c r="D852" s="13" t="s">
        <v>416</v>
      </c>
      <c r="E852" s="13" t="s">
        <v>755</v>
      </c>
      <c r="F852" s="13" t="s">
        <v>844</v>
      </c>
      <c r="G852" s="13">
        <v>2183463</v>
      </c>
      <c r="H852" s="13" t="s">
        <v>2119</v>
      </c>
      <c r="I852" s="13"/>
      <c r="J852" s="13"/>
      <c r="K852" s="13"/>
      <c r="L852" s="13" t="s">
        <v>2120</v>
      </c>
      <c r="M852" s="13">
        <v>130702659</v>
      </c>
      <c r="N852" s="18" t="s">
        <v>847</v>
      </c>
      <c r="O852" s="18" t="s">
        <v>2121</v>
      </c>
      <c r="P852" s="18" t="s">
        <v>2122</v>
      </c>
      <c r="Q852" s="19" t="s">
        <v>2123</v>
      </c>
    </row>
    <row r="853" spans="1:17">
      <c r="A853" s="17"/>
      <c r="B853" s="13" t="s">
        <v>5023</v>
      </c>
      <c r="C853" s="13" t="s">
        <v>5024</v>
      </c>
      <c r="D853" s="13" t="s">
        <v>427</v>
      </c>
      <c r="E853" s="13" t="s">
        <v>761</v>
      </c>
      <c r="F853" s="13" t="s">
        <v>4914</v>
      </c>
      <c r="G853" s="13">
        <v>3300009732</v>
      </c>
      <c r="H853" s="13" t="s">
        <v>5025</v>
      </c>
      <c r="I853" s="13">
        <v>2177525</v>
      </c>
      <c r="J853" s="13"/>
      <c r="K853" s="13"/>
      <c r="L853" s="13" t="s">
        <v>5026</v>
      </c>
      <c r="M853" s="13">
        <v>130703172</v>
      </c>
      <c r="N853" s="18" t="s">
        <v>4721</v>
      </c>
      <c r="O853" s="33" t="s">
        <v>5027</v>
      </c>
      <c r="P853" s="33" t="s">
        <v>5028</v>
      </c>
      <c r="Q853" s="19" t="s">
        <v>4335</v>
      </c>
    </row>
  </sheetData>
  <conditionalFormatting sqref="G1:M1048576">
    <cfRule type="duplicateValues" dxfId="19" priority="1"/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616"/>
  <sheetViews>
    <sheetView workbookViewId="0">
      <selection sqref="A1:B4616"/>
    </sheetView>
  </sheetViews>
  <sheetFormatPr defaultRowHeight="12.75"/>
  <cols>
    <col min="1" max="1" width="23.28515625" bestFit="1" customWidth="1"/>
    <col min="2" max="2" width="18" bestFit="1" customWidth="1"/>
  </cols>
  <sheetData>
    <row r="1" spans="1:2">
      <c r="A1" t="s">
        <v>6525</v>
      </c>
      <c r="B1" t="s">
        <v>6526</v>
      </c>
    </row>
    <row r="2" spans="1:2">
      <c r="A2" t="s">
        <v>6527</v>
      </c>
      <c r="B2">
        <v>101200060</v>
      </c>
    </row>
    <row r="3" spans="1:2">
      <c r="A3" t="s">
        <v>6527</v>
      </c>
      <c r="B3">
        <v>121200052</v>
      </c>
    </row>
    <row r="4" spans="1:2">
      <c r="A4" t="s">
        <v>6527</v>
      </c>
      <c r="B4">
        <v>121300144</v>
      </c>
    </row>
    <row r="5" spans="1:2">
      <c r="A5" t="s">
        <v>6527</v>
      </c>
      <c r="B5">
        <v>31300046</v>
      </c>
    </row>
    <row r="6" spans="1:2">
      <c r="A6" t="s">
        <v>6527</v>
      </c>
      <c r="B6">
        <v>101300055</v>
      </c>
    </row>
    <row r="7" spans="1:2">
      <c r="A7" t="s">
        <v>6527</v>
      </c>
      <c r="B7">
        <v>81300045</v>
      </c>
    </row>
    <row r="8" spans="1:2">
      <c r="A8" t="s">
        <v>6528</v>
      </c>
      <c r="B8">
        <v>2110327</v>
      </c>
    </row>
    <row r="9" spans="1:2">
      <c r="A9" t="s">
        <v>6528</v>
      </c>
      <c r="B9">
        <v>2103890</v>
      </c>
    </row>
    <row r="10" spans="1:2">
      <c r="A10" t="s">
        <v>6529</v>
      </c>
      <c r="B10">
        <v>3300002996</v>
      </c>
    </row>
    <row r="11" spans="1:2">
      <c r="A11" t="s">
        <v>6529</v>
      </c>
      <c r="B11">
        <v>3300006800</v>
      </c>
    </row>
    <row r="12" spans="1:2">
      <c r="A12" t="s">
        <v>6530</v>
      </c>
      <c r="B12" t="s">
        <v>6531</v>
      </c>
    </row>
    <row r="13" spans="1:2">
      <c r="A13" t="s">
        <v>6530</v>
      </c>
      <c r="B13" t="s">
        <v>6532</v>
      </c>
    </row>
    <row r="14" spans="1:2">
      <c r="A14" t="s">
        <v>6530</v>
      </c>
      <c r="B14" t="s">
        <v>6533</v>
      </c>
    </row>
    <row r="15" spans="1:2">
      <c r="A15" t="s">
        <v>6530</v>
      </c>
      <c r="B15" t="s">
        <v>6534</v>
      </c>
    </row>
    <row r="16" spans="1:2">
      <c r="A16" t="s">
        <v>6530</v>
      </c>
      <c r="B16" t="s">
        <v>6535</v>
      </c>
    </row>
    <row r="17" spans="1:2">
      <c r="A17" t="s">
        <v>6530</v>
      </c>
      <c r="B17" t="s">
        <v>6536</v>
      </c>
    </row>
    <row r="18" spans="1:2">
      <c r="A18" t="s">
        <v>6530</v>
      </c>
      <c r="B18" t="s">
        <v>6537</v>
      </c>
    </row>
    <row r="19" spans="1:2">
      <c r="A19" t="s">
        <v>6530</v>
      </c>
      <c r="B19" t="s">
        <v>6538</v>
      </c>
    </row>
    <row r="20" spans="1:2">
      <c r="A20" t="s">
        <v>6530</v>
      </c>
      <c r="B20" t="s">
        <v>6539</v>
      </c>
    </row>
    <row r="21" spans="1:2">
      <c r="A21" t="s">
        <v>6530</v>
      </c>
      <c r="B21" t="s">
        <v>6540</v>
      </c>
    </row>
    <row r="22" spans="1:2">
      <c r="A22" t="s">
        <v>6530</v>
      </c>
      <c r="B22" t="s">
        <v>6541</v>
      </c>
    </row>
    <row r="23" spans="1:2">
      <c r="A23" t="s">
        <v>6530</v>
      </c>
      <c r="B23" t="s">
        <v>6542</v>
      </c>
    </row>
    <row r="24" spans="1:2">
      <c r="A24" t="s">
        <v>6530</v>
      </c>
      <c r="B24" t="s">
        <v>6543</v>
      </c>
    </row>
    <row r="25" spans="1:2">
      <c r="A25" t="s">
        <v>6530</v>
      </c>
      <c r="B25" t="s">
        <v>6544</v>
      </c>
    </row>
    <row r="26" spans="1:2">
      <c r="A26" t="s">
        <v>6530</v>
      </c>
      <c r="B26" t="s">
        <v>6545</v>
      </c>
    </row>
    <row r="27" spans="1:2">
      <c r="A27" t="s">
        <v>6530</v>
      </c>
      <c r="B27" t="s">
        <v>6546</v>
      </c>
    </row>
    <row r="28" spans="1:2">
      <c r="A28" t="s">
        <v>6530</v>
      </c>
      <c r="B28" t="s">
        <v>6547</v>
      </c>
    </row>
    <row r="29" spans="1:2">
      <c r="A29" t="s">
        <v>6530</v>
      </c>
      <c r="B29" t="s">
        <v>6548</v>
      </c>
    </row>
    <row r="30" spans="1:2">
      <c r="A30" t="s">
        <v>6530</v>
      </c>
      <c r="B30" t="s">
        <v>6549</v>
      </c>
    </row>
    <row r="31" spans="1:2">
      <c r="A31" t="s">
        <v>6530</v>
      </c>
      <c r="B31" t="s">
        <v>6550</v>
      </c>
    </row>
    <row r="32" spans="1:2">
      <c r="A32" t="s">
        <v>6530</v>
      </c>
      <c r="B32" t="s">
        <v>6551</v>
      </c>
    </row>
    <row r="33" spans="1:2">
      <c r="A33" t="s">
        <v>6530</v>
      </c>
      <c r="B33" t="s">
        <v>6552</v>
      </c>
    </row>
    <row r="34" spans="1:2">
      <c r="A34" t="s">
        <v>6530</v>
      </c>
      <c r="B34" t="s">
        <v>6553</v>
      </c>
    </row>
    <row r="35" spans="1:2">
      <c r="A35" t="s">
        <v>6530</v>
      </c>
      <c r="B35" t="s">
        <v>6554</v>
      </c>
    </row>
    <row r="36" spans="1:2">
      <c r="A36" t="s">
        <v>6530</v>
      </c>
      <c r="B36" t="s">
        <v>6555</v>
      </c>
    </row>
    <row r="37" spans="1:2">
      <c r="A37" t="s">
        <v>6530</v>
      </c>
      <c r="B37" t="s">
        <v>6556</v>
      </c>
    </row>
    <row r="38" spans="1:2">
      <c r="A38" t="s">
        <v>6530</v>
      </c>
      <c r="B38" t="s">
        <v>6557</v>
      </c>
    </row>
    <row r="39" spans="1:2">
      <c r="A39" t="s">
        <v>6530</v>
      </c>
      <c r="B39" t="s">
        <v>6558</v>
      </c>
    </row>
    <row r="40" spans="1:2">
      <c r="A40" t="s">
        <v>6530</v>
      </c>
      <c r="B40" t="s">
        <v>6559</v>
      </c>
    </row>
    <row r="41" spans="1:2">
      <c r="A41" t="s">
        <v>6530</v>
      </c>
      <c r="B41" t="s">
        <v>6560</v>
      </c>
    </row>
    <row r="42" spans="1:2">
      <c r="A42" t="s">
        <v>6530</v>
      </c>
      <c r="B42" t="s">
        <v>6561</v>
      </c>
    </row>
    <row r="43" spans="1:2">
      <c r="A43" t="s">
        <v>6530</v>
      </c>
      <c r="B43" t="s">
        <v>6562</v>
      </c>
    </row>
    <row r="44" spans="1:2">
      <c r="A44" t="s">
        <v>6530</v>
      </c>
      <c r="B44" t="s">
        <v>6563</v>
      </c>
    </row>
    <row r="45" spans="1:2">
      <c r="A45" t="s">
        <v>6530</v>
      </c>
      <c r="B45" t="s">
        <v>6564</v>
      </c>
    </row>
    <row r="46" spans="1:2">
      <c r="A46" t="s">
        <v>6530</v>
      </c>
      <c r="B46" t="s">
        <v>3648</v>
      </c>
    </row>
    <row r="47" spans="1:2">
      <c r="A47" t="s">
        <v>6530</v>
      </c>
      <c r="B47" t="s">
        <v>3964</v>
      </c>
    </row>
    <row r="48" spans="1:2">
      <c r="A48" t="s">
        <v>6530</v>
      </c>
      <c r="B48" t="s">
        <v>6565</v>
      </c>
    </row>
    <row r="49" spans="1:2">
      <c r="A49" t="s">
        <v>6530</v>
      </c>
      <c r="B49" t="s">
        <v>6566</v>
      </c>
    </row>
    <row r="50" spans="1:2">
      <c r="A50" t="s">
        <v>6530</v>
      </c>
      <c r="B50" t="s">
        <v>6567</v>
      </c>
    </row>
    <row r="51" spans="1:2">
      <c r="A51" t="s">
        <v>6530</v>
      </c>
      <c r="B51" t="s">
        <v>6568</v>
      </c>
    </row>
    <row r="52" spans="1:2">
      <c r="A52" t="s">
        <v>6530</v>
      </c>
      <c r="B52" t="s">
        <v>4140</v>
      </c>
    </row>
    <row r="53" spans="1:2">
      <c r="A53" t="s">
        <v>6569</v>
      </c>
      <c r="B53" t="s">
        <v>6570</v>
      </c>
    </row>
    <row r="54" spans="1:2">
      <c r="A54" t="s">
        <v>6569</v>
      </c>
      <c r="B54" t="s">
        <v>6571</v>
      </c>
    </row>
    <row r="55" spans="1:2">
      <c r="A55" t="s">
        <v>6569</v>
      </c>
      <c r="B55" t="s">
        <v>6572</v>
      </c>
    </row>
    <row r="56" spans="1:2">
      <c r="A56" t="s">
        <v>6573</v>
      </c>
      <c r="B56" t="s">
        <v>6574</v>
      </c>
    </row>
    <row r="57" spans="1:2">
      <c r="A57" t="s">
        <v>6573</v>
      </c>
      <c r="B57" t="s">
        <v>6575</v>
      </c>
    </row>
    <row r="58" spans="1:2">
      <c r="A58" t="s">
        <v>6573</v>
      </c>
      <c r="B58" t="s">
        <v>6576</v>
      </c>
    </row>
    <row r="59" spans="1:2">
      <c r="A59" t="s">
        <v>6573</v>
      </c>
      <c r="B59" t="s">
        <v>6577</v>
      </c>
    </row>
    <row r="60" spans="1:2">
      <c r="A60" t="s">
        <v>6573</v>
      </c>
      <c r="B60" t="s">
        <v>6578</v>
      </c>
    </row>
    <row r="61" spans="1:2">
      <c r="A61" t="s">
        <v>6573</v>
      </c>
      <c r="B61" t="s">
        <v>6579</v>
      </c>
    </row>
    <row r="62" spans="1:2">
      <c r="A62" t="s">
        <v>6573</v>
      </c>
      <c r="B62" t="s">
        <v>6580</v>
      </c>
    </row>
    <row r="63" spans="1:2">
      <c r="A63" t="s">
        <v>6573</v>
      </c>
      <c r="B63" t="s">
        <v>6581</v>
      </c>
    </row>
    <row r="64" spans="1:2">
      <c r="A64" t="s">
        <v>6573</v>
      </c>
      <c r="B64" t="s">
        <v>6582</v>
      </c>
    </row>
    <row r="65" spans="1:2">
      <c r="A65" t="s">
        <v>6573</v>
      </c>
      <c r="B65" t="s">
        <v>6583</v>
      </c>
    </row>
    <row r="66" spans="1:2">
      <c r="A66" t="s">
        <v>6573</v>
      </c>
      <c r="B66" t="s">
        <v>6584</v>
      </c>
    </row>
    <row r="67" spans="1:2">
      <c r="A67" t="s">
        <v>6573</v>
      </c>
      <c r="B67" t="s">
        <v>6585</v>
      </c>
    </row>
    <row r="68" spans="1:2">
      <c r="A68" t="s">
        <v>6573</v>
      </c>
      <c r="B68" t="s">
        <v>6586</v>
      </c>
    </row>
    <row r="69" spans="1:2">
      <c r="A69" t="s">
        <v>6573</v>
      </c>
      <c r="B69" t="s">
        <v>6587</v>
      </c>
    </row>
    <row r="70" spans="1:2">
      <c r="A70" t="s">
        <v>6573</v>
      </c>
      <c r="B70" t="s">
        <v>6588</v>
      </c>
    </row>
    <row r="71" spans="1:2">
      <c r="A71" t="s">
        <v>6573</v>
      </c>
      <c r="B71" t="s">
        <v>6589</v>
      </c>
    </row>
    <row r="72" spans="1:2">
      <c r="A72" t="s">
        <v>6573</v>
      </c>
      <c r="B72" t="s">
        <v>6590</v>
      </c>
    </row>
    <row r="73" spans="1:2">
      <c r="A73" t="s">
        <v>6573</v>
      </c>
      <c r="B73" t="s">
        <v>6591</v>
      </c>
    </row>
    <row r="74" spans="1:2">
      <c r="A74" t="s">
        <v>6573</v>
      </c>
      <c r="B74" t="s">
        <v>6592</v>
      </c>
    </row>
    <row r="75" spans="1:2">
      <c r="A75" t="s">
        <v>6573</v>
      </c>
      <c r="B75" t="s">
        <v>6593</v>
      </c>
    </row>
    <row r="76" spans="1:2">
      <c r="A76" t="s">
        <v>6573</v>
      </c>
      <c r="B76" t="s">
        <v>6594</v>
      </c>
    </row>
    <row r="77" spans="1:2">
      <c r="A77" t="s">
        <v>6573</v>
      </c>
      <c r="B77" t="s">
        <v>6595</v>
      </c>
    </row>
    <row r="78" spans="1:2">
      <c r="A78" t="s">
        <v>6573</v>
      </c>
      <c r="B78" t="s">
        <v>6596</v>
      </c>
    </row>
    <row r="79" spans="1:2">
      <c r="A79" t="s">
        <v>6573</v>
      </c>
      <c r="B79" t="s">
        <v>6597</v>
      </c>
    </row>
    <row r="80" spans="1:2">
      <c r="A80" t="s">
        <v>6573</v>
      </c>
      <c r="B80" t="s">
        <v>6598</v>
      </c>
    </row>
    <row r="81" spans="1:2">
      <c r="A81" t="s">
        <v>6573</v>
      </c>
      <c r="B81" t="s">
        <v>6599</v>
      </c>
    </row>
    <row r="82" spans="1:2">
      <c r="A82" t="s">
        <v>6573</v>
      </c>
      <c r="B82" t="s">
        <v>6600</v>
      </c>
    </row>
    <row r="83" spans="1:2">
      <c r="A83" t="s">
        <v>6573</v>
      </c>
      <c r="B83" t="s">
        <v>6601</v>
      </c>
    </row>
    <row r="84" spans="1:2">
      <c r="A84" t="s">
        <v>6573</v>
      </c>
      <c r="B84" t="s">
        <v>6602</v>
      </c>
    </row>
    <row r="85" spans="1:2">
      <c r="A85" t="s">
        <v>6573</v>
      </c>
      <c r="B85" t="s">
        <v>6603</v>
      </c>
    </row>
    <row r="86" spans="1:2">
      <c r="A86" t="s">
        <v>6573</v>
      </c>
      <c r="B86" t="s">
        <v>6604</v>
      </c>
    </row>
    <row r="87" spans="1:2">
      <c r="A87" t="s">
        <v>6573</v>
      </c>
      <c r="B87" t="s">
        <v>6605</v>
      </c>
    </row>
    <row r="88" spans="1:2">
      <c r="A88" t="s">
        <v>6573</v>
      </c>
      <c r="B88" t="s">
        <v>6606</v>
      </c>
    </row>
    <row r="89" spans="1:2">
      <c r="A89" t="s">
        <v>6573</v>
      </c>
      <c r="B89" t="s">
        <v>6607</v>
      </c>
    </row>
    <row r="90" spans="1:2">
      <c r="A90" t="s">
        <v>6573</v>
      </c>
      <c r="B90" t="s">
        <v>6608</v>
      </c>
    </row>
    <row r="91" spans="1:2">
      <c r="A91" t="s">
        <v>6573</v>
      </c>
      <c r="B91" t="s">
        <v>6609</v>
      </c>
    </row>
    <row r="92" spans="1:2">
      <c r="A92" t="s">
        <v>6573</v>
      </c>
      <c r="B92" t="s">
        <v>6610</v>
      </c>
    </row>
    <row r="93" spans="1:2">
      <c r="A93" t="s">
        <v>6573</v>
      </c>
      <c r="B93" t="s">
        <v>6611</v>
      </c>
    </row>
    <row r="94" spans="1:2">
      <c r="A94" t="s">
        <v>6573</v>
      </c>
      <c r="B94" t="s">
        <v>6612</v>
      </c>
    </row>
    <row r="95" spans="1:2">
      <c r="A95" t="s">
        <v>6573</v>
      </c>
      <c r="B95" t="s">
        <v>6613</v>
      </c>
    </row>
    <row r="96" spans="1:2">
      <c r="A96" t="s">
        <v>6573</v>
      </c>
      <c r="B96" t="s">
        <v>6614</v>
      </c>
    </row>
    <row r="97" spans="1:2">
      <c r="A97" t="s">
        <v>6573</v>
      </c>
      <c r="B97" t="s">
        <v>6615</v>
      </c>
    </row>
    <row r="98" spans="1:2">
      <c r="A98" t="s">
        <v>6573</v>
      </c>
      <c r="B98" t="s">
        <v>6616</v>
      </c>
    </row>
    <row r="99" spans="1:2">
      <c r="A99" t="s">
        <v>6573</v>
      </c>
      <c r="B99" t="s">
        <v>6617</v>
      </c>
    </row>
    <row r="100" spans="1:2">
      <c r="A100" t="s">
        <v>6573</v>
      </c>
      <c r="B100" t="s">
        <v>3506</v>
      </c>
    </row>
    <row r="101" spans="1:2">
      <c r="A101" t="s">
        <v>6573</v>
      </c>
      <c r="B101" t="s">
        <v>3721</v>
      </c>
    </row>
    <row r="102" spans="1:2">
      <c r="A102" t="s">
        <v>6573</v>
      </c>
      <c r="B102" t="s">
        <v>6618</v>
      </c>
    </row>
    <row r="103" spans="1:2">
      <c r="A103" t="s">
        <v>6573</v>
      </c>
      <c r="B103" t="s">
        <v>6619</v>
      </c>
    </row>
    <row r="104" spans="1:2">
      <c r="A104" t="s">
        <v>6573</v>
      </c>
      <c r="B104" t="s">
        <v>5930</v>
      </c>
    </row>
    <row r="105" spans="1:2">
      <c r="A105" t="s">
        <v>6573</v>
      </c>
      <c r="B105" t="s">
        <v>6620</v>
      </c>
    </row>
    <row r="106" spans="1:2">
      <c r="A106" t="s">
        <v>6621</v>
      </c>
      <c r="B106" t="s">
        <v>6622</v>
      </c>
    </row>
    <row r="107" spans="1:2">
      <c r="A107" t="s">
        <v>6621</v>
      </c>
      <c r="B107" t="s">
        <v>6623</v>
      </c>
    </row>
    <row r="108" spans="1:2">
      <c r="A108" t="s">
        <v>6621</v>
      </c>
      <c r="B108" t="s">
        <v>6624</v>
      </c>
    </row>
    <row r="109" spans="1:2">
      <c r="A109" t="s">
        <v>6621</v>
      </c>
      <c r="B109" t="s">
        <v>6625</v>
      </c>
    </row>
    <row r="110" spans="1:2">
      <c r="A110" t="s">
        <v>6621</v>
      </c>
      <c r="B110" t="s">
        <v>6626</v>
      </c>
    </row>
    <row r="111" spans="1:2">
      <c r="A111" t="s">
        <v>6621</v>
      </c>
      <c r="B111" t="s">
        <v>6627</v>
      </c>
    </row>
    <row r="112" spans="1:2">
      <c r="A112" t="s">
        <v>6621</v>
      </c>
      <c r="B112" t="s">
        <v>6628</v>
      </c>
    </row>
    <row r="113" spans="1:2">
      <c r="A113" t="s">
        <v>6621</v>
      </c>
      <c r="B113" t="s">
        <v>6629</v>
      </c>
    </row>
    <row r="114" spans="1:2">
      <c r="A114" t="s">
        <v>6621</v>
      </c>
      <c r="B114" t="s">
        <v>6630</v>
      </c>
    </row>
    <row r="115" spans="1:2">
      <c r="A115" t="s">
        <v>6621</v>
      </c>
      <c r="B115" t="s">
        <v>6631</v>
      </c>
    </row>
    <row r="116" spans="1:2">
      <c r="A116" t="s">
        <v>6632</v>
      </c>
      <c r="B116" t="s">
        <v>6633</v>
      </c>
    </row>
    <row r="117" spans="1:2">
      <c r="A117" t="s">
        <v>6632</v>
      </c>
      <c r="B117" t="s">
        <v>6634</v>
      </c>
    </row>
    <row r="118" spans="1:2">
      <c r="A118" t="s">
        <v>6632</v>
      </c>
      <c r="B118" t="s">
        <v>6635</v>
      </c>
    </row>
    <row r="119" spans="1:2">
      <c r="A119" t="s">
        <v>6632</v>
      </c>
      <c r="B119" t="s">
        <v>6636</v>
      </c>
    </row>
    <row r="120" spans="1:2">
      <c r="A120" t="s">
        <v>6632</v>
      </c>
      <c r="B120" t="s">
        <v>6637</v>
      </c>
    </row>
    <row r="121" spans="1:2">
      <c r="A121" t="s">
        <v>6632</v>
      </c>
      <c r="B121" t="s">
        <v>6638</v>
      </c>
    </row>
    <row r="122" spans="1:2">
      <c r="A122" t="s">
        <v>6632</v>
      </c>
      <c r="B122" t="s">
        <v>6639</v>
      </c>
    </row>
    <row r="123" spans="1:2">
      <c r="A123" t="s">
        <v>6632</v>
      </c>
      <c r="B123" t="s">
        <v>6640</v>
      </c>
    </row>
    <row r="124" spans="1:2">
      <c r="A124" t="s">
        <v>6632</v>
      </c>
      <c r="B124" t="s">
        <v>6641</v>
      </c>
    </row>
    <row r="125" spans="1:2">
      <c r="A125" t="s">
        <v>6642</v>
      </c>
      <c r="B125" t="s">
        <v>6643</v>
      </c>
    </row>
    <row r="126" spans="1:2">
      <c r="A126" t="s">
        <v>6642</v>
      </c>
      <c r="B126" t="s">
        <v>6644</v>
      </c>
    </row>
    <row r="127" spans="1:2">
      <c r="A127" t="s">
        <v>6645</v>
      </c>
      <c r="B127" t="s">
        <v>6646</v>
      </c>
    </row>
    <row r="128" spans="1:2">
      <c r="A128" t="s">
        <v>6645</v>
      </c>
      <c r="B128" t="s">
        <v>6647</v>
      </c>
    </row>
    <row r="129" spans="1:2">
      <c r="A129" t="s">
        <v>6645</v>
      </c>
      <c r="B129" t="s">
        <v>6648</v>
      </c>
    </row>
    <row r="130" spans="1:2">
      <c r="A130" t="s">
        <v>6645</v>
      </c>
      <c r="B130" t="s">
        <v>6649</v>
      </c>
    </row>
    <row r="131" spans="1:2">
      <c r="A131" t="s">
        <v>6645</v>
      </c>
      <c r="B131" t="s">
        <v>6650</v>
      </c>
    </row>
    <row r="132" spans="1:2">
      <c r="A132" t="s">
        <v>6645</v>
      </c>
      <c r="B132" t="s">
        <v>6651</v>
      </c>
    </row>
    <row r="133" spans="1:2">
      <c r="A133" t="s">
        <v>6645</v>
      </c>
      <c r="B133" t="s">
        <v>6652</v>
      </c>
    </row>
    <row r="134" spans="1:2">
      <c r="A134" t="s">
        <v>6645</v>
      </c>
      <c r="B134" t="s">
        <v>6653</v>
      </c>
    </row>
    <row r="135" spans="1:2">
      <c r="A135" t="s">
        <v>6645</v>
      </c>
      <c r="B135" t="s">
        <v>6654</v>
      </c>
    </row>
    <row r="136" spans="1:2">
      <c r="A136" t="s">
        <v>6645</v>
      </c>
      <c r="B136" t="s">
        <v>6655</v>
      </c>
    </row>
    <row r="137" spans="1:2">
      <c r="A137" t="s">
        <v>6645</v>
      </c>
      <c r="B137" t="s">
        <v>6656</v>
      </c>
    </row>
    <row r="138" spans="1:2">
      <c r="A138" t="s">
        <v>6645</v>
      </c>
      <c r="B138" t="s">
        <v>6657</v>
      </c>
    </row>
    <row r="139" spans="1:2">
      <c r="A139" t="s">
        <v>6645</v>
      </c>
      <c r="B139" t="s">
        <v>6658</v>
      </c>
    </row>
    <row r="140" spans="1:2">
      <c r="A140" t="s">
        <v>6645</v>
      </c>
      <c r="B140" t="s">
        <v>6659</v>
      </c>
    </row>
    <row r="141" spans="1:2">
      <c r="A141" t="s">
        <v>6660</v>
      </c>
      <c r="B141" t="s">
        <v>6661</v>
      </c>
    </row>
    <row r="142" spans="1:2">
      <c r="A142" t="s">
        <v>6660</v>
      </c>
      <c r="B142" t="s">
        <v>6662</v>
      </c>
    </row>
    <row r="143" spans="1:2">
      <c r="A143" t="s">
        <v>6660</v>
      </c>
      <c r="B143" t="s">
        <v>6663</v>
      </c>
    </row>
    <row r="144" spans="1:2">
      <c r="A144" t="s">
        <v>6660</v>
      </c>
      <c r="B144" t="s">
        <v>6664</v>
      </c>
    </row>
    <row r="145" spans="1:2">
      <c r="A145" t="s">
        <v>6660</v>
      </c>
      <c r="B145" t="s">
        <v>6665</v>
      </c>
    </row>
    <row r="146" spans="1:2">
      <c r="A146" t="s">
        <v>6660</v>
      </c>
      <c r="B146" t="s">
        <v>6666</v>
      </c>
    </row>
    <row r="147" spans="1:2">
      <c r="A147" t="s">
        <v>6660</v>
      </c>
      <c r="B147" t="s">
        <v>6667</v>
      </c>
    </row>
    <row r="148" spans="1:2">
      <c r="A148" t="s">
        <v>6660</v>
      </c>
      <c r="B148" t="s">
        <v>6668</v>
      </c>
    </row>
    <row r="149" spans="1:2">
      <c r="A149" t="s">
        <v>6660</v>
      </c>
      <c r="B149" t="s">
        <v>6669</v>
      </c>
    </row>
    <row r="150" spans="1:2">
      <c r="A150" t="s">
        <v>6660</v>
      </c>
      <c r="B150" t="s">
        <v>6670</v>
      </c>
    </row>
    <row r="151" spans="1:2">
      <c r="A151" t="s">
        <v>6660</v>
      </c>
      <c r="B151" t="s">
        <v>5928</v>
      </c>
    </row>
    <row r="152" spans="1:2">
      <c r="A152" t="s">
        <v>6528</v>
      </c>
      <c r="B152">
        <v>2119290</v>
      </c>
    </row>
    <row r="153" spans="1:2">
      <c r="A153" t="s">
        <v>6528</v>
      </c>
      <c r="B153">
        <v>2096479</v>
      </c>
    </row>
    <row r="154" spans="1:2">
      <c r="A154" t="s">
        <v>6528</v>
      </c>
      <c r="B154">
        <v>2114726</v>
      </c>
    </row>
    <row r="155" spans="1:2">
      <c r="A155" t="s">
        <v>6528</v>
      </c>
      <c r="B155">
        <v>2081931</v>
      </c>
    </row>
    <row r="156" spans="1:2">
      <c r="A156" t="s">
        <v>6528</v>
      </c>
      <c r="B156">
        <v>2087267</v>
      </c>
    </row>
    <row r="157" spans="1:2">
      <c r="A157" t="s">
        <v>6528</v>
      </c>
      <c r="B157">
        <v>2087289</v>
      </c>
    </row>
    <row r="158" spans="1:2">
      <c r="A158" t="s">
        <v>6528</v>
      </c>
      <c r="B158">
        <v>2087328</v>
      </c>
    </row>
    <row r="159" spans="1:2">
      <c r="A159" t="s">
        <v>6528</v>
      </c>
      <c r="B159">
        <v>2087290</v>
      </c>
    </row>
    <row r="160" spans="1:2">
      <c r="A160" t="s">
        <v>6528</v>
      </c>
      <c r="B160">
        <v>2084108</v>
      </c>
    </row>
    <row r="161" spans="1:2">
      <c r="A161" t="s">
        <v>6528</v>
      </c>
      <c r="B161">
        <v>2084110</v>
      </c>
    </row>
    <row r="162" spans="1:2">
      <c r="A162" t="s">
        <v>6528</v>
      </c>
      <c r="B162">
        <v>2096058</v>
      </c>
    </row>
    <row r="163" spans="1:2">
      <c r="A163" t="s">
        <v>6528</v>
      </c>
      <c r="B163">
        <v>2096099</v>
      </c>
    </row>
    <row r="164" spans="1:2">
      <c r="A164" t="s">
        <v>6528</v>
      </c>
      <c r="B164">
        <v>2083296</v>
      </c>
    </row>
    <row r="165" spans="1:2">
      <c r="A165" t="s">
        <v>6528</v>
      </c>
      <c r="B165">
        <v>2119201</v>
      </c>
    </row>
    <row r="166" spans="1:2">
      <c r="A166" t="s">
        <v>6528</v>
      </c>
      <c r="B166">
        <v>2119264</v>
      </c>
    </row>
    <row r="167" spans="1:2">
      <c r="A167" t="s">
        <v>6528</v>
      </c>
      <c r="B167">
        <v>2116211</v>
      </c>
    </row>
    <row r="168" spans="1:2">
      <c r="A168" t="s">
        <v>6528</v>
      </c>
      <c r="B168">
        <v>2103668</v>
      </c>
    </row>
    <row r="169" spans="1:2">
      <c r="A169" t="s">
        <v>6528</v>
      </c>
      <c r="B169">
        <v>2103653</v>
      </c>
    </row>
    <row r="170" spans="1:2">
      <c r="A170" t="s">
        <v>6528</v>
      </c>
      <c r="B170">
        <v>2096034</v>
      </c>
    </row>
    <row r="171" spans="1:2">
      <c r="A171" t="s">
        <v>6528</v>
      </c>
      <c r="B171">
        <v>2103574</v>
      </c>
    </row>
    <row r="172" spans="1:2">
      <c r="A172" t="s">
        <v>6528</v>
      </c>
      <c r="B172">
        <v>2103842</v>
      </c>
    </row>
    <row r="173" spans="1:2">
      <c r="A173" t="s">
        <v>6528</v>
      </c>
      <c r="B173">
        <v>2170069</v>
      </c>
    </row>
    <row r="174" spans="1:2">
      <c r="A174" t="s">
        <v>6528</v>
      </c>
      <c r="B174">
        <v>2117430</v>
      </c>
    </row>
    <row r="175" spans="1:2">
      <c r="A175" t="s">
        <v>6528</v>
      </c>
      <c r="B175">
        <v>2087320</v>
      </c>
    </row>
    <row r="176" spans="1:2">
      <c r="A176" t="s">
        <v>6528</v>
      </c>
      <c r="B176">
        <v>2114778</v>
      </c>
    </row>
    <row r="177" spans="1:2">
      <c r="A177" t="s">
        <v>6528</v>
      </c>
      <c r="B177">
        <v>2103528</v>
      </c>
    </row>
    <row r="178" spans="1:2">
      <c r="A178" t="s">
        <v>6528</v>
      </c>
      <c r="B178">
        <v>2087344</v>
      </c>
    </row>
    <row r="179" spans="1:2">
      <c r="A179" t="s">
        <v>6528</v>
      </c>
      <c r="B179">
        <v>2087325</v>
      </c>
    </row>
    <row r="180" spans="1:2">
      <c r="A180" t="s">
        <v>6528</v>
      </c>
      <c r="B180">
        <v>2087315</v>
      </c>
    </row>
    <row r="181" spans="1:2">
      <c r="A181" t="s">
        <v>6528</v>
      </c>
      <c r="B181">
        <v>2087203</v>
      </c>
    </row>
    <row r="182" spans="1:2">
      <c r="A182" t="s">
        <v>6528</v>
      </c>
      <c r="B182">
        <v>2087259</v>
      </c>
    </row>
    <row r="183" spans="1:2">
      <c r="A183" t="s">
        <v>6528</v>
      </c>
      <c r="B183">
        <v>2096029</v>
      </c>
    </row>
    <row r="184" spans="1:2">
      <c r="A184" t="s">
        <v>6528</v>
      </c>
      <c r="B184">
        <v>2083276</v>
      </c>
    </row>
    <row r="185" spans="1:2">
      <c r="A185" t="s">
        <v>6528</v>
      </c>
      <c r="B185">
        <v>2116301</v>
      </c>
    </row>
    <row r="186" spans="1:2">
      <c r="A186" t="s">
        <v>6528</v>
      </c>
      <c r="B186">
        <v>2117379</v>
      </c>
    </row>
    <row r="187" spans="1:2">
      <c r="A187" t="s">
        <v>6528</v>
      </c>
      <c r="B187">
        <v>2103591</v>
      </c>
    </row>
    <row r="188" spans="1:2">
      <c r="A188" t="s">
        <v>6528</v>
      </c>
      <c r="B188">
        <v>2103651</v>
      </c>
    </row>
    <row r="189" spans="1:2">
      <c r="A189" t="s">
        <v>6528</v>
      </c>
      <c r="B189">
        <v>2084662</v>
      </c>
    </row>
    <row r="190" spans="1:2">
      <c r="A190" t="s">
        <v>6528</v>
      </c>
      <c r="B190">
        <v>2103885</v>
      </c>
    </row>
    <row r="191" spans="1:2">
      <c r="A191" t="s">
        <v>6528</v>
      </c>
      <c r="B191">
        <v>2103882</v>
      </c>
    </row>
    <row r="192" spans="1:2">
      <c r="A192" t="s">
        <v>6528</v>
      </c>
      <c r="B192">
        <v>2084814</v>
      </c>
    </row>
    <row r="193" spans="1:2">
      <c r="A193" t="s">
        <v>6528</v>
      </c>
      <c r="B193">
        <v>2116311</v>
      </c>
    </row>
    <row r="194" spans="1:2">
      <c r="A194" t="s">
        <v>6528</v>
      </c>
      <c r="B194">
        <v>2103876</v>
      </c>
    </row>
    <row r="195" spans="1:2">
      <c r="A195" t="s">
        <v>6528</v>
      </c>
      <c r="B195">
        <v>2103908</v>
      </c>
    </row>
    <row r="196" spans="1:2">
      <c r="A196" t="s">
        <v>6528</v>
      </c>
      <c r="B196">
        <v>2103734</v>
      </c>
    </row>
    <row r="197" spans="1:2">
      <c r="A197" t="s">
        <v>6671</v>
      </c>
      <c r="B197">
        <v>2183186</v>
      </c>
    </row>
    <row r="198" spans="1:2">
      <c r="A198" t="s">
        <v>6672</v>
      </c>
      <c r="B198">
        <v>2183466</v>
      </c>
    </row>
    <row r="199" spans="1:2">
      <c r="A199" t="s">
        <v>6672</v>
      </c>
      <c r="B199">
        <v>2172026</v>
      </c>
    </row>
    <row r="200" spans="1:2">
      <c r="A200" t="s">
        <v>6672</v>
      </c>
      <c r="B200">
        <v>2183522</v>
      </c>
    </row>
    <row r="201" spans="1:2">
      <c r="A201" t="s">
        <v>6672</v>
      </c>
      <c r="B201">
        <v>2171961</v>
      </c>
    </row>
    <row r="202" spans="1:2">
      <c r="A202" t="s">
        <v>6672</v>
      </c>
      <c r="B202">
        <v>2171974</v>
      </c>
    </row>
    <row r="203" spans="1:2">
      <c r="A203" t="s">
        <v>6672</v>
      </c>
      <c r="B203">
        <v>2183576</v>
      </c>
    </row>
    <row r="204" spans="1:2">
      <c r="A204" t="s">
        <v>6672</v>
      </c>
      <c r="B204">
        <v>2183515</v>
      </c>
    </row>
    <row r="205" spans="1:2">
      <c r="A205" t="s">
        <v>6672</v>
      </c>
      <c r="B205">
        <v>2171883</v>
      </c>
    </row>
    <row r="206" spans="1:2">
      <c r="A206" t="s">
        <v>6672</v>
      </c>
      <c r="B206">
        <v>2183583</v>
      </c>
    </row>
    <row r="207" spans="1:2">
      <c r="A207" t="s">
        <v>6673</v>
      </c>
      <c r="B207">
        <v>2199634</v>
      </c>
    </row>
    <row r="208" spans="1:2">
      <c r="A208" t="s">
        <v>6673</v>
      </c>
      <c r="B208">
        <v>2199635</v>
      </c>
    </row>
    <row r="209" spans="1:2">
      <c r="A209" t="s">
        <v>6673</v>
      </c>
      <c r="B209">
        <v>2082680</v>
      </c>
    </row>
    <row r="210" spans="1:2">
      <c r="A210" t="s">
        <v>6674</v>
      </c>
      <c r="B210">
        <v>1761754</v>
      </c>
    </row>
    <row r="211" spans="1:2">
      <c r="A211" t="s">
        <v>6674</v>
      </c>
      <c r="B211">
        <v>1761756</v>
      </c>
    </row>
    <row r="212" spans="1:2">
      <c r="A212" t="s">
        <v>6529</v>
      </c>
      <c r="B212">
        <v>3300011491</v>
      </c>
    </row>
    <row r="213" spans="1:2">
      <c r="A213" t="s">
        <v>6529</v>
      </c>
      <c r="B213">
        <v>3300010674</v>
      </c>
    </row>
    <row r="214" spans="1:2">
      <c r="A214" t="s">
        <v>6529</v>
      </c>
      <c r="B214">
        <v>3300005979</v>
      </c>
    </row>
    <row r="215" spans="1:2">
      <c r="A215" t="s">
        <v>6529</v>
      </c>
      <c r="B215">
        <v>3300003017</v>
      </c>
    </row>
    <row r="216" spans="1:2">
      <c r="A216" t="s">
        <v>6529</v>
      </c>
      <c r="B216">
        <v>3300012809</v>
      </c>
    </row>
    <row r="217" spans="1:2">
      <c r="A217" t="s">
        <v>6529</v>
      </c>
      <c r="B217">
        <v>3300009542</v>
      </c>
    </row>
    <row r="218" spans="1:2">
      <c r="A218" t="s">
        <v>6529</v>
      </c>
      <c r="B218">
        <v>3300009968</v>
      </c>
    </row>
    <row r="219" spans="1:2">
      <c r="A219" t="s">
        <v>6529</v>
      </c>
      <c r="B219">
        <v>3300001669</v>
      </c>
    </row>
    <row r="220" spans="1:2">
      <c r="A220" t="s">
        <v>6529</v>
      </c>
      <c r="B220">
        <v>3300012815</v>
      </c>
    </row>
    <row r="221" spans="1:2">
      <c r="A221" t="s">
        <v>6529</v>
      </c>
      <c r="B221">
        <v>3300009781</v>
      </c>
    </row>
    <row r="222" spans="1:2">
      <c r="A222" t="s">
        <v>6529</v>
      </c>
      <c r="B222">
        <v>3300012521</v>
      </c>
    </row>
    <row r="223" spans="1:2">
      <c r="A223" t="s">
        <v>6529</v>
      </c>
      <c r="B223">
        <v>3300012520</v>
      </c>
    </row>
    <row r="224" spans="1:2">
      <c r="A224" t="s">
        <v>6529</v>
      </c>
      <c r="B224">
        <v>3300012490</v>
      </c>
    </row>
    <row r="225" spans="1:2">
      <c r="A225" t="s">
        <v>6529</v>
      </c>
      <c r="B225">
        <v>3300012524</v>
      </c>
    </row>
    <row r="226" spans="1:2">
      <c r="A226" t="s">
        <v>6529</v>
      </c>
      <c r="B226">
        <v>3300012519</v>
      </c>
    </row>
    <row r="227" spans="1:2">
      <c r="A227" t="s">
        <v>6529</v>
      </c>
      <c r="B227">
        <v>3300012501</v>
      </c>
    </row>
    <row r="228" spans="1:2">
      <c r="A228" t="s">
        <v>6529</v>
      </c>
      <c r="B228">
        <v>3300012510</v>
      </c>
    </row>
    <row r="229" spans="1:2">
      <c r="A229" t="s">
        <v>6529</v>
      </c>
      <c r="B229">
        <v>3300012489</v>
      </c>
    </row>
    <row r="230" spans="1:2">
      <c r="A230" t="s">
        <v>6529</v>
      </c>
      <c r="B230">
        <v>3300012491</v>
      </c>
    </row>
    <row r="231" spans="1:2">
      <c r="A231" t="s">
        <v>6529</v>
      </c>
      <c r="B231">
        <v>3300012517</v>
      </c>
    </row>
    <row r="232" spans="1:2">
      <c r="A232" t="s">
        <v>6529</v>
      </c>
      <c r="B232">
        <v>3300012514</v>
      </c>
    </row>
    <row r="233" spans="1:2">
      <c r="A233" t="s">
        <v>6529</v>
      </c>
      <c r="B233">
        <v>3300012685</v>
      </c>
    </row>
    <row r="234" spans="1:2">
      <c r="A234" t="s">
        <v>6529</v>
      </c>
      <c r="B234">
        <v>3300012678</v>
      </c>
    </row>
    <row r="235" spans="1:2">
      <c r="A235" t="s">
        <v>6529</v>
      </c>
      <c r="B235">
        <v>3300012682</v>
      </c>
    </row>
    <row r="236" spans="1:2">
      <c r="A236" t="s">
        <v>6529</v>
      </c>
      <c r="B236">
        <v>3300012671</v>
      </c>
    </row>
    <row r="237" spans="1:2">
      <c r="A237" t="s">
        <v>6529</v>
      </c>
      <c r="B237">
        <v>3300012702</v>
      </c>
    </row>
    <row r="238" spans="1:2">
      <c r="A238" t="s">
        <v>6529</v>
      </c>
      <c r="B238">
        <v>3300012701</v>
      </c>
    </row>
    <row r="239" spans="1:2">
      <c r="A239" t="s">
        <v>6529</v>
      </c>
      <c r="B239">
        <v>3300012677</v>
      </c>
    </row>
    <row r="240" spans="1:2">
      <c r="A240" t="s">
        <v>6529</v>
      </c>
      <c r="B240">
        <v>3300012674</v>
      </c>
    </row>
    <row r="241" spans="1:2">
      <c r="A241" t="s">
        <v>6529</v>
      </c>
      <c r="B241">
        <v>3300013093</v>
      </c>
    </row>
    <row r="242" spans="1:2">
      <c r="A242" t="s">
        <v>6529</v>
      </c>
      <c r="B242">
        <v>3300013117</v>
      </c>
    </row>
    <row r="243" spans="1:2">
      <c r="A243" t="s">
        <v>6529</v>
      </c>
      <c r="B243">
        <v>3300013099</v>
      </c>
    </row>
    <row r="244" spans="1:2">
      <c r="A244" t="s">
        <v>6529</v>
      </c>
      <c r="B244">
        <v>3300013116</v>
      </c>
    </row>
    <row r="245" spans="1:2">
      <c r="A245" t="s">
        <v>6529</v>
      </c>
      <c r="B245">
        <v>3300013109</v>
      </c>
    </row>
    <row r="246" spans="1:2">
      <c r="A246" t="s">
        <v>6529</v>
      </c>
      <c r="B246">
        <v>3300013100</v>
      </c>
    </row>
    <row r="247" spans="1:2">
      <c r="A247" t="s">
        <v>6529</v>
      </c>
      <c r="B247">
        <v>3300013080</v>
      </c>
    </row>
    <row r="248" spans="1:2">
      <c r="A248" t="s">
        <v>6529</v>
      </c>
      <c r="B248">
        <v>3300013091</v>
      </c>
    </row>
    <row r="249" spans="1:2">
      <c r="A249" t="s">
        <v>6675</v>
      </c>
      <c r="B249">
        <v>3400002957</v>
      </c>
    </row>
    <row r="250" spans="1:2">
      <c r="A250" t="s">
        <v>6676</v>
      </c>
      <c r="B250">
        <v>41788</v>
      </c>
    </row>
    <row r="251" spans="1:2">
      <c r="A251" t="s">
        <v>6677</v>
      </c>
      <c r="B251">
        <v>5031879</v>
      </c>
    </row>
    <row r="252" spans="1:2">
      <c r="A252" t="s">
        <v>6677</v>
      </c>
      <c r="B252">
        <v>5031836</v>
      </c>
    </row>
    <row r="253" spans="1:2">
      <c r="A253" t="s">
        <v>6677</v>
      </c>
      <c r="B253" t="s">
        <v>6678</v>
      </c>
    </row>
    <row r="254" spans="1:2">
      <c r="A254" t="s">
        <v>6677</v>
      </c>
      <c r="B254">
        <v>5036847</v>
      </c>
    </row>
    <row r="255" spans="1:2">
      <c r="A255" t="s">
        <v>6677</v>
      </c>
      <c r="B255">
        <v>5001453</v>
      </c>
    </row>
    <row r="256" spans="1:2">
      <c r="A256" t="s">
        <v>6677</v>
      </c>
      <c r="B256" t="s">
        <v>6679</v>
      </c>
    </row>
    <row r="257" spans="1:2">
      <c r="A257" t="s">
        <v>6677</v>
      </c>
      <c r="B257">
        <v>5042643</v>
      </c>
    </row>
    <row r="258" spans="1:2">
      <c r="A258" t="s">
        <v>6677</v>
      </c>
      <c r="B258">
        <v>5043113</v>
      </c>
    </row>
    <row r="259" spans="1:2">
      <c r="A259" t="s">
        <v>6677</v>
      </c>
      <c r="B259">
        <v>5047878</v>
      </c>
    </row>
    <row r="260" spans="1:2">
      <c r="A260" t="s">
        <v>6677</v>
      </c>
      <c r="B260" t="s">
        <v>6680</v>
      </c>
    </row>
    <row r="261" spans="1:2">
      <c r="A261" t="s">
        <v>6677</v>
      </c>
      <c r="B261" t="s">
        <v>6681</v>
      </c>
    </row>
    <row r="262" spans="1:2">
      <c r="A262" t="s">
        <v>6677</v>
      </c>
      <c r="B262">
        <v>5059296</v>
      </c>
    </row>
    <row r="263" spans="1:2">
      <c r="A263" t="s">
        <v>6677</v>
      </c>
      <c r="B263">
        <v>5059365</v>
      </c>
    </row>
    <row r="264" spans="1:2">
      <c r="A264" t="s">
        <v>6677</v>
      </c>
      <c r="B264">
        <v>5059380</v>
      </c>
    </row>
    <row r="265" spans="1:2">
      <c r="A265" t="s">
        <v>6677</v>
      </c>
      <c r="B265" t="s">
        <v>6682</v>
      </c>
    </row>
    <row r="266" spans="1:2">
      <c r="A266" t="s">
        <v>6677</v>
      </c>
      <c r="B266">
        <v>5045655</v>
      </c>
    </row>
    <row r="267" spans="1:2">
      <c r="A267" t="s">
        <v>6677</v>
      </c>
      <c r="B267">
        <v>5031890</v>
      </c>
    </row>
    <row r="268" spans="1:2">
      <c r="A268" t="s">
        <v>6677</v>
      </c>
      <c r="B268">
        <v>5059325</v>
      </c>
    </row>
    <row r="269" spans="1:2">
      <c r="A269" t="s">
        <v>6677</v>
      </c>
      <c r="B269">
        <v>5045650</v>
      </c>
    </row>
    <row r="270" spans="1:2">
      <c r="A270" t="s">
        <v>6677</v>
      </c>
      <c r="B270" t="s">
        <v>5929</v>
      </c>
    </row>
    <row r="271" spans="1:2">
      <c r="A271" t="s">
        <v>6677</v>
      </c>
      <c r="B271">
        <v>5059297</v>
      </c>
    </row>
    <row r="272" spans="1:2">
      <c r="A272" t="s">
        <v>6677</v>
      </c>
      <c r="B272">
        <v>5059357</v>
      </c>
    </row>
    <row r="273" spans="1:2">
      <c r="A273" t="s">
        <v>6683</v>
      </c>
      <c r="B273" t="s">
        <v>5640</v>
      </c>
    </row>
    <row r="274" spans="1:2">
      <c r="A274" t="s">
        <v>6530</v>
      </c>
      <c r="B274" t="s">
        <v>6684</v>
      </c>
    </row>
    <row r="275" spans="1:2">
      <c r="A275" t="s">
        <v>6530</v>
      </c>
      <c r="B275" t="s">
        <v>6685</v>
      </c>
    </row>
    <row r="276" spans="1:2">
      <c r="A276" t="s">
        <v>6530</v>
      </c>
      <c r="B276" t="s">
        <v>6686</v>
      </c>
    </row>
    <row r="277" spans="1:2">
      <c r="A277" t="s">
        <v>6530</v>
      </c>
      <c r="B277" t="s">
        <v>6687</v>
      </c>
    </row>
    <row r="278" spans="1:2">
      <c r="A278" t="s">
        <v>6530</v>
      </c>
      <c r="B278" t="s">
        <v>6688</v>
      </c>
    </row>
    <row r="279" spans="1:2">
      <c r="A279" t="s">
        <v>6573</v>
      </c>
      <c r="B279" t="s">
        <v>6689</v>
      </c>
    </row>
    <row r="280" spans="1:2">
      <c r="A280" t="s">
        <v>6573</v>
      </c>
      <c r="B280" t="s">
        <v>6690</v>
      </c>
    </row>
    <row r="281" spans="1:2">
      <c r="A281" t="s">
        <v>6573</v>
      </c>
      <c r="B281" t="s">
        <v>6691</v>
      </c>
    </row>
    <row r="282" spans="1:2">
      <c r="A282" t="s">
        <v>6573</v>
      </c>
      <c r="B282" t="s">
        <v>5352</v>
      </c>
    </row>
    <row r="283" spans="1:2">
      <c r="A283" t="s">
        <v>6573</v>
      </c>
      <c r="B283" t="s">
        <v>6692</v>
      </c>
    </row>
    <row r="284" spans="1:2">
      <c r="A284" t="s">
        <v>6573</v>
      </c>
      <c r="B284" t="s">
        <v>6693</v>
      </c>
    </row>
    <row r="285" spans="1:2">
      <c r="A285" t="s">
        <v>6573</v>
      </c>
      <c r="B285" t="s">
        <v>6694</v>
      </c>
    </row>
    <row r="286" spans="1:2">
      <c r="A286" t="s">
        <v>6573</v>
      </c>
      <c r="B286" t="s">
        <v>5748</v>
      </c>
    </row>
    <row r="287" spans="1:2">
      <c r="A287" t="s">
        <v>6573</v>
      </c>
      <c r="B287" t="s">
        <v>4758</v>
      </c>
    </row>
    <row r="288" spans="1:2">
      <c r="A288" t="s">
        <v>6573</v>
      </c>
      <c r="B288" t="s">
        <v>6695</v>
      </c>
    </row>
    <row r="289" spans="1:2">
      <c r="A289" t="s">
        <v>6573</v>
      </c>
      <c r="B289" t="s">
        <v>6696</v>
      </c>
    </row>
    <row r="290" spans="1:2">
      <c r="A290" t="s">
        <v>6573</v>
      </c>
      <c r="B290" t="s">
        <v>6697</v>
      </c>
    </row>
    <row r="291" spans="1:2">
      <c r="A291" t="s">
        <v>6573</v>
      </c>
      <c r="B291" t="s">
        <v>6698</v>
      </c>
    </row>
    <row r="292" spans="1:2">
      <c r="A292" t="s">
        <v>6573</v>
      </c>
      <c r="B292" t="s">
        <v>6699</v>
      </c>
    </row>
    <row r="293" spans="1:2">
      <c r="A293" t="s">
        <v>6573</v>
      </c>
      <c r="B293" t="s">
        <v>6700</v>
      </c>
    </row>
    <row r="294" spans="1:2">
      <c r="A294" t="s">
        <v>6573</v>
      </c>
      <c r="B294" t="s">
        <v>6701</v>
      </c>
    </row>
    <row r="295" spans="1:2">
      <c r="A295" t="s">
        <v>6632</v>
      </c>
      <c r="B295" t="s">
        <v>6702</v>
      </c>
    </row>
    <row r="296" spans="1:2">
      <c r="A296" t="s">
        <v>6632</v>
      </c>
      <c r="B296" t="s">
        <v>6703</v>
      </c>
    </row>
    <row r="297" spans="1:2">
      <c r="A297" t="s">
        <v>6632</v>
      </c>
      <c r="B297" t="s">
        <v>6704</v>
      </c>
    </row>
    <row r="298" spans="1:2">
      <c r="A298" t="s">
        <v>6632</v>
      </c>
      <c r="B298" t="s">
        <v>6705</v>
      </c>
    </row>
    <row r="299" spans="1:2">
      <c r="A299" t="s">
        <v>6645</v>
      </c>
      <c r="B299" t="s">
        <v>6706</v>
      </c>
    </row>
    <row r="300" spans="1:2">
      <c r="A300" t="s">
        <v>6645</v>
      </c>
      <c r="B300" t="s">
        <v>6707</v>
      </c>
    </row>
    <row r="301" spans="1:2">
      <c r="A301" t="s">
        <v>6528</v>
      </c>
      <c r="B301">
        <v>2180508</v>
      </c>
    </row>
    <row r="302" spans="1:2">
      <c r="A302" t="s">
        <v>6528</v>
      </c>
      <c r="B302">
        <v>2180518</v>
      </c>
    </row>
    <row r="303" spans="1:2">
      <c r="A303" t="s">
        <v>6528</v>
      </c>
      <c r="B303">
        <v>2096067</v>
      </c>
    </row>
    <row r="304" spans="1:2">
      <c r="A304" t="s">
        <v>6528</v>
      </c>
      <c r="B304">
        <v>2096139</v>
      </c>
    </row>
    <row r="305" spans="1:2">
      <c r="A305" t="s">
        <v>6528</v>
      </c>
      <c r="B305">
        <v>2103666</v>
      </c>
    </row>
    <row r="306" spans="1:2">
      <c r="A306" t="s">
        <v>6528</v>
      </c>
      <c r="B306">
        <v>2170080</v>
      </c>
    </row>
    <row r="307" spans="1:2">
      <c r="A307" t="s">
        <v>6528</v>
      </c>
      <c r="B307">
        <v>2087317</v>
      </c>
    </row>
    <row r="308" spans="1:2">
      <c r="A308" t="s">
        <v>6673</v>
      </c>
      <c r="B308">
        <v>2199631</v>
      </c>
    </row>
    <row r="309" spans="1:2">
      <c r="A309" t="s">
        <v>6529</v>
      </c>
      <c r="B309">
        <v>3300011805</v>
      </c>
    </row>
    <row r="310" spans="1:2">
      <c r="A310" t="s">
        <v>6529</v>
      </c>
      <c r="B310">
        <v>3300001251</v>
      </c>
    </row>
    <row r="311" spans="1:2">
      <c r="A311" t="s">
        <v>6529</v>
      </c>
      <c r="B311">
        <v>3300009560</v>
      </c>
    </row>
    <row r="312" spans="1:2">
      <c r="A312" t="s">
        <v>6529</v>
      </c>
      <c r="B312">
        <v>3300009494</v>
      </c>
    </row>
    <row r="313" spans="1:2">
      <c r="A313" t="s">
        <v>6529</v>
      </c>
      <c r="B313">
        <v>3300011508</v>
      </c>
    </row>
    <row r="314" spans="1:2">
      <c r="A314" t="s">
        <v>6675</v>
      </c>
      <c r="B314">
        <v>3400002961</v>
      </c>
    </row>
    <row r="315" spans="1:2">
      <c r="A315" t="s">
        <v>6675</v>
      </c>
      <c r="B315">
        <v>3400002963</v>
      </c>
    </row>
    <row r="316" spans="1:2">
      <c r="A316" t="s">
        <v>6675</v>
      </c>
      <c r="B316">
        <v>3400002983</v>
      </c>
    </row>
    <row r="317" spans="1:2">
      <c r="A317" t="s">
        <v>6677</v>
      </c>
      <c r="B317" t="s">
        <v>6708</v>
      </c>
    </row>
    <row r="318" spans="1:2">
      <c r="A318" t="s">
        <v>6677</v>
      </c>
      <c r="B318" t="s">
        <v>6709</v>
      </c>
    </row>
    <row r="319" spans="1:2">
      <c r="A319" t="s">
        <v>6677</v>
      </c>
      <c r="B319" t="s">
        <v>6710</v>
      </c>
    </row>
    <row r="320" spans="1:2">
      <c r="A320" t="s">
        <v>6677</v>
      </c>
      <c r="B320" t="s">
        <v>6711</v>
      </c>
    </row>
    <row r="321" spans="1:2">
      <c r="A321" t="s">
        <v>6677</v>
      </c>
      <c r="B321" t="s">
        <v>6712</v>
      </c>
    </row>
    <row r="322" spans="1:2">
      <c r="A322" t="s">
        <v>6573</v>
      </c>
      <c r="B322" t="s">
        <v>6713</v>
      </c>
    </row>
    <row r="323" spans="1:2">
      <c r="A323" t="s">
        <v>6573</v>
      </c>
      <c r="B323" t="s">
        <v>819</v>
      </c>
    </row>
    <row r="324" spans="1:2">
      <c r="A324" t="s">
        <v>6645</v>
      </c>
      <c r="B324" t="s">
        <v>820</v>
      </c>
    </row>
    <row r="325" spans="1:2">
      <c r="A325" t="s">
        <v>6672</v>
      </c>
      <c r="B325">
        <v>2171966</v>
      </c>
    </row>
    <row r="326" spans="1:2">
      <c r="A326" t="s">
        <v>6529</v>
      </c>
      <c r="B326">
        <v>3300002922</v>
      </c>
    </row>
    <row r="327" spans="1:2">
      <c r="A327" t="s">
        <v>6677</v>
      </c>
      <c r="B327">
        <v>5032242</v>
      </c>
    </row>
    <row r="328" spans="1:2">
      <c r="A328" t="s">
        <v>6530</v>
      </c>
      <c r="B328" t="s">
        <v>6714</v>
      </c>
    </row>
    <row r="329" spans="1:2">
      <c r="A329" t="s">
        <v>6528</v>
      </c>
      <c r="B329">
        <v>2084749</v>
      </c>
    </row>
    <row r="330" spans="1:2">
      <c r="A330" t="s">
        <v>6642</v>
      </c>
      <c r="B330" t="s">
        <v>2704</v>
      </c>
    </row>
    <row r="331" spans="1:2">
      <c r="A331" t="s">
        <v>6528</v>
      </c>
      <c r="B331">
        <v>2084815</v>
      </c>
    </row>
    <row r="332" spans="1:2">
      <c r="A332" t="s">
        <v>6677</v>
      </c>
      <c r="B332">
        <v>5059326</v>
      </c>
    </row>
    <row r="333" spans="1:2">
      <c r="A333" t="s">
        <v>6529</v>
      </c>
      <c r="B333">
        <v>3300012261</v>
      </c>
    </row>
    <row r="334" spans="1:2">
      <c r="A334" t="s">
        <v>6530</v>
      </c>
      <c r="B334" t="s">
        <v>4088</v>
      </c>
    </row>
    <row r="335" spans="1:2">
      <c r="A335" t="s">
        <v>6528</v>
      </c>
      <c r="B335">
        <v>2114759</v>
      </c>
    </row>
    <row r="336" spans="1:2">
      <c r="A336" t="s">
        <v>6529</v>
      </c>
      <c r="B336">
        <v>3300004151</v>
      </c>
    </row>
    <row r="337" spans="1:2">
      <c r="A337" t="s">
        <v>6677</v>
      </c>
      <c r="B337">
        <v>5004784</v>
      </c>
    </row>
    <row r="338" spans="1:2">
      <c r="A338" t="s">
        <v>6677</v>
      </c>
      <c r="B338" t="s">
        <v>4087</v>
      </c>
    </row>
    <row r="339" spans="1:2">
      <c r="A339" t="s">
        <v>6528</v>
      </c>
      <c r="B339">
        <v>2116071</v>
      </c>
    </row>
    <row r="340" spans="1:2">
      <c r="A340" t="s">
        <v>6530</v>
      </c>
      <c r="B340" t="s">
        <v>5880</v>
      </c>
    </row>
    <row r="341" spans="1:2">
      <c r="A341" t="s">
        <v>6529</v>
      </c>
      <c r="B341">
        <v>3300001708</v>
      </c>
    </row>
    <row r="342" spans="1:2">
      <c r="A342" t="s">
        <v>6677</v>
      </c>
      <c r="B342">
        <v>5045689</v>
      </c>
    </row>
    <row r="343" spans="1:2">
      <c r="A343" t="s">
        <v>6529</v>
      </c>
      <c r="B343">
        <v>3300001709</v>
      </c>
    </row>
    <row r="344" spans="1:2">
      <c r="A344" t="s">
        <v>6645</v>
      </c>
      <c r="B344" t="s">
        <v>5878</v>
      </c>
    </row>
    <row r="345" spans="1:2">
      <c r="A345" t="s">
        <v>6683</v>
      </c>
      <c r="B345" t="s">
        <v>5879</v>
      </c>
    </row>
    <row r="346" spans="1:2">
      <c r="A346" t="s">
        <v>6530</v>
      </c>
      <c r="B346" t="s">
        <v>3219</v>
      </c>
    </row>
    <row r="347" spans="1:2">
      <c r="A347" t="s">
        <v>6528</v>
      </c>
      <c r="B347">
        <v>2103870</v>
      </c>
    </row>
    <row r="348" spans="1:2">
      <c r="A348" t="s">
        <v>6645</v>
      </c>
      <c r="B348" t="s">
        <v>3218</v>
      </c>
    </row>
    <row r="349" spans="1:2">
      <c r="A349" t="s">
        <v>6529</v>
      </c>
      <c r="B349">
        <v>3300003633</v>
      </c>
    </row>
    <row r="350" spans="1:2">
      <c r="A350" t="s">
        <v>6528</v>
      </c>
      <c r="B350">
        <v>2103921</v>
      </c>
    </row>
    <row r="351" spans="1:2">
      <c r="A351" t="s">
        <v>6677</v>
      </c>
      <c r="B351">
        <v>5059379</v>
      </c>
    </row>
    <row r="352" spans="1:2">
      <c r="A352" t="s">
        <v>6530</v>
      </c>
      <c r="B352" t="s">
        <v>6220</v>
      </c>
    </row>
    <row r="353" spans="1:2">
      <c r="A353" t="s">
        <v>6528</v>
      </c>
      <c r="B353">
        <v>2177156</v>
      </c>
    </row>
    <row r="354" spans="1:2">
      <c r="A354" t="s">
        <v>6529</v>
      </c>
      <c r="B354">
        <v>3300001710</v>
      </c>
    </row>
    <row r="355" spans="1:2">
      <c r="A355" t="s">
        <v>6645</v>
      </c>
      <c r="B355" t="s">
        <v>6219</v>
      </c>
    </row>
    <row r="356" spans="1:2">
      <c r="A356" t="s">
        <v>6530</v>
      </c>
      <c r="B356" t="s">
        <v>6368</v>
      </c>
    </row>
    <row r="357" spans="1:2">
      <c r="A357" t="s">
        <v>6528</v>
      </c>
      <c r="B357">
        <v>2103932</v>
      </c>
    </row>
    <row r="358" spans="1:2">
      <c r="A358" t="s">
        <v>6645</v>
      </c>
      <c r="B358" t="s">
        <v>6366</v>
      </c>
    </row>
    <row r="359" spans="1:2">
      <c r="A359" t="s">
        <v>6675</v>
      </c>
      <c r="B359">
        <v>3400001173</v>
      </c>
    </row>
    <row r="360" spans="1:2">
      <c r="A360" t="s">
        <v>6683</v>
      </c>
      <c r="B360" t="s">
        <v>6367</v>
      </c>
    </row>
    <row r="361" spans="1:2">
      <c r="A361" t="s">
        <v>6528</v>
      </c>
      <c r="B361">
        <v>2103935</v>
      </c>
    </row>
    <row r="362" spans="1:2">
      <c r="A362" t="s">
        <v>6530</v>
      </c>
      <c r="B362" t="s">
        <v>6110</v>
      </c>
    </row>
    <row r="363" spans="1:2">
      <c r="A363" t="s">
        <v>6528</v>
      </c>
      <c r="B363">
        <v>2110305</v>
      </c>
    </row>
    <row r="364" spans="1:2">
      <c r="A364" t="s">
        <v>6677</v>
      </c>
      <c r="B364">
        <v>5001471</v>
      </c>
    </row>
    <row r="365" spans="1:2">
      <c r="A365" t="s">
        <v>6528</v>
      </c>
      <c r="B365">
        <v>2114771</v>
      </c>
    </row>
    <row r="366" spans="1:2">
      <c r="A366" t="s">
        <v>6632</v>
      </c>
      <c r="B366" t="s">
        <v>6109</v>
      </c>
    </row>
    <row r="367" spans="1:2">
      <c r="A367" t="s">
        <v>6677</v>
      </c>
      <c r="B367">
        <v>5031878</v>
      </c>
    </row>
    <row r="368" spans="1:2">
      <c r="A368" t="s">
        <v>6530</v>
      </c>
      <c r="B368" t="s">
        <v>5252</v>
      </c>
    </row>
    <row r="369" spans="1:2">
      <c r="A369" t="s">
        <v>6672</v>
      </c>
      <c r="B369">
        <v>2183512</v>
      </c>
    </row>
    <row r="370" spans="1:2">
      <c r="A370" t="s">
        <v>6677</v>
      </c>
      <c r="B370">
        <v>5059355</v>
      </c>
    </row>
    <row r="371" spans="1:2">
      <c r="A371" t="s">
        <v>6530</v>
      </c>
      <c r="B371" t="s">
        <v>6200</v>
      </c>
    </row>
    <row r="372" spans="1:2">
      <c r="A372" t="s">
        <v>6528</v>
      </c>
      <c r="B372">
        <v>2117074</v>
      </c>
    </row>
    <row r="373" spans="1:2">
      <c r="A373" t="s">
        <v>6677</v>
      </c>
      <c r="B373">
        <v>5031915</v>
      </c>
    </row>
    <row r="374" spans="1:2">
      <c r="A374" t="s">
        <v>6529</v>
      </c>
      <c r="B374">
        <v>3300002972</v>
      </c>
    </row>
    <row r="375" spans="1:2">
      <c r="A375" t="s">
        <v>6530</v>
      </c>
      <c r="B375" t="s">
        <v>3373</v>
      </c>
    </row>
    <row r="376" spans="1:2">
      <c r="A376" t="s">
        <v>6529</v>
      </c>
      <c r="B376">
        <v>3300001230</v>
      </c>
    </row>
    <row r="377" spans="1:2">
      <c r="A377" t="s">
        <v>6645</v>
      </c>
      <c r="B377" t="s">
        <v>6715</v>
      </c>
    </row>
    <row r="378" spans="1:2">
      <c r="A378" t="s">
        <v>6529</v>
      </c>
      <c r="B378">
        <v>3300001239</v>
      </c>
    </row>
    <row r="379" spans="1:2">
      <c r="A379" t="s">
        <v>6677</v>
      </c>
      <c r="B379">
        <v>5031869</v>
      </c>
    </row>
    <row r="380" spans="1:2">
      <c r="A380" t="s">
        <v>6530</v>
      </c>
      <c r="B380" t="s">
        <v>5897</v>
      </c>
    </row>
    <row r="381" spans="1:2">
      <c r="A381" t="s">
        <v>6528</v>
      </c>
      <c r="B381">
        <v>2116276</v>
      </c>
    </row>
    <row r="382" spans="1:2">
      <c r="A382" t="s">
        <v>6529</v>
      </c>
      <c r="B382">
        <v>3300002963</v>
      </c>
    </row>
    <row r="383" spans="1:2">
      <c r="A383" t="s">
        <v>6677</v>
      </c>
      <c r="B383" t="s">
        <v>5896</v>
      </c>
    </row>
    <row r="384" spans="1:2">
      <c r="A384" t="s">
        <v>6530</v>
      </c>
      <c r="B384" t="s">
        <v>5838</v>
      </c>
    </row>
    <row r="385" spans="1:2">
      <c r="A385" t="s">
        <v>6529</v>
      </c>
      <c r="B385">
        <v>3300001248</v>
      </c>
    </row>
    <row r="386" spans="1:2">
      <c r="A386" t="s">
        <v>6645</v>
      </c>
      <c r="B386" t="s">
        <v>5836</v>
      </c>
    </row>
    <row r="387" spans="1:2">
      <c r="A387" t="s">
        <v>6529</v>
      </c>
      <c r="B387">
        <v>3300001258</v>
      </c>
    </row>
    <row r="388" spans="1:2">
      <c r="A388" t="s">
        <v>6672</v>
      </c>
      <c r="B388">
        <v>2171902</v>
      </c>
    </row>
    <row r="389" spans="1:2">
      <c r="A389" t="s">
        <v>6529</v>
      </c>
      <c r="B389">
        <v>3300001671</v>
      </c>
    </row>
    <row r="390" spans="1:2">
      <c r="A390" t="s">
        <v>6530</v>
      </c>
      <c r="B390" t="s">
        <v>1062</v>
      </c>
    </row>
    <row r="391" spans="1:2">
      <c r="A391" t="s">
        <v>6642</v>
      </c>
      <c r="B391" t="s">
        <v>1060</v>
      </c>
    </row>
    <row r="392" spans="1:2">
      <c r="A392" t="s">
        <v>6672</v>
      </c>
      <c r="B392">
        <v>2172022</v>
      </c>
    </row>
    <row r="393" spans="1:2">
      <c r="A393" t="s">
        <v>6645</v>
      </c>
      <c r="B393" t="s">
        <v>1061</v>
      </c>
    </row>
    <row r="394" spans="1:2">
      <c r="A394" t="s">
        <v>6530</v>
      </c>
      <c r="B394" t="s">
        <v>1046</v>
      </c>
    </row>
    <row r="395" spans="1:2">
      <c r="A395" t="s">
        <v>6677</v>
      </c>
      <c r="B395">
        <v>5045660</v>
      </c>
    </row>
    <row r="396" spans="1:2">
      <c r="A396" t="s">
        <v>6529</v>
      </c>
      <c r="B396">
        <v>3300001692</v>
      </c>
    </row>
    <row r="397" spans="1:2">
      <c r="A397" t="s">
        <v>6672</v>
      </c>
      <c r="B397">
        <v>2172029</v>
      </c>
    </row>
    <row r="398" spans="1:2">
      <c r="A398" t="s">
        <v>6529</v>
      </c>
      <c r="B398">
        <v>3300001681</v>
      </c>
    </row>
    <row r="399" spans="1:2">
      <c r="A399" t="s">
        <v>6642</v>
      </c>
      <c r="B399" t="s">
        <v>1045</v>
      </c>
    </row>
    <row r="400" spans="1:2">
      <c r="A400" t="s">
        <v>6530</v>
      </c>
      <c r="B400" t="s">
        <v>3492</v>
      </c>
    </row>
    <row r="401" spans="1:2">
      <c r="A401" t="s">
        <v>6683</v>
      </c>
      <c r="B401" t="s">
        <v>3489</v>
      </c>
    </row>
    <row r="402" spans="1:2">
      <c r="A402" t="s">
        <v>6677</v>
      </c>
      <c r="B402">
        <v>5045678</v>
      </c>
    </row>
    <row r="403" spans="1:2">
      <c r="A403" t="s">
        <v>6529</v>
      </c>
      <c r="B403">
        <v>3300001225</v>
      </c>
    </row>
    <row r="404" spans="1:2">
      <c r="A404" t="s">
        <v>6672</v>
      </c>
      <c r="B404">
        <v>2183502</v>
      </c>
    </row>
    <row r="405" spans="1:2">
      <c r="A405" t="s">
        <v>6529</v>
      </c>
      <c r="B405">
        <v>3300001229</v>
      </c>
    </row>
    <row r="406" spans="1:2">
      <c r="A406" t="s">
        <v>6530</v>
      </c>
      <c r="B406" t="s">
        <v>2468</v>
      </c>
    </row>
    <row r="407" spans="1:2">
      <c r="A407" t="s">
        <v>6645</v>
      </c>
      <c r="B407" t="s">
        <v>2465</v>
      </c>
    </row>
    <row r="408" spans="1:2">
      <c r="A408" t="s">
        <v>6677</v>
      </c>
      <c r="B408" t="s">
        <v>2466</v>
      </c>
    </row>
    <row r="409" spans="1:2">
      <c r="A409" t="s">
        <v>6528</v>
      </c>
      <c r="B409">
        <v>2084736</v>
      </c>
    </row>
    <row r="410" spans="1:2">
      <c r="A410" t="s">
        <v>6529</v>
      </c>
      <c r="B410">
        <v>3300004137</v>
      </c>
    </row>
    <row r="411" spans="1:2">
      <c r="A411" t="s">
        <v>6642</v>
      </c>
      <c r="B411" t="s">
        <v>2467</v>
      </c>
    </row>
    <row r="412" spans="1:2">
      <c r="A412" t="s">
        <v>6530</v>
      </c>
      <c r="B412" t="s">
        <v>1391</v>
      </c>
    </row>
    <row r="413" spans="1:2">
      <c r="A413" t="s">
        <v>6528</v>
      </c>
      <c r="B413">
        <v>2177150</v>
      </c>
    </row>
    <row r="414" spans="1:2">
      <c r="A414" t="s">
        <v>6645</v>
      </c>
      <c r="B414" t="s">
        <v>1389</v>
      </c>
    </row>
    <row r="415" spans="1:2">
      <c r="A415" t="s">
        <v>6529</v>
      </c>
      <c r="B415">
        <v>3300001674</v>
      </c>
    </row>
    <row r="416" spans="1:2">
      <c r="A416" t="s">
        <v>6677</v>
      </c>
      <c r="B416">
        <v>5031860</v>
      </c>
    </row>
    <row r="417" spans="1:2">
      <c r="A417" t="s">
        <v>6528</v>
      </c>
      <c r="B417">
        <v>2119205</v>
      </c>
    </row>
    <row r="418" spans="1:2">
      <c r="A418" t="s">
        <v>6530</v>
      </c>
      <c r="B418" t="s">
        <v>5946</v>
      </c>
    </row>
    <row r="419" spans="1:2">
      <c r="A419" t="s">
        <v>6528</v>
      </c>
      <c r="B419">
        <v>2103508</v>
      </c>
    </row>
    <row r="420" spans="1:2">
      <c r="A420" t="s">
        <v>6529</v>
      </c>
      <c r="B420">
        <v>3300011792</v>
      </c>
    </row>
    <row r="421" spans="1:2">
      <c r="A421" t="s">
        <v>6528</v>
      </c>
      <c r="B421">
        <v>2103721</v>
      </c>
    </row>
    <row r="422" spans="1:2">
      <c r="A422" t="s">
        <v>6645</v>
      </c>
      <c r="B422" t="s">
        <v>5945</v>
      </c>
    </row>
    <row r="423" spans="1:2">
      <c r="A423" t="s">
        <v>6677</v>
      </c>
      <c r="B423">
        <v>5059343</v>
      </c>
    </row>
    <row r="424" spans="1:2">
      <c r="A424" t="s">
        <v>6530</v>
      </c>
      <c r="B424" t="s">
        <v>1830</v>
      </c>
    </row>
    <row r="425" spans="1:2">
      <c r="A425" t="s">
        <v>6677</v>
      </c>
      <c r="B425" t="s">
        <v>1826</v>
      </c>
    </row>
    <row r="426" spans="1:2">
      <c r="A426" t="s">
        <v>6645</v>
      </c>
      <c r="B426" t="s">
        <v>1827</v>
      </c>
    </row>
    <row r="427" spans="1:2">
      <c r="A427" t="s">
        <v>6677</v>
      </c>
      <c r="B427">
        <v>5045694</v>
      </c>
    </row>
    <row r="428" spans="1:2">
      <c r="A428" t="s">
        <v>6672</v>
      </c>
      <c r="B428">
        <v>2171967</v>
      </c>
    </row>
    <row r="429" spans="1:2">
      <c r="A429" t="s">
        <v>6530</v>
      </c>
      <c r="B429" t="s">
        <v>4029</v>
      </c>
    </row>
    <row r="430" spans="1:2">
      <c r="A430" t="s">
        <v>6529</v>
      </c>
      <c r="B430">
        <v>3300001237</v>
      </c>
    </row>
    <row r="431" spans="1:2">
      <c r="A431" t="s">
        <v>6529</v>
      </c>
      <c r="B431">
        <v>3300001232</v>
      </c>
    </row>
    <row r="432" spans="1:2">
      <c r="A432" t="s">
        <v>6672</v>
      </c>
      <c r="B432">
        <v>2171931</v>
      </c>
    </row>
    <row r="433" spans="1:2">
      <c r="A433" t="s">
        <v>6645</v>
      </c>
      <c r="B433" t="s">
        <v>6716</v>
      </c>
    </row>
    <row r="434" spans="1:2">
      <c r="A434" t="s">
        <v>6645</v>
      </c>
      <c r="B434" t="s">
        <v>4028</v>
      </c>
    </row>
    <row r="435" spans="1:2">
      <c r="A435" t="s">
        <v>6573</v>
      </c>
      <c r="B435" t="s">
        <v>6717</v>
      </c>
    </row>
    <row r="436" spans="1:2">
      <c r="A436" t="s">
        <v>6672</v>
      </c>
      <c r="B436">
        <v>2171905</v>
      </c>
    </row>
    <row r="437" spans="1:2">
      <c r="A437" t="s">
        <v>6642</v>
      </c>
      <c r="B437" t="s">
        <v>6718</v>
      </c>
    </row>
    <row r="438" spans="1:2">
      <c r="A438" t="s">
        <v>6677</v>
      </c>
      <c r="B438" t="s">
        <v>6719</v>
      </c>
    </row>
    <row r="439" spans="1:2">
      <c r="A439" t="s">
        <v>6529</v>
      </c>
      <c r="B439">
        <v>3300001264</v>
      </c>
    </row>
    <row r="440" spans="1:2">
      <c r="A440" t="s">
        <v>6529</v>
      </c>
      <c r="B440">
        <v>3300001265</v>
      </c>
    </row>
    <row r="441" spans="1:2">
      <c r="A441" t="s">
        <v>6573</v>
      </c>
      <c r="B441" t="s">
        <v>3200</v>
      </c>
    </row>
    <row r="442" spans="1:2">
      <c r="A442" t="s">
        <v>6660</v>
      </c>
      <c r="B442" t="s">
        <v>3198</v>
      </c>
    </row>
    <row r="443" spans="1:2">
      <c r="A443" t="s">
        <v>6528</v>
      </c>
      <c r="B443">
        <v>2103717</v>
      </c>
    </row>
    <row r="444" spans="1:2">
      <c r="A444" t="s">
        <v>6677</v>
      </c>
      <c r="B444" t="s">
        <v>6720</v>
      </c>
    </row>
    <row r="445" spans="1:2">
      <c r="A445" t="s">
        <v>6573</v>
      </c>
      <c r="B445" t="s">
        <v>1765</v>
      </c>
    </row>
    <row r="446" spans="1:2">
      <c r="A446" t="s">
        <v>6529</v>
      </c>
      <c r="B446">
        <v>3300005148</v>
      </c>
    </row>
    <row r="447" spans="1:2">
      <c r="A447" t="s">
        <v>6528</v>
      </c>
      <c r="B447">
        <v>2114739</v>
      </c>
    </row>
    <row r="448" spans="1:2">
      <c r="A448" t="s">
        <v>6529</v>
      </c>
      <c r="B448">
        <v>3300005150</v>
      </c>
    </row>
    <row r="449" spans="1:2">
      <c r="A449" t="s">
        <v>6645</v>
      </c>
      <c r="B449" t="s">
        <v>1764</v>
      </c>
    </row>
    <row r="450" spans="1:2">
      <c r="A450" t="s">
        <v>6677</v>
      </c>
      <c r="B450">
        <v>5059327</v>
      </c>
    </row>
    <row r="451" spans="1:2">
      <c r="A451" t="s">
        <v>6530</v>
      </c>
      <c r="B451" t="s">
        <v>4034</v>
      </c>
    </row>
    <row r="452" spans="1:2">
      <c r="A452" t="s">
        <v>6529</v>
      </c>
      <c r="B452">
        <v>3300011490</v>
      </c>
    </row>
    <row r="453" spans="1:2">
      <c r="A453" t="s">
        <v>6677</v>
      </c>
      <c r="B453" t="s">
        <v>6721</v>
      </c>
    </row>
    <row r="454" spans="1:2">
      <c r="A454" t="s">
        <v>6645</v>
      </c>
      <c r="B454" t="s">
        <v>4033</v>
      </c>
    </row>
    <row r="455" spans="1:2">
      <c r="A455" t="s">
        <v>6528</v>
      </c>
      <c r="B455">
        <v>2119203</v>
      </c>
    </row>
    <row r="456" spans="1:2">
      <c r="A456" t="s">
        <v>6683</v>
      </c>
      <c r="B456" t="s">
        <v>6722</v>
      </c>
    </row>
    <row r="457" spans="1:2">
      <c r="A457" t="s">
        <v>6530</v>
      </c>
      <c r="B457" t="s">
        <v>994</v>
      </c>
    </row>
    <row r="458" spans="1:2">
      <c r="A458" t="s">
        <v>6642</v>
      </c>
      <c r="B458" t="s">
        <v>992</v>
      </c>
    </row>
    <row r="459" spans="1:2">
      <c r="A459" t="s">
        <v>6529</v>
      </c>
      <c r="B459">
        <v>3300004138</v>
      </c>
    </row>
    <row r="460" spans="1:2">
      <c r="A460" t="s">
        <v>6645</v>
      </c>
      <c r="B460" t="s">
        <v>993</v>
      </c>
    </row>
    <row r="461" spans="1:2">
      <c r="A461" t="s">
        <v>6529</v>
      </c>
      <c r="B461">
        <v>3300004139</v>
      </c>
    </row>
    <row r="462" spans="1:2">
      <c r="A462" t="s">
        <v>6672</v>
      </c>
      <c r="B462">
        <v>2171886</v>
      </c>
    </row>
    <row r="463" spans="1:2">
      <c r="A463" t="s">
        <v>6530</v>
      </c>
      <c r="B463" t="s">
        <v>5723</v>
      </c>
    </row>
    <row r="464" spans="1:2">
      <c r="A464" t="s">
        <v>6528</v>
      </c>
      <c r="B464">
        <v>2115661</v>
      </c>
    </row>
    <row r="465" spans="1:2">
      <c r="A465" t="s">
        <v>6529</v>
      </c>
      <c r="B465">
        <v>3300004135</v>
      </c>
    </row>
    <row r="466" spans="1:2">
      <c r="A466" t="s">
        <v>6528</v>
      </c>
      <c r="B466">
        <v>2103496</v>
      </c>
    </row>
    <row r="467" spans="1:2">
      <c r="A467" t="s">
        <v>6529</v>
      </c>
      <c r="B467">
        <v>3300004156</v>
      </c>
    </row>
    <row r="468" spans="1:2">
      <c r="A468" t="s">
        <v>6530</v>
      </c>
      <c r="B468" t="s">
        <v>3889</v>
      </c>
    </row>
    <row r="469" spans="1:2">
      <c r="A469" t="s">
        <v>6642</v>
      </c>
      <c r="B469" t="s">
        <v>3887</v>
      </c>
    </row>
    <row r="470" spans="1:2">
      <c r="A470" t="s">
        <v>6529</v>
      </c>
      <c r="B470">
        <v>3300004125</v>
      </c>
    </row>
    <row r="471" spans="1:2">
      <c r="A471" t="s">
        <v>6528</v>
      </c>
      <c r="B471">
        <v>2103476</v>
      </c>
    </row>
    <row r="472" spans="1:2">
      <c r="A472" t="s">
        <v>6529</v>
      </c>
      <c r="B472">
        <v>3300004144</v>
      </c>
    </row>
    <row r="473" spans="1:2">
      <c r="A473" t="s">
        <v>6642</v>
      </c>
      <c r="B473" t="s">
        <v>3888</v>
      </c>
    </row>
    <row r="474" spans="1:2">
      <c r="A474" t="s">
        <v>6530</v>
      </c>
      <c r="B474" t="s">
        <v>1893</v>
      </c>
    </row>
    <row r="475" spans="1:2">
      <c r="A475" t="s">
        <v>6529</v>
      </c>
      <c r="B475">
        <v>3300001236</v>
      </c>
    </row>
    <row r="476" spans="1:2">
      <c r="A476" t="s">
        <v>6683</v>
      </c>
      <c r="B476" t="s">
        <v>1890</v>
      </c>
    </row>
    <row r="477" spans="1:2">
      <c r="A477" t="s">
        <v>6529</v>
      </c>
      <c r="B477">
        <v>3300001234</v>
      </c>
    </row>
    <row r="478" spans="1:2">
      <c r="A478" t="s">
        <v>6645</v>
      </c>
      <c r="B478" t="s">
        <v>6723</v>
      </c>
    </row>
    <row r="479" spans="1:2">
      <c r="A479" t="s">
        <v>6672</v>
      </c>
      <c r="B479">
        <v>2183558</v>
      </c>
    </row>
    <row r="480" spans="1:2">
      <c r="A480" t="s">
        <v>6530</v>
      </c>
      <c r="B480" t="s">
        <v>1353</v>
      </c>
    </row>
    <row r="481" spans="1:2">
      <c r="A481" t="s">
        <v>6642</v>
      </c>
      <c r="B481" t="s">
        <v>1352</v>
      </c>
    </row>
    <row r="482" spans="1:2">
      <c r="A482" t="s">
        <v>6672</v>
      </c>
      <c r="B482">
        <v>2171924</v>
      </c>
    </row>
    <row r="483" spans="1:2">
      <c r="A483" t="s">
        <v>6677</v>
      </c>
      <c r="B483">
        <v>5045665</v>
      </c>
    </row>
    <row r="484" spans="1:2">
      <c r="A484" t="s">
        <v>6529</v>
      </c>
      <c r="B484">
        <v>3300002983</v>
      </c>
    </row>
    <row r="485" spans="1:2">
      <c r="A485" t="s">
        <v>6530</v>
      </c>
      <c r="B485" t="s">
        <v>3999</v>
      </c>
    </row>
    <row r="486" spans="1:2">
      <c r="A486" t="s">
        <v>6645</v>
      </c>
      <c r="B486" t="s">
        <v>3997</v>
      </c>
    </row>
    <row r="487" spans="1:2">
      <c r="A487" t="s">
        <v>6528</v>
      </c>
      <c r="B487">
        <v>2103902</v>
      </c>
    </row>
    <row r="488" spans="1:2">
      <c r="A488" t="s">
        <v>6683</v>
      </c>
      <c r="B488" t="s">
        <v>3998</v>
      </c>
    </row>
    <row r="489" spans="1:2">
      <c r="A489" t="s">
        <v>6675</v>
      </c>
      <c r="B489">
        <v>3400001172</v>
      </c>
    </row>
    <row r="490" spans="1:2">
      <c r="A490" t="s">
        <v>6674</v>
      </c>
      <c r="B490">
        <v>1776717</v>
      </c>
    </row>
    <row r="491" spans="1:2">
      <c r="A491" t="s">
        <v>6530</v>
      </c>
      <c r="B491" t="s">
        <v>1218</v>
      </c>
    </row>
    <row r="492" spans="1:2">
      <c r="A492" t="s">
        <v>6645</v>
      </c>
      <c r="B492" t="s">
        <v>1217</v>
      </c>
    </row>
    <row r="493" spans="1:2">
      <c r="A493" t="s">
        <v>6672</v>
      </c>
      <c r="B493">
        <v>2171998</v>
      </c>
    </row>
    <row r="494" spans="1:2">
      <c r="A494" t="s">
        <v>6530</v>
      </c>
      <c r="B494" t="s">
        <v>4243</v>
      </c>
    </row>
    <row r="495" spans="1:2">
      <c r="A495" t="s">
        <v>6642</v>
      </c>
      <c r="B495" t="s">
        <v>4240</v>
      </c>
    </row>
    <row r="496" spans="1:2">
      <c r="A496" t="s">
        <v>6528</v>
      </c>
      <c r="B496">
        <v>2115641</v>
      </c>
    </row>
    <row r="497" spans="1:2">
      <c r="A497" t="s">
        <v>6677</v>
      </c>
      <c r="B497" t="s">
        <v>4241</v>
      </c>
    </row>
    <row r="498" spans="1:2">
      <c r="A498" t="s">
        <v>6683</v>
      </c>
      <c r="B498" t="s">
        <v>4242</v>
      </c>
    </row>
    <row r="499" spans="1:2">
      <c r="A499" t="s">
        <v>6529</v>
      </c>
      <c r="B499">
        <v>3300009754</v>
      </c>
    </row>
    <row r="500" spans="1:2">
      <c r="A500" t="s">
        <v>6530</v>
      </c>
      <c r="B500" t="s">
        <v>4094</v>
      </c>
    </row>
    <row r="501" spans="1:2">
      <c r="A501" t="s">
        <v>6529</v>
      </c>
      <c r="B501">
        <v>3300004149</v>
      </c>
    </row>
    <row r="502" spans="1:2">
      <c r="A502" t="s">
        <v>6528</v>
      </c>
      <c r="B502">
        <v>2114768</v>
      </c>
    </row>
    <row r="503" spans="1:2">
      <c r="A503" t="s">
        <v>6677</v>
      </c>
      <c r="B503">
        <v>5059293</v>
      </c>
    </row>
    <row r="504" spans="1:2">
      <c r="A504" t="s">
        <v>6569</v>
      </c>
      <c r="B504" t="s">
        <v>1137</v>
      </c>
    </row>
    <row r="505" spans="1:2">
      <c r="A505" t="s">
        <v>6528</v>
      </c>
      <c r="B505">
        <v>2082985</v>
      </c>
    </row>
    <row r="506" spans="1:2">
      <c r="A506" t="s">
        <v>6528</v>
      </c>
      <c r="B506">
        <v>2084739</v>
      </c>
    </row>
    <row r="507" spans="1:2">
      <c r="A507" t="s">
        <v>6529</v>
      </c>
      <c r="B507">
        <v>3300001411</v>
      </c>
    </row>
    <row r="508" spans="1:2">
      <c r="A508" t="s">
        <v>6529</v>
      </c>
      <c r="B508">
        <v>3300001425</v>
      </c>
    </row>
    <row r="509" spans="1:2">
      <c r="A509" t="s">
        <v>6530</v>
      </c>
      <c r="B509" t="s">
        <v>6442</v>
      </c>
    </row>
    <row r="510" spans="1:2">
      <c r="A510" t="s">
        <v>6528</v>
      </c>
      <c r="B510">
        <v>2110118</v>
      </c>
    </row>
    <row r="511" spans="1:2">
      <c r="A511" t="s">
        <v>6677</v>
      </c>
      <c r="B511">
        <v>5014450</v>
      </c>
    </row>
    <row r="512" spans="1:2">
      <c r="A512" t="s">
        <v>6529</v>
      </c>
      <c r="B512">
        <v>3300005174</v>
      </c>
    </row>
    <row r="513" spans="1:2">
      <c r="A513" t="s">
        <v>6642</v>
      </c>
      <c r="B513" t="s">
        <v>6441</v>
      </c>
    </row>
    <row r="514" spans="1:2">
      <c r="A514" t="s">
        <v>6530</v>
      </c>
      <c r="B514" t="s">
        <v>3921</v>
      </c>
    </row>
    <row r="515" spans="1:2">
      <c r="A515" t="s">
        <v>6529</v>
      </c>
      <c r="B515">
        <v>3300008149</v>
      </c>
    </row>
    <row r="516" spans="1:2">
      <c r="A516" t="s">
        <v>6528</v>
      </c>
      <c r="B516">
        <v>2103478</v>
      </c>
    </row>
    <row r="517" spans="1:2">
      <c r="A517" t="s">
        <v>6677</v>
      </c>
      <c r="B517">
        <v>5006423</v>
      </c>
    </row>
    <row r="518" spans="1:2">
      <c r="A518" t="s">
        <v>6530</v>
      </c>
      <c r="B518" t="s">
        <v>6724</v>
      </c>
    </row>
    <row r="519" spans="1:2">
      <c r="A519" t="s">
        <v>6645</v>
      </c>
      <c r="B519" t="s">
        <v>6460</v>
      </c>
    </row>
    <row r="520" spans="1:2">
      <c r="A520" t="s">
        <v>6677</v>
      </c>
      <c r="B520">
        <v>5050430</v>
      </c>
    </row>
    <row r="521" spans="1:2">
      <c r="A521" t="s">
        <v>6672</v>
      </c>
      <c r="B521">
        <v>2171979</v>
      </c>
    </row>
    <row r="522" spans="1:2">
      <c r="A522" t="s">
        <v>6573</v>
      </c>
      <c r="B522" t="s">
        <v>1033</v>
      </c>
    </row>
    <row r="523" spans="1:2">
      <c r="A523" t="s">
        <v>6528</v>
      </c>
      <c r="B523">
        <v>2114732</v>
      </c>
    </row>
    <row r="524" spans="1:2">
      <c r="A524" t="s">
        <v>6677</v>
      </c>
      <c r="B524">
        <v>5045653</v>
      </c>
    </row>
    <row r="525" spans="1:2">
      <c r="A525" t="s">
        <v>6645</v>
      </c>
      <c r="B525" t="s">
        <v>1032</v>
      </c>
    </row>
    <row r="526" spans="1:2">
      <c r="A526" t="s">
        <v>6529</v>
      </c>
      <c r="B526">
        <v>3300006803</v>
      </c>
    </row>
    <row r="527" spans="1:2">
      <c r="A527" t="s">
        <v>6528</v>
      </c>
      <c r="B527">
        <v>2103886</v>
      </c>
    </row>
    <row r="528" spans="1:2">
      <c r="A528" t="s">
        <v>6573</v>
      </c>
      <c r="B528" t="s">
        <v>1837</v>
      </c>
    </row>
    <row r="529" spans="1:2">
      <c r="A529" t="s">
        <v>6672</v>
      </c>
      <c r="B529">
        <v>2172008</v>
      </c>
    </row>
    <row r="530" spans="1:2">
      <c r="A530" t="s">
        <v>6529</v>
      </c>
      <c r="B530">
        <v>3300001243</v>
      </c>
    </row>
    <row r="531" spans="1:2">
      <c r="A531" t="s">
        <v>6645</v>
      </c>
      <c r="B531" t="s">
        <v>1836</v>
      </c>
    </row>
    <row r="532" spans="1:2">
      <c r="A532" t="s">
        <v>6529</v>
      </c>
      <c r="B532">
        <v>3300001246</v>
      </c>
    </row>
    <row r="533" spans="1:2">
      <c r="A533" t="s">
        <v>6677</v>
      </c>
      <c r="B533">
        <v>5033021</v>
      </c>
    </row>
    <row r="534" spans="1:2">
      <c r="A534" t="s">
        <v>6530</v>
      </c>
      <c r="B534" t="s">
        <v>6725</v>
      </c>
    </row>
    <row r="535" spans="1:2">
      <c r="A535" t="s">
        <v>6677</v>
      </c>
      <c r="B535">
        <v>5031861</v>
      </c>
    </row>
    <row r="536" spans="1:2">
      <c r="A536" t="s">
        <v>6528</v>
      </c>
      <c r="B536">
        <v>2119267</v>
      </c>
    </row>
    <row r="537" spans="1:2">
      <c r="A537" t="s">
        <v>6529</v>
      </c>
      <c r="B537">
        <v>3300012293</v>
      </c>
    </row>
    <row r="538" spans="1:2">
      <c r="A538" t="s">
        <v>6569</v>
      </c>
      <c r="B538" t="s">
        <v>1539</v>
      </c>
    </row>
    <row r="539" spans="1:2">
      <c r="A539" t="s">
        <v>6528</v>
      </c>
      <c r="B539">
        <v>2084705</v>
      </c>
    </row>
    <row r="540" spans="1:2">
      <c r="A540" t="s">
        <v>6529</v>
      </c>
      <c r="B540">
        <v>3300001429</v>
      </c>
    </row>
    <row r="541" spans="1:2">
      <c r="A541" t="s">
        <v>6529</v>
      </c>
      <c r="B541">
        <v>3300001433</v>
      </c>
    </row>
    <row r="542" spans="1:2">
      <c r="A542" t="s">
        <v>6677</v>
      </c>
      <c r="B542">
        <v>5043109</v>
      </c>
    </row>
    <row r="543" spans="1:2">
      <c r="A543" t="s">
        <v>6529</v>
      </c>
      <c r="B543">
        <v>3300010669</v>
      </c>
    </row>
    <row r="544" spans="1:2">
      <c r="A544" t="s">
        <v>6573</v>
      </c>
      <c r="B544" t="s">
        <v>1569</v>
      </c>
    </row>
    <row r="545" spans="1:2">
      <c r="A545" t="s">
        <v>6528</v>
      </c>
      <c r="B545">
        <v>2114775</v>
      </c>
    </row>
    <row r="546" spans="1:2">
      <c r="A546" t="s">
        <v>6645</v>
      </c>
      <c r="B546" t="s">
        <v>1568</v>
      </c>
    </row>
    <row r="547" spans="1:2">
      <c r="A547" t="s">
        <v>6528</v>
      </c>
      <c r="B547">
        <v>2114734</v>
      </c>
    </row>
    <row r="548" spans="1:2">
      <c r="A548" t="s">
        <v>6677</v>
      </c>
      <c r="B548">
        <v>5031894</v>
      </c>
    </row>
    <row r="549" spans="1:2">
      <c r="A549" t="s">
        <v>6529</v>
      </c>
      <c r="B549">
        <v>3300009525</v>
      </c>
    </row>
    <row r="550" spans="1:2">
      <c r="A550" t="s">
        <v>6573</v>
      </c>
      <c r="B550" t="s">
        <v>3654</v>
      </c>
    </row>
    <row r="551" spans="1:2">
      <c r="A551" t="s">
        <v>6529</v>
      </c>
      <c r="B551">
        <v>3300002991</v>
      </c>
    </row>
    <row r="552" spans="1:2">
      <c r="A552" t="s">
        <v>6677</v>
      </c>
      <c r="B552">
        <v>5006428</v>
      </c>
    </row>
    <row r="553" spans="1:2">
      <c r="A553" t="s">
        <v>6528</v>
      </c>
      <c r="B553">
        <v>2103448</v>
      </c>
    </row>
    <row r="554" spans="1:2">
      <c r="A554" t="s">
        <v>6677</v>
      </c>
      <c r="B554">
        <v>5006422</v>
      </c>
    </row>
    <row r="555" spans="1:2">
      <c r="A555" t="s">
        <v>6642</v>
      </c>
      <c r="B555" t="s">
        <v>3653</v>
      </c>
    </row>
    <row r="556" spans="1:2">
      <c r="A556" t="s">
        <v>6569</v>
      </c>
      <c r="B556" t="s">
        <v>1308</v>
      </c>
    </row>
    <row r="557" spans="1:2">
      <c r="A557" t="s">
        <v>6528</v>
      </c>
      <c r="B557">
        <v>2082994</v>
      </c>
    </row>
    <row r="558" spans="1:2">
      <c r="A558" t="s">
        <v>6642</v>
      </c>
      <c r="B558" t="s">
        <v>1306</v>
      </c>
    </row>
    <row r="559" spans="1:2">
      <c r="A559" t="s">
        <v>6645</v>
      </c>
      <c r="B559" t="s">
        <v>1307</v>
      </c>
    </row>
    <row r="560" spans="1:2">
      <c r="A560" t="s">
        <v>6529</v>
      </c>
      <c r="B560">
        <v>3300010102</v>
      </c>
    </row>
    <row r="561" spans="1:2">
      <c r="A561" t="s">
        <v>6677</v>
      </c>
      <c r="B561">
        <v>5053842</v>
      </c>
    </row>
    <row r="562" spans="1:2">
      <c r="A562" t="s">
        <v>6573</v>
      </c>
      <c r="B562" t="s">
        <v>2921</v>
      </c>
    </row>
    <row r="563" spans="1:2">
      <c r="A563" t="s">
        <v>6645</v>
      </c>
      <c r="B563" t="s">
        <v>2920</v>
      </c>
    </row>
    <row r="564" spans="1:2">
      <c r="A564" t="s">
        <v>6672</v>
      </c>
      <c r="B564">
        <v>2172027</v>
      </c>
    </row>
    <row r="565" spans="1:2">
      <c r="A565" t="s">
        <v>6677</v>
      </c>
      <c r="B565">
        <v>5045699</v>
      </c>
    </row>
    <row r="566" spans="1:2">
      <c r="A566" t="s">
        <v>6529</v>
      </c>
      <c r="B566">
        <v>3300001245</v>
      </c>
    </row>
    <row r="567" spans="1:2">
      <c r="A567" t="s">
        <v>6528</v>
      </c>
      <c r="B567">
        <v>2083231</v>
      </c>
    </row>
    <row r="568" spans="1:2">
      <c r="A568" t="s">
        <v>6530</v>
      </c>
      <c r="B568" t="s">
        <v>3693</v>
      </c>
    </row>
    <row r="569" spans="1:2">
      <c r="A569" t="s">
        <v>6645</v>
      </c>
      <c r="B569" t="s">
        <v>3690</v>
      </c>
    </row>
    <row r="570" spans="1:2">
      <c r="A570" t="s">
        <v>6672</v>
      </c>
      <c r="B570">
        <v>2171937</v>
      </c>
    </row>
    <row r="571" spans="1:2">
      <c r="A571" t="s">
        <v>6529</v>
      </c>
      <c r="B571">
        <v>3300011495</v>
      </c>
    </row>
    <row r="572" spans="1:2">
      <c r="A572" t="s">
        <v>6677</v>
      </c>
      <c r="B572" t="s">
        <v>3691</v>
      </c>
    </row>
    <row r="573" spans="1:2">
      <c r="A573" t="s">
        <v>6677</v>
      </c>
      <c r="B573" t="s">
        <v>3692</v>
      </c>
    </row>
    <row r="574" spans="1:2">
      <c r="A574" t="s">
        <v>6573</v>
      </c>
      <c r="B574" t="s">
        <v>2305</v>
      </c>
    </row>
    <row r="575" spans="1:2">
      <c r="A575" t="s">
        <v>6529</v>
      </c>
      <c r="B575">
        <v>3300001704</v>
      </c>
    </row>
    <row r="576" spans="1:2">
      <c r="A576" t="s">
        <v>6642</v>
      </c>
      <c r="B576" t="s">
        <v>2304</v>
      </c>
    </row>
    <row r="577" spans="1:2">
      <c r="A577" t="s">
        <v>6677</v>
      </c>
      <c r="B577">
        <v>5031882</v>
      </c>
    </row>
    <row r="578" spans="1:2">
      <c r="A578" t="s">
        <v>6528</v>
      </c>
      <c r="B578">
        <v>2119197</v>
      </c>
    </row>
    <row r="579" spans="1:2">
      <c r="A579" t="s">
        <v>6529</v>
      </c>
      <c r="B579">
        <v>3300003016</v>
      </c>
    </row>
    <row r="580" spans="1:2">
      <c r="A580" t="s">
        <v>6530</v>
      </c>
      <c r="B580" t="s">
        <v>3619</v>
      </c>
    </row>
    <row r="581" spans="1:2">
      <c r="A581" t="s">
        <v>6529</v>
      </c>
      <c r="B581">
        <v>3300002943</v>
      </c>
    </row>
    <row r="582" spans="1:2">
      <c r="A582" t="s">
        <v>6528</v>
      </c>
      <c r="B582">
        <v>2103529</v>
      </c>
    </row>
    <row r="583" spans="1:2">
      <c r="A583" t="s">
        <v>6642</v>
      </c>
      <c r="B583" t="s">
        <v>3618</v>
      </c>
    </row>
    <row r="584" spans="1:2">
      <c r="A584" t="s">
        <v>6573</v>
      </c>
      <c r="B584" t="s">
        <v>2992</v>
      </c>
    </row>
    <row r="585" spans="1:2">
      <c r="A585" t="s">
        <v>6683</v>
      </c>
      <c r="B585" t="s">
        <v>6726</v>
      </c>
    </row>
    <row r="586" spans="1:2">
      <c r="A586" t="s">
        <v>6642</v>
      </c>
      <c r="B586" t="s">
        <v>6727</v>
      </c>
    </row>
    <row r="587" spans="1:2">
      <c r="A587" t="s">
        <v>6529</v>
      </c>
      <c r="B587">
        <v>3300005166</v>
      </c>
    </row>
    <row r="588" spans="1:2">
      <c r="A588" t="s">
        <v>6528</v>
      </c>
      <c r="B588">
        <v>2096477</v>
      </c>
    </row>
    <row r="589" spans="1:2">
      <c r="A589" t="s">
        <v>6645</v>
      </c>
      <c r="B589" t="s">
        <v>2991</v>
      </c>
    </row>
    <row r="590" spans="1:2">
      <c r="A590" t="s">
        <v>6530</v>
      </c>
      <c r="B590" t="s">
        <v>3685</v>
      </c>
    </row>
    <row r="591" spans="1:2">
      <c r="A591" t="s">
        <v>6675</v>
      </c>
      <c r="B591">
        <v>3400001165</v>
      </c>
    </row>
    <row r="592" spans="1:2">
      <c r="A592" t="s">
        <v>6674</v>
      </c>
      <c r="B592">
        <v>1781365</v>
      </c>
    </row>
    <row r="593" spans="1:2">
      <c r="A593" t="s">
        <v>6675</v>
      </c>
      <c r="B593">
        <v>3400001166</v>
      </c>
    </row>
    <row r="594" spans="1:2">
      <c r="A594" t="s">
        <v>6645</v>
      </c>
      <c r="B594" t="s">
        <v>3684</v>
      </c>
    </row>
    <row r="595" spans="1:2">
      <c r="A595" t="s">
        <v>6677</v>
      </c>
      <c r="B595">
        <v>5070895</v>
      </c>
    </row>
    <row r="596" spans="1:2">
      <c r="A596" t="s">
        <v>6530</v>
      </c>
      <c r="B596" t="s">
        <v>3915</v>
      </c>
    </row>
    <row r="597" spans="1:2">
      <c r="A597" t="s">
        <v>6528</v>
      </c>
      <c r="B597">
        <v>2119269</v>
      </c>
    </row>
    <row r="598" spans="1:2">
      <c r="A598" t="s">
        <v>6645</v>
      </c>
      <c r="B598" t="s">
        <v>3913</v>
      </c>
    </row>
    <row r="599" spans="1:2">
      <c r="A599" t="s">
        <v>6677</v>
      </c>
      <c r="B599" t="s">
        <v>3914</v>
      </c>
    </row>
    <row r="600" spans="1:2">
      <c r="A600" t="s">
        <v>6573</v>
      </c>
      <c r="B600" t="s">
        <v>1452</v>
      </c>
    </row>
    <row r="601" spans="1:2">
      <c r="A601" t="s">
        <v>6529</v>
      </c>
      <c r="B601">
        <v>3300001214</v>
      </c>
    </row>
    <row r="602" spans="1:2">
      <c r="A602" t="s">
        <v>6529</v>
      </c>
      <c r="B602">
        <v>3300001215</v>
      </c>
    </row>
    <row r="603" spans="1:2">
      <c r="A603" t="s">
        <v>6632</v>
      </c>
      <c r="B603" t="s">
        <v>1451</v>
      </c>
    </row>
    <row r="604" spans="1:2">
      <c r="A604" t="s">
        <v>6529</v>
      </c>
      <c r="B604">
        <v>3300001217</v>
      </c>
    </row>
    <row r="605" spans="1:2">
      <c r="A605" t="s">
        <v>6529</v>
      </c>
      <c r="B605">
        <v>3300001218</v>
      </c>
    </row>
    <row r="606" spans="1:2">
      <c r="A606" t="s">
        <v>6530</v>
      </c>
      <c r="B606" t="s">
        <v>4148</v>
      </c>
    </row>
    <row r="607" spans="1:2">
      <c r="A607" t="s">
        <v>6528</v>
      </c>
      <c r="B607">
        <v>2116298</v>
      </c>
    </row>
    <row r="608" spans="1:2">
      <c r="A608" t="s">
        <v>6645</v>
      </c>
      <c r="B608" t="s">
        <v>4145</v>
      </c>
    </row>
    <row r="609" spans="1:2">
      <c r="A609" t="s">
        <v>6528</v>
      </c>
      <c r="B609">
        <v>2116287</v>
      </c>
    </row>
    <row r="610" spans="1:2">
      <c r="A610" t="s">
        <v>6677</v>
      </c>
      <c r="B610" t="s">
        <v>4146</v>
      </c>
    </row>
    <row r="611" spans="1:2">
      <c r="A611" t="s">
        <v>6683</v>
      </c>
      <c r="B611" t="s">
        <v>4147</v>
      </c>
    </row>
    <row r="612" spans="1:2">
      <c r="A612" t="s">
        <v>6530</v>
      </c>
      <c r="B612" t="s">
        <v>6728</v>
      </c>
    </row>
    <row r="613" spans="1:2">
      <c r="A613" t="s">
        <v>6529</v>
      </c>
      <c r="B613">
        <v>3300003001</v>
      </c>
    </row>
    <row r="614" spans="1:2">
      <c r="A614" t="s">
        <v>6672</v>
      </c>
      <c r="B614">
        <v>2171988</v>
      </c>
    </row>
    <row r="615" spans="1:2">
      <c r="A615" t="s">
        <v>6530</v>
      </c>
      <c r="B615" t="s">
        <v>4916</v>
      </c>
    </row>
    <row r="616" spans="1:2">
      <c r="A616" t="s">
        <v>6528</v>
      </c>
      <c r="B616">
        <v>2116253</v>
      </c>
    </row>
    <row r="617" spans="1:2">
      <c r="A617" t="s">
        <v>6529</v>
      </c>
      <c r="B617">
        <v>3300008161</v>
      </c>
    </row>
    <row r="618" spans="1:2">
      <c r="A618" t="s">
        <v>6642</v>
      </c>
      <c r="B618" t="s">
        <v>4915</v>
      </c>
    </row>
    <row r="619" spans="1:2">
      <c r="A619" t="s">
        <v>6677</v>
      </c>
      <c r="B619">
        <v>5040885</v>
      </c>
    </row>
    <row r="620" spans="1:2">
      <c r="A620" t="s">
        <v>6530</v>
      </c>
      <c r="B620" t="s">
        <v>3756</v>
      </c>
    </row>
    <row r="621" spans="1:2">
      <c r="A621" t="s">
        <v>6645</v>
      </c>
      <c r="B621" t="s">
        <v>3755</v>
      </c>
    </row>
    <row r="622" spans="1:2">
      <c r="A622" t="s">
        <v>6528</v>
      </c>
      <c r="B622">
        <v>2096485</v>
      </c>
    </row>
    <row r="623" spans="1:2">
      <c r="A623" t="s">
        <v>6677</v>
      </c>
      <c r="B623">
        <v>5042652</v>
      </c>
    </row>
    <row r="624" spans="1:2">
      <c r="A624" t="s">
        <v>6528</v>
      </c>
      <c r="B624">
        <v>2083303</v>
      </c>
    </row>
    <row r="625" spans="1:2">
      <c r="A625" t="s">
        <v>6530</v>
      </c>
      <c r="B625" t="s">
        <v>6729</v>
      </c>
    </row>
    <row r="626" spans="1:2">
      <c r="A626" t="s">
        <v>6528</v>
      </c>
      <c r="B626">
        <v>2103922</v>
      </c>
    </row>
    <row r="627" spans="1:2">
      <c r="A627" t="s">
        <v>6677</v>
      </c>
      <c r="B627">
        <v>5059366</v>
      </c>
    </row>
    <row r="628" spans="1:2">
      <c r="A628" t="s">
        <v>6529</v>
      </c>
      <c r="B628">
        <v>3300004132</v>
      </c>
    </row>
    <row r="629" spans="1:2">
      <c r="A629" t="s">
        <v>6530</v>
      </c>
      <c r="B629" t="s">
        <v>1620</v>
      </c>
    </row>
    <row r="630" spans="1:2">
      <c r="A630" t="s">
        <v>6672</v>
      </c>
      <c r="B630">
        <v>2171943</v>
      </c>
    </row>
    <row r="631" spans="1:2">
      <c r="A631" t="s">
        <v>6529</v>
      </c>
      <c r="B631">
        <v>3300010055</v>
      </c>
    </row>
    <row r="632" spans="1:2">
      <c r="A632" t="s">
        <v>6573</v>
      </c>
      <c r="B632" t="s">
        <v>2211</v>
      </c>
    </row>
    <row r="633" spans="1:2">
      <c r="A633" t="s">
        <v>6645</v>
      </c>
      <c r="B633" t="s">
        <v>2210</v>
      </c>
    </row>
    <row r="634" spans="1:2">
      <c r="A634" t="s">
        <v>6672</v>
      </c>
      <c r="B634">
        <v>2171960</v>
      </c>
    </row>
    <row r="635" spans="1:2">
      <c r="A635" t="s">
        <v>6529</v>
      </c>
      <c r="B635">
        <v>3300001672</v>
      </c>
    </row>
    <row r="636" spans="1:2">
      <c r="A636" t="s">
        <v>6677</v>
      </c>
      <c r="B636">
        <v>5050429</v>
      </c>
    </row>
    <row r="637" spans="1:2">
      <c r="A637" t="s">
        <v>6573</v>
      </c>
      <c r="B637" t="s">
        <v>5205</v>
      </c>
    </row>
    <row r="638" spans="1:2">
      <c r="A638" t="s">
        <v>6642</v>
      </c>
      <c r="B638" t="s">
        <v>5203</v>
      </c>
    </row>
    <row r="639" spans="1:2">
      <c r="A639" t="s">
        <v>6529</v>
      </c>
      <c r="B639">
        <v>3300002814</v>
      </c>
    </row>
    <row r="640" spans="1:2">
      <c r="A640" t="s">
        <v>6683</v>
      </c>
      <c r="B640" t="s">
        <v>5204</v>
      </c>
    </row>
    <row r="641" spans="1:2">
      <c r="A641" t="s">
        <v>6529</v>
      </c>
      <c r="B641">
        <v>3300002826</v>
      </c>
    </row>
    <row r="642" spans="1:2">
      <c r="A642" t="s">
        <v>6672</v>
      </c>
      <c r="B642">
        <v>2183470</v>
      </c>
    </row>
    <row r="643" spans="1:2">
      <c r="A643" t="s">
        <v>6530</v>
      </c>
      <c r="B643" t="s">
        <v>4311</v>
      </c>
    </row>
    <row r="644" spans="1:2">
      <c r="A644" t="s">
        <v>6528</v>
      </c>
      <c r="B644">
        <v>2115660</v>
      </c>
    </row>
    <row r="645" spans="1:2">
      <c r="A645" t="s">
        <v>6677</v>
      </c>
      <c r="B645">
        <v>5001448</v>
      </c>
    </row>
    <row r="646" spans="1:2">
      <c r="A646" t="s">
        <v>6632</v>
      </c>
      <c r="B646" t="s">
        <v>4309</v>
      </c>
    </row>
    <row r="647" spans="1:2">
      <c r="A647" t="s">
        <v>6645</v>
      </c>
      <c r="B647" t="s">
        <v>4310</v>
      </c>
    </row>
    <row r="648" spans="1:2">
      <c r="A648" t="s">
        <v>6529</v>
      </c>
      <c r="B648">
        <v>3300004121</v>
      </c>
    </row>
    <row r="649" spans="1:2">
      <c r="A649" t="s">
        <v>6573</v>
      </c>
      <c r="B649" t="s">
        <v>1130</v>
      </c>
    </row>
    <row r="650" spans="1:2">
      <c r="A650" t="s">
        <v>6529</v>
      </c>
      <c r="B650">
        <v>3300002945</v>
      </c>
    </row>
    <row r="651" spans="1:2">
      <c r="A651" t="s">
        <v>6528</v>
      </c>
      <c r="B651">
        <v>2103526</v>
      </c>
    </row>
    <row r="652" spans="1:2">
      <c r="A652" t="s">
        <v>6529</v>
      </c>
      <c r="B652">
        <v>3300005139</v>
      </c>
    </row>
    <row r="653" spans="1:2">
      <c r="A653" t="s">
        <v>6530</v>
      </c>
      <c r="B653" t="s">
        <v>3847</v>
      </c>
    </row>
    <row r="654" spans="1:2">
      <c r="A654" t="s">
        <v>6683</v>
      </c>
      <c r="B654" t="s">
        <v>3845</v>
      </c>
    </row>
    <row r="655" spans="1:2">
      <c r="A655" t="s">
        <v>6529</v>
      </c>
      <c r="B655">
        <v>3300004145</v>
      </c>
    </row>
    <row r="656" spans="1:2">
      <c r="A656" t="s">
        <v>6528</v>
      </c>
      <c r="B656">
        <v>2103503</v>
      </c>
    </row>
    <row r="657" spans="1:2">
      <c r="A657" t="s">
        <v>6529</v>
      </c>
      <c r="B657">
        <v>3300004142</v>
      </c>
    </row>
    <row r="658" spans="1:2">
      <c r="A658" t="s">
        <v>6645</v>
      </c>
      <c r="B658" t="s">
        <v>3846</v>
      </c>
    </row>
    <row r="659" spans="1:2">
      <c r="A659" t="s">
        <v>6530</v>
      </c>
      <c r="B659" t="s">
        <v>3825</v>
      </c>
    </row>
    <row r="660" spans="1:2">
      <c r="A660" t="s">
        <v>6645</v>
      </c>
      <c r="B660" t="s">
        <v>3824</v>
      </c>
    </row>
    <row r="661" spans="1:2">
      <c r="A661" t="s">
        <v>6677</v>
      </c>
      <c r="B661">
        <v>5050437</v>
      </c>
    </row>
    <row r="662" spans="1:2">
      <c r="A662" t="s">
        <v>6672</v>
      </c>
      <c r="B662">
        <v>2171923</v>
      </c>
    </row>
    <row r="663" spans="1:2">
      <c r="A663" t="s">
        <v>6529</v>
      </c>
      <c r="B663">
        <v>3300012267</v>
      </c>
    </row>
    <row r="664" spans="1:2">
      <c r="A664" t="s">
        <v>6672</v>
      </c>
      <c r="B664">
        <v>2183499</v>
      </c>
    </row>
    <row r="665" spans="1:2">
      <c r="A665" t="s">
        <v>6530</v>
      </c>
      <c r="B665" t="s">
        <v>1915</v>
      </c>
    </row>
    <row r="666" spans="1:2">
      <c r="A666" t="s">
        <v>6529</v>
      </c>
      <c r="B666">
        <v>3300002952</v>
      </c>
    </row>
    <row r="667" spans="1:2">
      <c r="A667" t="s">
        <v>6528</v>
      </c>
      <c r="B667">
        <v>2103530</v>
      </c>
    </row>
    <row r="668" spans="1:2">
      <c r="A668" t="s">
        <v>6677</v>
      </c>
      <c r="B668">
        <v>5059374</v>
      </c>
    </row>
    <row r="669" spans="1:2">
      <c r="A669" t="s">
        <v>6645</v>
      </c>
      <c r="B669" t="s">
        <v>1914</v>
      </c>
    </row>
    <row r="670" spans="1:2">
      <c r="A670" t="s">
        <v>6530</v>
      </c>
      <c r="B670" t="s">
        <v>5316</v>
      </c>
    </row>
    <row r="671" spans="1:2">
      <c r="A671" t="s">
        <v>6528</v>
      </c>
      <c r="B671">
        <v>2103878</v>
      </c>
    </row>
    <row r="672" spans="1:2">
      <c r="A672" t="s">
        <v>6645</v>
      </c>
      <c r="B672" t="s">
        <v>5314</v>
      </c>
    </row>
    <row r="673" spans="1:2">
      <c r="A673" t="s">
        <v>6529</v>
      </c>
      <c r="B673">
        <v>3300002823</v>
      </c>
    </row>
    <row r="674" spans="1:2">
      <c r="A674" t="s">
        <v>6645</v>
      </c>
      <c r="B674" t="s">
        <v>5315</v>
      </c>
    </row>
    <row r="675" spans="1:2">
      <c r="A675" t="s">
        <v>6528</v>
      </c>
      <c r="B675">
        <v>2103943</v>
      </c>
    </row>
    <row r="676" spans="1:2">
      <c r="A676" t="s">
        <v>6530</v>
      </c>
      <c r="B676" t="s">
        <v>1633</v>
      </c>
    </row>
    <row r="677" spans="1:2">
      <c r="A677" t="s">
        <v>6529</v>
      </c>
      <c r="B677">
        <v>3300011818</v>
      </c>
    </row>
    <row r="678" spans="1:2">
      <c r="A678" t="s">
        <v>6645</v>
      </c>
      <c r="B678" t="s">
        <v>1632</v>
      </c>
    </row>
    <row r="679" spans="1:2">
      <c r="A679" t="s">
        <v>6528</v>
      </c>
      <c r="B679">
        <v>2103958</v>
      </c>
    </row>
    <row r="680" spans="1:2">
      <c r="A680" t="s">
        <v>6530</v>
      </c>
      <c r="B680" t="s">
        <v>3799</v>
      </c>
    </row>
    <row r="681" spans="1:2">
      <c r="A681" t="s">
        <v>6528</v>
      </c>
      <c r="B681">
        <v>2103437</v>
      </c>
    </row>
    <row r="682" spans="1:2">
      <c r="A682" t="s">
        <v>6645</v>
      </c>
      <c r="B682" t="s">
        <v>3798</v>
      </c>
    </row>
    <row r="683" spans="1:2">
      <c r="A683" t="s">
        <v>6528</v>
      </c>
      <c r="B683">
        <v>2103543</v>
      </c>
    </row>
    <row r="684" spans="1:2">
      <c r="A684" t="s">
        <v>6677</v>
      </c>
      <c r="B684">
        <v>5059364</v>
      </c>
    </row>
    <row r="685" spans="1:2">
      <c r="A685" t="s">
        <v>6573</v>
      </c>
      <c r="B685" t="s">
        <v>3585</v>
      </c>
    </row>
    <row r="686" spans="1:2">
      <c r="A686" t="s">
        <v>6529</v>
      </c>
      <c r="B686">
        <v>3300003010</v>
      </c>
    </row>
    <row r="687" spans="1:2">
      <c r="A687" t="s">
        <v>6672</v>
      </c>
      <c r="B687">
        <v>2183531</v>
      </c>
    </row>
    <row r="688" spans="1:2">
      <c r="A688" t="s">
        <v>6677</v>
      </c>
      <c r="B688" t="s">
        <v>3583</v>
      </c>
    </row>
    <row r="689" spans="1:2">
      <c r="A689" t="s">
        <v>6683</v>
      </c>
      <c r="B689" t="s">
        <v>3584</v>
      </c>
    </row>
    <row r="690" spans="1:2">
      <c r="A690" t="s">
        <v>6528</v>
      </c>
      <c r="B690">
        <v>2119192</v>
      </c>
    </row>
    <row r="691" spans="1:2">
      <c r="A691" t="s">
        <v>6573</v>
      </c>
      <c r="B691" t="s">
        <v>3590</v>
      </c>
    </row>
    <row r="692" spans="1:2">
      <c r="A692" t="s">
        <v>6529</v>
      </c>
      <c r="B692">
        <v>3300001262</v>
      </c>
    </row>
    <row r="693" spans="1:2">
      <c r="A693" t="s">
        <v>6677</v>
      </c>
      <c r="B693">
        <v>5045685</v>
      </c>
    </row>
    <row r="694" spans="1:2">
      <c r="A694" t="s">
        <v>6529</v>
      </c>
      <c r="B694">
        <v>3300001267</v>
      </c>
    </row>
    <row r="695" spans="1:2">
      <c r="A695" t="s">
        <v>6645</v>
      </c>
      <c r="B695" t="s">
        <v>3589</v>
      </c>
    </row>
    <row r="696" spans="1:2">
      <c r="A696" t="s">
        <v>6573</v>
      </c>
      <c r="B696" t="s">
        <v>3384</v>
      </c>
    </row>
    <row r="697" spans="1:2">
      <c r="A697" t="s">
        <v>6528</v>
      </c>
      <c r="B697">
        <v>2114767</v>
      </c>
    </row>
    <row r="698" spans="1:2">
      <c r="A698" t="s">
        <v>6529</v>
      </c>
      <c r="B698">
        <v>3300004147</v>
      </c>
    </row>
    <row r="699" spans="1:2">
      <c r="A699" t="s">
        <v>6573</v>
      </c>
      <c r="B699" t="s">
        <v>1054</v>
      </c>
    </row>
    <row r="700" spans="1:2">
      <c r="A700" t="s">
        <v>6672</v>
      </c>
      <c r="B700">
        <v>2172028</v>
      </c>
    </row>
    <row r="701" spans="1:2">
      <c r="A701" t="s">
        <v>6529</v>
      </c>
      <c r="B701">
        <v>3300001663</v>
      </c>
    </row>
    <row r="702" spans="1:2">
      <c r="A702" t="s">
        <v>6677</v>
      </c>
      <c r="B702">
        <v>5049676</v>
      </c>
    </row>
    <row r="703" spans="1:2">
      <c r="A703" t="s">
        <v>6645</v>
      </c>
      <c r="B703" t="s">
        <v>1052</v>
      </c>
    </row>
    <row r="704" spans="1:2">
      <c r="A704" t="s">
        <v>6677</v>
      </c>
      <c r="B704" t="s">
        <v>1053</v>
      </c>
    </row>
    <row r="705" spans="1:2">
      <c r="A705" t="s">
        <v>6573</v>
      </c>
      <c r="B705" t="s">
        <v>3579</v>
      </c>
    </row>
    <row r="706" spans="1:2">
      <c r="A706" t="s">
        <v>6528</v>
      </c>
      <c r="B706">
        <v>2115633</v>
      </c>
    </row>
    <row r="707" spans="1:2">
      <c r="A707" t="s">
        <v>6645</v>
      </c>
      <c r="B707" t="s">
        <v>3578</v>
      </c>
    </row>
    <row r="708" spans="1:2">
      <c r="A708" t="s">
        <v>6529</v>
      </c>
      <c r="B708">
        <v>3300001705</v>
      </c>
    </row>
    <row r="709" spans="1:2">
      <c r="A709" t="s">
        <v>6529</v>
      </c>
      <c r="B709">
        <v>3300001707</v>
      </c>
    </row>
    <row r="710" spans="1:2">
      <c r="A710" t="s">
        <v>6530</v>
      </c>
      <c r="B710" t="s">
        <v>6730</v>
      </c>
    </row>
    <row r="711" spans="1:2">
      <c r="A711" t="s">
        <v>6529</v>
      </c>
      <c r="B711">
        <v>3300001231</v>
      </c>
    </row>
    <row r="712" spans="1:2">
      <c r="A712" t="s">
        <v>6645</v>
      </c>
      <c r="B712" t="s">
        <v>2844</v>
      </c>
    </row>
    <row r="713" spans="1:2">
      <c r="A713" t="s">
        <v>6528</v>
      </c>
      <c r="B713">
        <v>2103480</v>
      </c>
    </row>
    <row r="714" spans="1:2">
      <c r="A714" t="s">
        <v>6573</v>
      </c>
      <c r="B714" t="s">
        <v>2328</v>
      </c>
    </row>
    <row r="715" spans="1:2">
      <c r="A715" t="s">
        <v>6645</v>
      </c>
      <c r="B715" t="s">
        <v>2326</v>
      </c>
    </row>
    <row r="716" spans="1:2">
      <c r="A716" t="s">
        <v>6528</v>
      </c>
      <c r="B716">
        <v>2103433</v>
      </c>
    </row>
    <row r="717" spans="1:2">
      <c r="A717" t="s">
        <v>6529</v>
      </c>
      <c r="B717">
        <v>3300005147</v>
      </c>
    </row>
    <row r="718" spans="1:2">
      <c r="A718" t="s">
        <v>6672</v>
      </c>
      <c r="B718">
        <v>2183596</v>
      </c>
    </row>
    <row r="719" spans="1:2">
      <c r="A719" t="s">
        <v>6632</v>
      </c>
      <c r="B719" t="s">
        <v>2327</v>
      </c>
    </row>
    <row r="720" spans="1:2">
      <c r="A720" t="s">
        <v>6573</v>
      </c>
      <c r="B720" t="s">
        <v>5428</v>
      </c>
    </row>
    <row r="721" spans="1:2">
      <c r="A721" t="s">
        <v>6528</v>
      </c>
      <c r="B721">
        <v>2114713</v>
      </c>
    </row>
    <row r="722" spans="1:2">
      <c r="A722" t="s">
        <v>6645</v>
      </c>
      <c r="B722" t="s">
        <v>5427</v>
      </c>
    </row>
    <row r="723" spans="1:2">
      <c r="A723" t="s">
        <v>6529</v>
      </c>
      <c r="B723">
        <v>3300001268</v>
      </c>
    </row>
    <row r="724" spans="1:2">
      <c r="A724" t="s">
        <v>6672</v>
      </c>
      <c r="B724">
        <v>2183516</v>
      </c>
    </row>
    <row r="725" spans="1:2">
      <c r="A725" t="s">
        <v>6529</v>
      </c>
      <c r="B725">
        <v>3300001263</v>
      </c>
    </row>
    <row r="726" spans="1:2">
      <c r="A726" t="s">
        <v>6530</v>
      </c>
      <c r="B726" t="s">
        <v>2040</v>
      </c>
    </row>
    <row r="727" spans="1:2">
      <c r="A727" t="s">
        <v>6672</v>
      </c>
      <c r="B727">
        <v>2159903</v>
      </c>
    </row>
    <row r="728" spans="1:2">
      <c r="A728" t="s">
        <v>6675</v>
      </c>
      <c r="B728">
        <v>3400001171</v>
      </c>
    </row>
    <row r="729" spans="1:2">
      <c r="A729" t="s">
        <v>6632</v>
      </c>
      <c r="B729" t="s">
        <v>2037</v>
      </c>
    </row>
    <row r="730" spans="1:2">
      <c r="A730" t="s">
        <v>6683</v>
      </c>
      <c r="B730" t="s">
        <v>2038</v>
      </c>
    </row>
    <row r="731" spans="1:2">
      <c r="A731" t="s">
        <v>6645</v>
      </c>
      <c r="B731" t="s">
        <v>2039</v>
      </c>
    </row>
    <row r="732" spans="1:2">
      <c r="A732" t="s">
        <v>6530</v>
      </c>
      <c r="B732" t="s">
        <v>1199</v>
      </c>
    </row>
    <row r="733" spans="1:2">
      <c r="A733" t="s">
        <v>6528</v>
      </c>
      <c r="B733">
        <v>2119260</v>
      </c>
    </row>
    <row r="734" spans="1:2">
      <c r="A734" t="s">
        <v>6677</v>
      </c>
      <c r="B734">
        <v>5050450</v>
      </c>
    </row>
    <row r="735" spans="1:2">
      <c r="A735" t="s">
        <v>6645</v>
      </c>
      <c r="B735" t="s">
        <v>1198</v>
      </c>
    </row>
    <row r="736" spans="1:2">
      <c r="A736" t="s">
        <v>6529</v>
      </c>
      <c r="B736">
        <v>3300011514</v>
      </c>
    </row>
    <row r="737" spans="1:2">
      <c r="A737" t="s">
        <v>6528</v>
      </c>
      <c r="B737">
        <v>2119277</v>
      </c>
    </row>
    <row r="738" spans="1:2">
      <c r="A738" t="s">
        <v>6530</v>
      </c>
      <c r="B738" t="s">
        <v>4228</v>
      </c>
    </row>
    <row r="739" spans="1:2">
      <c r="A739" t="s">
        <v>6528</v>
      </c>
      <c r="B739">
        <v>2115635</v>
      </c>
    </row>
    <row r="740" spans="1:2">
      <c r="A740" t="s">
        <v>6529</v>
      </c>
      <c r="B740">
        <v>3300001221</v>
      </c>
    </row>
    <row r="741" spans="1:2">
      <c r="A741" t="s">
        <v>6528</v>
      </c>
      <c r="B741">
        <v>2115643</v>
      </c>
    </row>
    <row r="742" spans="1:2">
      <c r="A742" t="s">
        <v>6529</v>
      </c>
      <c r="B742">
        <v>3300001223</v>
      </c>
    </row>
    <row r="743" spans="1:2">
      <c r="A743" t="s">
        <v>6529</v>
      </c>
      <c r="B743">
        <v>3300001220</v>
      </c>
    </row>
    <row r="744" spans="1:2">
      <c r="A744" t="s">
        <v>6530</v>
      </c>
      <c r="B744" t="s">
        <v>3938</v>
      </c>
    </row>
    <row r="745" spans="1:2">
      <c r="A745" t="s">
        <v>6528</v>
      </c>
      <c r="B745">
        <v>2116238</v>
      </c>
    </row>
    <row r="746" spans="1:2">
      <c r="A746" t="s">
        <v>6529</v>
      </c>
      <c r="B746">
        <v>3300002965</v>
      </c>
    </row>
    <row r="747" spans="1:2">
      <c r="A747" t="s">
        <v>6528</v>
      </c>
      <c r="B747">
        <v>2116267</v>
      </c>
    </row>
    <row r="748" spans="1:2">
      <c r="A748" t="s">
        <v>6569</v>
      </c>
      <c r="B748" t="s">
        <v>1957</v>
      </c>
    </row>
    <row r="749" spans="1:2">
      <c r="A749" t="s">
        <v>6677</v>
      </c>
      <c r="B749">
        <v>5010075</v>
      </c>
    </row>
    <row r="750" spans="1:2">
      <c r="A750" t="s">
        <v>6645</v>
      </c>
      <c r="B750" t="s">
        <v>1955</v>
      </c>
    </row>
    <row r="751" spans="1:2">
      <c r="A751" t="s">
        <v>6528</v>
      </c>
      <c r="B751">
        <v>2103807</v>
      </c>
    </row>
    <row r="752" spans="1:2">
      <c r="A752" t="s">
        <v>6642</v>
      </c>
      <c r="B752" t="s">
        <v>1956</v>
      </c>
    </row>
    <row r="753" spans="1:2">
      <c r="A753" t="s">
        <v>6528</v>
      </c>
      <c r="B753">
        <v>2103827</v>
      </c>
    </row>
    <row r="754" spans="1:2">
      <c r="A754" t="s">
        <v>6573</v>
      </c>
      <c r="B754" t="s">
        <v>3607</v>
      </c>
    </row>
    <row r="755" spans="1:2">
      <c r="A755" t="s">
        <v>6645</v>
      </c>
      <c r="B755" t="s">
        <v>3605</v>
      </c>
    </row>
    <row r="756" spans="1:2">
      <c r="A756" t="s">
        <v>6528</v>
      </c>
      <c r="B756">
        <v>2177146</v>
      </c>
    </row>
    <row r="757" spans="1:2">
      <c r="A757" t="s">
        <v>6677</v>
      </c>
      <c r="B757" t="s">
        <v>3606</v>
      </c>
    </row>
    <row r="758" spans="1:2">
      <c r="A758" t="s">
        <v>6573</v>
      </c>
      <c r="B758" t="s">
        <v>1556</v>
      </c>
    </row>
    <row r="759" spans="1:2">
      <c r="A759" t="s">
        <v>6677</v>
      </c>
      <c r="B759">
        <v>5050420</v>
      </c>
    </row>
    <row r="760" spans="1:2">
      <c r="A760" t="s">
        <v>6529</v>
      </c>
      <c r="B760">
        <v>3300001662</v>
      </c>
    </row>
    <row r="761" spans="1:2">
      <c r="A761" t="s">
        <v>6672</v>
      </c>
      <c r="B761">
        <v>2172020</v>
      </c>
    </row>
    <row r="762" spans="1:2">
      <c r="A762" t="s">
        <v>6529</v>
      </c>
      <c r="B762">
        <v>3300001694</v>
      </c>
    </row>
    <row r="763" spans="1:2">
      <c r="A763" t="s">
        <v>6645</v>
      </c>
      <c r="B763" t="s">
        <v>1555</v>
      </c>
    </row>
    <row r="764" spans="1:2">
      <c r="A764" t="s">
        <v>6530</v>
      </c>
      <c r="B764" t="s">
        <v>6731</v>
      </c>
    </row>
    <row r="765" spans="1:2">
      <c r="A765" t="s">
        <v>6672</v>
      </c>
      <c r="B765">
        <v>2183569</v>
      </c>
    </row>
    <row r="766" spans="1:2">
      <c r="A766" t="s">
        <v>6645</v>
      </c>
      <c r="B766" t="s">
        <v>3718</v>
      </c>
    </row>
    <row r="767" spans="1:2">
      <c r="A767" t="s">
        <v>6677</v>
      </c>
      <c r="B767" t="s">
        <v>3719</v>
      </c>
    </row>
    <row r="768" spans="1:2">
      <c r="A768" t="s">
        <v>6677</v>
      </c>
      <c r="B768" t="s">
        <v>3720</v>
      </c>
    </row>
    <row r="769" spans="1:2">
      <c r="A769" t="s">
        <v>6573</v>
      </c>
      <c r="B769" t="s">
        <v>4677</v>
      </c>
    </row>
    <row r="770" spans="1:2">
      <c r="A770" t="s">
        <v>6645</v>
      </c>
      <c r="B770" t="s">
        <v>4674</v>
      </c>
    </row>
    <row r="771" spans="1:2">
      <c r="A771" t="s">
        <v>6677</v>
      </c>
      <c r="B771">
        <v>5045690</v>
      </c>
    </row>
    <row r="772" spans="1:2">
      <c r="A772" t="s">
        <v>6529</v>
      </c>
      <c r="B772">
        <v>3300001253</v>
      </c>
    </row>
    <row r="773" spans="1:2">
      <c r="A773" t="s">
        <v>6642</v>
      </c>
      <c r="B773" t="s">
        <v>4675</v>
      </c>
    </row>
    <row r="774" spans="1:2">
      <c r="A774" t="s">
        <v>6528</v>
      </c>
      <c r="B774">
        <v>2116269</v>
      </c>
    </row>
    <row r="775" spans="1:2">
      <c r="A775" t="s">
        <v>6530</v>
      </c>
      <c r="B775" t="s">
        <v>4950</v>
      </c>
    </row>
    <row r="776" spans="1:2">
      <c r="A776" t="s">
        <v>6674</v>
      </c>
      <c r="B776">
        <v>1765953</v>
      </c>
    </row>
    <row r="777" spans="1:2">
      <c r="A777" t="s">
        <v>6674</v>
      </c>
      <c r="B777">
        <v>1763218</v>
      </c>
    </row>
    <row r="778" spans="1:2">
      <c r="A778" t="s">
        <v>6677</v>
      </c>
      <c r="B778">
        <v>5059328</v>
      </c>
    </row>
    <row r="779" spans="1:2">
      <c r="A779" t="s">
        <v>6573</v>
      </c>
      <c r="B779" t="s">
        <v>2206</v>
      </c>
    </row>
    <row r="780" spans="1:2">
      <c r="A780" t="s">
        <v>6645</v>
      </c>
      <c r="B780" t="s">
        <v>2205</v>
      </c>
    </row>
    <row r="781" spans="1:2">
      <c r="A781" t="s">
        <v>6529</v>
      </c>
      <c r="B781">
        <v>3300012810</v>
      </c>
    </row>
    <row r="782" spans="1:2">
      <c r="A782" t="s">
        <v>6672</v>
      </c>
      <c r="B782">
        <v>2171928</v>
      </c>
    </row>
    <row r="783" spans="1:2">
      <c r="A783" t="s">
        <v>6528</v>
      </c>
      <c r="B783">
        <v>2114761</v>
      </c>
    </row>
    <row r="784" spans="1:2">
      <c r="A784" t="s">
        <v>6573</v>
      </c>
      <c r="B784" t="s">
        <v>5389</v>
      </c>
    </row>
    <row r="785" spans="1:2">
      <c r="A785" t="s">
        <v>6528</v>
      </c>
      <c r="B785">
        <v>2114781</v>
      </c>
    </row>
    <row r="786" spans="1:2">
      <c r="A786" t="s">
        <v>6677</v>
      </c>
      <c r="B786">
        <v>5001464</v>
      </c>
    </row>
    <row r="787" spans="1:2">
      <c r="A787" t="s">
        <v>6573</v>
      </c>
      <c r="B787" t="s">
        <v>2193</v>
      </c>
    </row>
    <row r="788" spans="1:2">
      <c r="A788" t="s">
        <v>6529</v>
      </c>
      <c r="B788">
        <v>3300010909</v>
      </c>
    </row>
    <row r="789" spans="1:2">
      <c r="A789" t="s">
        <v>6677</v>
      </c>
      <c r="B789">
        <v>5045684</v>
      </c>
    </row>
    <row r="790" spans="1:2">
      <c r="A790" t="s">
        <v>6645</v>
      </c>
      <c r="B790" t="s">
        <v>2192</v>
      </c>
    </row>
    <row r="791" spans="1:2">
      <c r="A791" t="s">
        <v>6677</v>
      </c>
      <c r="B791">
        <v>5045674</v>
      </c>
    </row>
    <row r="792" spans="1:2">
      <c r="A792" t="s">
        <v>6672</v>
      </c>
      <c r="B792">
        <v>2171964</v>
      </c>
    </row>
    <row r="793" spans="1:2">
      <c r="A793" t="s">
        <v>6530</v>
      </c>
      <c r="B793" t="s">
        <v>1751</v>
      </c>
    </row>
    <row r="794" spans="1:2">
      <c r="A794" t="s">
        <v>6645</v>
      </c>
      <c r="B794" t="s">
        <v>1750</v>
      </c>
    </row>
    <row r="795" spans="1:2">
      <c r="A795" t="s">
        <v>6529</v>
      </c>
      <c r="B795">
        <v>3300001242</v>
      </c>
    </row>
    <row r="796" spans="1:2">
      <c r="A796" t="s">
        <v>6529</v>
      </c>
      <c r="B796">
        <v>3300001249</v>
      </c>
    </row>
    <row r="797" spans="1:2">
      <c r="A797" t="s">
        <v>6528</v>
      </c>
      <c r="B797">
        <v>2103910</v>
      </c>
    </row>
    <row r="798" spans="1:2">
      <c r="A798" t="s">
        <v>6677</v>
      </c>
      <c r="B798">
        <v>5042670</v>
      </c>
    </row>
    <row r="799" spans="1:2">
      <c r="A799" t="s">
        <v>6573</v>
      </c>
      <c r="B799" t="s">
        <v>1804</v>
      </c>
    </row>
    <row r="800" spans="1:2">
      <c r="A800" t="s">
        <v>6677</v>
      </c>
      <c r="B800">
        <v>5049699</v>
      </c>
    </row>
    <row r="801" spans="1:2">
      <c r="A801" t="s">
        <v>6672</v>
      </c>
      <c r="B801">
        <v>2171941</v>
      </c>
    </row>
    <row r="802" spans="1:2">
      <c r="A802" t="s">
        <v>6529</v>
      </c>
      <c r="B802">
        <v>3300011780</v>
      </c>
    </row>
    <row r="803" spans="1:2">
      <c r="A803" t="s">
        <v>6530</v>
      </c>
      <c r="B803" t="s">
        <v>846</v>
      </c>
    </row>
    <row r="804" spans="1:2">
      <c r="A804" t="s">
        <v>6528</v>
      </c>
      <c r="B804">
        <v>2119276</v>
      </c>
    </row>
    <row r="805" spans="1:2">
      <c r="A805" t="s">
        <v>6677</v>
      </c>
      <c r="B805">
        <v>5042646</v>
      </c>
    </row>
    <row r="806" spans="1:2">
      <c r="A806" t="s">
        <v>6529</v>
      </c>
      <c r="B806">
        <v>3300006795</v>
      </c>
    </row>
    <row r="807" spans="1:2">
      <c r="A807" t="s">
        <v>6645</v>
      </c>
      <c r="B807" t="s">
        <v>845</v>
      </c>
    </row>
    <row r="808" spans="1:2">
      <c r="A808" t="s">
        <v>6529</v>
      </c>
      <c r="B808">
        <v>3300009820</v>
      </c>
    </row>
    <row r="809" spans="1:2">
      <c r="A809" t="s">
        <v>6573</v>
      </c>
      <c r="B809" t="s">
        <v>4876</v>
      </c>
    </row>
    <row r="810" spans="1:2">
      <c r="A810" t="s">
        <v>6529</v>
      </c>
      <c r="B810">
        <v>3300003611</v>
      </c>
    </row>
    <row r="811" spans="1:2">
      <c r="A811" t="s">
        <v>6642</v>
      </c>
      <c r="B811" t="s">
        <v>4874</v>
      </c>
    </row>
    <row r="812" spans="1:2">
      <c r="A812" t="s">
        <v>6528</v>
      </c>
      <c r="B812">
        <v>2103453</v>
      </c>
    </row>
    <row r="813" spans="1:2">
      <c r="A813" t="s">
        <v>6642</v>
      </c>
      <c r="B813" t="s">
        <v>4875</v>
      </c>
    </row>
    <row r="814" spans="1:2">
      <c r="A814" t="s">
        <v>6529</v>
      </c>
      <c r="B814">
        <v>3300003622</v>
      </c>
    </row>
    <row r="815" spans="1:2">
      <c r="A815" t="s">
        <v>6573</v>
      </c>
      <c r="B815" t="s">
        <v>2260</v>
      </c>
    </row>
    <row r="816" spans="1:2">
      <c r="A816" t="s">
        <v>6677</v>
      </c>
      <c r="B816">
        <v>5031826</v>
      </c>
    </row>
    <row r="817" spans="1:2">
      <c r="A817" t="s">
        <v>6528</v>
      </c>
      <c r="B817">
        <v>2119199</v>
      </c>
    </row>
    <row r="818" spans="1:2">
      <c r="A818" t="s">
        <v>6529</v>
      </c>
      <c r="B818">
        <v>3300001213</v>
      </c>
    </row>
    <row r="819" spans="1:2">
      <c r="A819" t="s">
        <v>6530</v>
      </c>
      <c r="B819" t="s">
        <v>6732</v>
      </c>
    </row>
    <row r="820" spans="1:2">
      <c r="A820" t="s">
        <v>6645</v>
      </c>
      <c r="B820" t="s">
        <v>3054</v>
      </c>
    </row>
    <row r="821" spans="1:2">
      <c r="A821" t="s">
        <v>6528</v>
      </c>
      <c r="B821">
        <v>2103920</v>
      </c>
    </row>
    <row r="822" spans="1:2">
      <c r="A822" t="s">
        <v>6529</v>
      </c>
      <c r="B822">
        <v>3300004134</v>
      </c>
    </row>
    <row r="823" spans="1:2">
      <c r="A823" t="s">
        <v>6677</v>
      </c>
      <c r="B823">
        <v>5050444</v>
      </c>
    </row>
    <row r="824" spans="1:2">
      <c r="A824" t="s">
        <v>6530</v>
      </c>
      <c r="B824" t="s">
        <v>1382</v>
      </c>
    </row>
    <row r="825" spans="1:2">
      <c r="A825" t="s">
        <v>6672</v>
      </c>
      <c r="B825">
        <v>2171939</v>
      </c>
    </row>
    <row r="826" spans="1:2">
      <c r="A826" t="s">
        <v>6683</v>
      </c>
      <c r="B826" t="s">
        <v>1380</v>
      </c>
    </row>
    <row r="827" spans="1:2">
      <c r="A827" t="s">
        <v>6645</v>
      </c>
      <c r="B827" t="s">
        <v>1381</v>
      </c>
    </row>
    <row r="828" spans="1:2">
      <c r="A828" t="s">
        <v>6528</v>
      </c>
      <c r="B828">
        <v>2103532</v>
      </c>
    </row>
    <row r="829" spans="1:2">
      <c r="A829" t="s">
        <v>6529</v>
      </c>
      <c r="B829">
        <v>3300001256</v>
      </c>
    </row>
    <row r="830" spans="1:2">
      <c r="A830" t="s">
        <v>6530</v>
      </c>
      <c r="B830" t="s">
        <v>2832</v>
      </c>
    </row>
    <row r="831" spans="1:2">
      <c r="A831" t="s">
        <v>6645</v>
      </c>
      <c r="B831" t="s">
        <v>2831</v>
      </c>
    </row>
    <row r="832" spans="1:2">
      <c r="A832" t="s">
        <v>6529</v>
      </c>
      <c r="B832">
        <v>3300001691</v>
      </c>
    </row>
    <row r="833" spans="1:2">
      <c r="A833" t="s">
        <v>6672</v>
      </c>
      <c r="B833">
        <v>2171911</v>
      </c>
    </row>
    <row r="834" spans="1:2">
      <c r="A834" t="s">
        <v>6530</v>
      </c>
      <c r="B834" t="s">
        <v>2908</v>
      </c>
    </row>
    <row r="835" spans="1:2">
      <c r="A835" t="s">
        <v>6672</v>
      </c>
      <c r="B835">
        <v>2171896</v>
      </c>
    </row>
    <row r="836" spans="1:2">
      <c r="A836" t="s">
        <v>6645</v>
      </c>
      <c r="B836" t="s">
        <v>2907</v>
      </c>
    </row>
    <row r="837" spans="1:2">
      <c r="A837" t="s">
        <v>6529</v>
      </c>
      <c r="B837">
        <v>3300001684</v>
      </c>
    </row>
    <row r="838" spans="1:2">
      <c r="A838" t="s">
        <v>6529</v>
      </c>
      <c r="B838">
        <v>3300001701</v>
      </c>
    </row>
    <row r="839" spans="1:2">
      <c r="A839" t="s">
        <v>6530</v>
      </c>
      <c r="B839" t="s">
        <v>2507</v>
      </c>
    </row>
    <row r="840" spans="1:2">
      <c r="A840" t="s">
        <v>6677</v>
      </c>
      <c r="B840" t="s">
        <v>2504</v>
      </c>
    </row>
    <row r="841" spans="1:2">
      <c r="A841" t="s">
        <v>6677</v>
      </c>
      <c r="B841" t="s">
        <v>2505</v>
      </c>
    </row>
    <row r="842" spans="1:2">
      <c r="A842" t="s">
        <v>6528</v>
      </c>
      <c r="B842">
        <v>2083282</v>
      </c>
    </row>
    <row r="843" spans="1:2">
      <c r="A843" t="s">
        <v>6645</v>
      </c>
      <c r="B843" t="s">
        <v>2506</v>
      </c>
    </row>
    <row r="844" spans="1:2">
      <c r="A844" t="s">
        <v>6529</v>
      </c>
      <c r="B844">
        <v>3300002961</v>
      </c>
    </row>
    <row r="845" spans="1:2">
      <c r="A845" t="s">
        <v>6530</v>
      </c>
      <c r="B845" t="s">
        <v>2240</v>
      </c>
    </row>
    <row r="846" spans="1:2">
      <c r="A846" t="s">
        <v>6645</v>
      </c>
      <c r="B846" t="s">
        <v>2239</v>
      </c>
    </row>
    <row r="847" spans="1:2">
      <c r="A847" t="s">
        <v>6672</v>
      </c>
      <c r="B847">
        <v>2183514</v>
      </c>
    </row>
    <row r="848" spans="1:2">
      <c r="A848" t="s">
        <v>6529</v>
      </c>
      <c r="B848">
        <v>3300001678</v>
      </c>
    </row>
    <row r="849" spans="1:2">
      <c r="A849" t="s">
        <v>6677</v>
      </c>
      <c r="B849">
        <v>5045652</v>
      </c>
    </row>
    <row r="850" spans="1:2">
      <c r="A850" t="s">
        <v>6672</v>
      </c>
      <c r="B850">
        <v>2171894</v>
      </c>
    </row>
    <row r="851" spans="1:2">
      <c r="A851" t="s">
        <v>6530</v>
      </c>
      <c r="B851" t="s">
        <v>3088</v>
      </c>
    </row>
    <row r="852" spans="1:2">
      <c r="A852" t="s">
        <v>6672</v>
      </c>
      <c r="B852">
        <v>2172017</v>
      </c>
    </row>
    <row r="853" spans="1:2">
      <c r="A853" t="s">
        <v>6642</v>
      </c>
      <c r="B853" t="s">
        <v>3086</v>
      </c>
    </row>
    <row r="854" spans="1:2">
      <c r="A854" t="s">
        <v>6677</v>
      </c>
      <c r="B854">
        <v>5045680</v>
      </c>
    </row>
    <row r="855" spans="1:2">
      <c r="A855" t="s">
        <v>6529</v>
      </c>
      <c r="B855">
        <v>3300012257</v>
      </c>
    </row>
    <row r="856" spans="1:2">
      <c r="A856" t="s">
        <v>6677</v>
      </c>
      <c r="B856" t="s">
        <v>3087</v>
      </c>
    </row>
    <row r="857" spans="1:2">
      <c r="A857" t="s">
        <v>6573</v>
      </c>
      <c r="B857" t="s">
        <v>6733</v>
      </c>
    </row>
    <row r="858" spans="1:2">
      <c r="A858" t="s">
        <v>6528</v>
      </c>
      <c r="B858">
        <v>2114740</v>
      </c>
    </row>
    <row r="859" spans="1:2">
      <c r="A859" t="s">
        <v>6529</v>
      </c>
      <c r="B859">
        <v>3300005146</v>
      </c>
    </row>
    <row r="860" spans="1:2">
      <c r="A860" t="s">
        <v>6677</v>
      </c>
      <c r="B860">
        <v>5006425</v>
      </c>
    </row>
    <row r="861" spans="1:2">
      <c r="A861" t="s">
        <v>6573</v>
      </c>
      <c r="B861" t="s">
        <v>2850</v>
      </c>
    </row>
    <row r="862" spans="1:2">
      <c r="A862" t="s">
        <v>6677</v>
      </c>
      <c r="B862">
        <v>5045670</v>
      </c>
    </row>
    <row r="863" spans="1:2">
      <c r="A863" t="s">
        <v>6528</v>
      </c>
      <c r="B863">
        <v>2119227</v>
      </c>
    </row>
    <row r="864" spans="1:2">
      <c r="A864" t="s">
        <v>6573</v>
      </c>
      <c r="B864" t="s">
        <v>1103</v>
      </c>
    </row>
    <row r="865" spans="1:2">
      <c r="A865" t="s">
        <v>6529</v>
      </c>
      <c r="B865">
        <v>3300001670</v>
      </c>
    </row>
    <row r="866" spans="1:2">
      <c r="A866" t="s">
        <v>6683</v>
      </c>
      <c r="B866" t="s">
        <v>1100</v>
      </c>
    </row>
    <row r="867" spans="1:2">
      <c r="A867" t="s">
        <v>6672</v>
      </c>
      <c r="B867">
        <v>2183607</v>
      </c>
    </row>
    <row r="868" spans="1:2">
      <c r="A868" t="s">
        <v>6642</v>
      </c>
      <c r="B868" t="s">
        <v>1101</v>
      </c>
    </row>
    <row r="869" spans="1:2">
      <c r="A869" t="s">
        <v>6645</v>
      </c>
      <c r="B869" t="s">
        <v>1102</v>
      </c>
    </row>
    <row r="870" spans="1:2">
      <c r="A870" t="s">
        <v>6573</v>
      </c>
      <c r="B870" t="s">
        <v>3333</v>
      </c>
    </row>
    <row r="871" spans="1:2">
      <c r="A871" t="s">
        <v>6660</v>
      </c>
      <c r="B871" t="s">
        <v>3332</v>
      </c>
    </row>
    <row r="872" spans="1:2">
      <c r="A872" t="s">
        <v>6672</v>
      </c>
      <c r="B872">
        <v>2171946</v>
      </c>
    </row>
    <row r="873" spans="1:2">
      <c r="A873" t="s">
        <v>6677</v>
      </c>
      <c r="B873">
        <v>5045654</v>
      </c>
    </row>
    <row r="874" spans="1:2">
      <c r="A874" t="s">
        <v>6530</v>
      </c>
      <c r="B874" t="s">
        <v>2454</v>
      </c>
    </row>
    <row r="875" spans="1:2">
      <c r="A875" t="s">
        <v>6677</v>
      </c>
      <c r="B875" t="s">
        <v>2451</v>
      </c>
    </row>
    <row r="876" spans="1:2">
      <c r="A876" t="s">
        <v>6677</v>
      </c>
      <c r="B876" t="s">
        <v>2452</v>
      </c>
    </row>
    <row r="877" spans="1:2">
      <c r="A877" t="s">
        <v>6642</v>
      </c>
      <c r="B877" t="s">
        <v>2453</v>
      </c>
    </row>
    <row r="878" spans="1:2">
      <c r="A878" t="s">
        <v>6529</v>
      </c>
      <c r="B878">
        <v>3300011523</v>
      </c>
    </row>
    <row r="879" spans="1:2">
      <c r="A879" t="s">
        <v>6528</v>
      </c>
      <c r="B879">
        <v>2119566</v>
      </c>
    </row>
    <row r="880" spans="1:2">
      <c r="A880" t="s">
        <v>6573</v>
      </c>
      <c r="B880" t="s">
        <v>4484</v>
      </c>
    </row>
    <row r="881" spans="1:2">
      <c r="A881" t="s">
        <v>6677</v>
      </c>
      <c r="B881">
        <v>5045687</v>
      </c>
    </row>
    <row r="882" spans="1:2">
      <c r="A882" t="s">
        <v>6645</v>
      </c>
      <c r="B882" t="s">
        <v>4483</v>
      </c>
    </row>
    <row r="883" spans="1:2">
      <c r="A883" t="s">
        <v>6529</v>
      </c>
      <c r="B883">
        <v>3300001224</v>
      </c>
    </row>
    <row r="884" spans="1:2">
      <c r="A884" t="s">
        <v>6672</v>
      </c>
      <c r="B884">
        <v>2183523</v>
      </c>
    </row>
    <row r="885" spans="1:2">
      <c r="A885" t="s">
        <v>6529</v>
      </c>
      <c r="B885">
        <v>3300001226</v>
      </c>
    </row>
    <row r="886" spans="1:2">
      <c r="A886" t="s">
        <v>6530</v>
      </c>
      <c r="B886" t="s">
        <v>6734</v>
      </c>
    </row>
    <row r="887" spans="1:2">
      <c r="A887" t="s">
        <v>6683</v>
      </c>
      <c r="B887" t="s">
        <v>2338</v>
      </c>
    </row>
    <row r="888" spans="1:2">
      <c r="A888" t="s">
        <v>6645</v>
      </c>
      <c r="B888" t="s">
        <v>2339</v>
      </c>
    </row>
    <row r="889" spans="1:2">
      <c r="A889" t="s">
        <v>6529</v>
      </c>
      <c r="B889">
        <v>3300001677</v>
      </c>
    </row>
    <row r="890" spans="1:2">
      <c r="A890" t="s">
        <v>6528</v>
      </c>
      <c r="B890">
        <v>2114744</v>
      </c>
    </row>
    <row r="891" spans="1:2">
      <c r="A891" t="s">
        <v>6529</v>
      </c>
      <c r="B891">
        <v>3300002956</v>
      </c>
    </row>
    <row r="892" spans="1:2">
      <c r="A892" t="s">
        <v>6530</v>
      </c>
      <c r="B892" t="s">
        <v>3360</v>
      </c>
    </row>
    <row r="893" spans="1:2">
      <c r="A893" t="s">
        <v>6677</v>
      </c>
      <c r="B893" t="s">
        <v>3358</v>
      </c>
    </row>
    <row r="894" spans="1:2">
      <c r="A894" t="s">
        <v>6645</v>
      </c>
      <c r="B894" t="s">
        <v>3359</v>
      </c>
    </row>
    <row r="895" spans="1:2">
      <c r="A895" t="s">
        <v>6528</v>
      </c>
      <c r="B895">
        <v>2103445</v>
      </c>
    </row>
    <row r="896" spans="1:2">
      <c r="A896" t="s">
        <v>6528</v>
      </c>
      <c r="B896">
        <v>2116290</v>
      </c>
    </row>
    <row r="897" spans="1:2">
      <c r="A897" t="s">
        <v>6529</v>
      </c>
      <c r="B897">
        <v>3300012264</v>
      </c>
    </row>
    <row r="898" spans="1:2">
      <c r="A898" t="s">
        <v>6530</v>
      </c>
      <c r="B898" t="s">
        <v>1941</v>
      </c>
    </row>
    <row r="899" spans="1:2">
      <c r="A899" t="s">
        <v>6528</v>
      </c>
      <c r="B899">
        <v>2114741</v>
      </c>
    </row>
    <row r="900" spans="1:2">
      <c r="A900" t="s">
        <v>6645</v>
      </c>
      <c r="B900" t="s">
        <v>1940</v>
      </c>
    </row>
    <row r="901" spans="1:2">
      <c r="A901" t="s">
        <v>6529</v>
      </c>
      <c r="B901">
        <v>3300001685</v>
      </c>
    </row>
    <row r="902" spans="1:2">
      <c r="A902" t="s">
        <v>6677</v>
      </c>
      <c r="B902">
        <v>5031838</v>
      </c>
    </row>
    <row r="903" spans="1:2">
      <c r="A903" t="s">
        <v>6677</v>
      </c>
      <c r="B903" t="s">
        <v>6735</v>
      </c>
    </row>
    <row r="904" spans="1:2">
      <c r="A904" t="s">
        <v>6530</v>
      </c>
      <c r="B904" t="s">
        <v>2309</v>
      </c>
    </row>
    <row r="905" spans="1:2">
      <c r="A905" t="s">
        <v>6528</v>
      </c>
      <c r="B905">
        <v>2116294</v>
      </c>
    </row>
    <row r="906" spans="1:2">
      <c r="A906" t="s">
        <v>6677</v>
      </c>
      <c r="B906">
        <v>5031824</v>
      </c>
    </row>
    <row r="907" spans="1:2">
      <c r="A907" t="s">
        <v>6529</v>
      </c>
      <c r="B907">
        <v>3300003013</v>
      </c>
    </row>
    <row r="908" spans="1:2">
      <c r="A908" t="s">
        <v>6675</v>
      </c>
      <c r="B908">
        <v>3400002455</v>
      </c>
    </row>
    <row r="909" spans="1:2">
      <c r="A909" t="s">
        <v>6674</v>
      </c>
      <c r="B909">
        <v>2177686</v>
      </c>
    </row>
    <row r="910" spans="1:2">
      <c r="A910" t="s">
        <v>6573</v>
      </c>
      <c r="B910" t="s">
        <v>1593</v>
      </c>
    </row>
    <row r="911" spans="1:2">
      <c r="A911" t="s">
        <v>6529</v>
      </c>
      <c r="B911">
        <v>3300008118</v>
      </c>
    </row>
    <row r="912" spans="1:2">
      <c r="A912" t="s">
        <v>6677</v>
      </c>
      <c r="B912">
        <v>5050457</v>
      </c>
    </row>
    <row r="913" spans="1:2">
      <c r="A913" t="s">
        <v>6528</v>
      </c>
      <c r="B913">
        <v>2103482</v>
      </c>
    </row>
    <row r="914" spans="1:2">
      <c r="A914" t="s">
        <v>6645</v>
      </c>
      <c r="B914" t="s">
        <v>1592</v>
      </c>
    </row>
    <row r="915" spans="1:2">
      <c r="A915" t="s">
        <v>6530</v>
      </c>
      <c r="B915" t="s">
        <v>3427</v>
      </c>
    </row>
    <row r="916" spans="1:2">
      <c r="A916" t="s">
        <v>6645</v>
      </c>
      <c r="B916" t="s">
        <v>3425</v>
      </c>
    </row>
    <row r="917" spans="1:2">
      <c r="A917" t="s">
        <v>6529</v>
      </c>
      <c r="B917">
        <v>3300002993</v>
      </c>
    </row>
    <row r="918" spans="1:2">
      <c r="A918" t="s">
        <v>6677</v>
      </c>
      <c r="B918">
        <v>5049698</v>
      </c>
    </row>
    <row r="919" spans="1:2">
      <c r="A919" t="s">
        <v>6528</v>
      </c>
      <c r="B919">
        <v>2103458</v>
      </c>
    </row>
    <row r="920" spans="1:2">
      <c r="A920" t="s">
        <v>6683</v>
      </c>
      <c r="B920" t="s">
        <v>3426</v>
      </c>
    </row>
    <row r="921" spans="1:2">
      <c r="A921" t="s">
        <v>6573</v>
      </c>
      <c r="B921" t="s">
        <v>2983</v>
      </c>
    </row>
    <row r="922" spans="1:2">
      <c r="A922" t="s">
        <v>6645</v>
      </c>
      <c r="B922" t="s">
        <v>2982</v>
      </c>
    </row>
    <row r="923" spans="1:2">
      <c r="A923" t="s">
        <v>6672</v>
      </c>
      <c r="B923">
        <v>2171959</v>
      </c>
    </row>
    <row r="924" spans="1:2">
      <c r="A924" t="s">
        <v>6529</v>
      </c>
      <c r="B924">
        <v>3300009769</v>
      </c>
    </row>
    <row r="925" spans="1:2">
      <c r="A925" t="s">
        <v>6677</v>
      </c>
      <c r="B925">
        <v>5059312</v>
      </c>
    </row>
    <row r="926" spans="1:2">
      <c r="A926" t="s">
        <v>6530</v>
      </c>
      <c r="B926" t="s">
        <v>1676</v>
      </c>
    </row>
    <row r="927" spans="1:2">
      <c r="A927" t="s">
        <v>6528</v>
      </c>
      <c r="B927">
        <v>2103937</v>
      </c>
    </row>
    <row r="928" spans="1:2">
      <c r="A928" t="s">
        <v>6645</v>
      </c>
      <c r="B928" t="s">
        <v>1674</v>
      </c>
    </row>
    <row r="929" spans="1:2">
      <c r="A929" t="s">
        <v>6528</v>
      </c>
      <c r="B929">
        <v>2103887</v>
      </c>
    </row>
    <row r="930" spans="1:2">
      <c r="A930" t="s">
        <v>6642</v>
      </c>
      <c r="B930" t="s">
        <v>1675</v>
      </c>
    </row>
    <row r="931" spans="1:2">
      <c r="A931" t="s">
        <v>6530</v>
      </c>
      <c r="B931" t="s">
        <v>1948</v>
      </c>
    </row>
    <row r="932" spans="1:2">
      <c r="A932" t="s">
        <v>6528</v>
      </c>
      <c r="B932">
        <v>2117103</v>
      </c>
    </row>
    <row r="933" spans="1:2">
      <c r="A933" t="s">
        <v>6677</v>
      </c>
      <c r="B933">
        <v>5031842</v>
      </c>
    </row>
    <row r="934" spans="1:2">
      <c r="A934" t="s">
        <v>6529</v>
      </c>
      <c r="B934">
        <v>3300001673</v>
      </c>
    </row>
    <row r="935" spans="1:2">
      <c r="A935" t="s">
        <v>6530</v>
      </c>
      <c r="B935" t="s">
        <v>3594</v>
      </c>
    </row>
    <row r="936" spans="1:2">
      <c r="A936" t="s">
        <v>6529</v>
      </c>
      <c r="B936">
        <v>3300011806</v>
      </c>
    </row>
    <row r="937" spans="1:2">
      <c r="A937" t="s">
        <v>6677</v>
      </c>
      <c r="B937">
        <v>5049674</v>
      </c>
    </row>
    <row r="938" spans="1:2">
      <c r="A938" t="s">
        <v>6672</v>
      </c>
      <c r="B938">
        <v>2171957</v>
      </c>
    </row>
    <row r="939" spans="1:2">
      <c r="A939" t="s">
        <v>6573</v>
      </c>
      <c r="B939" t="s">
        <v>2898</v>
      </c>
    </row>
    <row r="940" spans="1:2">
      <c r="A940" t="s">
        <v>6672</v>
      </c>
      <c r="B940">
        <v>2171958</v>
      </c>
    </row>
    <row r="941" spans="1:2">
      <c r="A941" t="s">
        <v>6645</v>
      </c>
      <c r="B941" t="s">
        <v>2897</v>
      </c>
    </row>
    <row r="942" spans="1:2">
      <c r="A942" t="s">
        <v>6529</v>
      </c>
      <c r="B942">
        <v>3300001244</v>
      </c>
    </row>
    <row r="943" spans="1:2">
      <c r="A943" t="s">
        <v>6530</v>
      </c>
      <c r="B943" t="s">
        <v>3819</v>
      </c>
    </row>
    <row r="944" spans="1:2">
      <c r="A944" t="s">
        <v>6529</v>
      </c>
      <c r="B944">
        <v>3300005163</v>
      </c>
    </row>
    <row r="945" spans="1:2">
      <c r="A945" t="s">
        <v>6528</v>
      </c>
      <c r="B945">
        <v>2114755</v>
      </c>
    </row>
    <row r="946" spans="1:2">
      <c r="A946" t="s">
        <v>6529</v>
      </c>
      <c r="B946">
        <v>3300005165</v>
      </c>
    </row>
    <row r="947" spans="1:2">
      <c r="A947" t="s">
        <v>6645</v>
      </c>
      <c r="B947" t="s">
        <v>3818</v>
      </c>
    </row>
    <row r="948" spans="1:2">
      <c r="A948" t="s">
        <v>6530</v>
      </c>
      <c r="B948" t="s">
        <v>1909</v>
      </c>
    </row>
    <row r="949" spans="1:2">
      <c r="A949" t="s">
        <v>6529</v>
      </c>
      <c r="B949">
        <v>3300009498</v>
      </c>
    </row>
    <row r="950" spans="1:2">
      <c r="A950" t="s">
        <v>6677</v>
      </c>
      <c r="B950" t="s">
        <v>1906</v>
      </c>
    </row>
    <row r="951" spans="1:2">
      <c r="A951" t="s">
        <v>6642</v>
      </c>
      <c r="B951" t="s">
        <v>1907</v>
      </c>
    </row>
    <row r="952" spans="1:2">
      <c r="A952" t="s">
        <v>6528</v>
      </c>
      <c r="B952">
        <v>2084871</v>
      </c>
    </row>
    <row r="953" spans="1:2">
      <c r="A953" t="s">
        <v>6645</v>
      </c>
      <c r="B953" t="s">
        <v>1908</v>
      </c>
    </row>
    <row r="954" spans="1:2">
      <c r="A954" t="s">
        <v>6530</v>
      </c>
      <c r="B954" t="s">
        <v>1293</v>
      </c>
    </row>
    <row r="955" spans="1:2">
      <c r="A955" t="s">
        <v>6529</v>
      </c>
      <c r="B955">
        <v>3300008121</v>
      </c>
    </row>
    <row r="956" spans="1:2">
      <c r="A956" t="s">
        <v>6528</v>
      </c>
      <c r="B956">
        <v>2103520</v>
      </c>
    </row>
    <row r="957" spans="1:2">
      <c r="A957" t="s">
        <v>6529</v>
      </c>
      <c r="B957">
        <v>3300005171</v>
      </c>
    </row>
    <row r="958" spans="1:2">
      <c r="A958" t="s">
        <v>6677</v>
      </c>
      <c r="B958">
        <v>5031856</v>
      </c>
    </row>
    <row r="959" spans="1:2">
      <c r="A959" t="s">
        <v>6645</v>
      </c>
      <c r="B959" t="s">
        <v>1292</v>
      </c>
    </row>
    <row r="960" spans="1:2">
      <c r="A960" t="s">
        <v>6530</v>
      </c>
      <c r="B960" t="s">
        <v>2322</v>
      </c>
    </row>
    <row r="961" spans="1:2">
      <c r="A961" t="s">
        <v>6529</v>
      </c>
      <c r="B961">
        <v>3300011484</v>
      </c>
    </row>
    <row r="962" spans="1:2">
      <c r="A962" t="s">
        <v>6677</v>
      </c>
      <c r="B962">
        <v>5045676</v>
      </c>
    </row>
    <row r="963" spans="1:2">
      <c r="A963" t="s">
        <v>6645</v>
      </c>
      <c r="B963" t="s">
        <v>2321</v>
      </c>
    </row>
    <row r="964" spans="1:2">
      <c r="A964" t="s">
        <v>6529</v>
      </c>
      <c r="B964">
        <v>3300003612</v>
      </c>
    </row>
    <row r="965" spans="1:2">
      <c r="A965" t="s">
        <v>6528</v>
      </c>
      <c r="B965">
        <v>2119185</v>
      </c>
    </row>
    <row r="966" spans="1:2">
      <c r="A966" t="s">
        <v>6573</v>
      </c>
      <c r="B966" t="s">
        <v>1551</v>
      </c>
    </row>
    <row r="967" spans="1:2">
      <c r="A967" t="s">
        <v>6529</v>
      </c>
      <c r="B967">
        <v>3300001680</v>
      </c>
    </row>
    <row r="968" spans="1:2">
      <c r="A968" t="s">
        <v>6672</v>
      </c>
      <c r="B968">
        <v>2171925</v>
      </c>
    </row>
    <row r="969" spans="1:2">
      <c r="A969" t="s">
        <v>6677</v>
      </c>
      <c r="B969">
        <v>5059358</v>
      </c>
    </row>
    <row r="970" spans="1:2">
      <c r="A970" t="s">
        <v>6645</v>
      </c>
      <c r="B970" t="s">
        <v>1550</v>
      </c>
    </row>
    <row r="971" spans="1:2">
      <c r="A971" t="s">
        <v>6573</v>
      </c>
      <c r="B971" t="s">
        <v>5587</v>
      </c>
    </row>
    <row r="972" spans="1:2">
      <c r="A972" t="s">
        <v>6528</v>
      </c>
      <c r="B972">
        <v>2115666</v>
      </c>
    </row>
    <row r="973" spans="1:2">
      <c r="A973" t="s">
        <v>6677</v>
      </c>
      <c r="B973">
        <v>5001441</v>
      </c>
    </row>
    <row r="974" spans="1:2">
      <c r="A974" t="s">
        <v>6529</v>
      </c>
      <c r="B974">
        <v>3300008153</v>
      </c>
    </row>
    <row r="975" spans="1:2">
      <c r="A975" t="s">
        <v>6528</v>
      </c>
      <c r="B975">
        <v>2115636</v>
      </c>
    </row>
    <row r="976" spans="1:2">
      <c r="A976" t="s">
        <v>6573</v>
      </c>
      <c r="B976" t="s">
        <v>3433</v>
      </c>
    </row>
    <row r="977" spans="1:2">
      <c r="A977" t="s">
        <v>6529</v>
      </c>
      <c r="B977">
        <v>3300001688</v>
      </c>
    </row>
    <row r="978" spans="1:2">
      <c r="A978" t="s">
        <v>6645</v>
      </c>
      <c r="B978" t="s">
        <v>3432</v>
      </c>
    </row>
    <row r="979" spans="1:2">
      <c r="A979" t="s">
        <v>6677</v>
      </c>
      <c r="B979">
        <v>5045658</v>
      </c>
    </row>
    <row r="980" spans="1:2">
      <c r="A980" t="s">
        <v>6672</v>
      </c>
      <c r="B980">
        <v>2171887</v>
      </c>
    </row>
    <row r="981" spans="1:2">
      <c r="A981" t="s">
        <v>6672</v>
      </c>
      <c r="B981">
        <v>2183556</v>
      </c>
    </row>
    <row r="982" spans="1:2">
      <c r="A982" t="s">
        <v>6530</v>
      </c>
      <c r="B982" t="s">
        <v>955</v>
      </c>
    </row>
    <row r="983" spans="1:2">
      <c r="A983" t="s">
        <v>6642</v>
      </c>
      <c r="B983" t="s">
        <v>954</v>
      </c>
    </row>
    <row r="984" spans="1:2">
      <c r="A984" t="s">
        <v>6528</v>
      </c>
      <c r="B984">
        <v>2172357</v>
      </c>
    </row>
    <row r="985" spans="1:2">
      <c r="A985" t="s">
        <v>6529</v>
      </c>
      <c r="B985">
        <v>3300009469</v>
      </c>
    </row>
    <row r="986" spans="1:2">
      <c r="A986" t="s">
        <v>6677</v>
      </c>
      <c r="B986">
        <v>5046312</v>
      </c>
    </row>
    <row r="987" spans="1:2">
      <c r="A987" t="s">
        <v>6530</v>
      </c>
      <c r="B987" t="s">
        <v>5527</v>
      </c>
    </row>
    <row r="988" spans="1:2">
      <c r="A988" t="s">
        <v>6677</v>
      </c>
      <c r="B988">
        <v>5040902</v>
      </c>
    </row>
    <row r="989" spans="1:2">
      <c r="A989" t="s">
        <v>6528</v>
      </c>
      <c r="B989">
        <v>2119189</v>
      </c>
    </row>
    <row r="990" spans="1:2">
      <c r="A990" t="s">
        <v>6529</v>
      </c>
      <c r="B990">
        <v>3300006811</v>
      </c>
    </row>
    <row r="991" spans="1:2">
      <c r="A991" t="s">
        <v>6530</v>
      </c>
      <c r="B991" t="s">
        <v>6335</v>
      </c>
    </row>
    <row r="992" spans="1:2">
      <c r="A992" t="s">
        <v>6645</v>
      </c>
      <c r="B992" t="s">
        <v>6334</v>
      </c>
    </row>
    <row r="993" spans="1:2">
      <c r="A993" t="s">
        <v>6529</v>
      </c>
      <c r="B993">
        <v>3300009705</v>
      </c>
    </row>
    <row r="994" spans="1:2">
      <c r="A994" t="s">
        <v>6672</v>
      </c>
      <c r="B994">
        <v>2172005</v>
      </c>
    </row>
    <row r="995" spans="1:2">
      <c r="A995" t="s">
        <v>6530</v>
      </c>
      <c r="B995" t="s">
        <v>1987</v>
      </c>
    </row>
    <row r="996" spans="1:2">
      <c r="A996" t="s">
        <v>6528</v>
      </c>
      <c r="B996">
        <v>2103711</v>
      </c>
    </row>
    <row r="997" spans="1:2">
      <c r="A997" t="s">
        <v>6645</v>
      </c>
      <c r="B997" t="s">
        <v>1985</v>
      </c>
    </row>
    <row r="998" spans="1:2">
      <c r="A998" t="s">
        <v>6683</v>
      </c>
      <c r="B998" t="s">
        <v>1986</v>
      </c>
    </row>
    <row r="999" spans="1:2">
      <c r="A999" t="s">
        <v>6675</v>
      </c>
      <c r="B999">
        <v>3400002454</v>
      </c>
    </row>
    <row r="1000" spans="1:2">
      <c r="A1000" t="s">
        <v>6677</v>
      </c>
      <c r="B1000">
        <v>5059377</v>
      </c>
    </row>
    <row r="1001" spans="1:2">
      <c r="A1001" t="s">
        <v>6530</v>
      </c>
      <c r="B1001" t="s">
        <v>6736</v>
      </c>
    </row>
    <row r="1002" spans="1:2">
      <c r="A1002" t="s">
        <v>6672</v>
      </c>
      <c r="B1002">
        <v>2183579</v>
      </c>
    </row>
    <row r="1003" spans="1:2">
      <c r="A1003" t="s">
        <v>6677</v>
      </c>
      <c r="B1003">
        <v>5059324</v>
      </c>
    </row>
    <row r="1004" spans="1:2">
      <c r="A1004" t="s">
        <v>6530</v>
      </c>
      <c r="B1004" t="s">
        <v>6737</v>
      </c>
    </row>
    <row r="1005" spans="1:2">
      <c r="A1005" t="s">
        <v>6677</v>
      </c>
      <c r="B1005" t="s">
        <v>1445</v>
      </c>
    </row>
    <row r="1006" spans="1:2">
      <c r="A1006" t="s">
        <v>6672</v>
      </c>
      <c r="B1006">
        <v>2171900</v>
      </c>
    </row>
    <row r="1007" spans="1:2">
      <c r="A1007" t="s">
        <v>6529</v>
      </c>
      <c r="B1007">
        <v>3300001247</v>
      </c>
    </row>
    <row r="1008" spans="1:2">
      <c r="A1008" t="s">
        <v>6530</v>
      </c>
      <c r="B1008" t="s">
        <v>2435</v>
      </c>
    </row>
    <row r="1009" spans="1:2">
      <c r="A1009" t="s">
        <v>6528</v>
      </c>
      <c r="B1009">
        <v>2096467</v>
      </c>
    </row>
    <row r="1010" spans="1:2">
      <c r="A1010" t="s">
        <v>6642</v>
      </c>
      <c r="B1010" t="s">
        <v>2434</v>
      </c>
    </row>
    <row r="1011" spans="1:2">
      <c r="A1011" t="s">
        <v>6677</v>
      </c>
      <c r="B1011">
        <v>5070898</v>
      </c>
    </row>
    <row r="1012" spans="1:2">
      <c r="A1012" t="s">
        <v>6529</v>
      </c>
      <c r="B1012">
        <v>3300009823</v>
      </c>
    </row>
    <row r="1013" spans="1:2">
      <c r="A1013" t="s">
        <v>6677</v>
      </c>
      <c r="B1013">
        <v>5050464</v>
      </c>
    </row>
    <row r="1014" spans="1:2">
      <c r="A1014" t="s">
        <v>6573</v>
      </c>
      <c r="B1014" t="s">
        <v>5763</v>
      </c>
    </row>
    <row r="1015" spans="1:2">
      <c r="A1015" t="s">
        <v>6645</v>
      </c>
      <c r="B1015" t="s">
        <v>5762</v>
      </c>
    </row>
    <row r="1016" spans="1:2">
      <c r="A1016" t="s">
        <v>6672</v>
      </c>
      <c r="B1016">
        <v>2171926</v>
      </c>
    </row>
    <row r="1017" spans="1:2">
      <c r="A1017" t="s">
        <v>6529</v>
      </c>
      <c r="B1017">
        <v>3300001698</v>
      </c>
    </row>
    <row r="1018" spans="1:2">
      <c r="A1018" t="s">
        <v>6573</v>
      </c>
      <c r="B1018" t="s">
        <v>5770</v>
      </c>
    </row>
    <row r="1019" spans="1:2">
      <c r="A1019" t="s">
        <v>6642</v>
      </c>
      <c r="B1019" t="s">
        <v>5768</v>
      </c>
    </row>
    <row r="1020" spans="1:2">
      <c r="A1020" t="s">
        <v>6529</v>
      </c>
      <c r="B1020">
        <v>3300002811</v>
      </c>
    </row>
    <row r="1021" spans="1:2">
      <c r="A1021" t="s">
        <v>6677</v>
      </c>
      <c r="B1021">
        <v>5014440</v>
      </c>
    </row>
    <row r="1022" spans="1:2">
      <c r="A1022" t="s">
        <v>6529</v>
      </c>
      <c r="B1022">
        <v>3300002827</v>
      </c>
    </row>
    <row r="1023" spans="1:2">
      <c r="A1023" t="s">
        <v>6642</v>
      </c>
      <c r="B1023" t="s">
        <v>5769</v>
      </c>
    </row>
    <row r="1024" spans="1:2">
      <c r="A1024" t="s">
        <v>6530</v>
      </c>
      <c r="B1024" t="s">
        <v>2731</v>
      </c>
    </row>
    <row r="1025" spans="1:2">
      <c r="A1025" t="s">
        <v>6529</v>
      </c>
      <c r="B1025">
        <v>3300011489</v>
      </c>
    </row>
    <row r="1026" spans="1:2">
      <c r="A1026" t="s">
        <v>6645</v>
      </c>
      <c r="B1026" t="s">
        <v>2730</v>
      </c>
    </row>
    <row r="1027" spans="1:2">
      <c r="A1027" t="s">
        <v>6677</v>
      </c>
      <c r="B1027">
        <v>5040898</v>
      </c>
    </row>
    <row r="1028" spans="1:2">
      <c r="A1028" t="s">
        <v>6528</v>
      </c>
      <c r="B1028">
        <v>2119270</v>
      </c>
    </row>
    <row r="1029" spans="1:2">
      <c r="A1029" t="s">
        <v>6530</v>
      </c>
      <c r="B1029" t="s">
        <v>6738</v>
      </c>
    </row>
    <row r="1030" spans="1:2">
      <c r="A1030" t="s">
        <v>6528</v>
      </c>
      <c r="B1030">
        <v>2103900</v>
      </c>
    </row>
    <row r="1031" spans="1:2">
      <c r="A1031" t="s">
        <v>6642</v>
      </c>
      <c r="B1031" t="s">
        <v>5795</v>
      </c>
    </row>
    <row r="1032" spans="1:2">
      <c r="A1032" t="s">
        <v>6529</v>
      </c>
      <c r="B1032">
        <v>3300003615</v>
      </c>
    </row>
    <row r="1033" spans="1:2">
      <c r="A1033" t="s">
        <v>6642</v>
      </c>
      <c r="B1033" t="s">
        <v>5796</v>
      </c>
    </row>
    <row r="1034" spans="1:2">
      <c r="A1034" t="s">
        <v>6528</v>
      </c>
      <c r="B1034">
        <v>2103883</v>
      </c>
    </row>
    <row r="1035" spans="1:2">
      <c r="A1035" t="s">
        <v>6530</v>
      </c>
      <c r="B1035" t="s">
        <v>4785</v>
      </c>
    </row>
    <row r="1036" spans="1:2">
      <c r="A1036" t="s">
        <v>6528</v>
      </c>
      <c r="B1036">
        <v>2103895</v>
      </c>
    </row>
    <row r="1037" spans="1:2">
      <c r="A1037" t="s">
        <v>6642</v>
      </c>
      <c r="B1037" t="s">
        <v>4783</v>
      </c>
    </row>
    <row r="1038" spans="1:2">
      <c r="A1038" t="s">
        <v>6642</v>
      </c>
      <c r="B1038" t="s">
        <v>4784</v>
      </c>
    </row>
    <row r="1039" spans="1:2">
      <c r="A1039" t="s">
        <v>6528</v>
      </c>
      <c r="B1039">
        <v>2115642</v>
      </c>
    </row>
    <row r="1040" spans="1:2">
      <c r="A1040" t="s">
        <v>6530</v>
      </c>
      <c r="B1040" t="s">
        <v>1466</v>
      </c>
    </row>
    <row r="1041" spans="1:2">
      <c r="A1041" t="s">
        <v>6528</v>
      </c>
      <c r="B1041">
        <v>2103884</v>
      </c>
    </row>
    <row r="1042" spans="1:2">
      <c r="A1042" t="s">
        <v>6528</v>
      </c>
      <c r="B1042">
        <v>2103892</v>
      </c>
    </row>
    <row r="1043" spans="1:2">
      <c r="A1043" t="s">
        <v>6529</v>
      </c>
      <c r="B1043">
        <v>3300009746</v>
      </c>
    </row>
    <row r="1044" spans="1:2">
      <c r="A1044" t="s">
        <v>6677</v>
      </c>
      <c r="B1044">
        <v>5050439</v>
      </c>
    </row>
    <row r="1045" spans="1:2">
      <c r="A1045" t="s">
        <v>6645</v>
      </c>
      <c r="B1045" t="s">
        <v>1465</v>
      </c>
    </row>
    <row r="1046" spans="1:2">
      <c r="A1046" t="s">
        <v>6573</v>
      </c>
      <c r="B1046" t="s">
        <v>4779</v>
      </c>
    </row>
    <row r="1047" spans="1:2">
      <c r="A1047" t="s">
        <v>6528</v>
      </c>
      <c r="B1047">
        <v>2103925</v>
      </c>
    </row>
    <row r="1048" spans="1:2">
      <c r="A1048" t="s">
        <v>6645</v>
      </c>
      <c r="B1048" t="s">
        <v>4777</v>
      </c>
    </row>
    <row r="1049" spans="1:2">
      <c r="A1049" t="s">
        <v>6677</v>
      </c>
      <c r="B1049" t="s">
        <v>4778</v>
      </c>
    </row>
    <row r="1050" spans="1:2">
      <c r="A1050" t="s">
        <v>6530</v>
      </c>
      <c r="B1050" t="s">
        <v>1690</v>
      </c>
    </row>
    <row r="1051" spans="1:2">
      <c r="A1051" t="s">
        <v>6529</v>
      </c>
      <c r="B1051">
        <v>3300004136</v>
      </c>
    </row>
    <row r="1052" spans="1:2">
      <c r="A1052" t="s">
        <v>6528</v>
      </c>
      <c r="B1052">
        <v>2103450</v>
      </c>
    </row>
    <row r="1053" spans="1:2">
      <c r="A1053" t="s">
        <v>6529</v>
      </c>
      <c r="B1053">
        <v>3300002953</v>
      </c>
    </row>
    <row r="1054" spans="1:2">
      <c r="A1054" t="s">
        <v>6677</v>
      </c>
      <c r="B1054">
        <v>5031846</v>
      </c>
    </row>
    <row r="1055" spans="1:2">
      <c r="A1055" t="s">
        <v>6645</v>
      </c>
      <c r="B1055" t="s">
        <v>1689</v>
      </c>
    </row>
    <row r="1056" spans="1:2">
      <c r="A1056" t="s">
        <v>6530</v>
      </c>
      <c r="B1056" t="s">
        <v>1211</v>
      </c>
    </row>
    <row r="1057" spans="1:2">
      <c r="A1057" t="s">
        <v>6528</v>
      </c>
      <c r="B1057">
        <v>2116288</v>
      </c>
    </row>
    <row r="1058" spans="1:2">
      <c r="A1058" t="s">
        <v>6645</v>
      </c>
      <c r="B1058" t="s">
        <v>1210</v>
      </c>
    </row>
    <row r="1059" spans="1:2">
      <c r="A1059" t="s">
        <v>6528</v>
      </c>
      <c r="B1059">
        <v>2116309</v>
      </c>
    </row>
    <row r="1060" spans="1:2">
      <c r="A1060" t="s">
        <v>6529</v>
      </c>
      <c r="B1060">
        <v>3300008124</v>
      </c>
    </row>
    <row r="1061" spans="1:2">
      <c r="A1061" t="s">
        <v>6677</v>
      </c>
      <c r="B1061">
        <v>5050459</v>
      </c>
    </row>
    <row r="1062" spans="1:2">
      <c r="A1062" t="s">
        <v>6530</v>
      </c>
      <c r="B1062" t="s">
        <v>4850</v>
      </c>
    </row>
    <row r="1063" spans="1:2">
      <c r="A1063" t="s">
        <v>6677</v>
      </c>
      <c r="B1063">
        <v>5042655</v>
      </c>
    </row>
    <row r="1064" spans="1:2">
      <c r="A1064" t="s">
        <v>6529</v>
      </c>
      <c r="B1064">
        <v>3300002927</v>
      </c>
    </row>
    <row r="1065" spans="1:2">
      <c r="A1065" t="s">
        <v>6528</v>
      </c>
      <c r="B1065">
        <v>2114777</v>
      </c>
    </row>
    <row r="1066" spans="1:2">
      <c r="A1066" t="s">
        <v>6530</v>
      </c>
      <c r="B1066" t="s">
        <v>1397</v>
      </c>
    </row>
    <row r="1067" spans="1:2">
      <c r="A1067" t="s">
        <v>6529</v>
      </c>
      <c r="B1067">
        <v>3300004150</v>
      </c>
    </row>
    <row r="1068" spans="1:2">
      <c r="A1068" t="s">
        <v>6528</v>
      </c>
      <c r="B1068">
        <v>2114735</v>
      </c>
    </row>
    <row r="1069" spans="1:2">
      <c r="A1069" t="s">
        <v>6529</v>
      </c>
      <c r="B1069">
        <v>3300004153</v>
      </c>
    </row>
    <row r="1070" spans="1:2">
      <c r="A1070" t="s">
        <v>6569</v>
      </c>
      <c r="B1070" t="s">
        <v>1745</v>
      </c>
    </row>
    <row r="1071" spans="1:2">
      <c r="A1071" t="s">
        <v>6528</v>
      </c>
      <c r="B1071">
        <v>2110140</v>
      </c>
    </row>
    <row r="1072" spans="1:2">
      <c r="A1072" t="s">
        <v>6677</v>
      </c>
      <c r="B1072">
        <v>5003022</v>
      </c>
    </row>
    <row r="1073" spans="1:2">
      <c r="A1073" t="s">
        <v>6645</v>
      </c>
      <c r="B1073" t="s">
        <v>1743</v>
      </c>
    </row>
    <row r="1074" spans="1:2">
      <c r="A1074" t="s">
        <v>6529</v>
      </c>
      <c r="B1074">
        <v>3300011761</v>
      </c>
    </row>
    <row r="1075" spans="1:2">
      <c r="A1075" t="s">
        <v>6642</v>
      </c>
      <c r="B1075" t="s">
        <v>1744</v>
      </c>
    </row>
    <row r="1076" spans="1:2">
      <c r="A1076" t="s">
        <v>6530</v>
      </c>
      <c r="B1076" t="s">
        <v>5783</v>
      </c>
    </row>
    <row r="1077" spans="1:2">
      <c r="A1077" t="s">
        <v>6528</v>
      </c>
      <c r="B1077">
        <v>2103918</v>
      </c>
    </row>
    <row r="1078" spans="1:2">
      <c r="A1078" t="s">
        <v>6645</v>
      </c>
      <c r="B1078" t="s">
        <v>5782</v>
      </c>
    </row>
    <row r="1079" spans="1:2">
      <c r="A1079" t="s">
        <v>6529</v>
      </c>
      <c r="B1079">
        <v>3300003616</v>
      </c>
    </row>
    <row r="1080" spans="1:2">
      <c r="A1080" t="s">
        <v>6677</v>
      </c>
      <c r="B1080">
        <v>5042650</v>
      </c>
    </row>
    <row r="1081" spans="1:2">
      <c r="A1081" t="s">
        <v>6530</v>
      </c>
      <c r="B1081" t="s">
        <v>2697</v>
      </c>
    </row>
    <row r="1082" spans="1:2">
      <c r="A1082" t="s">
        <v>6672</v>
      </c>
      <c r="B1082">
        <v>2171920</v>
      </c>
    </row>
    <row r="1083" spans="1:2">
      <c r="A1083" t="s">
        <v>6529</v>
      </c>
      <c r="B1083">
        <v>3300011504</v>
      </c>
    </row>
    <row r="1084" spans="1:2">
      <c r="A1084" t="s">
        <v>6645</v>
      </c>
      <c r="B1084" t="s">
        <v>2696</v>
      </c>
    </row>
    <row r="1085" spans="1:2">
      <c r="A1085" t="s">
        <v>6530</v>
      </c>
      <c r="B1085" t="s">
        <v>6329</v>
      </c>
    </row>
    <row r="1086" spans="1:2">
      <c r="A1086" t="s">
        <v>6528</v>
      </c>
      <c r="B1086">
        <v>2116070</v>
      </c>
    </row>
    <row r="1087" spans="1:2">
      <c r="A1087" t="s">
        <v>6645</v>
      </c>
      <c r="B1087" t="s">
        <v>6328</v>
      </c>
    </row>
    <row r="1088" spans="1:2">
      <c r="A1088" t="s">
        <v>6529</v>
      </c>
      <c r="B1088">
        <v>3300001261</v>
      </c>
    </row>
    <row r="1089" spans="1:2">
      <c r="A1089" t="s">
        <v>6529</v>
      </c>
      <c r="B1089">
        <v>3300001252</v>
      </c>
    </row>
    <row r="1090" spans="1:2">
      <c r="A1090" t="s">
        <v>6677</v>
      </c>
      <c r="B1090">
        <v>5031851</v>
      </c>
    </row>
    <row r="1091" spans="1:2">
      <c r="A1091" t="s">
        <v>6530</v>
      </c>
      <c r="B1091" t="s">
        <v>3573</v>
      </c>
    </row>
    <row r="1092" spans="1:2">
      <c r="A1092" t="s">
        <v>6677</v>
      </c>
      <c r="B1092">
        <v>5045664</v>
      </c>
    </row>
    <row r="1093" spans="1:2">
      <c r="A1093" t="s">
        <v>6645</v>
      </c>
      <c r="B1093" t="s">
        <v>3572</v>
      </c>
    </row>
    <row r="1094" spans="1:2">
      <c r="A1094" t="s">
        <v>6672</v>
      </c>
      <c r="B1094">
        <v>2171930</v>
      </c>
    </row>
    <row r="1095" spans="1:2">
      <c r="A1095" t="s">
        <v>6529</v>
      </c>
      <c r="B1095">
        <v>3300011506</v>
      </c>
    </row>
    <row r="1096" spans="1:2">
      <c r="A1096" t="s">
        <v>6530</v>
      </c>
      <c r="B1096" t="s">
        <v>4018</v>
      </c>
    </row>
    <row r="1097" spans="1:2">
      <c r="A1097" t="s">
        <v>6529</v>
      </c>
      <c r="B1097">
        <v>3300005167</v>
      </c>
    </row>
    <row r="1098" spans="1:2">
      <c r="A1098" t="s">
        <v>6528</v>
      </c>
      <c r="B1098">
        <v>2115662</v>
      </c>
    </row>
    <row r="1099" spans="1:2">
      <c r="A1099" t="s">
        <v>6529</v>
      </c>
      <c r="B1099">
        <v>3300005180</v>
      </c>
    </row>
    <row r="1100" spans="1:2">
      <c r="A1100" t="s">
        <v>6530</v>
      </c>
      <c r="B1100" t="s">
        <v>2200</v>
      </c>
    </row>
    <row r="1101" spans="1:2">
      <c r="A1101" t="s">
        <v>6645</v>
      </c>
      <c r="B1101" t="s">
        <v>2197</v>
      </c>
    </row>
    <row r="1102" spans="1:2">
      <c r="A1102" t="s">
        <v>6632</v>
      </c>
      <c r="B1102" t="s">
        <v>2198</v>
      </c>
    </row>
    <row r="1103" spans="1:2">
      <c r="A1103" t="s">
        <v>6683</v>
      </c>
      <c r="B1103" t="s">
        <v>2199</v>
      </c>
    </row>
    <row r="1104" spans="1:2">
      <c r="A1104" t="s">
        <v>6529</v>
      </c>
      <c r="B1104">
        <v>3300001683</v>
      </c>
    </row>
    <row r="1105" spans="1:2">
      <c r="A1105" t="s">
        <v>6672</v>
      </c>
      <c r="B1105">
        <v>2171995</v>
      </c>
    </row>
    <row r="1106" spans="1:2">
      <c r="A1106" t="s">
        <v>6530</v>
      </c>
      <c r="B1106" t="s">
        <v>2031</v>
      </c>
    </row>
    <row r="1107" spans="1:2">
      <c r="A1107" t="s">
        <v>6529</v>
      </c>
      <c r="B1107">
        <v>3300011505</v>
      </c>
    </row>
    <row r="1108" spans="1:2">
      <c r="A1108" t="s">
        <v>6645</v>
      </c>
      <c r="B1108" t="s">
        <v>2030</v>
      </c>
    </row>
    <row r="1109" spans="1:2">
      <c r="A1109" t="s">
        <v>6529</v>
      </c>
      <c r="B1109">
        <v>3300011507</v>
      </c>
    </row>
    <row r="1110" spans="1:2">
      <c r="A1110" t="s">
        <v>6528</v>
      </c>
      <c r="B1110">
        <v>2103714</v>
      </c>
    </row>
    <row r="1111" spans="1:2">
      <c r="A1111" t="s">
        <v>6573</v>
      </c>
      <c r="B1111" t="s">
        <v>1077</v>
      </c>
    </row>
    <row r="1112" spans="1:2">
      <c r="A1112" t="s">
        <v>6677</v>
      </c>
      <c r="B1112">
        <v>5045672</v>
      </c>
    </row>
    <row r="1113" spans="1:2">
      <c r="A1113" t="s">
        <v>6645</v>
      </c>
      <c r="B1113" t="s">
        <v>1075</v>
      </c>
    </row>
    <row r="1114" spans="1:2">
      <c r="A1114" t="s">
        <v>6672</v>
      </c>
      <c r="B1114">
        <v>2171891</v>
      </c>
    </row>
    <row r="1115" spans="1:2">
      <c r="A1115" t="s">
        <v>6529</v>
      </c>
      <c r="B1115">
        <v>3300011496</v>
      </c>
    </row>
    <row r="1116" spans="1:2">
      <c r="A1116" t="s">
        <v>6660</v>
      </c>
      <c r="B1116" t="s">
        <v>1076</v>
      </c>
    </row>
    <row r="1117" spans="1:2">
      <c r="A1117" t="s">
        <v>6530</v>
      </c>
      <c r="B1117" t="s">
        <v>6739</v>
      </c>
    </row>
    <row r="1118" spans="1:2">
      <c r="A1118" t="s">
        <v>6677</v>
      </c>
      <c r="B1118">
        <v>5049696</v>
      </c>
    </row>
    <row r="1119" spans="1:2">
      <c r="A1119" t="s">
        <v>6645</v>
      </c>
      <c r="B1119" t="s">
        <v>3566</v>
      </c>
    </row>
    <row r="1120" spans="1:2">
      <c r="A1120" t="s">
        <v>6672</v>
      </c>
      <c r="B1120">
        <v>2171977</v>
      </c>
    </row>
    <row r="1121" spans="1:2">
      <c r="A1121" t="s">
        <v>6677</v>
      </c>
      <c r="B1121">
        <v>5049702</v>
      </c>
    </row>
    <row r="1122" spans="1:2">
      <c r="A1122" t="s">
        <v>6530</v>
      </c>
      <c r="B1122" t="s">
        <v>4222</v>
      </c>
    </row>
    <row r="1123" spans="1:2">
      <c r="A1123" t="s">
        <v>6528</v>
      </c>
      <c r="B1123">
        <v>2115634</v>
      </c>
    </row>
    <row r="1124" spans="1:2">
      <c r="A1124" t="s">
        <v>6683</v>
      </c>
      <c r="B1124" t="s">
        <v>4221</v>
      </c>
    </row>
    <row r="1125" spans="1:2">
      <c r="A1125" t="s">
        <v>6528</v>
      </c>
      <c r="B1125">
        <v>2115639</v>
      </c>
    </row>
    <row r="1126" spans="1:2">
      <c r="A1126" t="s">
        <v>6677</v>
      </c>
      <c r="B1126">
        <v>5001444</v>
      </c>
    </row>
    <row r="1127" spans="1:2">
      <c r="A1127" t="s">
        <v>6529</v>
      </c>
      <c r="B1127">
        <v>3300004123</v>
      </c>
    </row>
    <row r="1128" spans="1:2">
      <c r="A1128" t="s">
        <v>6569</v>
      </c>
      <c r="B1128" t="s">
        <v>1771</v>
      </c>
    </row>
    <row r="1129" spans="1:2">
      <c r="A1129" t="s">
        <v>6529</v>
      </c>
      <c r="B1129">
        <v>3300010100</v>
      </c>
    </row>
    <row r="1130" spans="1:2">
      <c r="A1130" t="s">
        <v>6672</v>
      </c>
      <c r="B1130">
        <v>2168584</v>
      </c>
    </row>
    <row r="1131" spans="1:2">
      <c r="A1131" t="s">
        <v>6645</v>
      </c>
      <c r="B1131" t="s">
        <v>1769</v>
      </c>
    </row>
    <row r="1132" spans="1:2">
      <c r="A1132" t="s">
        <v>6677</v>
      </c>
      <c r="B1132">
        <v>5048921</v>
      </c>
    </row>
    <row r="1133" spans="1:2">
      <c r="A1133" t="s">
        <v>6642</v>
      </c>
      <c r="B1133" t="s">
        <v>1770</v>
      </c>
    </row>
    <row r="1134" spans="1:2">
      <c r="A1134" t="s">
        <v>6530</v>
      </c>
      <c r="B1134" t="s">
        <v>1544</v>
      </c>
    </row>
    <row r="1135" spans="1:2">
      <c r="A1135" t="s">
        <v>6672</v>
      </c>
      <c r="B1135">
        <v>2172023</v>
      </c>
    </row>
    <row r="1136" spans="1:2">
      <c r="A1136" t="s">
        <v>6677</v>
      </c>
      <c r="B1136">
        <v>5049717</v>
      </c>
    </row>
    <row r="1137" spans="1:2">
      <c r="A1137" t="s">
        <v>6677</v>
      </c>
      <c r="B1137">
        <v>5045656</v>
      </c>
    </row>
    <row r="1138" spans="1:2">
      <c r="A1138" t="s">
        <v>6645</v>
      </c>
      <c r="B1138" t="s">
        <v>1543</v>
      </c>
    </row>
    <row r="1139" spans="1:2">
      <c r="A1139" t="s">
        <v>6573</v>
      </c>
      <c r="B1139" t="s">
        <v>3111</v>
      </c>
    </row>
    <row r="1140" spans="1:2">
      <c r="A1140" t="s">
        <v>6528</v>
      </c>
      <c r="B1140">
        <v>2103959</v>
      </c>
    </row>
    <row r="1141" spans="1:2">
      <c r="A1141" t="s">
        <v>6529</v>
      </c>
      <c r="B1141">
        <v>3300011512</v>
      </c>
    </row>
    <row r="1142" spans="1:2">
      <c r="A1142" t="s">
        <v>6677</v>
      </c>
      <c r="B1142">
        <v>5045679</v>
      </c>
    </row>
    <row r="1143" spans="1:2">
      <c r="A1143" t="s">
        <v>6672</v>
      </c>
      <c r="B1143">
        <v>2183547</v>
      </c>
    </row>
    <row r="1144" spans="1:2">
      <c r="A1144" t="s">
        <v>6645</v>
      </c>
      <c r="B1144" t="s">
        <v>3110</v>
      </c>
    </row>
    <row r="1145" spans="1:2">
      <c r="A1145" t="s">
        <v>6530</v>
      </c>
      <c r="B1145" t="s">
        <v>4114</v>
      </c>
    </row>
    <row r="1146" spans="1:2">
      <c r="A1146" t="s">
        <v>6528</v>
      </c>
      <c r="B1146">
        <v>2103471</v>
      </c>
    </row>
    <row r="1147" spans="1:2">
      <c r="A1147" t="s">
        <v>6677</v>
      </c>
      <c r="B1147">
        <v>5059306</v>
      </c>
    </row>
    <row r="1148" spans="1:2">
      <c r="A1148" t="s">
        <v>6645</v>
      </c>
      <c r="B1148" t="s">
        <v>4113</v>
      </c>
    </row>
    <row r="1149" spans="1:2">
      <c r="A1149" t="s">
        <v>6573</v>
      </c>
      <c r="B1149" t="s">
        <v>5562</v>
      </c>
    </row>
    <row r="1150" spans="1:2">
      <c r="A1150" t="s">
        <v>6528</v>
      </c>
      <c r="B1150">
        <v>2116292</v>
      </c>
    </row>
    <row r="1151" spans="1:2">
      <c r="A1151" t="s">
        <v>6642</v>
      </c>
      <c r="B1151" t="s">
        <v>5561</v>
      </c>
    </row>
    <row r="1152" spans="1:2">
      <c r="A1152" t="s">
        <v>6529</v>
      </c>
      <c r="B1152">
        <v>3300002831</v>
      </c>
    </row>
    <row r="1153" spans="1:2">
      <c r="A1153" t="s">
        <v>6529</v>
      </c>
      <c r="B1153">
        <v>3300001667</v>
      </c>
    </row>
    <row r="1154" spans="1:2">
      <c r="A1154" t="s">
        <v>6569</v>
      </c>
      <c r="B1154" t="s">
        <v>1582</v>
      </c>
    </row>
    <row r="1155" spans="1:2">
      <c r="A1155" t="s">
        <v>6642</v>
      </c>
      <c r="B1155" t="s">
        <v>1580</v>
      </c>
    </row>
    <row r="1156" spans="1:2">
      <c r="A1156" t="s">
        <v>6528</v>
      </c>
      <c r="B1156">
        <v>2116188</v>
      </c>
    </row>
    <row r="1157" spans="1:2">
      <c r="A1157" t="s">
        <v>6645</v>
      </c>
      <c r="B1157" t="s">
        <v>1581</v>
      </c>
    </row>
    <row r="1158" spans="1:2">
      <c r="A1158" t="s">
        <v>6529</v>
      </c>
      <c r="B1158">
        <v>3300010088</v>
      </c>
    </row>
    <row r="1159" spans="1:2">
      <c r="A1159" t="s">
        <v>6530</v>
      </c>
      <c r="B1159" t="s">
        <v>2286</v>
      </c>
    </row>
    <row r="1160" spans="1:2">
      <c r="A1160" t="s">
        <v>6529</v>
      </c>
      <c r="B1160">
        <v>3300005152</v>
      </c>
    </row>
    <row r="1161" spans="1:2">
      <c r="A1161" t="s">
        <v>6642</v>
      </c>
      <c r="B1161" t="s">
        <v>2283</v>
      </c>
    </row>
    <row r="1162" spans="1:2">
      <c r="A1162" t="s">
        <v>6645</v>
      </c>
      <c r="B1162" t="s">
        <v>2284</v>
      </c>
    </row>
    <row r="1163" spans="1:2">
      <c r="A1163" t="s">
        <v>6677</v>
      </c>
      <c r="B1163" t="s">
        <v>2285</v>
      </c>
    </row>
    <row r="1164" spans="1:2">
      <c r="A1164" t="s">
        <v>6529</v>
      </c>
      <c r="B1164">
        <v>3300005153</v>
      </c>
    </row>
    <row r="1165" spans="1:2">
      <c r="A1165" t="s">
        <v>6530</v>
      </c>
      <c r="B1165" t="s">
        <v>4881</v>
      </c>
    </row>
    <row r="1166" spans="1:2">
      <c r="A1166" t="s">
        <v>6642</v>
      </c>
      <c r="B1166" t="s">
        <v>4880</v>
      </c>
    </row>
    <row r="1167" spans="1:2">
      <c r="A1167" t="s">
        <v>6529</v>
      </c>
      <c r="B1167">
        <v>3300001241</v>
      </c>
    </row>
    <row r="1168" spans="1:2">
      <c r="A1168" t="s">
        <v>6530</v>
      </c>
      <c r="B1168" t="s">
        <v>4187</v>
      </c>
    </row>
    <row r="1169" spans="1:2">
      <c r="A1169" t="s">
        <v>6528</v>
      </c>
      <c r="B1169">
        <v>2103917</v>
      </c>
    </row>
    <row r="1170" spans="1:2">
      <c r="A1170" t="s">
        <v>6645</v>
      </c>
      <c r="B1170" t="s">
        <v>4186</v>
      </c>
    </row>
    <row r="1171" spans="1:2">
      <c r="A1171" t="s">
        <v>6675</v>
      </c>
      <c r="B1171">
        <v>3400001168</v>
      </c>
    </row>
    <row r="1172" spans="1:2">
      <c r="A1172" t="s">
        <v>6677</v>
      </c>
      <c r="B1172">
        <v>5031863</v>
      </c>
    </row>
    <row r="1173" spans="1:2">
      <c r="A1173" t="s">
        <v>6528</v>
      </c>
      <c r="B1173">
        <v>2103926</v>
      </c>
    </row>
    <row r="1174" spans="1:2">
      <c r="A1174" t="s">
        <v>6530</v>
      </c>
      <c r="B1174" t="s">
        <v>5298</v>
      </c>
    </row>
    <row r="1175" spans="1:2">
      <c r="A1175" t="s">
        <v>6645</v>
      </c>
      <c r="B1175" t="s">
        <v>5296</v>
      </c>
    </row>
    <row r="1176" spans="1:2">
      <c r="A1176" t="s">
        <v>6528</v>
      </c>
      <c r="B1176">
        <v>2103888</v>
      </c>
    </row>
    <row r="1177" spans="1:2">
      <c r="A1177" t="s">
        <v>6677</v>
      </c>
      <c r="B1177" t="s">
        <v>5297</v>
      </c>
    </row>
    <row r="1178" spans="1:2">
      <c r="A1178" t="s">
        <v>6528</v>
      </c>
      <c r="B1178">
        <v>2084131</v>
      </c>
    </row>
    <row r="1179" spans="1:2">
      <c r="A1179" t="s">
        <v>6528</v>
      </c>
      <c r="B1179">
        <v>2086992</v>
      </c>
    </row>
    <row r="1180" spans="1:2">
      <c r="A1180" t="s">
        <v>6530</v>
      </c>
      <c r="B1180" t="s">
        <v>4009</v>
      </c>
    </row>
    <row r="1181" spans="1:2">
      <c r="A1181" t="s">
        <v>6528</v>
      </c>
      <c r="B1181">
        <v>2119177</v>
      </c>
    </row>
    <row r="1182" spans="1:2">
      <c r="A1182" t="s">
        <v>6645</v>
      </c>
      <c r="B1182" t="s">
        <v>4008</v>
      </c>
    </row>
    <row r="1183" spans="1:2">
      <c r="A1183" t="s">
        <v>6677</v>
      </c>
      <c r="B1183">
        <v>5031837</v>
      </c>
    </row>
    <row r="1184" spans="1:2">
      <c r="A1184" t="s">
        <v>6529</v>
      </c>
      <c r="B1184">
        <v>3300010898</v>
      </c>
    </row>
    <row r="1185" spans="1:2">
      <c r="A1185" t="s">
        <v>6677</v>
      </c>
      <c r="B1185">
        <v>5059319</v>
      </c>
    </row>
    <row r="1186" spans="1:2">
      <c r="A1186" t="s">
        <v>6530</v>
      </c>
      <c r="B1186" t="s">
        <v>1458</v>
      </c>
    </row>
    <row r="1187" spans="1:2">
      <c r="A1187" t="s">
        <v>6528</v>
      </c>
      <c r="B1187">
        <v>2116304</v>
      </c>
    </row>
    <row r="1188" spans="1:2">
      <c r="A1188" t="s">
        <v>6529</v>
      </c>
      <c r="B1188">
        <v>3300002951</v>
      </c>
    </row>
    <row r="1189" spans="1:2">
      <c r="A1189" t="s">
        <v>6528</v>
      </c>
      <c r="B1189">
        <v>2116310</v>
      </c>
    </row>
    <row r="1190" spans="1:2">
      <c r="A1190" t="s">
        <v>6645</v>
      </c>
      <c r="B1190" t="s">
        <v>1457</v>
      </c>
    </row>
    <row r="1191" spans="1:2">
      <c r="A1191" t="s">
        <v>6530</v>
      </c>
      <c r="B1191" t="s">
        <v>2113</v>
      </c>
    </row>
    <row r="1192" spans="1:2">
      <c r="A1192" t="s">
        <v>6528</v>
      </c>
      <c r="B1192">
        <v>2103868</v>
      </c>
    </row>
    <row r="1193" spans="1:2">
      <c r="A1193" t="s">
        <v>6645</v>
      </c>
      <c r="B1193" t="s">
        <v>2111</v>
      </c>
    </row>
    <row r="1194" spans="1:2">
      <c r="A1194" t="s">
        <v>6660</v>
      </c>
      <c r="B1194" t="s">
        <v>2112</v>
      </c>
    </row>
    <row r="1195" spans="1:2">
      <c r="A1195" t="s">
        <v>6677</v>
      </c>
      <c r="B1195">
        <v>5031858</v>
      </c>
    </row>
    <row r="1196" spans="1:2">
      <c r="A1196" t="s">
        <v>6530</v>
      </c>
      <c r="B1196" t="s">
        <v>3049</v>
      </c>
    </row>
    <row r="1197" spans="1:2">
      <c r="A1197" t="s">
        <v>6642</v>
      </c>
      <c r="B1197" t="s">
        <v>3048</v>
      </c>
    </row>
    <row r="1198" spans="1:2">
      <c r="A1198" t="s">
        <v>6528</v>
      </c>
      <c r="B1198">
        <v>2177351</v>
      </c>
    </row>
    <row r="1199" spans="1:2">
      <c r="A1199" t="s">
        <v>6529</v>
      </c>
      <c r="B1199">
        <v>3300001233</v>
      </c>
    </row>
    <row r="1200" spans="1:2">
      <c r="A1200" t="s">
        <v>6677</v>
      </c>
      <c r="B1200">
        <v>5059344</v>
      </c>
    </row>
    <row r="1201" spans="1:2">
      <c r="A1201" t="s">
        <v>6530</v>
      </c>
      <c r="B1201" t="s">
        <v>1934</v>
      </c>
    </row>
    <row r="1202" spans="1:2">
      <c r="A1202" t="s">
        <v>6529</v>
      </c>
      <c r="B1202">
        <v>3300001700</v>
      </c>
    </row>
    <row r="1203" spans="1:2">
      <c r="A1203" t="s">
        <v>6672</v>
      </c>
      <c r="B1203">
        <v>2171904</v>
      </c>
    </row>
    <row r="1204" spans="1:2">
      <c r="A1204" t="s">
        <v>6677</v>
      </c>
      <c r="B1204">
        <v>5031867</v>
      </c>
    </row>
    <row r="1205" spans="1:2">
      <c r="A1205" t="s">
        <v>6645</v>
      </c>
      <c r="B1205" t="s">
        <v>1932</v>
      </c>
    </row>
    <row r="1206" spans="1:2">
      <c r="A1206" t="s">
        <v>6632</v>
      </c>
      <c r="B1206" t="s">
        <v>1933</v>
      </c>
    </row>
    <row r="1207" spans="1:2">
      <c r="A1207" t="s">
        <v>6530</v>
      </c>
      <c r="B1207" t="s">
        <v>2225</v>
      </c>
    </row>
    <row r="1208" spans="1:2">
      <c r="A1208" t="s">
        <v>6683</v>
      </c>
      <c r="B1208">
        <v>5039010</v>
      </c>
    </row>
    <row r="1209" spans="1:2">
      <c r="A1209" t="s">
        <v>6672</v>
      </c>
      <c r="B1209">
        <v>2171997</v>
      </c>
    </row>
    <row r="1210" spans="1:2">
      <c r="A1210" t="s">
        <v>6529</v>
      </c>
      <c r="B1210">
        <v>3300001699</v>
      </c>
    </row>
    <row r="1211" spans="1:2">
      <c r="A1211" t="s">
        <v>6529</v>
      </c>
      <c r="B1211">
        <v>3300012831</v>
      </c>
    </row>
    <row r="1212" spans="1:2">
      <c r="A1212" t="s">
        <v>6645</v>
      </c>
      <c r="B1212" t="s">
        <v>2224</v>
      </c>
    </row>
    <row r="1213" spans="1:2">
      <c r="A1213" t="s">
        <v>6530</v>
      </c>
      <c r="B1213" t="s">
        <v>6740</v>
      </c>
    </row>
    <row r="1214" spans="1:2">
      <c r="A1214" t="s">
        <v>6529</v>
      </c>
      <c r="B1214">
        <v>3300009767</v>
      </c>
    </row>
    <row r="1215" spans="1:2">
      <c r="A1215" t="s">
        <v>6645</v>
      </c>
      <c r="B1215" t="s">
        <v>5735</v>
      </c>
    </row>
    <row r="1216" spans="1:2">
      <c r="A1216" t="s">
        <v>6528</v>
      </c>
      <c r="B1216">
        <v>2177382</v>
      </c>
    </row>
    <row r="1217" spans="1:2">
      <c r="A1217" t="s">
        <v>6529</v>
      </c>
      <c r="B1217">
        <v>3300009720</v>
      </c>
    </row>
    <row r="1218" spans="1:2">
      <c r="A1218" t="s">
        <v>6573</v>
      </c>
      <c r="B1218" t="s">
        <v>1510</v>
      </c>
    </row>
    <row r="1219" spans="1:2">
      <c r="A1219" t="s">
        <v>6528</v>
      </c>
      <c r="B1219">
        <v>2114742</v>
      </c>
    </row>
    <row r="1220" spans="1:2">
      <c r="A1220" t="s">
        <v>6677</v>
      </c>
      <c r="B1220">
        <v>5042660</v>
      </c>
    </row>
    <row r="1221" spans="1:2">
      <c r="A1221" t="s">
        <v>6672</v>
      </c>
      <c r="B1221">
        <v>2159910</v>
      </c>
    </row>
    <row r="1222" spans="1:2">
      <c r="A1222" t="s">
        <v>6529</v>
      </c>
      <c r="B1222">
        <v>3300002807</v>
      </c>
    </row>
    <row r="1223" spans="1:2">
      <c r="A1223" t="s">
        <v>6645</v>
      </c>
      <c r="B1223" t="s">
        <v>1509</v>
      </c>
    </row>
    <row r="1224" spans="1:2">
      <c r="A1224" t="s">
        <v>6530</v>
      </c>
      <c r="B1224" t="s">
        <v>6741</v>
      </c>
    </row>
    <row r="1225" spans="1:2">
      <c r="A1225" t="s">
        <v>6677</v>
      </c>
      <c r="B1225">
        <v>5033027</v>
      </c>
    </row>
    <row r="1226" spans="1:2">
      <c r="A1226" t="s">
        <v>6642</v>
      </c>
      <c r="B1226" t="s">
        <v>5408</v>
      </c>
    </row>
    <row r="1227" spans="1:2">
      <c r="A1227" t="s">
        <v>6528</v>
      </c>
      <c r="B1227">
        <v>2119243</v>
      </c>
    </row>
    <row r="1228" spans="1:2">
      <c r="A1228" t="s">
        <v>6530</v>
      </c>
      <c r="B1228" t="s">
        <v>5705</v>
      </c>
    </row>
    <row r="1229" spans="1:2">
      <c r="A1229" t="s">
        <v>6528</v>
      </c>
      <c r="B1229">
        <v>2103551</v>
      </c>
    </row>
    <row r="1230" spans="1:2">
      <c r="A1230" t="s">
        <v>6529</v>
      </c>
      <c r="B1230">
        <v>3300012816</v>
      </c>
    </row>
    <row r="1231" spans="1:2">
      <c r="A1231" t="s">
        <v>6677</v>
      </c>
      <c r="B1231" t="s">
        <v>5704</v>
      </c>
    </row>
    <row r="1232" spans="1:2">
      <c r="A1232" t="s">
        <v>6530</v>
      </c>
      <c r="B1232" t="s">
        <v>6742</v>
      </c>
    </row>
    <row r="1233" spans="1:2">
      <c r="A1233" t="s">
        <v>6672</v>
      </c>
      <c r="B1233">
        <v>2183507</v>
      </c>
    </row>
    <row r="1234" spans="1:2">
      <c r="A1234" t="s">
        <v>6677</v>
      </c>
      <c r="B1234">
        <v>5059298</v>
      </c>
    </row>
    <row r="1235" spans="1:2">
      <c r="A1235" t="s">
        <v>6530</v>
      </c>
      <c r="B1235" t="s">
        <v>4216</v>
      </c>
    </row>
    <row r="1236" spans="1:2">
      <c r="A1236" t="s">
        <v>6683</v>
      </c>
      <c r="B1236">
        <v>5039008</v>
      </c>
    </row>
    <row r="1237" spans="1:2">
      <c r="A1237" t="s">
        <v>6529</v>
      </c>
      <c r="B1237">
        <v>3300011494</v>
      </c>
    </row>
    <row r="1238" spans="1:2">
      <c r="A1238" t="s">
        <v>6645</v>
      </c>
      <c r="B1238" t="s">
        <v>4215</v>
      </c>
    </row>
    <row r="1239" spans="1:2">
      <c r="A1239" t="s">
        <v>6677</v>
      </c>
      <c r="B1239">
        <v>5045663</v>
      </c>
    </row>
    <row r="1240" spans="1:2">
      <c r="A1240" t="s">
        <v>6672</v>
      </c>
      <c r="B1240">
        <v>2171903</v>
      </c>
    </row>
    <row r="1241" spans="1:2">
      <c r="A1241" t="s">
        <v>6530</v>
      </c>
      <c r="B1241" t="s">
        <v>1472</v>
      </c>
    </row>
    <row r="1242" spans="1:2">
      <c r="A1242" t="s">
        <v>6529</v>
      </c>
      <c r="B1242">
        <v>3300009557</v>
      </c>
    </row>
    <row r="1243" spans="1:2">
      <c r="A1243" t="s">
        <v>6645</v>
      </c>
      <c r="B1243" t="s">
        <v>1471</v>
      </c>
    </row>
    <row r="1244" spans="1:2">
      <c r="A1244" t="s">
        <v>6677</v>
      </c>
      <c r="B1244">
        <v>5050462</v>
      </c>
    </row>
    <row r="1245" spans="1:2">
      <c r="A1245" t="s">
        <v>6528</v>
      </c>
      <c r="B1245">
        <v>2177177</v>
      </c>
    </row>
    <row r="1246" spans="1:2">
      <c r="A1246" t="s">
        <v>6529</v>
      </c>
      <c r="B1246">
        <v>3300011797</v>
      </c>
    </row>
    <row r="1247" spans="1:2">
      <c r="A1247" t="s">
        <v>6573</v>
      </c>
      <c r="B1247" t="s">
        <v>2870</v>
      </c>
    </row>
    <row r="1248" spans="1:2">
      <c r="A1248" t="s">
        <v>6672</v>
      </c>
      <c r="B1248">
        <v>2172019</v>
      </c>
    </row>
    <row r="1249" spans="1:2">
      <c r="A1249" t="s">
        <v>6642</v>
      </c>
      <c r="B1249" t="s">
        <v>2869</v>
      </c>
    </row>
    <row r="1250" spans="1:2">
      <c r="A1250" t="s">
        <v>6677</v>
      </c>
      <c r="B1250">
        <v>5045669</v>
      </c>
    </row>
    <row r="1251" spans="1:2">
      <c r="A1251" t="s">
        <v>6573</v>
      </c>
      <c r="B1251" t="s">
        <v>2866</v>
      </c>
    </row>
    <row r="1252" spans="1:2">
      <c r="A1252" t="s">
        <v>6677</v>
      </c>
      <c r="B1252">
        <v>5014457</v>
      </c>
    </row>
    <row r="1253" spans="1:2">
      <c r="A1253" t="s">
        <v>6642</v>
      </c>
      <c r="B1253" t="s">
        <v>2865</v>
      </c>
    </row>
    <row r="1254" spans="1:2">
      <c r="A1254" t="s">
        <v>6529</v>
      </c>
      <c r="B1254">
        <v>3300005160</v>
      </c>
    </row>
    <row r="1255" spans="1:2">
      <c r="A1255" t="s">
        <v>6530</v>
      </c>
      <c r="B1255" t="s">
        <v>3875</v>
      </c>
    </row>
    <row r="1256" spans="1:2">
      <c r="A1256" t="s">
        <v>6645</v>
      </c>
      <c r="B1256" t="s">
        <v>3874</v>
      </c>
    </row>
    <row r="1257" spans="1:2">
      <c r="A1257" t="s">
        <v>6677</v>
      </c>
      <c r="B1257">
        <v>5059351</v>
      </c>
    </row>
    <row r="1258" spans="1:2">
      <c r="A1258" t="s">
        <v>6529</v>
      </c>
      <c r="B1258">
        <v>3300011821</v>
      </c>
    </row>
    <row r="1259" spans="1:2">
      <c r="A1259" t="s">
        <v>6677</v>
      </c>
      <c r="B1259">
        <v>5059337</v>
      </c>
    </row>
    <row r="1260" spans="1:2">
      <c r="A1260" t="s">
        <v>6672</v>
      </c>
      <c r="B1260">
        <v>2183478</v>
      </c>
    </row>
    <row r="1261" spans="1:2">
      <c r="A1261" t="s">
        <v>6530</v>
      </c>
      <c r="B1261" t="s">
        <v>2777</v>
      </c>
    </row>
    <row r="1262" spans="1:2">
      <c r="A1262" t="s">
        <v>6642</v>
      </c>
      <c r="B1262" t="s">
        <v>2775</v>
      </c>
    </row>
    <row r="1263" spans="1:2">
      <c r="A1263" t="s">
        <v>6528</v>
      </c>
      <c r="B1263">
        <v>2096474</v>
      </c>
    </row>
    <row r="1264" spans="1:2">
      <c r="A1264" t="s">
        <v>6645</v>
      </c>
      <c r="B1264" t="s">
        <v>2776</v>
      </c>
    </row>
    <row r="1265" spans="1:2">
      <c r="A1265" t="s">
        <v>6677</v>
      </c>
      <c r="B1265">
        <v>5059289</v>
      </c>
    </row>
    <row r="1266" spans="1:2">
      <c r="A1266" t="s">
        <v>6529</v>
      </c>
      <c r="B1266">
        <v>3300012284</v>
      </c>
    </row>
    <row r="1267" spans="1:2">
      <c r="A1267" t="s">
        <v>6530</v>
      </c>
      <c r="B1267" t="s">
        <v>3075</v>
      </c>
    </row>
    <row r="1268" spans="1:2">
      <c r="A1268" t="s">
        <v>6529</v>
      </c>
      <c r="B1268">
        <v>3300011501</v>
      </c>
    </row>
    <row r="1269" spans="1:2">
      <c r="A1269" t="s">
        <v>6645</v>
      </c>
      <c r="B1269" t="s">
        <v>3074</v>
      </c>
    </row>
    <row r="1270" spans="1:2">
      <c r="A1270" t="s">
        <v>6528</v>
      </c>
      <c r="B1270">
        <v>2119280</v>
      </c>
    </row>
    <row r="1271" spans="1:2">
      <c r="A1271" t="s">
        <v>6677</v>
      </c>
      <c r="B1271">
        <v>5031865</v>
      </c>
    </row>
    <row r="1272" spans="1:2">
      <c r="A1272" t="s">
        <v>6528</v>
      </c>
      <c r="B1272">
        <v>2119597</v>
      </c>
    </row>
    <row r="1273" spans="1:2">
      <c r="A1273" t="s">
        <v>6530</v>
      </c>
      <c r="B1273" t="s">
        <v>3882</v>
      </c>
    </row>
    <row r="1274" spans="1:2">
      <c r="A1274" t="s">
        <v>6529</v>
      </c>
      <c r="B1274">
        <v>3300003006</v>
      </c>
    </row>
    <row r="1275" spans="1:2">
      <c r="A1275" t="s">
        <v>6677</v>
      </c>
      <c r="B1275">
        <v>5049672</v>
      </c>
    </row>
    <row r="1276" spans="1:2">
      <c r="A1276" t="s">
        <v>6528</v>
      </c>
      <c r="B1276">
        <v>2103498</v>
      </c>
    </row>
    <row r="1277" spans="1:2">
      <c r="A1277" t="s">
        <v>6642</v>
      </c>
      <c r="B1277" t="s">
        <v>3880</v>
      </c>
    </row>
    <row r="1278" spans="1:2">
      <c r="A1278" t="s">
        <v>6683</v>
      </c>
      <c r="B1278" t="s">
        <v>3881</v>
      </c>
    </row>
    <row r="1279" spans="1:2">
      <c r="A1279" t="s">
        <v>6573</v>
      </c>
      <c r="B1279" t="s">
        <v>6014</v>
      </c>
    </row>
    <row r="1280" spans="1:2">
      <c r="A1280" t="s">
        <v>6529</v>
      </c>
      <c r="B1280">
        <v>3300009758</v>
      </c>
    </row>
    <row r="1281" spans="1:2">
      <c r="A1281" t="s">
        <v>6645</v>
      </c>
      <c r="B1281" t="s">
        <v>6013</v>
      </c>
    </row>
    <row r="1282" spans="1:2">
      <c r="A1282" t="s">
        <v>6677</v>
      </c>
      <c r="B1282">
        <v>5049712</v>
      </c>
    </row>
    <row r="1283" spans="1:2">
      <c r="A1283" t="s">
        <v>6530</v>
      </c>
      <c r="B1283" t="s">
        <v>1884</v>
      </c>
    </row>
    <row r="1284" spans="1:2">
      <c r="A1284" t="s">
        <v>6529</v>
      </c>
      <c r="B1284">
        <v>3300009551</v>
      </c>
    </row>
    <row r="1285" spans="1:2">
      <c r="A1285" t="s">
        <v>6645</v>
      </c>
      <c r="B1285" t="s">
        <v>1883</v>
      </c>
    </row>
    <row r="1286" spans="1:2">
      <c r="A1286" t="s">
        <v>6677</v>
      </c>
      <c r="B1286">
        <v>5050449</v>
      </c>
    </row>
    <row r="1287" spans="1:2">
      <c r="A1287" t="s">
        <v>6530</v>
      </c>
      <c r="B1287" t="s">
        <v>3812</v>
      </c>
    </row>
    <row r="1288" spans="1:2">
      <c r="A1288" t="s">
        <v>6677</v>
      </c>
      <c r="B1288">
        <v>5045683</v>
      </c>
    </row>
    <row r="1289" spans="1:2">
      <c r="A1289" t="s">
        <v>6645</v>
      </c>
      <c r="B1289" t="s">
        <v>3811</v>
      </c>
    </row>
    <row r="1290" spans="1:2">
      <c r="A1290" t="s">
        <v>6529</v>
      </c>
      <c r="B1290">
        <v>3300001697</v>
      </c>
    </row>
    <row r="1291" spans="1:2">
      <c r="A1291" t="s">
        <v>6529</v>
      </c>
      <c r="B1291">
        <v>3300001682</v>
      </c>
    </row>
    <row r="1292" spans="1:2">
      <c r="A1292" t="s">
        <v>6672</v>
      </c>
      <c r="B1292">
        <v>2183562</v>
      </c>
    </row>
    <row r="1293" spans="1:2">
      <c r="A1293" t="s">
        <v>6530</v>
      </c>
      <c r="B1293" t="s">
        <v>5921</v>
      </c>
    </row>
    <row r="1294" spans="1:2">
      <c r="A1294" t="s">
        <v>6529</v>
      </c>
      <c r="B1294">
        <v>3300002818</v>
      </c>
    </row>
    <row r="1295" spans="1:2">
      <c r="A1295" t="s">
        <v>6529</v>
      </c>
      <c r="B1295">
        <v>3300004128</v>
      </c>
    </row>
    <row r="1296" spans="1:2">
      <c r="A1296" t="s">
        <v>6642</v>
      </c>
      <c r="B1296" t="s">
        <v>5920</v>
      </c>
    </row>
    <row r="1297" spans="1:2">
      <c r="A1297" t="s">
        <v>6530</v>
      </c>
      <c r="B1297" t="s">
        <v>1487</v>
      </c>
    </row>
    <row r="1298" spans="1:2">
      <c r="A1298" t="s">
        <v>6528</v>
      </c>
      <c r="B1298">
        <v>2114795</v>
      </c>
    </row>
    <row r="1299" spans="1:2">
      <c r="A1299" t="s">
        <v>6529</v>
      </c>
      <c r="B1299">
        <v>3300002935</v>
      </c>
    </row>
    <row r="1300" spans="1:2">
      <c r="A1300" t="s">
        <v>6645</v>
      </c>
      <c r="B1300" t="s">
        <v>1486</v>
      </c>
    </row>
    <row r="1301" spans="1:2">
      <c r="A1301" t="s">
        <v>6573</v>
      </c>
      <c r="B1301" t="s">
        <v>3061</v>
      </c>
    </row>
    <row r="1302" spans="1:2">
      <c r="A1302" t="s">
        <v>6672</v>
      </c>
      <c r="B1302">
        <v>2172031</v>
      </c>
    </row>
    <row r="1303" spans="1:2">
      <c r="A1303" t="s">
        <v>6529</v>
      </c>
      <c r="B1303">
        <v>3300011521</v>
      </c>
    </row>
    <row r="1304" spans="1:2">
      <c r="A1304" t="s">
        <v>6645</v>
      </c>
      <c r="B1304" t="s">
        <v>3060</v>
      </c>
    </row>
    <row r="1305" spans="1:2">
      <c r="A1305" t="s">
        <v>6530</v>
      </c>
      <c r="B1305" t="s">
        <v>5284</v>
      </c>
    </row>
    <row r="1306" spans="1:2">
      <c r="A1306" t="s">
        <v>6528</v>
      </c>
      <c r="B1306">
        <v>2082940</v>
      </c>
    </row>
    <row r="1307" spans="1:2">
      <c r="A1307" t="s">
        <v>6677</v>
      </c>
      <c r="B1307" t="s">
        <v>5281</v>
      </c>
    </row>
    <row r="1308" spans="1:2">
      <c r="A1308" t="s">
        <v>6645</v>
      </c>
      <c r="B1308" t="s">
        <v>5282</v>
      </c>
    </row>
    <row r="1309" spans="1:2">
      <c r="A1309" t="s">
        <v>6529</v>
      </c>
      <c r="B1309">
        <v>3300003009</v>
      </c>
    </row>
    <row r="1310" spans="1:2">
      <c r="A1310" t="s">
        <v>6528</v>
      </c>
      <c r="B1310">
        <v>2096133</v>
      </c>
    </row>
    <row r="1311" spans="1:2">
      <c r="A1311" t="s">
        <v>6573</v>
      </c>
      <c r="B1311" t="s">
        <v>4820</v>
      </c>
    </row>
    <row r="1312" spans="1:2">
      <c r="A1312" t="s">
        <v>6645</v>
      </c>
      <c r="B1312" t="s">
        <v>4819</v>
      </c>
    </row>
    <row r="1313" spans="1:2">
      <c r="A1313" t="s">
        <v>6677</v>
      </c>
      <c r="B1313" t="s">
        <v>6743</v>
      </c>
    </row>
    <row r="1314" spans="1:2">
      <c r="A1314" t="s">
        <v>6528</v>
      </c>
      <c r="B1314">
        <v>2103457</v>
      </c>
    </row>
    <row r="1315" spans="1:2">
      <c r="A1315" t="s">
        <v>6677</v>
      </c>
      <c r="B1315">
        <v>5001473</v>
      </c>
    </row>
    <row r="1316" spans="1:2">
      <c r="A1316" t="s">
        <v>6529</v>
      </c>
      <c r="B1316">
        <v>3300003002</v>
      </c>
    </row>
    <row r="1317" spans="1:2">
      <c r="A1317" t="s">
        <v>6530</v>
      </c>
      <c r="B1317" t="s">
        <v>5669</v>
      </c>
    </row>
    <row r="1318" spans="1:2">
      <c r="A1318" t="s">
        <v>6677</v>
      </c>
      <c r="B1318" t="s">
        <v>5665</v>
      </c>
    </row>
    <row r="1319" spans="1:2">
      <c r="A1319" t="s">
        <v>6528</v>
      </c>
      <c r="B1319">
        <v>2087133</v>
      </c>
    </row>
    <row r="1320" spans="1:2">
      <c r="A1320" t="s">
        <v>6528</v>
      </c>
      <c r="B1320">
        <v>2103667</v>
      </c>
    </row>
    <row r="1321" spans="1:2">
      <c r="A1321" t="s">
        <v>6677</v>
      </c>
      <c r="B1321" t="s">
        <v>5668</v>
      </c>
    </row>
    <row r="1322" spans="1:2">
      <c r="A1322" t="s">
        <v>6676</v>
      </c>
      <c r="B1322">
        <v>41786</v>
      </c>
    </row>
    <row r="1323" spans="1:2">
      <c r="A1323" t="s">
        <v>6530</v>
      </c>
      <c r="B1323" t="s">
        <v>6744</v>
      </c>
    </row>
    <row r="1324" spans="1:2">
      <c r="A1324" t="s">
        <v>6642</v>
      </c>
      <c r="B1324" t="s">
        <v>2724</v>
      </c>
    </row>
    <row r="1325" spans="1:2">
      <c r="A1325" t="s">
        <v>6677</v>
      </c>
      <c r="B1325">
        <v>5012464</v>
      </c>
    </row>
    <row r="1326" spans="1:2">
      <c r="A1326" t="s">
        <v>6528</v>
      </c>
      <c r="B1326">
        <v>2116065</v>
      </c>
    </row>
    <row r="1327" spans="1:2">
      <c r="A1327" t="s">
        <v>6642</v>
      </c>
      <c r="B1327" t="s">
        <v>2725</v>
      </c>
    </row>
    <row r="1328" spans="1:2">
      <c r="A1328" t="s">
        <v>6677</v>
      </c>
      <c r="B1328">
        <v>5012467</v>
      </c>
    </row>
    <row r="1329" spans="1:2">
      <c r="A1329" t="s">
        <v>6530</v>
      </c>
      <c r="B1329" t="s">
        <v>4526</v>
      </c>
    </row>
    <row r="1330" spans="1:2">
      <c r="A1330" t="s">
        <v>6528</v>
      </c>
      <c r="B1330">
        <v>2115654</v>
      </c>
    </row>
    <row r="1331" spans="1:2">
      <c r="A1331" t="s">
        <v>6677</v>
      </c>
      <c r="B1331">
        <v>5001470</v>
      </c>
    </row>
    <row r="1332" spans="1:2">
      <c r="A1332" t="s">
        <v>6529</v>
      </c>
      <c r="B1332">
        <v>3300008140</v>
      </c>
    </row>
    <row r="1333" spans="1:2">
      <c r="A1333" t="s">
        <v>6677</v>
      </c>
      <c r="B1333">
        <v>5001468</v>
      </c>
    </row>
    <row r="1334" spans="1:2">
      <c r="A1334" t="s">
        <v>6528</v>
      </c>
      <c r="B1334">
        <v>2115644</v>
      </c>
    </row>
    <row r="1335" spans="1:2">
      <c r="A1335" t="s">
        <v>6530</v>
      </c>
      <c r="B1335" t="s">
        <v>1758</v>
      </c>
    </row>
    <row r="1336" spans="1:2">
      <c r="A1336" t="s">
        <v>6529</v>
      </c>
      <c r="B1336">
        <v>3300009795</v>
      </c>
    </row>
    <row r="1337" spans="1:2">
      <c r="A1337" t="s">
        <v>6672</v>
      </c>
      <c r="B1337">
        <v>2171994</v>
      </c>
    </row>
    <row r="1338" spans="1:2">
      <c r="A1338" t="s">
        <v>6645</v>
      </c>
      <c r="B1338" t="s">
        <v>1757</v>
      </c>
    </row>
    <row r="1339" spans="1:2">
      <c r="A1339" t="s">
        <v>6677</v>
      </c>
      <c r="B1339">
        <v>5059334</v>
      </c>
    </row>
    <row r="1340" spans="1:2">
      <c r="A1340" t="s">
        <v>6530</v>
      </c>
      <c r="B1340" t="s">
        <v>5443</v>
      </c>
    </row>
    <row r="1341" spans="1:2">
      <c r="A1341" t="s">
        <v>6642</v>
      </c>
      <c r="B1341" t="s">
        <v>5442</v>
      </c>
    </row>
    <row r="1342" spans="1:2">
      <c r="A1342" t="s">
        <v>6529</v>
      </c>
      <c r="B1342">
        <v>3300005184</v>
      </c>
    </row>
    <row r="1343" spans="1:2">
      <c r="A1343" t="s">
        <v>6528</v>
      </c>
      <c r="B1343">
        <v>2119292</v>
      </c>
    </row>
    <row r="1344" spans="1:2">
      <c r="A1344" t="s">
        <v>6672</v>
      </c>
      <c r="B1344">
        <v>2183485</v>
      </c>
    </row>
    <row r="1345" spans="1:2">
      <c r="A1345" t="s">
        <v>6530</v>
      </c>
      <c r="B1345" t="s">
        <v>6421</v>
      </c>
    </row>
    <row r="1346" spans="1:2">
      <c r="A1346" t="s">
        <v>6677</v>
      </c>
      <c r="B1346" t="s">
        <v>6420</v>
      </c>
    </row>
    <row r="1347" spans="1:2">
      <c r="A1347" t="s">
        <v>6677</v>
      </c>
      <c r="B1347">
        <v>5059369</v>
      </c>
    </row>
    <row r="1348" spans="1:2">
      <c r="A1348" t="s">
        <v>6530</v>
      </c>
      <c r="B1348" t="s">
        <v>4355</v>
      </c>
    </row>
    <row r="1349" spans="1:2">
      <c r="A1349" t="s">
        <v>6672</v>
      </c>
      <c r="B1349">
        <v>2183481</v>
      </c>
    </row>
    <row r="1350" spans="1:2">
      <c r="A1350" t="s">
        <v>6645</v>
      </c>
      <c r="B1350" t="s">
        <v>4354</v>
      </c>
    </row>
    <row r="1351" spans="1:2">
      <c r="A1351" t="s">
        <v>6530</v>
      </c>
      <c r="B1351" t="s">
        <v>4182</v>
      </c>
    </row>
    <row r="1352" spans="1:2">
      <c r="A1352" t="s">
        <v>6677</v>
      </c>
      <c r="B1352">
        <v>5050421</v>
      </c>
    </row>
    <row r="1353" spans="1:2">
      <c r="A1353" t="s">
        <v>6645</v>
      </c>
      <c r="B1353" t="s">
        <v>4180</v>
      </c>
    </row>
    <row r="1354" spans="1:2">
      <c r="A1354" t="s">
        <v>6529</v>
      </c>
      <c r="B1354">
        <v>3300001696</v>
      </c>
    </row>
    <row r="1355" spans="1:2">
      <c r="A1355" t="s">
        <v>6528</v>
      </c>
      <c r="B1355">
        <v>2114757</v>
      </c>
    </row>
    <row r="1356" spans="1:2">
      <c r="A1356" t="s">
        <v>6683</v>
      </c>
      <c r="B1356" t="s">
        <v>4181</v>
      </c>
    </row>
    <row r="1357" spans="1:2">
      <c r="A1357" t="s">
        <v>6569</v>
      </c>
      <c r="B1357" t="s">
        <v>1003</v>
      </c>
    </row>
    <row r="1358" spans="1:2">
      <c r="A1358" t="s">
        <v>6642</v>
      </c>
      <c r="B1358" t="s">
        <v>1001</v>
      </c>
    </row>
    <row r="1359" spans="1:2">
      <c r="A1359" t="s">
        <v>6672</v>
      </c>
      <c r="B1359">
        <v>2168599</v>
      </c>
    </row>
    <row r="1360" spans="1:2">
      <c r="A1360" t="s">
        <v>6645</v>
      </c>
      <c r="B1360" t="s">
        <v>1002</v>
      </c>
    </row>
    <row r="1361" spans="1:2">
      <c r="A1361" t="s">
        <v>6529</v>
      </c>
      <c r="B1361">
        <v>3300009967</v>
      </c>
    </row>
    <row r="1362" spans="1:2">
      <c r="A1362" t="s">
        <v>6672</v>
      </c>
      <c r="B1362">
        <v>2168117</v>
      </c>
    </row>
    <row r="1363" spans="1:2">
      <c r="A1363" t="s">
        <v>6573</v>
      </c>
      <c r="B1363" t="s">
        <v>3366</v>
      </c>
    </row>
    <row r="1364" spans="1:2">
      <c r="A1364" t="s">
        <v>6677</v>
      </c>
      <c r="B1364">
        <v>5053833</v>
      </c>
    </row>
    <row r="1365" spans="1:2">
      <c r="A1365" t="s">
        <v>6672</v>
      </c>
      <c r="B1365">
        <v>2171934</v>
      </c>
    </row>
    <row r="1366" spans="1:2">
      <c r="A1366" t="s">
        <v>6569</v>
      </c>
      <c r="B1366" t="s">
        <v>1027</v>
      </c>
    </row>
    <row r="1367" spans="1:2">
      <c r="A1367" t="s">
        <v>6642</v>
      </c>
      <c r="B1367" t="s">
        <v>1026</v>
      </c>
    </row>
    <row r="1368" spans="1:2">
      <c r="A1368" t="s">
        <v>6677</v>
      </c>
      <c r="B1368">
        <v>5046333</v>
      </c>
    </row>
    <row r="1369" spans="1:2">
      <c r="A1369" t="s">
        <v>6528</v>
      </c>
      <c r="B1369">
        <v>2119564</v>
      </c>
    </row>
    <row r="1370" spans="1:2">
      <c r="A1370" t="s">
        <v>6529</v>
      </c>
      <c r="B1370">
        <v>3300010087</v>
      </c>
    </row>
    <row r="1371" spans="1:2">
      <c r="A1371" t="s">
        <v>6672</v>
      </c>
      <c r="B1371">
        <v>2183006</v>
      </c>
    </row>
    <row r="1372" spans="1:2">
      <c r="A1372" t="s">
        <v>6573</v>
      </c>
      <c r="B1372" t="s">
        <v>2499</v>
      </c>
    </row>
    <row r="1373" spans="1:2">
      <c r="A1373" t="s">
        <v>6677</v>
      </c>
      <c r="B1373" t="s">
        <v>2497</v>
      </c>
    </row>
    <row r="1374" spans="1:2">
      <c r="A1374" t="s">
        <v>6529</v>
      </c>
      <c r="B1374">
        <v>3300004131</v>
      </c>
    </row>
    <row r="1375" spans="1:2">
      <c r="A1375" t="s">
        <v>6528</v>
      </c>
      <c r="B1375">
        <v>2096457</v>
      </c>
    </row>
    <row r="1376" spans="1:2">
      <c r="A1376" t="s">
        <v>6642</v>
      </c>
      <c r="B1376" t="s">
        <v>2498</v>
      </c>
    </row>
    <row r="1377" spans="1:2">
      <c r="A1377" t="s">
        <v>6677</v>
      </c>
      <c r="B1377">
        <v>5031892</v>
      </c>
    </row>
    <row r="1378" spans="1:2">
      <c r="A1378" t="s">
        <v>6530</v>
      </c>
      <c r="B1378" t="s">
        <v>5730</v>
      </c>
    </row>
    <row r="1379" spans="1:2">
      <c r="A1379" t="s">
        <v>6642</v>
      </c>
      <c r="B1379" t="s">
        <v>5728</v>
      </c>
    </row>
    <row r="1380" spans="1:2">
      <c r="A1380" t="s">
        <v>6528</v>
      </c>
      <c r="B1380">
        <v>2103527</v>
      </c>
    </row>
    <row r="1381" spans="1:2">
      <c r="A1381" t="s">
        <v>6642</v>
      </c>
      <c r="B1381" t="s">
        <v>5729</v>
      </c>
    </row>
    <row r="1382" spans="1:2">
      <c r="A1382" t="s">
        <v>6528</v>
      </c>
      <c r="B1382">
        <v>2115647</v>
      </c>
    </row>
    <row r="1383" spans="1:2">
      <c r="A1383" t="s">
        <v>6530</v>
      </c>
      <c r="B1383" t="s">
        <v>6274</v>
      </c>
    </row>
    <row r="1384" spans="1:2">
      <c r="A1384" t="s">
        <v>6529</v>
      </c>
      <c r="B1384">
        <v>3300001254</v>
      </c>
    </row>
    <row r="1385" spans="1:2">
      <c r="A1385" t="s">
        <v>6645</v>
      </c>
      <c r="B1385" t="s">
        <v>6273</v>
      </c>
    </row>
    <row r="1386" spans="1:2">
      <c r="A1386" t="s">
        <v>6677</v>
      </c>
      <c r="B1386">
        <v>5031881</v>
      </c>
    </row>
    <row r="1387" spans="1:2">
      <c r="A1387" t="s">
        <v>6573</v>
      </c>
      <c r="B1387" t="s">
        <v>6292</v>
      </c>
    </row>
    <row r="1388" spans="1:2">
      <c r="A1388" t="s">
        <v>6672</v>
      </c>
      <c r="B1388">
        <v>2171940</v>
      </c>
    </row>
    <row r="1389" spans="1:2">
      <c r="A1389" t="s">
        <v>6642</v>
      </c>
      <c r="B1389" t="s">
        <v>6291</v>
      </c>
    </row>
    <row r="1390" spans="1:2">
      <c r="A1390" t="s">
        <v>6530</v>
      </c>
      <c r="B1390" t="s">
        <v>6038</v>
      </c>
    </row>
    <row r="1391" spans="1:2">
      <c r="A1391" t="s">
        <v>6642</v>
      </c>
      <c r="B1391" t="s">
        <v>6037</v>
      </c>
    </row>
    <row r="1392" spans="1:2">
      <c r="A1392" t="s">
        <v>6529</v>
      </c>
      <c r="B1392">
        <v>3300001703</v>
      </c>
    </row>
    <row r="1393" spans="1:2">
      <c r="A1393" t="s">
        <v>6528</v>
      </c>
      <c r="B1393">
        <v>2177518</v>
      </c>
    </row>
    <row r="1394" spans="1:2">
      <c r="A1394" t="s">
        <v>6677</v>
      </c>
      <c r="B1394">
        <v>5032244</v>
      </c>
    </row>
    <row r="1395" spans="1:2">
      <c r="A1395" t="s">
        <v>6529</v>
      </c>
      <c r="B1395">
        <v>3300001702</v>
      </c>
    </row>
    <row r="1396" spans="1:2">
      <c r="A1396" t="s">
        <v>6530</v>
      </c>
      <c r="B1396" t="s">
        <v>6055</v>
      </c>
    </row>
    <row r="1397" spans="1:2">
      <c r="A1397" t="s">
        <v>6529</v>
      </c>
      <c r="B1397">
        <v>3300001706</v>
      </c>
    </row>
    <row r="1398" spans="1:2">
      <c r="A1398" t="s">
        <v>6528</v>
      </c>
      <c r="B1398">
        <v>2116266</v>
      </c>
    </row>
    <row r="1399" spans="1:2">
      <c r="A1399" t="s">
        <v>6645</v>
      </c>
      <c r="B1399" t="s">
        <v>6054</v>
      </c>
    </row>
    <row r="1400" spans="1:2">
      <c r="A1400" t="s">
        <v>6530</v>
      </c>
      <c r="B1400" t="s">
        <v>4052</v>
      </c>
    </row>
    <row r="1401" spans="1:2">
      <c r="A1401" t="s">
        <v>6645</v>
      </c>
      <c r="B1401" t="s">
        <v>4051</v>
      </c>
    </row>
    <row r="1402" spans="1:2">
      <c r="A1402" t="s">
        <v>6677</v>
      </c>
      <c r="B1402">
        <v>5049688</v>
      </c>
    </row>
    <row r="1403" spans="1:2">
      <c r="A1403" t="s">
        <v>6672</v>
      </c>
      <c r="B1403">
        <v>2172013</v>
      </c>
    </row>
    <row r="1404" spans="1:2">
      <c r="A1404" t="s">
        <v>6530</v>
      </c>
      <c r="B1404" t="s">
        <v>3793</v>
      </c>
    </row>
    <row r="1405" spans="1:2">
      <c r="A1405" t="s">
        <v>6528</v>
      </c>
      <c r="B1405">
        <v>2114783</v>
      </c>
    </row>
    <row r="1406" spans="1:2">
      <c r="A1406" t="s">
        <v>6642</v>
      </c>
      <c r="B1406" t="s">
        <v>3792</v>
      </c>
    </row>
    <row r="1407" spans="1:2">
      <c r="A1407" t="s">
        <v>6528</v>
      </c>
      <c r="B1407">
        <v>2114780</v>
      </c>
    </row>
    <row r="1408" spans="1:2">
      <c r="A1408" t="s">
        <v>6529</v>
      </c>
      <c r="B1408">
        <v>3300002921</v>
      </c>
    </row>
    <row r="1409" spans="1:2">
      <c r="A1409" t="s">
        <v>6677</v>
      </c>
      <c r="B1409">
        <v>5049690</v>
      </c>
    </row>
    <row r="1410" spans="1:2">
      <c r="A1410" t="s">
        <v>6530</v>
      </c>
      <c r="B1410" t="s">
        <v>6146</v>
      </c>
    </row>
    <row r="1411" spans="1:2">
      <c r="A1411" t="s">
        <v>6677</v>
      </c>
      <c r="B1411">
        <v>5045697</v>
      </c>
    </row>
    <row r="1412" spans="1:2">
      <c r="A1412" t="s">
        <v>6529</v>
      </c>
      <c r="B1412">
        <v>3300001295</v>
      </c>
    </row>
    <row r="1413" spans="1:2">
      <c r="A1413" t="s">
        <v>6645</v>
      </c>
      <c r="B1413" t="s">
        <v>6145</v>
      </c>
    </row>
    <row r="1414" spans="1:2">
      <c r="A1414" t="s">
        <v>6528</v>
      </c>
      <c r="B1414">
        <v>2116054</v>
      </c>
    </row>
    <row r="1415" spans="1:2">
      <c r="A1415" t="s">
        <v>6530</v>
      </c>
      <c r="B1415" t="s">
        <v>863</v>
      </c>
    </row>
    <row r="1416" spans="1:2">
      <c r="A1416" t="s">
        <v>6645</v>
      </c>
      <c r="B1416" t="s">
        <v>861</v>
      </c>
    </row>
    <row r="1417" spans="1:2">
      <c r="A1417" t="s">
        <v>6672</v>
      </c>
      <c r="B1417">
        <v>2171918</v>
      </c>
    </row>
    <row r="1418" spans="1:2">
      <c r="A1418" t="s">
        <v>6677</v>
      </c>
      <c r="B1418" t="s">
        <v>862</v>
      </c>
    </row>
    <row r="1419" spans="1:2">
      <c r="A1419" t="s">
        <v>6530</v>
      </c>
      <c r="B1419" t="s">
        <v>3470</v>
      </c>
    </row>
    <row r="1420" spans="1:2">
      <c r="A1420" t="s">
        <v>6528</v>
      </c>
      <c r="B1420">
        <v>2117093</v>
      </c>
    </row>
    <row r="1421" spans="1:2">
      <c r="A1421" t="s">
        <v>6677</v>
      </c>
      <c r="B1421">
        <v>5031908</v>
      </c>
    </row>
    <row r="1422" spans="1:2">
      <c r="A1422" t="s">
        <v>6645</v>
      </c>
      <c r="B1422" t="s">
        <v>6745</v>
      </c>
    </row>
    <row r="1423" spans="1:2">
      <c r="A1423" t="s">
        <v>6530</v>
      </c>
      <c r="B1423" t="s">
        <v>3130</v>
      </c>
    </row>
    <row r="1424" spans="1:2">
      <c r="A1424" t="s">
        <v>6677</v>
      </c>
      <c r="B1424">
        <v>5045675</v>
      </c>
    </row>
    <row r="1425" spans="1:2">
      <c r="A1425" t="s">
        <v>6672</v>
      </c>
      <c r="B1425">
        <v>2171895</v>
      </c>
    </row>
    <row r="1426" spans="1:2">
      <c r="A1426" t="s">
        <v>6528</v>
      </c>
      <c r="B1426">
        <v>2103869</v>
      </c>
    </row>
    <row r="1427" spans="1:2">
      <c r="A1427" t="s">
        <v>6529</v>
      </c>
      <c r="B1427">
        <v>3300011524</v>
      </c>
    </row>
    <row r="1428" spans="1:2">
      <c r="A1428" t="s">
        <v>6530</v>
      </c>
      <c r="B1428" t="s">
        <v>2802</v>
      </c>
    </row>
    <row r="1429" spans="1:2">
      <c r="A1429" t="s">
        <v>6529</v>
      </c>
      <c r="B1429">
        <v>3300003014</v>
      </c>
    </row>
    <row r="1430" spans="1:2">
      <c r="A1430" t="s">
        <v>6528</v>
      </c>
      <c r="B1430">
        <v>2103501</v>
      </c>
    </row>
    <row r="1431" spans="1:2">
      <c r="A1431" t="s">
        <v>6529</v>
      </c>
      <c r="B1431">
        <v>3300004126</v>
      </c>
    </row>
    <row r="1432" spans="1:2">
      <c r="A1432" t="s">
        <v>6642</v>
      </c>
      <c r="B1432" t="s">
        <v>2801</v>
      </c>
    </row>
    <row r="1433" spans="1:2">
      <c r="A1433" t="s">
        <v>6677</v>
      </c>
      <c r="B1433">
        <v>5031864</v>
      </c>
    </row>
    <row r="1434" spans="1:2">
      <c r="A1434" t="s">
        <v>6530</v>
      </c>
      <c r="B1434" t="s">
        <v>3137</v>
      </c>
    </row>
    <row r="1435" spans="1:2">
      <c r="A1435" t="s">
        <v>6528</v>
      </c>
      <c r="B1435">
        <v>2114797</v>
      </c>
    </row>
    <row r="1436" spans="1:2">
      <c r="A1436" t="s">
        <v>6529</v>
      </c>
      <c r="B1436">
        <v>3300002958</v>
      </c>
    </row>
    <row r="1437" spans="1:2">
      <c r="A1437" t="s">
        <v>6528</v>
      </c>
      <c r="B1437">
        <v>2114730</v>
      </c>
    </row>
    <row r="1438" spans="1:2">
      <c r="A1438" t="s">
        <v>6642</v>
      </c>
      <c r="B1438" t="s">
        <v>3136</v>
      </c>
    </row>
    <row r="1439" spans="1:2">
      <c r="A1439" t="s">
        <v>6573</v>
      </c>
      <c r="B1439" t="s">
        <v>5558</v>
      </c>
    </row>
    <row r="1440" spans="1:2">
      <c r="A1440" t="s">
        <v>6677</v>
      </c>
      <c r="B1440" t="s">
        <v>5557</v>
      </c>
    </row>
    <row r="1441" spans="1:2">
      <c r="A1441" t="s">
        <v>6530</v>
      </c>
      <c r="B1441" t="s">
        <v>6087</v>
      </c>
    </row>
    <row r="1442" spans="1:2">
      <c r="A1442" t="s">
        <v>6677</v>
      </c>
      <c r="B1442">
        <v>5001476</v>
      </c>
    </row>
    <row r="1443" spans="1:2">
      <c r="A1443" t="s">
        <v>6529</v>
      </c>
      <c r="B1443">
        <v>3300003015</v>
      </c>
    </row>
    <row r="1444" spans="1:2">
      <c r="A1444" t="s">
        <v>6677</v>
      </c>
      <c r="B1444">
        <v>5001457</v>
      </c>
    </row>
    <row r="1445" spans="1:2">
      <c r="A1445" t="s">
        <v>6642</v>
      </c>
      <c r="B1445" t="s">
        <v>6086</v>
      </c>
    </row>
    <row r="1446" spans="1:2">
      <c r="A1446" t="s">
        <v>6672</v>
      </c>
      <c r="B1446">
        <v>2183590</v>
      </c>
    </row>
    <row r="1447" spans="1:2">
      <c r="A1447" t="s">
        <v>6530</v>
      </c>
      <c r="B1447" t="s">
        <v>2418</v>
      </c>
    </row>
    <row r="1448" spans="1:2">
      <c r="A1448" t="s">
        <v>6642</v>
      </c>
      <c r="B1448" t="s">
        <v>2417</v>
      </c>
    </row>
    <row r="1449" spans="1:2">
      <c r="A1449" t="s">
        <v>6677</v>
      </c>
      <c r="B1449">
        <v>5042668</v>
      </c>
    </row>
    <row r="1450" spans="1:2">
      <c r="A1450" t="s">
        <v>6660</v>
      </c>
      <c r="B1450" t="s">
        <v>2416</v>
      </c>
    </row>
    <row r="1451" spans="1:2">
      <c r="A1451" t="s">
        <v>6569</v>
      </c>
      <c r="B1451" t="s">
        <v>971</v>
      </c>
    </row>
    <row r="1452" spans="1:2">
      <c r="A1452" t="s">
        <v>6529</v>
      </c>
      <c r="B1452">
        <v>3300009476</v>
      </c>
    </row>
    <row r="1453" spans="1:2">
      <c r="A1453" t="s">
        <v>6528</v>
      </c>
      <c r="B1453">
        <v>2084686</v>
      </c>
    </row>
    <row r="1454" spans="1:2">
      <c r="A1454" t="s">
        <v>6645</v>
      </c>
      <c r="B1454" t="s">
        <v>968</v>
      </c>
    </row>
    <row r="1455" spans="1:2">
      <c r="A1455" t="s">
        <v>6677</v>
      </c>
      <c r="B1455" t="s">
        <v>969</v>
      </c>
    </row>
    <row r="1456" spans="1:2">
      <c r="A1456" t="s">
        <v>6642</v>
      </c>
      <c r="B1456" t="s">
        <v>970</v>
      </c>
    </row>
    <row r="1457" spans="1:2">
      <c r="A1457" t="s">
        <v>6530</v>
      </c>
      <c r="B1457" t="s">
        <v>6074</v>
      </c>
    </row>
    <row r="1458" spans="1:2">
      <c r="A1458" t="s">
        <v>6528</v>
      </c>
      <c r="B1458">
        <v>2116250</v>
      </c>
    </row>
    <row r="1459" spans="1:2">
      <c r="A1459" t="s">
        <v>6529</v>
      </c>
      <c r="B1459">
        <v>3300008127</v>
      </c>
    </row>
    <row r="1460" spans="1:2">
      <c r="A1460" t="s">
        <v>6528</v>
      </c>
      <c r="B1460">
        <v>2116307</v>
      </c>
    </row>
    <row r="1461" spans="1:2">
      <c r="A1461" t="s">
        <v>6530</v>
      </c>
      <c r="B1461" t="s">
        <v>5384</v>
      </c>
    </row>
    <row r="1462" spans="1:2">
      <c r="A1462" t="s">
        <v>6528</v>
      </c>
      <c r="B1462">
        <v>2084128</v>
      </c>
    </row>
    <row r="1463" spans="1:2">
      <c r="A1463" t="s">
        <v>6528</v>
      </c>
      <c r="B1463">
        <v>2096054</v>
      </c>
    </row>
    <row r="1464" spans="1:2">
      <c r="A1464" t="s">
        <v>6528</v>
      </c>
      <c r="B1464">
        <v>2096063</v>
      </c>
    </row>
    <row r="1465" spans="1:2">
      <c r="A1465" t="s">
        <v>6529</v>
      </c>
      <c r="B1465">
        <v>3300003004</v>
      </c>
    </row>
    <row r="1466" spans="1:2">
      <c r="A1466" t="s">
        <v>6645</v>
      </c>
      <c r="B1466" t="s">
        <v>6746</v>
      </c>
    </row>
    <row r="1467" spans="1:2">
      <c r="A1467" t="s">
        <v>6530</v>
      </c>
      <c r="B1467" t="s">
        <v>6747</v>
      </c>
    </row>
    <row r="1468" spans="1:2">
      <c r="A1468" t="s">
        <v>6645</v>
      </c>
      <c r="B1468" t="s">
        <v>5823</v>
      </c>
    </row>
    <row r="1469" spans="1:2">
      <c r="A1469" t="s">
        <v>6529</v>
      </c>
      <c r="B1469">
        <v>3300006792</v>
      </c>
    </row>
    <row r="1470" spans="1:2">
      <c r="A1470" t="s">
        <v>6530</v>
      </c>
      <c r="B1470" t="s">
        <v>6140</v>
      </c>
    </row>
    <row r="1471" spans="1:2">
      <c r="A1471" t="s">
        <v>6529</v>
      </c>
      <c r="B1471">
        <v>3300003012</v>
      </c>
    </row>
    <row r="1472" spans="1:2">
      <c r="A1472" t="s">
        <v>6677</v>
      </c>
      <c r="B1472">
        <v>5001454</v>
      </c>
    </row>
    <row r="1473" spans="1:2">
      <c r="A1473" t="s">
        <v>6642</v>
      </c>
      <c r="B1473" t="s">
        <v>6139</v>
      </c>
    </row>
    <row r="1474" spans="1:2">
      <c r="A1474" t="s">
        <v>6677</v>
      </c>
      <c r="B1474">
        <v>5001460</v>
      </c>
    </row>
    <row r="1475" spans="1:2">
      <c r="A1475" t="s">
        <v>6528</v>
      </c>
      <c r="B1475">
        <v>2116242</v>
      </c>
    </row>
    <row r="1476" spans="1:2">
      <c r="A1476" t="s">
        <v>6530</v>
      </c>
      <c r="B1476" t="s">
        <v>5856</v>
      </c>
    </row>
    <row r="1477" spans="1:2">
      <c r="A1477" t="s">
        <v>6642</v>
      </c>
      <c r="B1477" t="s">
        <v>5854</v>
      </c>
    </row>
    <row r="1478" spans="1:2">
      <c r="A1478" t="s">
        <v>6529</v>
      </c>
      <c r="B1478">
        <v>3300004162</v>
      </c>
    </row>
    <row r="1479" spans="1:2">
      <c r="A1479" t="s">
        <v>6528</v>
      </c>
      <c r="B1479">
        <v>2096094</v>
      </c>
    </row>
    <row r="1480" spans="1:2">
      <c r="A1480" t="s">
        <v>6529</v>
      </c>
      <c r="B1480">
        <v>3300004143</v>
      </c>
    </row>
    <row r="1481" spans="1:2">
      <c r="A1481" t="s">
        <v>6642</v>
      </c>
      <c r="B1481" t="s">
        <v>5855</v>
      </c>
    </row>
    <row r="1482" spans="1:2">
      <c r="A1482" t="s">
        <v>6530</v>
      </c>
      <c r="B1482" t="s">
        <v>6748</v>
      </c>
    </row>
    <row r="1483" spans="1:2">
      <c r="A1483" t="s">
        <v>6529</v>
      </c>
      <c r="B1483">
        <v>3300004129</v>
      </c>
    </row>
    <row r="1484" spans="1:2">
      <c r="A1484" t="s">
        <v>6528</v>
      </c>
      <c r="B1484">
        <v>2114789</v>
      </c>
    </row>
    <row r="1485" spans="1:2">
      <c r="A1485" t="s">
        <v>6529</v>
      </c>
      <c r="B1485">
        <v>3300004157</v>
      </c>
    </row>
    <row r="1486" spans="1:2">
      <c r="A1486" t="s">
        <v>6573</v>
      </c>
      <c r="B1486" t="s">
        <v>6094</v>
      </c>
    </row>
    <row r="1487" spans="1:2">
      <c r="A1487" t="s">
        <v>6529</v>
      </c>
      <c r="B1487">
        <v>3300002992</v>
      </c>
    </row>
    <row r="1488" spans="1:2">
      <c r="A1488" t="s">
        <v>6677</v>
      </c>
      <c r="B1488">
        <v>5001443</v>
      </c>
    </row>
    <row r="1489" spans="1:2">
      <c r="A1489" t="s">
        <v>6642</v>
      </c>
      <c r="B1489" t="s">
        <v>6093</v>
      </c>
    </row>
    <row r="1490" spans="1:2">
      <c r="A1490" t="s">
        <v>6573</v>
      </c>
      <c r="B1490" t="s">
        <v>6416</v>
      </c>
    </row>
    <row r="1491" spans="1:2">
      <c r="A1491" t="s">
        <v>6645</v>
      </c>
      <c r="B1491" t="s">
        <v>6415</v>
      </c>
    </row>
    <row r="1492" spans="1:2">
      <c r="A1492" t="s">
        <v>6677</v>
      </c>
      <c r="B1492">
        <v>5045657</v>
      </c>
    </row>
    <row r="1493" spans="1:2">
      <c r="A1493" t="s">
        <v>6672</v>
      </c>
      <c r="B1493">
        <v>2171962</v>
      </c>
    </row>
    <row r="1494" spans="1:2">
      <c r="A1494" t="s">
        <v>6573</v>
      </c>
      <c r="B1494" t="s">
        <v>6268</v>
      </c>
    </row>
    <row r="1495" spans="1:2">
      <c r="A1495" t="s">
        <v>6528</v>
      </c>
      <c r="B1495">
        <v>2114784</v>
      </c>
    </row>
    <row r="1496" spans="1:2">
      <c r="A1496" t="s">
        <v>6677</v>
      </c>
      <c r="B1496">
        <v>5001447</v>
      </c>
    </row>
    <row r="1497" spans="1:2">
      <c r="A1497" t="s">
        <v>6530</v>
      </c>
      <c r="B1497" t="s">
        <v>6020</v>
      </c>
    </row>
    <row r="1498" spans="1:2">
      <c r="A1498" t="s">
        <v>6528</v>
      </c>
      <c r="B1498">
        <v>2117084</v>
      </c>
    </row>
    <row r="1499" spans="1:2">
      <c r="A1499" t="s">
        <v>6642</v>
      </c>
      <c r="B1499" t="s">
        <v>6019</v>
      </c>
    </row>
    <row r="1500" spans="1:2">
      <c r="A1500" t="s">
        <v>6530</v>
      </c>
      <c r="B1500" t="s">
        <v>6280</v>
      </c>
    </row>
    <row r="1501" spans="1:2">
      <c r="A1501" t="s">
        <v>6529</v>
      </c>
      <c r="B1501">
        <v>3300001679</v>
      </c>
    </row>
    <row r="1502" spans="1:2">
      <c r="A1502" t="s">
        <v>6677</v>
      </c>
      <c r="B1502">
        <v>5045698</v>
      </c>
    </row>
    <row r="1503" spans="1:2">
      <c r="A1503" t="s">
        <v>6645</v>
      </c>
      <c r="B1503" t="s">
        <v>6279</v>
      </c>
    </row>
    <row r="1504" spans="1:2">
      <c r="A1504" t="s">
        <v>6672</v>
      </c>
      <c r="B1504">
        <v>2171917</v>
      </c>
    </row>
    <row r="1505" spans="1:2">
      <c r="A1505" t="s">
        <v>6530</v>
      </c>
      <c r="B1505" t="s">
        <v>6257</v>
      </c>
    </row>
    <row r="1506" spans="1:2">
      <c r="A1506" t="s">
        <v>6529</v>
      </c>
      <c r="B1506">
        <v>3300003008</v>
      </c>
    </row>
    <row r="1507" spans="1:2">
      <c r="A1507" t="s">
        <v>6677</v>
      </c>
      <c r="B1507">
        <v>5001459</v>
      </c>
    </row>
    <row r="1508" spans="1:2">
      <c r="A1508" t="s">
        <v>6642</v>
      </c>
      <c r="B1508" t="s">
        <v>6256</v>
      </c>
    </row>
    <row r="1509" spans="1:2">
      <c r="A1509" t="s">
        <v>6530</v>
      </c>
      <c r="B1509" t="s">
        <v>5194</v>
      </c>
    </row>
    <row r="1510" spans="1:2">
      <c r="A1510" t="s">
        <v>6677</v>
      </c>
      <c r="B1510">
        <v>5059370</v>
      </c>
    </row>
    <row r="1511" spans="1:2">
      <c r="A1511" t="s">
        <v>6529</v>
      </c>
      <c r="B1511">
        <v>3300008151</v>
      </c>
    </row>
    <row r="1512" spans="1:2">
      <c r="A1512" t="s">
        <v>6528</v>
      </c>
      <c r="B1512">
        <v>2103732</v>
      </c>
    </row>
    <row r="1513" spans="1:2">
      <c r="A1513" t="s">
        <v>6530</v>
      </c>
      <c r="B1513" t="s">
        <v>6251</v>
      </c>
    </row>
    <row r="1514" spans="1:2">
      <c r="A1514" t="s">
        <v>6672</v>
      </c>
      <c r="B1514">
        <v>2183535</v>
      </c>
    </row>
    <row r="1515" spans="1:2">
      <c r="A1515" t="s">
        <v>6642</v>
      </c>
      <c r="B1515" t="s">
        <v>6250</v>
      </c>
    </row>
    <row r="1516" spans="1:2">
      <c r="A1516" t="s">
        <v>6529</v>
      </c>
      <c r="B1516">
        <v>3300009784</v>
      </c>
    </row>
    <row r="1517" spans="1:2">
      <c r="A1517" t="s">
        <v>6672</v>
      </c>
      <c r="B1517">
        <v>2183492</v>
      </c>
    </row>
    <row r="1518" spans="1:2">
      <c r="A1518" t="s">
        <v>6530</v>
      </c>
      <c r="B1518" t="s">
        <v>6749</v>
      </c>
    </row>
    <row r="1519" spans="1:2">
      <c r="A1519" t="s">
        <v>6528</v>
      </c>
      <c r="B1519">
        <v>2114754</v>
      </c>
    </row>
    <row r="1520" spans="1:2">
      <c r="A1520" t="s">
        <v>6677</v>
      </c>
      <c r="B1520">
        <v>5001466</v>
      </c>
    </row>
    <row r="1521" spans="1:2">
      <c r="A1521" t="s">
        <v>6528</v>
      </c>
      <c r="B1521">
        <v>2114743</v>
      </c>
    </row>
    <row r="1522" spans="1:2">
      <c r="A1522" t="s">
        <v>6529</v>
      </c>
      <c r="B1522">
        <v>3300008135</v>
      </c>
    </row>
    <row r="1523" spans="1:2">
      <c r="A1523" t="s">
        <v>6573</v>
      </c>
      <c r="B1523" t="s">
        <v>3016</v>
      </c>
    </row>
    <row r="1524" spans="1:2">
      <c r="A1524" t="s">
        <v>6677</v>
      </c>
      <c r="B1524">
        <v>5045668</v>
      </c>
    </row>
    <row r="1525" spans="1:2">
      <c r="A1525" t="s">
        <v>6645</v>
      </c>
      <c r="B1525" t="s">
        <v>3015</v>
      </c>
    </row>
    <row r="1526" spans="1:2">
      <c r="A1526" t="s">
        <v>6672</v>
      </c>
      <c r="B1526">
        <v>2183602</v>
      </c>
    </row>
    <row r="1527" spans="1:2">
      <c r="A1527" t="s">
        <v>6672</v>
      </c>
      <c r="B1527">
        <v>2171954</v>
      </c>
    </row>
    <row r="1528" spans="1:2">
      <c r="A1528" t="s">
        <v>6529</v>
      </c>
      <c r="B1528">
        <v>3300011511</v>
      </c>
    </row>
    <row r="1529" spans="1:2">
      <c r="A1529" t="s">
        <v>6573</v>
      </c>
      <c r="B1529" t="s">
        <v>2817</v>
      </c>
    </row>
    <row r="1530" spans="1:2">
      <c r="A1530" t="s">
        <v>6529</v>
      </c>
      <c r="B1530">
        <v>3300002824</v>
      </c>
    </row>
    <row r="1531" spans="1:2">
      <c r="A1531" t="s">
        <v>6642</v>
      </c>
      <c r="B1531" t="s">
        <v>2814</v>
      </c>
    </row>
    <row r="1532" spans="1:2">
      <c r="A1532" t="s">
        <v>6677</v>
      </c>
      <c r="B1532">
        <v>5014445</v>
      </c>
    </row>
    <row r="1533" spans="1:2">
      <c r="A1533" t="s">
        <v>6642</v>
      </c>
      <c r="B1533" t="s">
        <v>2815</v>
      </c>
    </row>
    <row r="1534" spans="1:2">
      <c r="A1534" t="s">
        <v>6645</v>
      </c>
      <c r="B1534" t="s">
        <v>2816</v>
      </c>
    </row>
    <row r="1535" spans="1:2">
      <c r="A1535" t="s">
        <v>6530</v>
      </c>
      <c r="B1535" t="s">
        <v>1844</v>
      </c>
    </row>
    <row r="1536" spans="1:2">
      <c r="A1536" t="s">
        <v>6528</v>
      </c>
      <c r="B1536">
        <v>2119186</v>
      </c>
    </row>
    <row r="1537" spans="1:2">
      <c r="A1537" t="s">
        <v>6645</v>
      </c>
      <c r="B1537" t="s">
        <v>1842</v>
      </c>
    </row>
    <row r="1538" spans="1:2">
      <c r="A1538" t="s">
        <v>6529</v>
      </c>
      <c r="B1538">
        <v>3300002815</v>
      </c>
    </row>
    <row r="1539" spans="1:2">
      <c r="A1539" t="s">
        <v>6632</v>
      </c>
      <c r="B1539" t="s">
        <v>1843</v>
      </c>
    </row>
    <row r="1540" spans="1:2">
      <c r="A1540" t="s">
        <v>6529</v>
      </c>
      <c r="B1540">
        <v>3300002969</v>
      </c>
    </row>
    <row r="1541" spans="1:2">
      <c r="A1541" t="s">
        <v>6530</v>
      </c>
      <c r="B1541" t="s">
        <v>6117</v>
      </c>
    </row>
    <row r="1542" spans="1:2">
      <c r="A1542" t="s">
        <v>6672</v>
      </c>
      <c r="B1542">
        <v>2183598</v>
      </c>
    </row>
    <row r="1543" spans="1:2">
      <c r="A1543" t="s">
        <v>6677</v>
      </c>
      <c r="B1543">
        <v>5001477</v>
      </c>
    </row>
    <row r="1544" spans="1:2">
      <c r="A1544" t="s">
        <v>6529</v>
      </c>
      <c r="B1544">
        <v>3300003003</v>
      </c>
    </row>
    <row r="1545" spans="1:2">
      <c r="A1545" t="s">
        <v>6677</v>
      </c>
      <c r="B1545">
        <v>5001475</v>
      </c>
    </row>
    <row r="1546" spans="1:2">
      <c r="A1546" t="s">
        <v>6642</v>
      </c>
      <c r="B1546" t="s">
        <v>6116</v>
      </c>
    </row>
    <row r="1547" spans="1:2">
      <c r="A1547" t="s">
        <v>6530</v>
      </c>
      <c r="B1547" t="s">
        <v>4496</v>
      </c>
    </row>
    <row r="1548" spans="1:2">
      <c r="A1548" t="s">
        <v>6528</v>
      </c>
      <c r="B1548">
        <v>2103912</v>
      </c>
    </row>
    <row r="1549" spans="1:2">
      <c r="A1549" t="s">
        <v>6672</v>
      </c>
      <c r="B1549">
        <v>2182988</v>
      </c>
    </row>
    <row r="1550" spans="1:2">
      <c r="A1550" t="s">
        <v>6528</v>
      </c>
      <c r="B1550">
        <v>2103896</v>
      </c>
    </row>
    <row r="1551" spans="1:2">
      <c r="A1551" t="s">
        <v>6672</v>
      </c>
      <c r="B1551">
        <v>2171969</v>
      </c>
    </row>
    <row r="1552" spans="1:2">
      <c r="A1552" t="s">
        <v>6674</v>
      </c>
      <c r="B1552">
        <v>1721270</v>
      </c>
    </row>
    <row r="1553" spans="1:2">
      <c r="A1553" t="s">
        <v>6530</v>
      </c>
      <c r="B1553" t="s">
        <v>5159</v>
      </c>
    </row>
    <row r="1554" spans="1:2">
      <c r="A1554" t="s">
        <v>6677</v>
      </c>
      <c r="B1554">
        <v>5050435</v>
      </c>
    </row>
    <row r="1555" spans="1:2">
      <c r="A1555" t="s">
        <v>6645</v>
      </c>
      <c r="B1555" t="s">
        <v>5158</v>
      </c>
    </row>
    <row r="1556" spans="1:2">
      <c r="A1556" t="s">
        <v>6528</v>
      </c>
      <c r="B1556">
        <v>2177352</v>
      </c>
    </row>
    <row r="1557" spans="1:2">
      <c r="A1557" t="s">
        <v>6529</v>
      </c>
      <c r="B1557">
        <v>3300009760</v>
      </c>
    </row>
    <row r="1558" spans="1:2">
      <c r="A1558" t="s">
        <v>6530</v>
      </c>
      <c r="B1558" t="s">
        <v>1124</v>
      </c>
    </row>
    <row r="1559" spans="1:2">
      <c r="A1559" t="s">
        <v>6677</v>
      </c>
      <c r="B1559">
        <v>5014444</v>
      </c>
    </row>
    <row r="1560" spans="1:2">
      <c r="A1560" t="s">
        <v>6642</v>
      </c>
      <c r="B1560" t="s">
        <v>1123</v>
      </c>
    </row>
    <row r="1561" spans="1:2">
      <c r="A1561" t="s">
        <v>6529</v>
      </c>
      <c r="B1561">
        <v>3300005183</v>
      </c>
    </row>
    <row r="1562" spans="1:2">
      <c r="A1562" t="s">
        <v>6672</v>
      </c>
      <c r="B1562">
        <v>2183503</v>
      </c>
    </row>
    <row r="1563" spans="1:2">
      <c r="A1563" t="s">
        <v>6530</v>
      </c>
      <c r="B1563" t="s">
        <v>3614</v>
      </c>
    </row>
    <row r="1564" spans="1:2">
      <c r="A1564" t="s">
        <v>6642</v>
      </c>
      <c r="B1564" t="s">
        <v>3612</v>
      </c>
    </row>
    <row r="1565" spans="1:2">
      <c r="A1565" t="s">
        <v>6529</v>
      </c>
      <c r="B1565">
        <v>3300005169</v>
      </c>
    </row>
    <row r="1566" spans="1:2">
      <c r="A1566" t="s">
        <v>6642</v>
      </c>
      <c r="B1566" t="s">
        <v>3613</v>
      </c>
    </row>
    <row r="1567" spans="1:2">
      <c r="A1567" t="s">
        <v>6530</v>
      </c>
      <c r="B1567" t="s">
        <v>3600</v>
      </c>
    </row>
    <row r="1568" spans="1:2">
      <c r="A1568" t="s">
        <v>6677</v>
      </c>
      <c r="B1568">
        <v>5031823</v>
      </c>
    </row>
    <row r="1569" spans="1:2">
      <c r="A1569" t="s">
        <v>6528</v>
      </c>
      <c r="B1569">
        <v>2119258</v>
      </c>
    </row>
    <row r="1570" spans="1:2">
      <c r="A1570" t="s">
        <v>6529</v>
      </c>
      <c r="B1570">
        <v>3300008137</v>
      </c>
    </row>
    <row r="1571" spans="1:2">
      <c r="A1571" t="s">
        <v>6677</v>
      </c>
      <c r="B1571">
        <v>5031827</v>
      </c>
    </row>
    <row r="1572" spans="1:2">
      <c r="A1572" t="s">
        <v>6530</v>
      </c>
      <c r="B1572" t="s">
        <v>2220</v>
      </c>
    </row>
    <row r="1573" spans="1:2">
      <c r="A1573" t="s">
        <v>6529</v>
      </c>
      <c r="B1573">
        <v>3300004161</v>
      </c>
    </row>
    <row r="1574" spans="1:2">
      <c r="A1574" t="s">
        <v>6677</v>
      </c>
      <c r="B1574">
        <v>5006427</v>
      </c>
    </row>
    <row r="1575" spans="1:2">
      <c r="A1575" t="s">
        <v>6530</v>
      </c>
      <c r="B1575" t="s">
        <v>6750</v>
      </c>
    </row>
    <row r="1576" spans="1:2">
      <c r="A1576" t="s">
        <v>6528</v>
      </c>
      <c r="B1576">
        <v>2096484</v>
      </c>
    </row>
    <row r="1577" spans="1:2">
      <c r="A1577" t="s">
        <v>6642</v>
      </c>
      <c r="B1577" t="s">
        <v>4284</v>
      </c>
    </row>
    <row r="1578" spans="1:2">
      <c r="A1578" t="s">
        <v>6529</v>
      </c>
      <c r="B1578">
        <v>3300010894</v>
      </c>
    </row>
    <row r="1579" spans="1:2">
      <c r="A1579" t="s">
        <v>6677</v>
      </c>
      <c r="B1579">
        <v>5032243</v>
      </c>
    </row>
    <row r="1580" spans="1:2">
      <c r="A1580" t="s">
        <v>6528</v>
      </c>
      <c r="B1580">
        <v>2117097</v>
      </c>
    </row>
    <row r="1581" spans="1:2">
      <c r="A1581" t="s">
        <v>6530</v>
      </c>
      <c r="B1581" t="s">
        <v>4411</v>
      </c>
    </row>
    <row r="1582" spans="1:2">
      <c r="A1582" t="s">
        <v>6528</v>
      </c>
      <c r="B1582">
        <v>2115637</v>
      </c>
    </row>
    <row r="1583" spans="1:2">
      <c r="A1583" t="s">
        <v>6642</v>
      </c>
      <c r="B1583" t="s">
        <v>4409</v>
      </c>
    </row>
    <row r="1584" spans="1:2">
      <c r="A1584" t="s">
        <v>6645</v>
      </c>
      <c r="B1584" t="s">
        <v>4410</v>
      </c>
    </row>
    <row r="1585" spans="1:2">
      <c r="A1585" t="s">
        <v>6529</v>
      </c>
      <c r="B1585">
        <v>3300009757</v>
      </c>
    </row>
    <row r="1586" spans="1:2">
      <c r="A1586" t="s">
        <v>6528</v>
      </c>
      <c r="B1586">
        <v>2115650</v>
      </c>
    </row>
    <row r="1587" spans="1:2">
      <c r="A1587" t="s">
        <v>6530</v>
      </c>
      <c r="B1587" t="s">
        <v>4471</v>
      </c>
    </row>
    <row r="1588" spans="1:2">
      <c r="A1588" t="s">
        <v>6672</v>
      </c>
      <c r="B1588">
        <v>2183490</v>
      </c>
    </row>
    <row r="1589" spans="1:2">
      <c r="A1589" t="s">
        <v>6642</v>
      </c>
      <c r="B1589" t="s">
        <v>4470</v>
      </c>
    </row>
    <row r="1590" spans="1:2">
      <c r="A1590" t="s">
        <v>6530</v>
      </c>
      <c r="B1590" t="s">
        <v>4107</v>
      </c>
    </row>
    <row r="1591" spans="1:2">
      <c r="A1591" t="s">
        <v>6528</v>
      </c>
      <c r="B1591">
        <v>2103780</v>
      </c>
    </row>
    <row r="1592" spans="1:2">
      <c r="A1592" t="s">
        <v>6645</v>
      </c>
      <c r="B1592" t="s">
        <v>4106</v>
      </c>
    </row>
    <row r="1593" spans="1:2">
      <c r="A1593" t="s">
        <v>6529</v>
      </c>
      <c r="B1593">
        <v>3300003628</v>
      </c>
    </row>
    <row r="1594" spans="1:2">
      <c r="A1594" t="s">
        <v>6530</v>
      </c>
      <c r="B1594" t="s">
        <v>3162</v>
      </c>
    </row>
    <row r="1595" spans="1:2">
      <c r="A1595" t="s">
        <v>6529</v>
      </c>
      <c r="B1595">
        <v>3300002923</v>
      </c>
    </row>
    <row r="1596" spans="1:2">
      <c r="A1596" t="s">
        <v>6528</v>
      </c>
      <c r="B1596">
        <v>2103483</v>
      </c>
    </row>
    <row r="1597" spans="1:2">
      <c r="A1597" t="s">
        <v>6642</v>
      </c>
      <c r="B1597" t="s">
        <v>3161</v>
      </c>
    </row>
    <row r="1598" spans="1:2">
      <c r="A1598" t="s">
        <v>6677</v>
      </c>
      <c r="B1598">
        <v>5059308</v>
      </c>
    </row>
    <row r="1599" spans="1:2">
      <c r="A1599" t="s">
        <v>6530</v>
      </c>
      <c r="B1599" t="s">
        <v>5959</v>
      </c>
    </row>
    <row r="1600" spans="1:2">
      <c r="A1600" t="s">
        <v>6645</v>
      </c>
      <c r="B1600" t="s">
        <v>5957</v>
      </c>
    </row>
    <row r="1601" spans="1:2">
      <c r="A1601" t="s">
        <v>6529</v>
      </c>
      <c r="B1601">
        <v>3300001689</v>
      </c>
    </row>
    <row r="1602" spans="1:2">
      <c r="A1602" t="s">
        <v>6672</v>
      </c>
      <c r="B1602">
        <v>2171899</v>
      </c>
    </row>
    <row r="1603" spans="1:2">
      <c r="A1603" t="s">
        <v>6677</v>
      </c>
      <c r="B1603" t="s">
        <v>5958</v>
      </c>
    </row>
    <row r="1604" spans="1:2">
      <c r="A1604" t="s">
        <v>6530</v>
      </c>
      <c r="B1604" t="s">
        <v>2299</v>
      </c>
    </row>
    <row r="1605" spans="1:2">
      <c r="A1605" t="s">
        <v>6645</v>
      </c>
      <c r="B1605" t="s">
        <v>2298</v>
      </c>
    </row>
    <row r="1606" spans="1:2">
      <c r="A1606" t="s">
        <v>6529</v>
      </c>
      <c r="B1606">
        <v>3300009719</v>
      </c>
    </row>
    <row r="1607" spans="1:2">
      <c r="A1607" t="s">
        <v>6672</v>
      </c>
      <c r="B1607">
        <v>2172002</v>
      </c>
    </row>
    <row r="1608" spans="1:2">
      <c r="A1608" t="s">
        <v>6573</v>
      </c>
      <c r="B1608" t="s">
        <v>3727</v>
      </c>
    </row>
    <row r="1609" spans="1:2">
      <c r="A1609" t="s">
        <v>6677</v>
      </c>
      <c r="B1609" t="s">
        <v>3725</v>
      </c>
    </row>
    <row r="1610" spans="1:2">
      <c r="A1610" t="s">
        <v>6645</v>
      </c>
      <c r="B1610" t="s">
        <v>3726</v>
      </c>
    </row>
    <row r="1611" spans="1:2">
      <c r="A1611" t="s">
        <v>6530</v>
      </c>
      <c r="B1611" t="s">
        <v>4100</v>
      </c>
    </row>
    <row r="1612" spans="1:2">
      <c r="A1612" t="s">
        <v>6529</v>
      </c>
      <c r="B1612">
        <v>3300003011</v>
      </c>
    </row>
    <row r="1613" spans="1:2">
      <c r="A1613" t="s">
        <v>6672</v>
      </c>
      <c r="B1613">
        <v>2183599</v>
      </c>
    </row>
    <row r="1614" spans="1:2">
      <c r="A1614" t="s">
        <v>6645</v>
      </c>
      <c r="B1614" t="s">
        <v>4099</v>
      </c>
    </row>
    <row r="1615" spans="1:2">
      <c r="A1615" t="s">
        <v>6677</v>
      </c>
      <c r="B1615">
        <v>5059381</v>
      </c>
    </row>
    <row r="1616" spans="1:2">
      <c r="A1616" t="s">
        <v>6672</v>
      </c>
      <c r="B1616">
        <v>2171996</v>
      </c>
    </row>
    <row r="1617" spans="1:2">
      <c r="A1617" t="s">
        <v>6573</v>
      </c>
      <c r="B1617" t="s">
        <v>6123</v>
      </c>
    </row>
    <row r="1618" spans="1:2">
      <c r="A1618" t="s">
        <v>6645</v>
      </c>
      <c r="B1618" t="s">
        <v>6122</v>
      </c>
    </row>
    <row r="1619" spans="1:2">
      <c r="A1619" t="s">
        <v>6677</v>
      </c>
      <c r="B1619">
        <v>5001449</v>
      </c>
    </row>
    <row r="1620" spans="1:2">
      <c r="A1620" t="s">
        <v>6528</v>
      </c>
      <c r="B1620">
        <v>2114748</v>
      </c>
    </row>
    <row r="1621" spans="1:2">
      <c r="A1621" t="s">
        <v>6677</v>
      </c>
      <c r="B1621">
        <v>5059340</v>
      </c>
    </row>
    <row r="1622" spans="1:2">
      <c r="A1622" t="s">
        <v>6529</v>
      </c>
      <c r="B1622">
        <v>3300005159</v>
      </c>
    </row>
    <row r="1623" spans="1:2">
      <c r="A1623" t="s">
        <v>6573</v>
      </c>
      <c r="B1623" t="s">
        <v>6399</v>
      </c>
    </row>
    <row r="1624" spans="1:2">
      <c r="A1624" t="s">
        <v>6677</v>
      </c>
      <c r="B1624">
        <v>5014447</v>
      </c>
    </row>
    <row r="1625" spans="1:2">
      <c r="A1625" t="s">
        <v>6642</v>
      </c>
      <c r="B1625" t="s">
        <v>6398</v>
      </c>
    </row>
    <row r="1626" spans="1:2">
      <c r="A1626" t="s">
        <v>6529</v>
      </c>
      <c r="B1626">
        <v>3300002809</v>
      </c>
    </row>
    <row r="1627" spans="1:2">
      <c r="A1627" t="s">
        <v>6528</v>
      </c>
      <c r="B1627">
        <v>2117078</v>
      </c>
    </row>
    <row r="1628" spans="1:2">
      <c r="A1628" t="s">
        <v>6530</v>
      </c>
      <c r="B1628" t="s">
        <v>2571</v>
      </c>
    </row>
    <row r="1629" spans="1:2">
      <c r="A1629" t="s">
        <v>6529</v>
      </c>
      <c r="B1629">
        <v>3300011513</v>
      </c>
    </row>
    <row r="1630" spans="1:2">
      <c r="A1630" t="s">
        <v>6528</v>
      </c>
      <c r="B1630">
        <v>2119178</v>
      </c>
    </row>
    <row r="1631" spans="1:2">
      <c r="A1631" t="s">
        <v>6645</v>
      </c>
      <c r="B1631" t="s">
        <v>2570</v>
      </c>
    </row>
    <row r="1632" spans="1:2">
      <c r="A1632" t="s">
        <v>6677</v>
      </c>
      <c r="B1632">
        <v>5031859</v>
      </c>
    </row>
    <row r="1633" spans="1:2">
      <c r="A1633" t="s">
        <v>6529</v>
      </c>
      <c r="B1633">
        <v>3300006802</v>
      </c>
    </row>
    <row r="1634" spans="1:2">
      <c r="A1634" t="s">
        <v>6573</v>
      </c>
      <c r="B1634" t="s">
        <v>2943</v>
      </c>
    </row>
    <row r="1635" spans="1:2">
      <c r="A1635" t="s">
        <v>6528</v>
      </c>
      <c r="B1635">
        <v>2110126</v>
      </c>
    </row>
    <row r="1636" spans="1:2">
      <c r="A1636" t="s">
        <v>6529</v>
      </c>
      <c r="B1636">
        <v>3300004130</v>
      </c>
    </row>
    <row r="1637" spans="1:2">
      <c r="A1637" t="s">
        <v>6530</v>
      </c>
      <c r="B1637" t="s">
        <v>6751</v>
      </c>
    </row>
    <row r="1638" spans="1:2">
      <c r="A1638" t="s">
        <v>6529</v>
      </c>
      <c r="B1638">
        <v>3300004159</v>
      </c>
    </row>
    <row r="1639" spans="1:2">
      <c r="A1639" t="s">
        <v>6528</v>
      </c>
      <c r="B1639">
        <v>2096443</v>
      </c>
    </row>
    <row r="1640" spans="1:2">
      <c r="A1640" t="s">
        <v>6677</v>
      </c>
      <c r="B1640">
        <v>5004783</v>
      </c>
    </row>
    <row r="1641" spans="1:2">
      <c r="A1641" t="s">
        <v>6642</v>
      </c>
      <c r="B1641" t="s">
        <v>3297</v>
      </c>
    </row>
    <row r="1642" spans="1:2">
      <c r="A1642" t="s">
        <v>6677</v>
      </c>
      <c r="B1642" t="s">
        <v>3298</v>
      </c>
    </row>
    <row r="1643" spans="1:2">
      <c r="A1643" t="s">
        <v>6530</v>
      </c>
      <c r="B1643" t="s">
        <v>5323</v>
      </c>
    </row>
    <row r="1644" spans="1:2">
      <c r="A1644" t="s">
        <v>6642</v>
      </c>
      <c r="B1644" t="s">
        <v>5322</v>
      </c>
    </row>
    <row r="1645" spans="1:2">
      <c r="A1645" t="s">
        <v>6529</v>
      </c>
      <c r="B1645">
        <v>3300002825</v>
      </c>
    </row>
    <row r="1646" spans="1:2">
      <c r="A1646" t="s">
        <v>6677</v>
      </c>
      <c r="B1646">
        <v>5014461</v>
      </c>
    </row>
    <row r="1647" spans="1:2">
      <c r="A1647" t="s">
        <v>6530</v>
      </c>
      <c r="B1647" t="s">
        <v>3511</v>
      </c>
    </row>
    <row r="1648" spans="1:2">
      <c r="A1648" t="s">
        <v>6528</v>
      </c>
      <c r="B1648">
        <v>2117067</v>
      </c>
    </row>
    <row r="1649" spans="1:2">
      <c r="A1649" t="s">
        <v>6645</v>
      </c>
      <c r="B1649" t="s">
        <v>3510</v>
      </c>
    </row>
    <row r="1650" spans="1:2">
      <c r="A1650" t="s">
        <v>6677</v>
      </c>
      <c r="B1650">
        <v>5031857</v>
      </c>
    </row>
    <row r="1651" spans="1:2">
      <c r="A1651" t="s">
        <v>6677</v>
      </c>
      <c r="B1651">
        <v>5059368</v>
      </c>
    </row>
    <row r="1652" spans="1:2">
      <c r="A1652" t="s">
        <v>6529</v>
      </c>
      <c r="B1652">
        <v>3300009734</v>
      </c>
    </row>
    <row r="1653" spans="1:2">
      <c r="A1653" t="s">
        <v>6530</v>
      </c>
      <c r="B1653" t="s">
        <v>2978</v>
      </c>
    </row>
    <row r="1654" spans="1:2">
      <c r="A1654" t="s">
        <v>6642</v>
      </c>
      <c r="B1654" t="s">
        <v>2976</v>
      </c>
    </row>
    <row r="1655" spans="1:2">
      <c r="A1655" t="s">
        <v>6677</v>
      </c>
      <c r="B1655">
        <v>5014446</v>
      </c>
    </row>
    <row r="1656" spans="1:2">
      <c r="A1656" t="s">
        <v>6642</v>
      </c>
      <c r="B1656" t="s">
        <v>2977</v>
      </c>
    </row>
    <row r="1657" spans="1:2">
      <c r="A1657" t="s">
        <v>6529</v>
      </c>
      <c r="B1657">
        <v>3300005155</v>
      </c>
    </row>
    <row r="1658" spans="1:2">
      <c r="A1658" t="s">
        <v>6530</v>
      </c>
      <c r="B1658" t="s">
        <v>4653</v>
      </c>
    </row>
    <row r="1659" spans="1:2">
      <c r="A1659" t="s">
        <v>6645</v>
      </c>
      <c r="B1659" t="s">
        <v>4651</v>
      </c>
    </row>
    <row r="1660" spans="1:2">
      <c r="A1660" t="s">
        <v>6529</v>
      </c>
      <c r="B1660">
        <v>3300002819</v>
      </c>
    </row>
    <row r="1661" spans="1:2">
      <c r="A1661" t="s">
        <v>6528</v>
      </c>
      <c r="B1661">
        <v>2114763</v>
      </c>
    </row>
    <row r="1662" spans="1:2">
      <c r="A1662" t="s">
        <v>6645</v>
      </c>
      <c r="B1662" t="s">
        <v>4652</v>
      </c>
    </row>
    <row r="1663" spans="1:2">
      <c r="A1663" t="s">
        <v>6530</v>
      </c>
      <c r="B1663" t="s">
        <v>5810</v>
      </c>
    </row>
    <row r="1664" spans="1:2">
      <c r="A1664" t="s">
        <v>6677</v>
      </c>
      <c r="B1664">
        <v>5014455</v>
      </c>
    </row>
    <row r="1665" spans="1:2">
      <c r="A1665" t="s">
        <v>6529</v>
      </c>
      <c r="B1665">
        <v>3300002828</v>
      </c>
    </row>
    <row r="1666" spans="1:2">
      <c r="A1666" t="s">
        <v>6642</v>
      </c>
      <c r="B1666" t="s">
        <v>5809</v>
      </c>
    </row>
    <row r="1667" spans="1:2">
      <c r="A1667" t="s">
        <v>6530</v>
      </c>
      <c r="B1667" t="s">
        <v>6104</v>
      </c>
    </row>
    <row r="1668" spans="1:2">
      <c r="A1668" t="s">
        <v>6529</v>
      </c>
      <c r="B1668">
        <v>3300003007</v>
      </c>
    </row>
    <row r="1669" spans="1:2">
      <c r="A1669" t="s">
        <v>6677</v>
      </c>
      <c r="B1669">
        <v>5001469</v>
      </c>
    </row>
    <row r="1670" spans="1:2">
      <c r="A1670" t="s">
        <v>6642</v>
      </c>
      <c r="B1670" t="s">
        <v>6103</v>
      </c>
    </row>
    <row r="1671" spans="1:2">
      <c r="A1671" t="s">
        <v>6677</v>
      </c>
      <c r="B1671">
        <v>5001445</v>
      </c>
    </row>
    <row r="1672" spans="1:2">
      <c r="A1672" t="s">
        <v>6529</v>
      </c>
      <c r="B1672">
        <v>3300002997</v>
      </c>
    </row>
    <row r="1673" spans="1:2">
      <c r="A1673" t="s">
        <v>6573</v>
      </c>
      <c r="B1673" t="s">
        <v>2186</v>
      </c>
    </row>
    <row r="1674" spans="1:2">
      <c r="A1674" t="s">
        <v>6677</v>
      </c>
      <c r="B1674">
        <v>5049720</v>
      </c>
    </row>
    <row r="1675" spans="1:2">
      <c r="A1675" t="s">
        <v>6645</v>
      </c>
      <c r="B1675" t="s">
        <v>2184</v>
      </c>
    </row>
    <row r="1676" spans="1:2">
      <c r="A1676" t="s">
        <v>6672</v>
      </c>
      <c r="B1676">
        <v>2171936</v>
      </c>
    </row>
    <row r="1677" spans="1:2">
      <c r="A1677" t="s">
        <v>6677</v>
      </c>
      <c r="B1677">
        <v>5049711</v>
      </c>
    </row>
    <row r="1678" spans="1:2">
      <c r="A1678" t="s">
        <v>6632</v>
      </c>
      <c r="B1678" t="s">
        <v>2185</v>
      </c>
    </row>
    <row r="1679" spans="1:2">
      <c r="A1679" t="s">
        <v>6530</v>
      </c>
      <c r="B1679" t="s">
        <v>4532</v>
      </c>
    </row>
    <row r="1680" spans="1:2">
      <c r="A1680" t="s">
        <v>6528</v>
      </c>
      <c r="B1680">
        <v>2103898</v>
      </c>
    </row>
    <row r="1681" spans="1:2">
      <c r="A1681" t="s">
        <v>6642</v>
      </c>
      <c r="B1681" t="s">
        <v>4530</v>
      </c>
    </row>
    <row r="1682" spans="1:2">
      <c r="A1682" t="s">
        <v>6642</v>
      </c>
      <c r="B1682" t="s">
        <v>4531</v>
      </c>
    </row>
    <row r="1683" spans="1:2">
      <c r="A1683" t="s">
        <v>6529</v>
      </c>
      <c r="B1683">
        <v>3300003627</v>
      </c>
    </row>
    <row r="1684" spans="1:2">
      <c r="A1684" t="s">
        <v>6530</v>
      </c>
      <c r="B1684" t="s">
        <v>6007</v>
      </c>
    </row>
    <row r="1685" spans="1:2">
      <c r="A1685" t="s">
        <v>6528</v>
      </c>
      <c r="B1685">
        <v>2103945</v>
      </c>
    </row>
    <row r="1686" spans="1:2">
      <c r="A1686" t="s">
        <v>6645</v>
      </c>
      <c r="B1686" t="s">
        <v>6005</v>
      </c>
    </row>
    <row r="1687" spans="1:2">
      <c r="A1687" t="s">
        <v>6528</v>
      </c>
      <c r="B1687">
        <v>2103938</v>
      </c>
    </row>
    <row r="1688" spans="1:2">
      <c r="A1688" t="s">
        <v>6645</v>
      </c>
      <c r="B1688" t="s">
        <v>6006</v>
      </c>
    </row>
    <row r="1689" spans="1:2">
      <c r="A1689" t="s">
        <v>6573</v>
      </c>
      <c r="B1689" t="s">
        <v>1205</v>
      </c>
    </row>
    <row r="1690" spans="1:2">
      <c r="A1690" t="s">
        <v>6529</v>
      </c>
      <c r="B1690">
        <v>3300002955</v>
      </c>
    </row>
    <row r="1691" spans="1:2">
      <c r="A1691" t="s">
        <v>6528</v>
      </c>
      <c r="B1691">
        <v>2103493</v>
      </c>
    </row>
    <row r="1692" spans="1:2">
      <c r="A1692" t="s">
        <v>6677</v>
      </c>
      <c r="B1692">
        <v>5059310</v>
      </c>
    </row>
    <row r="1693" spans="1:2">
      <c r="A1693" t="s">
        <v>6530</v>
      </c>
      <c r="B1693" t="s">
        <v>6068</v>
      </c>
    </row>
    <row r="1694" spans="1:2">
      <c r="A1694" t="s">
        <v>6529</v>
      </c>
      <c r="B1694">
        <v>3300002990</v>
      </c>
    </row>
    <row r="1695" spans="1:2">
      <c r="A1695" t="s">
        <v>6677</v>
      </c>
      <c r="B1695">
        <v>5001467</v>
      </c>
    </row>
    <row r="1696" spans="1:2">
      <c r="A1696" t="s">
        <v>6642</v>
      </c>
      <c r="B1696" t="s">
        <v>6067</v>
      </c>
    </row>
    <row r="1697" spans="1:2">
      <c r="A1697" t="s">
        <v>6528</v>
      </c>
      <c r="B1697">
        <v>2103512</v>
      </c>
    </row>
    <row r="1698" spans="1:2">
      <c r="A1698" t="s">
        <v>6528</v>
      </c>
      <c r="B1698">
        <v>2116262</v>
      </c>
    </row>
    <row r="1699" spans="1:2">
      <c r="A1699" t="s">
        <v>6530</v>
      </c>
      <c r="B1699" t="s">
        <v>5422</v>
      </c>
    </row>
    <row r="1700" spans="1:2">
      <c r="A1700" t="s">
        <v>6645</v>
      </c>
      <c r="B1700" t="s">
        <v>5421</v>
      </c>
    </row>
    <row r="1701" spans="1:2">
      <c r="A1701" t="s">
        <v>6672</v>
      </c>
      <c r="B1701">
        <v>2171999</v>
      </c>
    </row>
    <row r="1702" spans="1:2">
      <c r="A1702" t="s">
        <v>6530</v>
      </c>
      <c r="B1702" t="s">
        <v>6449</v>
      </c>
    </row>
    <row r="1703" spans="1:2">
      <c r="A1703" t="s">
        <v>6528</v>
      </c>
      <c r="B1703">
        <v>2103435</v>
      </c>
    </row>
    <row r="1704" spans="1:2">
      <c r="A1704" t="s">
        <v>6677</v>
      </c>
      <c r="B1704">
        <v>5012465</v>
      </c>
    </row>
    <row r="1705" spans="1:2">
      <c r="A1705" t="s">
        <v>6677</v>
      </c>
      <c r="B1705">
        <v>5012466</v>
      </c>
    </row>
    <row r="1706" spans="1:2">
      <c r="A1706" t="s">
        <v>6529</v>
      </c>
      <c r="B1706">
        <v>3300001280</v>
      </c>
    </row>
    <row r="1707" spans="1:2">
      <c r="A1707" t="s">
        <v>6529</v>
      </c>
      <c r="B1707">
        <v>3300001286</v>
      </c>
    </row>
    <row r="1708" spans="1:2">
      <c r="A1708" t="s">
        <v>6530</v>
      </c>
      <c r="B1708" t="s">
        <v>2233</v>
      </c>
    </row>
    <row r="1709" spans="1:2">
      <c r="A1709" t="s">
        <v>6528</v>
      </c>
      <c r="B1709">
        <v>2103906</v>
      </c>
    </row>
    <row r="1710" spans="1:2">
      <c r="A1710" t="s">
        <v>6529</v>
      </c>
      <c r="B1710">
        <v>3300003630</v>
      </c>
    </row>
    <row r="1711" spans="1:2">
      <c r="A1711" t="s">
        <v>6528</v>
      </c>
      <c r="B1711">
        <v>2103952</v>
      </c>
    </row>
    <row r="1712" spans="1:2">
      <c r="A1712" t="s">
        <v>6683</v>
      </c>
      <c r="B1712" t="s">
        <v>2231</v>
      </c>
    </row>
    <row r="1713" spans="1:2">
      <c r="A1713" t="s">
        <v>6645</v>
      </c>
      <c r="B1713" t="s">
        <v>2232</v>
      </c>
    </row>
    <row r="1714" spans="1:2">
      <c r="A1714" t="s">
        <v>6530</v>
      </c>
      <c r="B1714" t="s">
        <v>6474</v>
      </c>
    </row>
    <row r="1715" spans="1:2">
      <c r="A1715" t="s">
        <v>6528</v>
      </c>
      <c r="B1715">
        <v>2103533</v>
      </c>
    </row>
    <row r="1716" spans="1:2">
      <c r="A1716" t="s">
        <v>6642</v>
      </c>
      <c r="B1716" t="s">
        <v>6473</v>
      </c>
    </row>
    <row r="1717" spans="1:2">
      <c r="A1717" t="s">
        <v>6530</v>
      </c>
      <c r="B1717" t="s">
        <v>2796</v>
      </c>
    </row>
    <row r="1718" spans="1:2">
      <c r="A1718" t="s">
        <v>6528</v>
      </c>
      <c r="B1718">
        <v>2103893</v>
      </c>
    </row>
    <row r="1719" spans="1:2">
      <c r="A1719" t="s">
        <v>6645</v>
      </c>
      <c r="B1719" t="s">
        <v>2795</v>
      </c>
    </row>
    <row r="1720" spans="1:2">
      <c r="A1720" t="s">
        <v>6677</v>
      </c>
      <c r="B1720">
        <v>5059362</v>
      </c>
    </row>
    <row r="1721" spans="1:2">
      <c r="A1721" t="s">
        <v>6677</v>
      </c>
      <c r="B1721">
        <v>5014448</v>
      </c>
    </row>
    <row r="1722" spans="1:2">
      <c r="A1722" t="s">
        <v>6530</v>
      </c>
      <c r="B1722" t="s">
        <v>3527</v>
      </c>
    </row>
    <row r="1723" spans="1:2">
      <c r="A1723" t="s">
        <v>6528</v>
      </c>
      <c r="B1723">
        <v>2103903</v>
      </c>
    </row>
    <row r="1724" spans="1:2">
      <c r="A1724" t="s">
        <v>6645</v>
      </c>
      <c r="B1724" t="s">
        <v>3525</v>
      </c>
    </row>
    <row r="1725" spans="1:2">
      <c r="A1725" t="s">
        <v>6529</v>
      </c>
      <c r="B1725">
        <v>3300003608</v>
      </c>
    </row>
    <row r="1726" spans="1:2">
      <c r="A1726" t="s">
        <v>6660</v>
      </c>
      <c r="B1726" t="s">
        <v>3526</v>
      </c>
    </row>
    <row r="1727" spans="1:2">
      <c r="A1727" t="s">
        <v>6530</v>
      </c>
      <c r="B1727" t="s">
        <v>5906</v>
      </c>
    </row>
    <row r="1728" spans="1:2">
      <c r="A1728" t="s">
        <v>6677</v>
      </c>
      <c r="B1728" t="s">
        <v>5904</v>
      </c>
    </row>
    <row r="1729" spans="1:2">
      <c r="A1729" t="s">
        <v>6642</v>
      </c>
      <c r="B1729" t="s">
        <v>5905</v>
      </c>
    </row>
    <row r="1730" spans="1:2">
      <c r="A1730" t="s">
        <v>6677</v>
      </c>
      <c r="B1730">
        <v>5031830</v>
      </c>
    </row>
    <row r="1731" spans="1:2">
      <c r="A1731" t="s">
        <v>6529</v>
      </c>
      <c r="B1731">
        <v>3300008158</v>
      </c>
    </row>
    <row r="1732" spans="1:2">
      <c r="A1732" t="s">
        <v>6528</v>
      </c>
      <c r="B1732">
        <v>2119217</v>
      </c>
    </row>
    <row r="1733" spans="1:2">
      <c r="A1733" t="s">
        <v>6573</v>
      </c>
      <c r="B1733" t="s">
        <v>2764</v>
      </c>
    </row>
    <row r="1734" spans="1:2">
      <c r="A1734" t="s">
        <v>6528</v>
      </c>
      <c r="B1734">
        <v>2117070</v>
      </c>
    </row>
    <row r="1735" spans="1:2">
      <c r="A1735" t="s">
        <v>6677</v>
      </c>
      <c r="B1735">
        <v>5031901</v>
      </c>
    </row>
    <row r="1736" spans="1:2">
      <c r="A1736" t="s">
        <v>6529</v>
      </c>
      <c r="B1736">
        <v>3300006805</v>
      </c>
    </row>
    <row r="1737" spans="1:2">
      <c r="A1737" t="s">
        <v>6530</v>
      </c>
      <c r="B1737" t="s">
        <v>2444</v>
      </c>
    </row>
    <row r="1738" spans="1:2">
      <c r="A1738" t="s">
        <v>6674</v>
      </c>
      <c r="B1738">
        <v>1769583</v>
      </c>
    </row>
    <row r="1739" spans="1:2">
      <c r="A1739" t="s">
        <v>6645</v>
      </c>
      <c r="B1739" t="s">
        <v>2443</v>
      </c>
    </row>
    <row r="1740" spans="1:2">
      <c r="A1740" t="s">
        <v>6529</v>
      </c>
      <c r="B1740">
        <v>3300002987</v>
      </c>
    </row>
    <row r="1741" spans="1:2">
      <c r="A1741" t="s">
        <v>6529</v>
      </c>
      <c r="B1741">
        <v>3300011812</v>
      </c>
    </row>
    <row r="1742" spans="1:2">
      <c r="A1742" t="s">
        <v>6530</v>
      </c>
      <c r="B1742" t="s">
        <v>1853</v>
      </c>
    </row>
    <row r="1743" spans="1:2">
      <c r="A1743" t="s">
        <v>6677</v>
      </c>
      <c r="B1743" t="s">
        <v>1851</v>
      </c>
    </row>
    <row r="1744" spans="1:2">
      <c r="A1744" t="s">
        <v>6645</v>
      </c>
      <c r="B1744" t="s">
        <v>1852</v>
      </c>
    </row>
    <row r="1745" spans="1:2">
      <c r="A1745" t="s">
        <v>6528</v>
      </c>
      <c r="B1745">
        <v>2116265</v>
      </c>
    </row>
    <row r="1746" spans="1:2">
      <c r="A1746" t="s">
        <v>6530</v>
      </c>
      <c r="B1746" t="s">
        <v>2333</v>
      </c>
    </row>
    <row r="1747" spans="1:2">
      <c r="A1747" t="s">
        <v>6677</v>
      </c>
      <c r="B1747">
        <v>5059333</v>
      </c>
    </row>
    <row r="1748" spans="1:2">
      <c r="A1748" t="s">
        <v>6645</v>
      </c>
      <c r="B1748" t="s">
        <v>2332</v>
      </c>
    </row>
    <row r="1749" spans="1:2">
      <c r="A1749" t="s">
        <v>6529</v>
      </c>
      <c r="B1749">
        <v>3300003607</v>
      </c>
    </row>
    <row r="1750" spans="1:2">
      <c r="A1750" t="s">
        <v>6528</v>
      </c>
      <c r="B1750">
        <v>2103936</v>
      </c>
    </row>
    <row r="1751" spans="1:2">
      <c r="A1751" t="s">
        <v>6677</v>
      </c>
      <c r="B1751">
        <v>5031889</v>
      </c>
    </row>
    <row r="1752" spans="1:2">
      <c r="A1752" t="s">
        <v>6530</v>
      </c>
      <c r="B1752" t="s">
        <v>4633</v>
      </c>
    </row>
    <row r="1753" spans="1:2">
      <c r="A1753" t="s">
        <v>6528</v>
      </c>
      <c r="B1753">
        <v>2103913</v>
      </c>
    </row>
    <row r="1754" spans="1:2">
      <c r="A1754" t="s">
        <v>6642</v>
      </c>
      <c r="B1754" t="s">
        <v>4632</v>
      </c>
    </row>
    <row r="1755" spans="1:2">
      <c r="A1755" t="s">
        <v>6529</v>
      </c>
      <c r="B1755">
        <v>3300003610</v>
      </c>
    </row>
    <row r="1756" spans="1:2">
      <c r="A1756" t="s">
        <v>6528</v>
      </c>
      <c r="B1756">
        <v>2103934</v>
      </c>
    </row>
    <row r="1757" spans="1:2">
      <c r="A1757" t="s">
        <v>6530</v>
      </c>
      <c r="B1757" t="s">
        <v>6045</v>
      </c>
    </row>
    <row r="1758" spans="1:2">
      <c r="A1758" t="s">
        <v>6528</v>
      </c>
      <c r="B1758">
        <v>2103719</v>
      </c>
    </row>
    <row r="1759" spans="1:2">
      <c r="A1759" t="s">
        <v>6645</v>
      </c>
      <c r="B1759" t="s">
        <v>6044</v>
      </c>
    </row>
    <row r="1760" spans="1:2">
      <c r="A1760" t="s">
        <v>6528</v>
      </c>
      <c r="B1760">
        <v>2110153</v>
      </c>
    </row>
    <row r="1761" spans="1:2">
      <c r="A1761" t="s">
        <v>6573</v>
      </c>
      <c r="B1761" t="s">
        <v>5349</v>
      </c>
    </row>
    <row r="1762" spans="1:2">
      <c r="A1762" t="s">
        <v>6645</v>
      </c>
      <c r="B1762" t="s">
        <v>5348</v>
      </c>
    </row>
    <row r="1763" spans="1:2">
      <c r="A1763" t="s">
        <v>6672</v>
      </c>
      <c r="B1763">
        <v>2172010</v>
      </c>
    </row>
    <row r="1764" spans="1:2">
      <c r="A1764" t="s">
        <v>6530</v>
      </c>
      <c r="B1764" t="s">
        <v>3179</v>
      </c>
    </row>
    <row r="1765" spans="1:2">
      <c r="A1765" t="s">
        <v>6529</v>
      </c>
      <c r="B1765">
        <v>3300004160</v>
      </c>
    </row>
    <row r="1766" spans="1:2">
      <c r="A1766" t="s">
        <v>6528</v>
      </c>
      <c r="B1766">
        <v>2110274</v>
      </c>
    </row>
    <row r="1767" spans="1:2">
      <c r="A1767" t="s">
        <v>6677</v>
      </c>
      <c r="B1767">
        <v>5004782</v>
      </c>
    </row>
    <row r="1768" spans="1:2">
      <c r="A1768" t="s">
        <v>6530</v>
      </c>
      <c r="B1768" t="s">
        <v>3749</v>
      </c>
    </row>
    <row r="1769" spans="1:2">
      <c r="A1769" t="s">
        <v>6528</v>
      </c>
      <c r="B1769">
        <v>2116282</v>
      </c>
    </row>
    <row r="1770" spans="1:2">
      <c r="A1770" t="s">
        <v>6677</v>
      </c>
      <c r="B1770">
        <v>5031832</v>
      </c>
    </row>
    <row r="1771" spans="1:2">
      <c r="A1771" t="s">
        <v>6530</v>
      </c>
      <c r="B1771" t="s">
        <v>2483</v>
      </c>
    </row>
    <row r="1772" spans="1:2">
      <c r="A1772" t="s">
        <v>6528</v>
      </c>
      <c r="B1772">
        <v>2103889</v>
      </c>
    </row>
    <row r="1773" spans="1:2">
      <c r="A1773" t="s">
        <v>6645</v>
      </c>
      <c r="B1773" t="s">
        <v>2481</v>
      </c>
    </row>
    <row r="1774" spans="1:2">
      <c r="A1774" t="s">
        <v>6528</v>
      </c>
      <c r="B1774">
        <v>2103933</v>
      </c>
    </row>
    <row r="1775" spans="1:2">
      <c r="A1775" t="s">
        <v>6529</v>
      </c>
      <c r="B1775">
        <v>3300010700</v>
      </c>
    </row>
    <row r="1776" spans="1:2">
      <c r="A1776" t="s">
        <v>6677</v>
      </c>
      <c r="B1776" t="s">
        <v>2482</v>
      </c>
    </row>
    <row r="1777" spans="1:2">
      <c r="A1777" t="s">
        <v>6530</v>
      </c>
      <c r="B1777" t="s">
        <v>6134</v>
      </c>
    </row>
    <row r="1778" spans="1:2">
      <c r="A1778" t="s">
        <v>6683</v>
      </c>
      <c r="B1778" t="s">
        <v>6132</v>
      </c>
    </row>
    <row r="1779" spans="1:2">
      <c r="A1779" t="s">
        <v>6645</v>
      </c>
      <c r="B1779" t="s">
        <v>6133</v>
      </c>
    </row>
    <row r="1780" spans="1:2">
      <c r="A1780" t="s">
        <v>6677</v>
      </c>
      <c r="B1780">
        <v>5033029</v>
      </c>
    </row>
    <row r="1781" spans="1:2">
      <c r="A1781" t="s">
        <v>6528</v>
      </c>
      <c r="B1781">
        <v>2103768</v>
      </c>
    </row>
    <row r="1782" spans="1:2">
      <c r="A1782" t="s">
        <v>6529</v>
      </c>
      <c r="B1782">
        <v>3300009755</v>
      </c>
    </row>
    <row r="1783" spans="1:2">
      <c r="A1783" t="s">
        <v>6573</v>
      </c>
      <c r="B1783" t="s">
        <v>1703</v>
      </c>
    </row>
    <row r="1784" spans="1:2">
      <c r="A1784" t="s">
        <v>6677</v>
      </c>
      <c r="B1784">
        <v>5014453</v>
      </c>
    </row>
    <row r="1785" spans="1:2">
      <c r="A1785" t="s">
        <v>6642</v>
      </c>
      <c r="B1785" t="s">
        <v>1702</v>
      </c>
    </row>
    <row r="1786" spans="1:2">
      <c r="A1786" t="s">
        <v>6529</v>
      </c>
      <c r="B1786">
        <v>3300005178</v>
      </c>
    </row>
    <row r="1787" spans="1:2">
      <c r="A1787" t="s">
        <v>6528</v>
      </c>
      <c r="B1787">
        <v>2116315</v>
      </c>
    </row>
    <row r="1788" spans="1:2">
      <c r="A1788" t="s">
        <v>6530</v>
      </c>
      <c r="B1788" t="s">
        <v>1696</v>
      </c>
    </row>
    <row r="1789" spans="1:2">
      <c r="A1789" t="s">
        <v>6642</v>
      </c>
      <c r="B1789" t="s">
        <v>1695</v>
      </c>
    </row>
    <row r="1790" spans="1:2">
      <c r="A1790" t="s">
        <v>6529</v>
      </c>
      <c r="B1790">
        <v>3300005161</v>
      </c>
    </row>
    <row r="1791" spans="1:2">
      <c r="A1791" t="s">
        <v>6672</v>
      </c>
      <c r="B1791">
        <v>2171956</v>
      </c>
    </row>
    <row r="1792" spans="1:2">
      <c r="A1792" t="s">
        <v>6645</v>
      </c>
      <c r="B1792" t="s">
        <v>6752</v>
      </c>
    </row>
    <row r="1793" spans="1:2">
      <c r="A1793" t="s">
        <v>6530</v>
      </c>
      <c r="B1793" t="s">
        <v>4202</v>
      </c>
    </row>
    <row r="1794" spans="1:2">
      <c r="A1794" t="s">
        <v>6528</v>
      </c>
      <c r="B1794">
        <v>2103911</v>
      </c>
    </row>
    <row r="1795" spans="1:2">
      <c r="A1795" t="s">
        <v>6645</v>
      </c>
      <c r="B1795" t="s">
        <v>4200</v>
      </c>
    </row>
    <row r="1796" spans="1:2">
      <c r="A1796" t="s">
        <v>6529</v>
      </c>
      <c r="B1796">
        <v>3300003623</v>
      </c>
    </row>
    <row r="1797" spans="1:2">
      <c r="A1797" t="s">
        <v>6683</v>
      </c>
      <c r="B1797" t="s">
        <v>4201</v>
      </c>
    </row>
    <row r="1798" spans="1:2">
      <c r="A1798" t="s">
        <v>6528</v>
      </c>
      <c r="B1798">
        <v>2103905</v>
      </c>
    </row>
    <row r="1799" spans="1:2">
      <c r="A1799" t="s">
        <v>6530</v>
      </c>
      <c r="B1799" t="s">
        <v>3213</v>
      </c>
    </row>
    <row r="1800" spans="1:2">
      <c r="A1800" t="s">
        <v>6677</v>
      </c>
      <c r="B1800" t="s">
        <v>3211</v>
      </c>
    </row>
    <row r="1801" spans="1:2">
      <c r="A1801" t="s">
        <v>6529</v>
      </c>
      <c r="B1801">
        <v>3300004152</v>
      </c>
    </row>
    <row r="1802" spans="1:2">
      <c r="A1802" t="s">
        <v>6528</v>
      </c>
      <c r="B1802">
        <v>2096458</v>
      </c>
    </row>
    <row r="1803" spans="1:2">
      <c r="A1803" t="s">
        <v>6529</v>
      </c>
      <c r="B1803">
        <v>3300004155</v>
      </c>
    </row>
    <row r="1804" spans="1:2">
      <c r="A1804" t="s">
        <v>6642</v>
      </c>
      <c r="B1804" t="s">
        <v>3212</v>
      </c>
    </row>
    <row r="1805" spans="1:2">
      <c r="A1805" t="s">
        <v>6530</v>
      </c>
      <c r="B1805" t="s">
        <v>4298</v>
      </c>
    </row>
    <row r="1806" spans="1:2">
      <c r="A1806" t="s">
        <v>6683</v>
      </c>
      <c r="B1806" t="s">
        <v>4296</v>
      </c>
    </row>
    <row r="1807" spans="1:2">
      <c r="A1807" t="s">
        <v>6528</v>
      </c>
      <c r="B1807">
        <v>2116270</v>
      </c>
    </row>
    <row r="1808" spans="1:2">
      <c r="A1808" t="s">
        <v>6645</v>
      </c>
      <c r="B1808" t="s">
        <v>4297</v>
      </c>
    </row>
    <row r="1809" spans="1:2">
      <c r="A1809" t="s">
        <v>6529</v>
      </c>
      <c r="B1809">
        <v>3300005145</v>
      </c>
    </row>
    <row r="1810" spans="1:2">
      <c r="A1810" t="s">
        <v>6677</v>
      </c>
      <c r="B1810">
        <v>5040893</v>
      </c>
    </row>
    <row r="1811" spans="1:2">
      <c r="A1811" t="s">
        <v>6530</v>
      </c>
      <c r="B1811" t="s">
        <v>5973</v>
      </c>
    </row>
    <row r="1812" spans="1:2">
      <c r="A1812" t="s">
        <v>6528</v>
      </c>
      <c r="B1812">
        <v>2110074</v>
      </c>
    </row>
    <row r="1813" spans="1:2">
      <c r="A1813" t="s">
        <v>6645</v>
      </c>
      <c r="B1813" t="s">
        <v>5972</v>
      </c>
    </row>
    <row r="1814" spans="1:2">
      <c r="A1814" t="s">
        <v>6528</v>
      </c>
      <c r="B1814">
        <v>2103950</v>
      </c>
    </row>
    <row r="1815" spans="1:2">
      <c r="A1815" t="s">
        <v>6529</v>
      </c>
      <c r="B1815">
        <v>3300003613</v>
      </c>
    </row>
    <row r="1816" spans="1:2">
      <c r="A1816" t="s">
        <v>6528</v>
      </c>
      <c r="B1816">
        <v>2103862</v>
      </c>
    </row>
    <row r="1817" spans="1:2">
      <c r="A1817" t="s">
        <v>6530</v>
      </c>
      <c r="B1817" t="s">
        <v>3305</v>
      </c>
    </row>
    <row r="1818" spans="1:2">
      <c r="A1818" t="s">
        <v>6677</v>
      </c>
      <c r="B1818">
        <v>5031880</v>
      </c>
    </row>
    <row r="1819" spans="1:2">
      <c r="A1819" t="s">
        <v>6528</v>
      </c>
      <c r="B1819">
        <v>2119273</v>
      </c>
    </row>
    <row r="1820" spans="1:2">
      <c r="A1820" t="s">
        <v>6642</v>
      </c>
      <c r="B1820" t="s">
        <v>3304</v>
      </c>
    </row>
    <row r="1821" spans="1:2">
      <c r="A1821" t="s">
        <v>6530</v>
      </c>
      <c r="B1821" t="s">
        <v>2254</v>
      </c>
    </row>
    <row r="1822" spans="1:2">
      <c r="A1822" t="s">
        <v>6642</v>
      </c>
      <c r="B1822" t="s">
        <v>2253</v>
      </c>
    </row>
    <row r="1823" spans="1:2">
      <c r="A1823" t="s">
        <v>6529</v>
      </c>
      <c r="B1823">
        <v>3300005164</v>
      </c>
    </row>
    <row r="1824" spans="1:2">
      <c r="A1824" t="s">
        <v>6677</v>
      </c>
      <c r="B1824">
        <v>5059304</v>
      </c>
    </row>
    <row r="1825" spans="1:2">
      <c r="A1825" t="s">
        <v>6529</v>
      </c>
      <c r="B1825">
        <v>3300002822</v>
      </c>
    </row>
    <row r="1826" spans="1:2">
      <c r="A1826" t="s">
        <v>6672</v>
      </c>
      <c r="B1826">
        <v>2183577</v>
      </c>
    </row>
    <row r="1827" spans="1:2">
      <c r="A1827" t="s">
        <v>6573</v>
      </c>
      <c r="B1827" t="s">
        <v>5118</v>
      </c>
    </row>
    <row r="1828" spans="1:2">
      <c r="A1828" t="s">
        <v>6677</v>
      </c>
      <c r="B1828">
        <v>5045688</v>
      </c>
    </row>
    <row r="1829" spans="1:2">
      <c r="A1829" t="s">
        <v>6528</v>
      </c>
      <c r="B1829">
        <v>2117096</v>
      </c>
    </row>
    <row r="1830" spans="1:2">
      <c r="A1830" t="s">
        <v>6645</v>
      </c>
      <c r="B1830" t="s">
        <v>5116</v>
      </c>
    </row>
    <row r="1831" spans="1:2">
      <c r="A1831" t="s">
        <v>6642</v>
      </c>
      <c r="B1831" t="s">
        <v>5117</v>
      </c>
    </row>
    <row r="1832" spans="1:2">
      <c r="A1832" t="s">
        <v>6529</v>
      </c>
      <c r="B1832">
        <v>3300003619</v>
      </c>
    </row>
    <row r="1833" spans="1:2">
      <c r="A1833" t="s">
        <v>6530</v>
      </c>
      <c r="B1833" t="s">
        <v>932</v>
      </c>
    </row>
    <row r="1834" spans="1:2">
      <c r="A1834" t="s">
        <v>6529</v>
      </c>
      <c r="B1834">
        <v>3300009471</v>
      </c>
    </row>
    <row r="1835" spans="1:2">
      <c r="A1835" t="s">
        <v>6528</v>
      </c>
      <c r="B1835">
        <v>2110066</v>
      </c>
    </row>
    <row r="1836" spans="1:2">
      <c r="A1836" t="s">
        <v>6642</v>
      </c>
      <c r="B1836" t="s">
        <v>930</v>
      </c>
    </row>
    <row r="1837" spans="1:2">
      <c r="A1837" t="s">
        <v>6528</v>
      </c>
      <c r="B1837">
        <v>2110079</v>
      </c>
    </row>
    <row r="1838" spans="1:2">
      <c r="A1838" t="s">
        <v>6645</v>
      </c>
      <c r="B1838" t="s">
        <v>931</v>
      </c>
    </row>
    <row r="1839" spans="1:2">
      <c r="A1839" t="s">
        <v>6573</v>
      </c>
      <c r="B1839" t="s">
        <v>3945</v>
      </c>
    </row>
    <row r="1840" spans="1:2">
      <c r="A1840" t="s">
        <v>6528</v>
      </c>
      <c r="B1840">
        <v>2103455</v>
      </c>
    </row>
    <row r="1841" spans="1:2">
      <c r="A1841" t="s">
        <v>6677</v>
      </c>
      <c r="B1841" t="s">
        <v>3944</v>
      </c>
    </row>
    <row r="1842" spans="1:2">
      <c r="A1842" t="s">
        <v>6675</v>
      </c>
      <c r="B1842">
        <v>3400001167</v>
      </c>
    </row>
    <row r="1843" spans="1:2">
      <c r="A1843" t="s">
        <v>6573</v>
      </c>
      <c r="B1843" t="s">
        <v>2859</v>
      </c>
    </row>
    <row r="1844" spans="1:2">
      <c r="A1844" t="s">
        <v>6677</v>
      </c>
      <c r="B1844">
        <v>5059336</v>
      </c>
    </row>
    <row r="1845" spans="1:2">
      <c r="A1845" t="s">
        <v>6528</v>
      </c>
      <c r="B1845">
        <v>2114773</v>
      </c>
    </row>
    <row r="1846" spans="1:2">
      <c r="A1846" t="s">
        <v>6529</v>
      </c>
      <c r="B1846">
        <v>3300012270</v>
      </c>
    </row>
    <row r="1847" spans="1:2">
      <c r="A1847" t="s">
        <v>6530</v>
      </c>
      <c r="B1847" t="s">
        <v>3393</v>
      </c>
    </row>
    <row r="1848" spans="1:2">
      <c r="A1848" t="s">
        <v>6529</v>
      </c>
      <c r="B1848">
        <v>3300005140</v>
      </c>
    </row>
    <row r="1849" spans="1:2">
      <c r="A1849" t="s">
        <v>6528</v>
      </c>
      <c r="B1849">
        <v>2103460</v>
      </c>
    </row>
    <row r="1850" spans="1:2">
      <c r="A1850" t="s">
        <v>6677</v>
      </c>
      <c r="B1850">
        <v>5006424</v>
      </c>
    </row>
    <row r="1851" spans="1:2">
      <c r="A1851" t="s">
        <v>6530</v>
      </c>
      <c r="B1851" t="s">
        <v>1480</v>
      </c>
    </row>
    <row r="1852" spans="1:2">
      <c r="A1852" t="s">
        <v>6645</v>
      </c>
      <c r="B1852" t="s">
        <v>1479</v>
      </c>
    </row>
    <row r="1853" spans="1:2">
      <c r="A1853" t="s">
        <v>6529</v>
      </c>
      <c r="B1853">
        <v>3300009518</v>
      </c>
    </row>
    <row r="1854" spans="1:2">
      <c r="A1854" t="s">
        <v>6672</v>
      </c>
      <c r="B1854">
        <v>2171909</v>
      </c>
    </row>
    <row r="1855" spans="1:2">
      <c r="A1855" t="s">
        <v>6530</v>
      </c>
      <c r="B1855" t="s">
        <v>5396</v>
      </c>
    </row>
    <row r="1856" spans="1:2">
      <c r="A1856" t="s">
        <v>6528</v>
      </c>
      <c r="B1856">
        <v>2114682</v>
      </c>
    </row>
    <row r="1857" spans="1:2">
      <c r="A1857" t="s">
        <v>6642</v>
      </c>
      <c r="B1857" t="s">
        <v>5395</v>
      </c>
    </row>
    <row r="1858" spans="1:2">
      <c r="A1858" t="s">
        <v>6677</v>
      </c>
      <c r="B1858">
        <v>5003089</v>
      </c>
    </row>
    <row r="1859" spans="1:2">
      <c r="A1859" t="s">
        <v>6529</v>
      </c>
      <c r="B1859">
        <v>3300003019</v>
      </c>
    </row>
    <row r="1860" spans="1:2">
      <c r="A1860" t="s">
        <v>6530</v>
      </c>
      <c r="B1860" t="s">
        <v>2839</v>
      </c>
    </row>
    <row r="1861" spans="1:2">
      <c r="A1861" t="s">
        <v>6528</v>
      </c>
      <c r="B1861">
        <v>2114731</v>
      </c>
    </row>
    <row r="1862" spans="1:2">
      <c r="A1862" t="s">
        <v>6529</v>
      </c>
      <c r="B1862">
        <v>3300002942</v>
      </c>
    </row>
    <row r="1863" spans="1:2">
      <c r="A1863" t="s">
        <v>6528</v>
      </c>
      <c r="B1863">
        <v>2103891</v>
      </c>
    </row>
    <row r="1864" spans="1:2">
      <c r="A1864" t="s">
        <v>6642</v>
      </c>
      <c r="B1864" t="s">
        <v>2838</v>
      </c>
    </row>
    <row r="1865" spans="1:2">
      <c r="A1865" t="s">
        <v>6529</v>
      </c>
      <c r="B1865">
        <v>3300004115</v>
      </c>
    </row>
    <row r="1866" spans="1:2">
      <c r="A1866" t="s">
        <v>6530</v>
      </c>
      <c r="B1866" t="s">
        <v>2997</v>
      </c>
    </row>
    <row r="1867" spans="1:2">
      <c r="A1867" t="s">
        <v>6677</v>
      </c>
      <c r="B1867">
        <v>5031850</v>
      </c>
    </row>
    <row r="1868" spans="1:2">
      <c r="A1868" t="s">
        <v>6645</v>
      </c>
      <c r="B1868" t="s">
        <v>2996</v>
      </c>
    </row>
    <row r="1869" spans="1:2">
      <c r="A1869" t="s">
        <v>6528</v>
      </c>
      <c r="B1869">
        <v>2119289</v>
      </c>
    </row>
    <row r="1870" spans="1:2">
      <c r="A1870" t="s">
        <v>6529</v>
      </c>
      <c r="B1870">
        <v>3300001235</v>
      </c>
    </row>
    <row r="1871" spans="1:2">
      <c r="A1871" t="s">
        <v>6677</v>
      </c>
      <c r="B1871">
        <v>5001456</v>
      </c>
    </row>
    <row r="1872" spans="1:2">
      <c r="A1872" t="s">
        <v>6530</v>
      </c>
      <c r="B1872" t="s">
        <v>3005</v>
      </c>
    </row>
    <row r="1873" spans="1:2">
      <c r="A1873" t="s">
        <v>6677</v>
      </c>
      <c r="B1873">
        <v>5014465</v>
      </c>
    </row>
    <row r="1874" spans="1:2">
      <c r="A1874" t="s">
        <v>6642</v>
      </c>
      <c r="B1874" t="s">
        <v>3004</v>
      </c>
    </row>
    <row r="1875" spans="1:2">
      <c r="A1875" t="s">
        <v>6529</v>
      </c>
      <c r="B1875">
        <v>3300005176</v>
      </c>
    </row>
    <row r="1876" spans="1:2">
      <c r="A1876" t="s">
        <v>6530</v>
      </c>
      <c r="B1876" t="s">
        <v>3504</v>
      </c>
    </row>
    <row r="1877" spans="1:2">
      <c r="A1877" t="s">
        <v>6528</v>
      </c>
      <c r="B1877">
        <v>2114766</v>
      </c>
    </row>
    <row r="1878" spans="1:2">
      <c r="A1878" t="s">
        <v>6529</v>
      </c>
      <c r="B1878">
        <v>3300004146</v>
      </c>
    </row>
    <row r="1879" spans="1:2">
      <c r="A1879" t="s">
        <v>6645</v>
      </c>
      <c r="B1879" t="s">
        <v>3503</v>
      </c>
    </row>
    <row r="1880" spans="1:2">
      <c r="A1880" t="s">
        <v>6529</v>
      </c>
      <c r="B1880">
        <v>3300004148</v>
      </c>
    </row>
    <row r="1881" spans="1:2">
      <c r="A1881" t="s">
        <v>6677</v>
      </c>
      <c r="B1881">
        <v>5047876</v>
      </c>
    </row>
    <row r="1882" spans="1:2">
      <c r="A1882" t="s">
        <v>6530</v>
      </c>
      <c r="B1882" t="s">
        <v>6753</v>
      </c>
    </row>
    <row r="1883" spans="1:2">
      <c r="A1883" t="s">
        <v>6642</v>
      </c>
      <c r="B1883" t="s">
        <v>3042</v>
      </c>
    </row>
    <row r="1884" spans="1:2">
      <c r="A1884" t="s">
        <v>6528</v>
      </c>
      <c r="B1884">
        <v>2119283</v>
      </c>
    </row>
    <row r="1885" spans="1:2">
      <c r="A1885" t="s">
        <v>6573</v>
      </c>
      <c r="B1885" t="s">
        <v>3679</v>
      </c>
    </row>
    <row r="1886" spans="1:2">
      <c r="A1886" t="s">
        <v>6528</v>
      </c>
      <c r="B1886">
        <v>2110102</v>
      </c>
    </row>
    <row r="1887" spans="1:2">
      <c r="A1887" t="s">
        <v>6642</v>
      </c>
      <c r="B1887" t="s">
        <v>3678</v>
      </c>
    </row>
    <row r="1888" spans="1:2">
      <c r="A1888" t="s">
        <v>6530</v>
      </c>
      <c r="B1888" t="s">
        <v>2954</v>
      </c>
    </row>
    <row r="1889" spans="1:2">
      <c r="A1889" t="s">
        <v>6528</v>
      </c>
      <c r="B1889">
        <v>2117082</v>
      </c>
    </row>
    <row r="1890" spans="1:2">
      <c r="A1890" t="s">
        <v>6677</v>
      </c>
      <c r="B1890">
        <v>5031916</v>
      </c>
    </row>
    <row r="1891" spans="1:2">
      <c r="A1891" t="s">
        <v>6530</v>
      </c>
      <c r="B1891" t="s">
        <v>1920</v>
      </c>
    </row>
    <row r="1892" spans="1:2">
      <c r="A1892" t="s">
        <v>6528</v>
      </c>
      <c r="B1892">
        <v>2116284</v>
      </c>
    </row>
    <row r="1893" spans="1:2">
      <c r="A1893" t="s">
        <v>6645</v>
      </c>
      <c r="B1893" t="s">
        <v>1919</v>
      </c>
    </row>
    <row r="1894" spans="1:2">
      <c r="A1894" t="s">
        <v>6528</v>
      </c>
      <c r="B1894">
        <v>2116300</v>
      </c>
    </row>
    <row r="1895" spans="1:2">
      <c r="A1895" t="s">
        <v>6677</v>
      </c>
      <c r="B1895">
        <v>5045677</v>
      </c>
    </row>
    <row r="1896" spans="1:2">
      <c r="A1896" t="s">
        <v>6529</v>
      </c>
      <c r="B1896">
        <v>3300002817</v>
      </c>
    </row>
    <row r="1897" spans="1:2">
      <c r="A1897" t="s">
        <v>6530</v>
      </c>
      <c r="B1897" t="s">
        <v>3285</v>
      </c>
    </row>
    <row r="1898" spans="1:2">
      <c r="A1898" t="s">
        <v>6677</v>
      </c>
      <c r="B1898">
        <v>5040901</v>
      </c>
    </row>
    <row r="1899" spans="1:2">
      <c r="A1899" t="s">
        <v>6645</v>
      </c>
      <c r="B1899" t="s">
        <v>3283</v>
      </c>
    </row>
    <row r="1900" spans="1:2">
      <c r="A1900" t="s">
        <v>6529</v>
      </c>
      <c r="B1900">
        <v>3300006808</v>
      </c>
    </row>
    <row r="1901" spans="1:2">
      <c r="A1901" t="s">
        <v>6672</v>
      </c>
      <c r="B1901">
        <v>2159887</v>
      </c>
    </row>
    <row r="1902" spans="1:2">
      <c r="A1902" t="s">
        <v>6677</v>
      </c>
      <c r="B1902" t="s">
        <v>3284</v>
      </c>
    </row>
    <row r="1903" spans="1:2">
      <c r="A1903" t="s">
        <v>6530</v>
      </c>
      <c r="B1903" t="s">
        <v>3666</v>
      </c>
    </row>
    <row r="1904" spans="1:2">
      <c r="A1904" t="s">
        <v>6528</v>
      </c>
      <c r="B1904">
        <v>2103523</v>
      </c>
    </row>
    <row r="1905" spans="1:2">
      <c r="A1905" t="s">
        <v>6642</v>
      </c>
      <c r="B1905" t="s">
        <v>3664</v>
      </c>
    </row>
    <row r="1906" spans="1:2">
      <c r="A1906" t="s">
        <v>6529</v>
      </c>
      <c r="B1906">
        <v>3300003635</v>
      </c>
    </row>
    <row r="1907" spans="1:2">
      <c r="A1907" t="s">
        <v>6632</v>
      </c>
      <c r="B1907" t="s">
        <v>3665</v>
      </c>
    </row>
    <row r="1908" spans="1:2">
      <c r="A1908" t="s">
        <v>6530</v>
      </c>
      <c r="B1908" t="s">
        <v>5069</v>
      </c>
    </row>
    <row r="1909" spans="1:2">
      <c r="A1909" t="s">
        <v>6528</v>
      </c>
      <c r="B1909">
        <v>2103614</v>
      </c>
    </row>
    <row r="1910" spans="1:2">
      <c r="A1910" t="s">
        <v>6529</v>
      </c>
      <c r="B1910">
        <v>3300009773</v>
      </c>
    </row>
    <row r="1911" spans="1:2">
      <c r="A1911" t="s">
        <v>6632</v>
      </c>
      <c r="B1911" t="s">
        <v>5066</v>
      </c>
    </row>
    <row r="1912" spans="1:2">
      <c r="A1912" t="s">
        <v>6528</v>
      </c>
      <c r="B1912">
        <v>2103582</v>
      </c>
    </row>
    <row r="1913" spans="1:2">
      <c r="A1913" t="s">
        <v>6645</v>
      </c>
      <c r="B1913" t="s">
        <v>5068</v>
      </c>
    </row>
    <row r="1914" spans="1:2">
      <c r="A1914" t="s">
        <v>6530</v>
      </c>
      <c r="B1914" t="s">
        <v>6754</v>
      </c>
    </row>
    <row r="1915" spans="1:2">
      <c r="A1915" t="s">
        <v>6529</v>
      </c>
      <c r="B1915">
        <v>3300009709</v>
      </c>
    </row>
    <row r="1916" spans="1:2">
      <c r="A1916" t="s">
        <v>6677</v>
      </c>
      <c r="B1916">
        <v>5050467</v>
      </c>
    </row>
    <row r="1917" spans="1:2">
      <c r="A1917" t="s">
        <v>6645</v>
      </c>
      <c r="B1917" t="s">
        <v>5933</v>
      </c>
    </row>
    <row r="1918" spans="1:2">
      <c r="A1918" t="s">
        <v>6528</v>
      </c>
      <c r="B1918">
        <v>2177400</v>
      </c>
    </row>
    <row r="1919" spans="1:2">
      <c r="A1919" t="s">
        <v>6529</v>
      </c>
      <c r="B1919">
        <v>3300009554</v>
      </c>
    </row>
    <row r="1920" spans="1:2">
      <c r="A1920" t="s">
        <v>6530</v>
      </c>
      <c r="B1920" t="s">
        <v>4362</v>
      </c>
    </row>
    <row r="1921" spans="1:2">
      <c r="A1921" t="s">
        <v>6677</v>
      </c>
      <c r="B1921">
        <v>5059305</v>
      </c>
    </row>
    <row r="1922" spans="1:2">
      <c r="A1922" t="s">
        <v>6645</v>
      </c>
      <c r="B1922" t="s">
        <v>4361</v>
      </c>
    </row>
    <row r="1923" spans="1:2">
      <c r="A1923" t="s">
        <v>6672</v>
      </c>
      <c r="B1923">
        <v>2183524</v>
      </c>
    </row>
    <row r="1924" spans="1:2">
      <c r="A1924" t="s">
        <v>6529</v>
      </c>
      <c r="B1924">
        <v>3300004158</v>
      </c>
    </row>
    <row r="1925" spans="1:2">
      <c r="A1925" t="s">
        <v>6677</v>
      </c>
      <c r="B1925">
        <v>5059331</v>
      </c>
    </row>
    <row r="1926" spans="1:2">
      <c r="A1926" t="s">
        <v>6573</v>
      </c>
      <c r="B1926" t="s">
        <v>5097</v>
      </c>
    </row>
    <row r="1927" spans="1:2">
      <c r="A1927" t="s">
        <v>6528</v>
      </c>
      <c r="B1927">
        <v>2114782</v>
      </c>
    </row>
    <row r="1928" spans="1:2">
      <c r="A1928" t="s">
        <v>6529</v>
      </c>
      <c r="B1928">
        <v>3300002937</v>
      </c>
    </row>
    <row r="1929" spans="1:2">
      <c r="A1929" t="s">
        <v>6677</v>
      </c>
      <c r="B1929" t="s">
        <v>5096</v>
      </c>
    </row>
    <row r="1930" spans="1:2">
      <c r="A1930" t="s">
        <v>6573</v>
      </c>
      <c r="B1930" t="s">
        <v>2025</v>
      </c>
    </row>
    <row r="1931" spans="1:2">
      <c r="A1931" t="s">
        <v>6528</v>
      </c>
      <c r="B1931">
        <v>2119173</v>
      </c>
    </row>
    <row r="1932" spans="1:2">
      <c r="A1932" t="s">
        <v>6529</v>
      </c>
      <c r="B1932">
        <v>3300006797</v>
      </c>
    </row>
    <row r="1933" spans="1:2">
      <c r="A1933" t="s">
        <v>6645</v>
      </c>
      <c r="B1933" t="s">
        <v>2024</v>
      </c>
    </row>
    <row r="1934" spans="1:2">
      <c r="A1934" t="s">
        <v>6677</v>
      </c>
      <c r="B1934">
        <v>5040884</v>
      </c>
    </row>
    <row r="1935" spans="1:2">
      <c r="A1935" t="s">
        <v>6528</v>
      </c>
      <c r="B1935">
        <v>2119174</v>
      </c>
    </row>
    <row r="1936" spans="1:2">
      <c r="A1936" t="s">
        <v>6530</v>
      </c>
      <c r="B1936" t="s">
        <v>4899</v>
      </c>
    </row>
    <row r="1937" spans="1:2">
      <c r="A1937" t="s">
        <v>6677</v>
      </c>
      <c r="B1937">
        <v>5031913</v>
      </c>
    </row>
    <row r="1938" spans="1:2">
      <c r="A1938" t="s">
        <v>6529</v>
      </c>
      <c r="B1938">
        <v>3300002979</v>
      </c>
    </row>
    <row r="1939" spans="1:2">
      <c r="A1939" t="s">
        <v>6528</v>
      </c>
      <c r="B1939">
        <v>2119212</v>
      </c>
    </row>
    <row r="1940" spans="1:2">
      <c r="A1940" t="s">
        <v>6530</v>
      </c>
      <c r="B1940" t="s">
        <v>2627</v>
      </c>
    </row>
    <row r="1941" spans="1:2">
      <c r="A1941" t="s">
        <v>6642</v>
      </c>
      <c r="B1941" t="s">
        <v>2625</v>
      </c>
    </row>
    <row r="1942" spans="1:2">
      <c r="A1942" t="s">
        <v>6528</v>
      </c>
      <c r="B1942">
        <v>2116046</v>
      </c>
    </row>
    <row r="1943" spans="1:2">
      <c r="A1943" t="s">
        <v>6642</v>
      </c>
      <c r="B1943" t="s">
        <v>2626</v>
      </c>
    </row>
    <row r="1944" spans="1:2">
      <c r="A1944" t="s">
        <v>6677</v>
      </c>
      <c r="B1944">
        <v>5012461</v>
      </c>
    </row>
    <row r="1945" spans="1:2">
      <c r="A1945" t="s">
        <v>6529</v>
      </c>
      <c r="B1945">
        <v>3300009787</v>
      </c>
    </row>
    <row r="1946" spans="1:2">
      <c r="A1946" t="s">
        <v>6530</v>
      </c>
      <c r="B1946" t="s">
        <v>2348</v>
      </c>
    </row>
    <row r="1947" spans="1:2">
      <c r="A1947" t="s">
        <v>6528</v>
      </c>
      <c r="B1947">
        <v>2116299</v>
      </c>
    </row>
    <row r="1948" spans="1:2">
      <c r="A1948" t="s">
        <v>6645</v>
      </c>
      <c r="B1948" t="s">
        <v>2346</v>
      </c>
    </row>
    <row r="1949" spans="1:2">
      <c r="A1949" t="s">
        <v>6528</v>
      </c>
      <c r="B1949">
        <v>2116306</v>
      </c>
    </row>
    <row r="1950" spans="1:2">
      <c r="A1950" t="s">
        <v>6529</v>
      </c>
      <c r="B1950">
        <v>3300008156</v>
      </c>
    </row>
    <row r="1951" spans="1:2">
      <c r="A1951" t="s">
        <v>6645</v>
      </c>
      <c r="B1951" t="s">
        <v>2347</v>
      </c>
    </row>
    <row r="1952" spans="1:2">
      <c r="A1952" t="s">
        <v>6530</v>
      </c>
      <c r="B1952" t="s">
        <v>2292</v>
      </c>
    </row>
    <row r="1953" spans="1:2">
      <c r="A1953" t="s">
        <v>6671</v>
      </c>
      <c r="B1953">
        <v>2116651</v>
      </c>
    </row>
    <row r="1954" spans="1:2">
      <c r="A1954" t="s">
        <v>6671</v>
      </c>
      <c r="B1954">
        <v>2066109</v>
      </c>
    </row>
    <row r="1955" spans="1:2">
      <c r="A1955" t="s">
        <v>6530</v>
      </c>
      <c r="B1955" t="s">
        <v>6755</v>
      </c>
    </row>
    <row r="1956" spans="1:2">
      <c r="A1956" t="s">
        <v>6528</v>
      </c>
      <c r="B1956">
        <v>2103488</v>
      </c>
    </row>
    <row r="1957" spans="1:2">
      <c r="A1957" t="s">
        <v>6642</v>
      </c>
      <c r="B1957" t="s">
        <v>4138</v>
      </c>
    </row>
    <row r="1958" spans="1:2">
      <c r="A1958" t="s">
        <v>6529</v>
      </c>
      <c r="B1958">
        <v>3300002920</v>
      </c>
    </row>
    <row r="1959" spans="1:2">
      <c r="A1959" t="s">
        <v>6642</v>
      </c>
      <c r="B1959" t="s">
        <v>4139</v>
      </c>
    </row>
    <row r="1960" spans="1:2">
      <c r="A1960" t="s">
        <v>6683</v>
      </c>
      <c r="B1960">
        <v>5039011</v>
      </c>
    </row>
    <row r="1961" spans="1:2">
      <c r="A1961" t="s">
        <v>6530</v>
      </c>
      <c r="B1961" t="s">
        <v>2614</v>
      </c>
    </row>
    <row r="1962" spans="1:2">
      <c r="A1962" t="s">
        <v>6642</v>
      </c>
      <c r="B1962" t="s">
        <v>2612</v>
      </c>
    </row>
    <row r="1963" spans="1:2">
      <c r="A1963" t="s">
        <v>6642</v>
      </c>
      <c r="B1963" t="s">
        <v>2613</v>
      </c>
    </row>
    <row r="1964" spans="1:2">
      <c r="A1964" t="s">
        <v>6677</v>
      </c>
      <c r="B1964">
        <v>5032245</v>
      </c>
    </row>
    <row r="1965" spans="1:2">
      <c r="A1965" t="s">
        <v>6528</v>
      </c>
      <c r="B1965">
        <v>2114785</v>
      </c>
    </row>
    <row r="1966" spans="1:2">
      <c r="A1966" t="s">
        <v>6529</v>
      </c>
      <c r="B1966">
        <v>3300001222</v>
      </c>
    </row>
    <row r="1967" spans="1:2">
      <c r="A1967" t="s">
        <v>6530</v>
      </c>
      <c r="B1967" t="s">
        <v>5372</v>
      </c>
    </row>
    <row r="1968" spans="1:2">
      <c r="A1968" t="s">
        <v>6672</v>
      </c>
      <c r="B1968">
        <v>2183566</v>
      </c>
    </row>
    <row r="1969" spans="1:2">
      <c r="A1969" t="s">
        <v>6677</v>
      </c>
      <c r="B1969">
        <v>5042644</v>
      </c>
    </row>
    <row r="1970" spans="1:2">
      <c r="A1970" t="s">
        <v>6645</v>
      </c>
      <c r="B1970" t="s">
        <v>5371</v>
      </c>
    </row>
    <row r="1971" spans="1:2">
      <c r="A1971" t="s">
        <v>6530</v>
      </c>
      <c r="B1971" t="s">
        <v>2634</v>
      </c>
    </row>
    <row r="1972" spans="1:2">
      <c r="A1972" t="s">
        <v>6677</v>
      </c>
      <c r="B1972">
        <v>5012462</v>
      </c>
    </row>
    <row r="1973" spans="1:2">
      <c r="A1973" t="s">
        <v>6642</v>
      </c>
      <c r="B1973" t="s">
        <v>2633</v>
      </c>
    </row>
    <row r="1974" spans="1:2">
      <c r="A1974" t="s">
        <v>6528</v>
      </c>
      <c r="B1974">
        <v>2116022</v>
      </c>
    </row>
    <row r="1975" spans="1:2">
      <c r="A1975" t="s">
        <v>6529</v>
      </c>
      <c r="B1975">
        <v>3300006554</v>
      </c>
    </row>
    <row r="1976" spans="1:2">
      <c r="A1976" t="s">
        <v>6677</v>
      </c>
      <c r="B1976">
        <v>5012463</v>
      </c>
    </row>
    <row r="1977" spans="1:2">
      <c r="A1977" t="s">
        <v>6530</v>
      </c>
      <c r="B1977" t="s">
        <v>3545</v>
      </c>
    </row>
    <row r="1978" spans="1:2">
      <c r="A1978" t="s">
        <v>6529</v>
      </c>
      <c r="B1978">
        <v>3300002954</v>
      </c>
    </row>
    <row r="1979" spans="1:2">
      <c r="A1979" t="s">
        <v>6528</v>
      </c>
      <c r="B1979">
        <v>2103449</v>
      </c>
    </row>
    <row r="1980" spans="1:2">
      <c r="A1980" t="s">
        <v>6642</v>
      </c>
      <c r="B1980" t="s">
        <v>3544</v>
      </c>
    </row>
    <row r="1981" spans="1:2">
      <c r="A1981" t="s">
        <v>6530</v>
      </c>
      <c r="B1981" t="s">
        <v>2384</v>
      </c>
    </row>
    <row r="1982" spans="1:2">
      <c r="A1982" t="s">
        <v>6645</v>
      </c>
      <c r="B1982" t="s">
        <v>2382</v>
      </c>
    </row>
    <row r="1983" spans="1:2">
      <c r="A1983" t="s">
        <v>6675</v>
      </c>
      <c r="B1983">
        <v>3400001163</v>
      </c>
    </row>
    <row r="1984" spans="1:2">
      <c r="A1984" t="s">
        <v>6645</v>
      </c>
      <c r="B1984" t="s">
        <v>2383</v>
      </c>
    </row>
    <row r="1985" spans="1:2">
      <c r="A1985" t="s">
        <v>6675</v>
      </c>
      <c r="B1985">
        <v>3400001162</v>
      </c>
    </row>
    <row r="1986" spans="1:2">
      <c r="A1986" t="s">
        <v>6528</v>
      </c>
      <c r="B1986">
        <v>2103924</v>
      </c>
    </row>
    <row r="1987" spans="1:2">
      <c r="A1987" t="s">
        <v>6530</v>
      </c>
      <c r="B1987" t="s">
        <v>3242</v>
      </c>
    </row>
    <row r="1988" spans="1:2">
      <c r="A1988" t="s">
        <v>6660</v>
      </c>
      <c r="B1988" t="s">
        <v>3241</v>
      </c>
    </row>
    <row r="1989" spans="1:2">
      <c r="A1989" t="s">
        <v>6676</v>
      </c>
      <c r="B1989">
        <v>41758</v>
      </c>
    </row>
    <row r="1990" spans="1:2">
      <c r="A1990" t="s">
        <v>6530</v>
      </c>
      <c r="B1990" t="s">
        <v>2364</v>
      </c>
    </row>
    <row r="1991" spans="1:2">
      <c r="A1991" t="s">
        <v>6528</v>
      </c>
      <c r="B1991">
        <v>2114788</v>
      </c>
    </row>
    <row r="1992" spans="1:2">
      <c r="A1992" t="s">
        <v>6642</v>
      </c>
      <c r="B1992" t="s">
        <v>2362</v>
      </c>
    </row>
    <row r="1993" spans="1:2">
      <c r="A1993" t="s">
        <v>6529</v>
      </c>
      <c r="B1993">
        <v>3300002964</v>
      </c>
    </row>
    <row r="1994" spans="1:2">
      <c r="A1994" t="s">
        <v>6528</v>
      </c>
      <c r="B1994">
        <v>2114756</v>
      </c>
    </row>
    <row r="1995" spans="1:2">
      <c r="A1995" t="s">
        <v>6645</v>
      </c>
      <c r="B1995" t="s">
        <v>2363</v>
      </c>
    </row>
    <row r="1996" spans="1:2">
      <c r="A1996" t="s">
        <v>6530</v>
      </c>
      <c r="B1996" t="s">
        <v>6756</v>
      </c>
    </row>
    <row r="1997" spans="1:2">
      <c r="A1997" t="s">
        <v>6528</v>
      </c>
      <c r="B1997">
        <v>2103874</v>
      </c>
    </row>
    <row r="1998" spans="1:2">
      <c r="A1998" t="s">
        <v>6645</v>
      </c>
      <c r="B1998" t="s">
        <v>2528</v>
      </c>
    </row>
    <row r="1999" spans="1:2">
      <c r="A1999" t="s">
        <v>6528</v>
      </c>
      <c r="B1999">
        <v>2103954</v>
      </c>
    </row>
    <row r="2000" spans="1:2">
      <c r="A2000" t="s">
        <v>6529</v>
      </c>
      <c r="B2000">
        <v>3300003632</v>
      </c>
    </row>
    <row r="2001" spans="1:2">
      <c r="A2001" t="s">
        <v>6677</v>
      </c>
      <c r="B2001" t="s">
        <v>2529</v>
      </c>
    </row>
    <row r="2002" spans="1:2">
      <c r="A2002" t="s">
        <v>6530</v>
      </c>
      <c r="B2002" t="s">
        <v>6757</v>
      </c>
    </row>
    <row r="2003" spans="1:2">
      <c r="A2003" t="s">
        <v>6529</v>
      </c>
      <c r="B2003">
        <v>3300009799</v>
      </c>
    </row>
    <row r="2004" spans="1:2">
      <c r="A2004" t="s">
        <v>6645</v>
      </c>
      <c r="B2004" t="s">
        <v>2751</v>
      </c>
    </row>
    <row r="2005" spans="1:2">
      <c r="A2005" t="s">
        <v>6528</v>
      </c>
      <c r="B2005">
        <v>2114750</v>
      </c>
    </row>
    <row r="2006" spans="1:2">
      <c r="A2006" t="s">
        <v>6530</v>
      </c>
      <c r="B2006" t="s">
        <v>5615</v>
      </c>
    </row>
    <row r="2007" spans="1:2">
      <c r="A2007" t="s">
        <v>6528</v>
      </c>
      <c r="B2007">
        <v>2103487</v>
      </c>
    </row>
    <row r="2008" spans="1:2">
      <c r="A2008" t="s">
        <v>6642</v>
      </c>
      <c r="B2008" t="s">
        <v>5614</v>
      </c>
    </row>
    <row r="2009" spans="1:2">
      <c r="A2009" t="s">
        <v>6528</v>
      </c>
      <c r="B2009">
        <v>2096478</v>
      </c>
    </row>
    <row r="2010" spans="1:2">
      <c r="A2010" t="s">
        <v>6529</v>
      </c>
      <c r="B2010">
        <v>3300001292</v>
      </c>
    </row>
    <row r="2011" spans="1:2">
      <c r="A2011" t="s">
        <v>6529</v>
      </c>
      <c r="B2011">
        <v>3300001296</v>
      </c>
    </row>
    <row r="2012" spans="1:2">
      <c r="A2012" t="s">
        <v>6530</v>
      </c>
      <c r="B2012" t="s">
        <v>2970</v>
      </c>
    </row>
    <row r="2013" spans="1:2">
      <c r="A2013" t="s">
        <v>6645</v>
      </c>
      <c r="B2013" t="s">
        <v>2968</v>
      </c>
    </row>
    <row r="2014" spans="1:2">
      <c r="A2014" t="s">
        <v>6528</v>
      </c>
      <c r="B2014">
        <v>2119200</v>
      </c>
    </row>
    <row r="2015" spans="1:2">
      <c r="A2015" t="s">
        <v>6529</v>
      </c>
      <c r="B2015">
        <v>3300002977</v>
      </c>
    </row>
    <row r="2016" spans="1:2">
      <c r="A2016" t="s">
        <v>6677</v>
      </c>
      <c r="B2016" t="s">
        <v>2969</v>
      </c>
    </row>
    <row r="2017" spans="1:2">
      <c r="A2017" t="s">
        <v>6573</v>
      </c>
      <c r="B2017" t="s">
        <v>2388</v>
      </c>
    </row>
    <row r="2018" spans="1:2">
      <c r="A2018" t="s">
        <v>6529</v>
      </c>
      <c r="B2018">
        <v>3300005137</v>
      </c>
    </row>
    <row r="2019" spans="1:2">
      <c r="A2019" t="s">
        <v>6529</v>
      </c>
      <c r="B2019">
        <v>3300005138</v>
      </c>
    </row>
    <row r="2020" spans="1:2">
      <c r="A2020" t="s">
        <v>6530</v>
      </c>
      <c r="B2020" t="s">
        <v>1262</v>
      </c>
    </row>
    <row r="2021" spans="1:2">
      <c r="A2021" t="s">
        <v>6528</v>
      </c>
      <c r="B2021">
        <v>2116245</v>
      </c>
    </row>
    <row r="2022" spans="1:2">
      <c r="A2022" t="s">
        <v>6645</v>
      </c>
      <c r="B2022" t="s">
        <v>1261</v>
      </c>
    </row>
    <row r="2023" spans="1:2">
      <c r="A2023" t="s">
        <v>6528</v>
      </c>
      <c r="B2023">
        <v>2116260</v>
      </c>
    </row>
    <row r="2024" spans="1:2">
      <c r="A2024" t="s">
        <v>6529</v>
      </c>
      <c r="B2024">
        <v>3300008129</v>
      </c>
    </row>
    <row r="2025" spans="1:2">
      <c r="A2025" t="s">
        <v>6528</v>
      </c>
      <c r="B2025">
        <v>2116252</v>
      </c>
    </row>
    <row r="2026" spans="1:2">
      <c r="A2026" t="s">
        <v>6530</v>
      </c>
      <c r="B2026" t="s">
        <v>6758</v>
      </c>
    </row>
    <row r="2027" spans="1:2">
      <c r="A2027" t="s">
        <v>6645</v>
      </c>
      <c r="B2027" t="s">
        <v>5138</v>
      </c>
    </row>
    <row r="2028" spans="1:2">
      <c r="A2028" t="s">
        <v>6529</v>
      </c>
      <c r="B2028">
        <v>3300009531</v>
      </c>
    </row>
    <row r="2029" spans="1:2">
      <c r="A2029" t="s">
        <v>6677</v>
      </c>
      <c r="B2029">
        <v>5050466</v>
      </c>
    </row>
    <row r="2030" spans="1:2">
      <c r="A2030" t="s">
        <v>6672</v>
      </c>
      <c r="B2030">
        <v>2171953</v>
      </c>
    </row>
    <row r="2031" spans="1:2">
      <c r="A2031" t="s">
        <v>6530</v>
      </c>
      <c r="B2031" t="s">
        <v>6360</v>
      </c>
    </row>
    <row r="2032" spans="1:2">
      <c r="A2032" t="s">
        <v>6672</v>
      </c>
      <c r="B2032">
        <v>2183585</v>
      </c>
    </row>
    <row r="2033" spans="1:2">
      <c r="A2033" t="s">
        <v>6642</v>
      </c>
      <c r="B2033" t="s">
        <v>6359</v>
      </c>
    </row>
    <row r="2034" spans="1:2">
      <c r="A2034" t="s">
        <v>6529</v>
      </c>
      <c r="B2034">
        <v>3300010891</v>
      </c>
    </row>
    <row r="2035" spans="1:2">
      <c r="A2035" t="s">
        <v>6530</v>
      </c>
      <c r="B2035" t="s">
        <v>5994</v>
      </c>
    </row>
    <row r="2036" spans="1:2">
      <c r="A2036" t="s">
        <v>6528</v>
      </c>
      <c r="B2036">
        <v>2116272</v>
      </c>
    </row>
    <row r="2037" spans="1:2">
      <c r="A2037" t="s">
        <v>6645</v>
      </c>
      <c r="B2037" t="s">
        <v>5993</v>
      </c>
    </row>
    <row r="2038" spans="1:2">
      <c r="A2038" t="s">
        <v>6529</v>
      </c>
      <c r="B2038">
        <v>3300012287</v>
      </c>
    </row>
    <row r="2039" spans="1:2">
      <c r="A2039" t="s">
        <v>6677</v>
      </c>
      <c r="B2039">
        <v>5040903</v>
      </c>
    </row>
    <row r="2040" spans="1:2">
      <c r="A2040" t="s">
        <v>6573</v>
      </c>
      <c r="B2040" t="s">
        <v>3174</v>
      </c>
    </row>
    <row r="2041" spans="1:2">
      <c r="A2041" t="s">
        <v>6529</v>
      </c>
      <c r="B2041">
        <v>3300009798</v>
      </c>
    </row>
    <row r="2042" spans="1:2">
      <c r="A2042" t="s">
        <v>6645</v>
      </c>
      <c r="B2042" t="s">
        <v>3173</v>
      </c>
    </row>
    <row r="2043" spans="1:2">
      <c r="A2043" t="s">
        <v>6530</v>
      </c>
      <c r="B2043" t="s">
        <v>5682</v>
      </c>
    </row>
    <row r="2044" spans="1:2">
      <c r="A2044" t="s">
        <v>6528</v>
      </c>
      <c r="B2044">
        <v>2114762</v>
      </c>
    </row>
    <row r="2045" spans="1:2">
      <c r="A2045" t="s">
        <v>6529</v>
      </c>
      <c r="B2045">
        <v>3300004154</v>
      </c>
    </row>
    <row r="2046" spans="1:2">
      <c r="A2046" t="s">
        <v>6528</v>
      </c>
      <c r="B2046">
        <v>2103499</v>
      </c>
    </row>
    <row r="2047" spans="1:2">
      <c r="A2047" t="s">
        <v>6677</v>
      </c>
      <c r="B2047">
        <v>5059339</v>
      </c>
    </row>
    <row r="2048" spans="1:2">
      <c r="A2048" t="s">
        <v>6530</v>
      </c>
      <c r="B2048" t="s">
        <v>3037</v>
      </c>
    </row>
    <row r="2049" spans="1:2">
      <c r="A2049" t="s">
        <v>6528</v>
      </c>
      <c r="B2049">
        <v>2119176</v>
      </c>
    </row>
    <row r="2050" spans="1:2">
      <c r="A2050" t="s">
        <v>6677</v>
      </c>
      <c r="B2050">
        <v>5031910</v>
      </c>
    </row>
    <row r="2051" spans="1:2">
      <c r="A2051" t="s">
        <v>6529</v>
      </c>
      <c r="B2051">
        <v>3300008136</v>
      </c>
    </row>
    <row r="2052" spans="1:2">
      <c r="A2052" t="s">
        <v>6645</v>
      </c>
      <c r="B2052" t="s">
        <v>3036</v>
      </c>
    </row>
    <row r="2053" spans="1:2">
      <c r="A2053" t="s">
        <v>6677</v>
      </c>
      <c r="B2053" t="s">
        <v>6759</v>
      </c>
    </row>
    <row r="2054" spans="1:2">
      <c r="A2054" t="s">
        <v>6530</v>
      </c>
      <c r="B2054" t="s">
        <v>3031</v>
      </c>
    </row>
    <row r="2055" spans="1:2">
      <c r="A2055" t="s">
        <v>6528</v>
      </c>
      <c r="B2055">
        <v>2117085</v>
      </c>
    </row>
    <row r="2056" spans="1:2">
      <c r="A2056" t="s">
        <v>6677</v>
      </c>
      <c r="B2056">
        <v>5031914</v>
      </c>
    </row>
    <row r="2057" spans="1:2">
      <c r="A2057" t="s">
        <v>6529</v>
      </c>
      <c r="B2057">
        <v>3300006809</v>
      </c>
    </row>
    <row r="2058" spans="1:2">
      <c r="A2058" t="s">
        <v>6642</v>
      </c>
      <c r="B2058" t="s">
        <v>3029</v>
      </c>
    </row>
    <row r="2059" spans="1:2">
      <c r="A2059" t="s">
        <v>6645</v>
      </c>
      <c r="B2059" t="s">
        <v>3030</v>
      </c>
    </row>
    <row r="2060" spans="1:2">
      <c r="A2060" t="s">
        <v>6530</v>
      </c>
      <c r="B2060" t="s">
        <v>1927</v>
      </c>
    </row>
    <row r="2061" spans="1:2">
      <c r="A2061" t="s">
        <v>6529</v>
      </c>
      <c r="B2061">
        <v>3300002806</v>
      </c>
    </row>
    <row r="2062" spans="1:2">
      <c r="A2062" t="s">
        <v>6677</v>
      </c>
      <c r="B2062">
        <v>5014458</v>
      </c>
    </row>
    <row r="2063" spans="1:2">
      <c r="A2063" t="s">
        <v>6642</v>
      </c>
      <c r="B2063" t="s">
        <v>1926</v>
      </c>
    </row>
    <row r="2064" spans="1:2">
      <c r="A2064" t="s">
        <v>6530</v>
      </c>
      <c r="B2064" t="s">
        <v>5034</v>
      </c>
    </row>
    <row r="2065" spans="1:2">
      <c r="A2065" t="s">
        <v>6677</v>
      </c>
      <c r="B2065">
        <v>5031845</v>
      </c>
    </row>
    <row r="2066" spans="1:2">
      <c r="A2066" t="s">
        <v>6642</v>
      </c>
      <c r="B2066" t="s">
        <v>5033</v>
      </c>
    </row>
    <row r="2067" spans="1:2">
      <c r="A2067" t="s">
        <v>6528</v>
      </c>
      <c r="B2067">
        <v>2119262</v>
      </c>
    </row>
    <row r="2068" spans="1:2">
      <c r="A2068" t="s">
        <v>6677</v>
      </c>
      <c r="B2068">
        <v>5031855</v>
      </c>
    </row>
    <row r="2069" spans="1:2">
      <c r="A2069" t="s">
        <v>6530</v>
      </c>
      <c r="B2069" t="s">
        <v>6760</v>
      </c>
    </row>
    <row r="2070" spans="1:2">
      <c r="A2070" t="s">
        <v>6677</v>
      </c>
      <c r="B2070">
        <v>5031870</v>
      </c>
    </row>
    <row r="2071" spans="1:2">
      <c r="A2071" t="s">
        <v>6528</v>
      </c>
      <c r="B2071">
        <v>2119272</v>
      </c>
    </row>
    <row r="2072" spans="1:2">
      <c r="A2072" t="s">
        <v>6529</v>
      </c>
      <c r="B2072">
        <v>3300009756</v>
      </c>
    </row>
    <row r="2073" spans="1:2">
      <c r="A2073" t="s">
        <v>6645</v>
      </c>
      <c r="B2073" t="s">
        <v>5599</v>
      </c>
    </row>
    <row r="2074" spans="1:2">
      <c r="A2074" t="s">
        <v>6573</v>
      </c>
      <c r="B2074" t="s">
        <v>6246</v>
      </c>
    </row>
    <row r="2075" spans="1:2">
      <c r="A2075" t="s">
        <v>6528</v>
      </c>
      <c r="B2075">
        <v>2103875</v>
      </c>
    </row>
    <row r="2076" spans="1:2">
      <c r="A2076" t="s">
        <v>6645</v>
      </c>
      <c r="B2076" t="s">
        <v>6245</v>
      </c>
    </row>
    <row r="2077" spans="1:2">
      <c r="A2077" t="s">
        <v>6529</v>
      </c>
      <c r="B2077">
        <v>3300002989</v>
      </c>
    </row>
    <row r="2078" spans="1:2">
      <c r="A2078" t="s">
        <v>6677</v>
      </c>
      <c r="B2078">
        <v>5045681</v>
      </c>
    </row>
    <row r="2079" spans="1:2">
      <c r="A2079" t="s">
        <v>6674</v>
      </c>
      <c r="B2079">
        <v>1763216</v>
      </c>
    </row>
    <row r="2080" spans="1:2">
      <c r="A2080" t="s">
        <v>6530</v>
      </c>
      <c r="B2080" t="s">
        <v>5083</v>
      </c>
    </row>
    <row r="2081" spans="1:2">
      <c r="A2081" t="s">
        <v>6528</v>
      </c>
      <c r="B2081">
        <v>2103923</v>
      </c>
    </row>
    <row r="2082" spans="1:2">
      <c r="A2082" t="s">
        <v>6529</v>
      </c>
      <c r="B2082">
        <v>3300002816</v>
      </c>
    </row>
    <row r="2083" spans="1:2">
      <c r="A2083" t="s">
        <v>6645</v>
      </c>
      <c r="B2083" t="s">
        <v>5082</v>
      </c>
    </row>
    <row r="2084" spans="1:2">
      <c r="A2084" t="s">
        <v>6529</v>
      </c>
      <c r="B2084">
        <v>3300002812</v>
      </c>
    </row>
    <row r="2085" spans="1:2">
      <c r="A2085" t="s">
        <v>6528</v>
      </c>
      <c r="B2085">
        <v>2103897</v>
      </c>
    </row>
    <row r="2086" spans="1:2">
      <c r="A2086" t="s">
        <v>6530</v>
      </c>
      <c r="B2086" t="s">
        <v>5217</v>
      </c>
    </row>
    <row r="2087" spans="1:2">
      <c r="A2087" t="s">
        <v>6528</v>
      </c>
      <c r="B2087">
        <v>2116247</v>
      </c>
    </row>
    <row r="2088" spans="1:2">
      <c r="A2088" t="s">
        <v>6645</v>
      </c>
      <c r="B2088" t="s">
        <v>5216</v>
      </c>
    </row>
    <row r="2089" spans="1:2">
      <c r="A2089" t="s">
        <v>6528</v>
      </c>
      <c r="B2089">
        <v>2116263</v>
      </c>
    </row>
    <row r="2090" spans="1:2">
      <c r="A2090" t="s">
        <v>6529</v>
      </c>
      <c r="B2090">
        <v>3300002934</v>
      </c>
    </row>
    <row r="2091" spans="1:2">
      <c r="A2091" t="s">
        <v>6677</v>
      </c>
      <c r="B2091">
        <v>5059309</v>
      </c>
    </row>
    <row r="2092" spans="1:2">
      <c r="A2092" t="s">
        <v>6530</v>
      </c>
      <c r="B2092" t="s">
        <v>5308</v>
      </c>
    </row>
    <row r="2093" spans="1:2">
      <c r="A2093" t="s">
        <v>6528</v>
      </c>
      <c r="B2093">
        <v>2103634</v>
      </c>
    </row>
    <row r="2094" spans="1:2">
      <c r="A2094" t="s">
        <v>6645</v>
      </c>
      <c r="B2094" t="s">
        <v>5305</v>
      </c>
    </row>
    <row r="2095" spans="1:2">
      <c r="A2095" t="s">
        <v>6677</v>
      </c>
      <c r="B2095" t="s">
        <v>5306</v>
      </c>
    </row>
    <row r="2096" spans="1:2">
      <c r="A2096" t="s">
        <v>6528</v>
      </c>
      <c r="B2096">
        <v>2103831</v>
      </c>
    </row>
    <row r="2097" spans="1:2">
      <c r="A2097" t="s">
        <v>6529</v>
      </c>
      <c r="B2097">
        <v>3300012285</v>
      </c>
    </row>
    <row r="2098" spans="1:2">
      <c r="A2098" t="s">
        <v>6530</v>
      </c>
      <c r="B2098" t="s">
        <v>2543</v>
      </c>
    </row>
    <row r="2099" spans="1:2">
      <c r="A2099" t="s">
        <v>6677</v>
      </c>
      <c r="B2099">
        <v>5045691</v>
      </c>
    </row>
    <row r="2100" spans="1:2">
      <c r="A2100" t="s">
        <v>6529</v>
      </c>
      <c r="B2100">
        <v>3300004116</v>
      </c>
    </row>
    <row r="2101" spans="1:2">
      <c r="A2101" t="s">
        <v>6645</v>
      </c>
      <c r="B2101" t="s">
        <v>2542</v>
      </c>
    </row>
    <row r="2102" spans="1:2">
      <c r="A2102" t="s">
        <v>6529</v>
      </c>
      <c r="B2102">
        <v>3300005172</v>
      </c>
    </row>
    <row r="2103" spans="1:2">
      <c r="A2103" t="s">
        <v>6672</v>
      </c>
      <c r="B2103">
        <v>2171890</v>
      </c>
    </row>
    <row r="2104" spans="1:2">
      <c r="A2104" t="s">
        <v>6530</v>
      </c>
      <c r="B2104" t="s">
        <v>2824</v>
      </c>
    </row>
    <row r="2105" spans="1:2">
      <c r="A2105" t="s">
        <v>6528</v>
      </c>
      <c r="B2105">
        <v>2117094</v>
      </c>
    </row>
    <row r="2106" spans="1:2">
      <c r="A2106" t="s">
        <v>6677</v>
      </c>
      <c r="B2106">
        <v>5040886</v>
      </c>
    </row>
    <row r="2107" spans="1:2">
      <c r="A2107" t="s">
        <v>6645</v>
      </c>
      <c r="B2107" t="s">
        <v>2822</v>
      </c>
    </row>
    <row r="2108" spans="1:2">
      <c r="A2108" t="s">
        <v>6529</v>
      </c>
      <c r="B2108">
        <v>3300009522</v>
      </c>
    </row>
    <row r="2109" spans="1:2">
      <c r="A2109" t="s">
        <v>6683</v>
      </c>
      <c r="B2109" t="s">
        <v>2823</v>
      </c>
    </row>
    <row r="2110" spans="1:2">
      <c r="A2110" t="s">
        <v>6573</v>
      </c>
      <c r="B2110" t="s">
        <v>4974</v>
      </c>
    </row>
    <row r="2111" spans="1:2">
      <c r="A2111" t="s">
        <v>6677</v>
      </c>
      <c r="B2111">
        <v>5042659</v>
      </c>
    </row>
    <row r="2112" spans="1:2">
      <c r="A2112" t="s">
        <v>6529</v>
      </c>
      <c r="B2112">
        <v>3300006796</v>
      </c>
    </row>
    <row r="2113" spans="1:2">
      <c r="A2113" t="s">
        <v>6573</v>
      </c>
      <c r="B2113" t="s">
        <v>2549</v>
      </c>
    </row>
    <row r="2114" spans="1:2">
      <c r="A2114" t="s">
        <v>6528</v>
      </c>
      <c r="B2114">
        <v>2117081</v>
      </c>
    </row>
    <row r="2115" spans="1:2">
      <c r="A2115" t="s">
        <v>6677</v>
      </c>
      <c r="B2115">
        <v>5031895</v>
      </c>
    </row>
    <row r="2116" spans="1:2">
      <c r="A2116" t="s">
        <v>6645</v>
      </c>
      <c r="B2116" t="s">
        <v>2548</v>
      </c>
    </row>
    <row r="2117" spans="1:2">
      <c r="A2117" t="s">
        <v>6529</v>
      </c>
      <c r="B2117">
        <v>3300002982</v>
      </c>
    </row>
    <row r="2118" spans="1:2">
      <c r="A2118" t="s">
        <v>6530</v>
      </c>
      <c r="B2118" t="s">
        <v>6761</v>
      </c>
    </row>
    <row r="2119" spans="1:2">
      <c r="A2119" t="s">
        <v>6672</v>
      </c>
      <c r="B2119">
        <v>2183534</v>
      </c>
    </row>
    <row r="2120" spans="1:2">
      <c r="A2120" t="s">
        <v>6642</v>
      </c>
      <c r="B2120" t="s">
        <v>5144</v>
      </c>
    </row>
    <row r="2121" spans="1:2">
      <c r="A2121" t="s">
        <v>6529</v>
      </c>
      <c r="B2121">
        <v>3300010895</v>
      </c>
    </row>
    <row r="2122" spans="1:2">
      <c r="A2122" t="s">
        <v>6530</v>
      </c>
      <c r="B2122" t="s">
        <v>2557</v>
      </c>
    </row>
    <row r="2123" spans="1:2">
      <c r="A2123" t="s">
        <v>6528</v>
      </c>
      <c r="B2123">
        <v>2117068</v>
      </c>
    </row>
    <row r="2124" spans="1:2">
      <c r="A2124" t="s">
        <v>6677</v>
      </c>
      <c r="B2124">
        <v>5031899</v>
      </c>
    </row>
    <row r="2125" spans="1:2">
      <c r="A2125" t="s">
        <v>6529</v>
      </c>
      <c r="B2125">
        <v>3300006806</v>
      </c>
    </row>
    <row r="2126" spans="1:2">
      <c r="A2126" t="s">
        <v>6642</v>
      </c>
      <c r="B2126" t="s">
        <v>2556</v>
      </c>
    </row>
    <row r="2127" spans="1:2">
      <c r="A2127" t="s">
        <v>6530</v>
      </c>
      <c r="B2127" t="s">
        <v>3168</v>
      </c>
    </row>
    <row r="2128" spans="1:2">
      <c r="A2128" t="s">
        <v>6528</v>
      </c>
      <c r="B2128">
        <v>2116264</v>
      </c>
    </row>
    <row r="2129" spans="1:2">
      <c r="A2129" t="s">
        <v>6645</v>
      </c>
      <c r="B2129" t="s">
        <v>3167</v>
      </c>
    </row>
    <row r="2130" spans="1:2">
      <c r="A2130" t="s">
        <v>6528</v>
      </c>
      <c r="B2130">
        <v>2116240</v>
      </c>
    </row>
    <row r="2131" spans="1:2">
      <c r="A2131" t="s">
        <v>6529</v>
      </c>
      <c r="B2131">
        <v>3300008160</v>
      </c>
    </row>
    <row r="2132" spans="1:2">
      <c r="A2132" t="s">
        <v>6528</v>
      </c>
      <c r="B2132">
        <v>2116258</v>
      </c>
    </row>
    <row r="2133" spans="1:2">
      <c r="A2133" t="s">
        <v>6573</v>
      </c>
      <c r="B2133" t="s">
        <v>4398</v>
      </c>
    </row>
    <row r="2134" spans="1:2">
      <c r="A2134" t="s">
        <v>6528</v>
      </c>
      <c r="B2134">
        <v>2103880</v>
      </c>
    </row>
    <row r="2135" spans="1:2">
      <c r="A2135" t="s">
        <v>6642</v>
      </c>
      <c r="B2135" t="s">
        <v>4396</v>
      </c>
    </row>
    <row r="2136" spans="1:2">
      <c r="A2136" t="s">
        <v>6529</v>
      </c>
      <c r="B2136">
        <v>3300003609</v>
      </c>
    </row>
    <row r="2137" spans="1:2">
      <c r="A2137" t="s">
        <v>6642</v>
      </c>
      <c r="B2137" t="s">
        <v>4397</v>
      </c>
    </row>
    <row r="2138" spans="1:2">
      <c r="A2138" t="s">
        <v>6528</v>
      </c>
      <c r="B2138">
        <v>2103914</v>
      </c>
    </row>
    <row r="2139" spans="1:2">
      <c r="A2139" t="s">
        <v>6530</v>
      </c>
      <c r="B2139" t="s">
        <v>4520</v>
      </c>
    </row>
    <row r="2140" spans="1:2">
      <c r="A2140" t="s">
        <v>6528</v>
      </c>
      <c r="B2140">
        <v>2103948</v>
      </c>
    </row>
    <row r="2141" spans="1:2">
      <c r="A2141" t="s">
        <v>6642</v>
      </c>
      <c r="B2141" t="s">
        <v>4518</v>
      </c>
    </row>
    <row r="2142" spans="1:2">
      <c r="A2142" t="s">
        <v>6642</v>
      </c>
      <c r="B2142" t="s">
        <v>4519</v>
      </c>
    </row>
    <row r="2143" spans="1:2">
      <c r="A2143" t="s">
        <v>6529</v>
      </c>
      <c r="B2143">
        <v>3300003606</v>
      </c>
    </row>
    <row r="2144" spans="1:2">
      <c r="A2144" t="s">
        <v>6573</v>
      </c>
      <c r="B2144" t="s">
        <v>4405</v>
      </c>
    </row>
    <row r="2145" spans="1:2">
      <c r="A2145" t="s">
        <v>6528</v>
      </c>
      <c r="B2145">
        <v>2103881</v>
      </c>
    </row>
    <row r="2146" spans="1:2">
      <c r="A2146" t="s">
        <v>6642</v>
      </c>
      <c r="B2146" t="s">
        <v>4403</v>
      </c>
    </row>
    <row r="2147" spans="1:2">
      <c r="A2147" t="s">
        <v>6642</v>
      </c>
      <c r="B2147" t="s">
        <v>4404</v>
      </c>
    </row>
    <row r="2148" spans="1:2">
      <c r="A2148" t="s">
        <v>6529</v>
      </c>
      <c r="B2148">
        <v>3300003620</v>
      </c>
    </row>
    <row r="2149" spans="1:2">
      <c r="A2149" t="s">
        <v>6530</v>
      </c>
      <c r="B2149" t="s">
        <v>4772</v>
      </c>
    </row>
    <row r="2150" spans="1:2">
      <c r="A2150" t="s">
        <v>6528</v>
      </c>
      <c r="B2150">
        <v>2119181</v>
      </c>
    </row>
    <row r="2151" spans="1:2">
      <c r="A2151" t="s">
        <v>6677</v>
      </c>
      <c r="B2151">
        <v>5031900</v>
      </c>
    </row>
    <row r="2152" spans="1:2">
      <c r="A2152" t="s">
        <v>6529</v>
      </c>
      <c r="B2152">
        <v>3300002950</v>
      </c>
    </row>
    <row r="2153" spans="1:2">
      <c r="A2153" t="s">
        <v>6530</v>
      </c>
      <c r="B2153" t="s">
        <v>6081</v>
      </c>
    </row>
    <row r="2154" spans="1:2">
      <c r="A2154" t="s">
        <v>6528</v>
      </c>
      <c r="B2154">
        <v>2117076</v>
      </c>
    </row>
    <row r="2155" spans="1:2">
      <c r="A2155" t="s">
        <v>6677</v>
      </c>
      <c r="B2155">
        <v>5031906</v>
      </c>
    </row>
    <row r="2156" spans="1:2">
      <c r="A2156" t="s">
        <v>6529</v>
      </c>
      <c r="B2156">
        <v>3300002975</v>
      </c>
    </row>
    <row r="2157" spans="1:2">
      <c r="A2157" t="s">
        <v>6528</v>
      </c>
      <c r="B2157">
        <v>2119196</v>
      </c>
    </row>
    <row r="2158" spans="1:2">
      <c r="A2158" t="s">
        <v>6645</v>
      </c>
      <c r="B2158" t="s">
        <v>6080</v>
      </c>
    </row>
    <row r="2159" spans="1:2">
      <c r="A2159" t="s">
        <v>6530</v>
      </c>
      <c r="B2159" t="s">
        <v>6762</v>
      </c>
    </row>
    <row r="2160" spans="1:2">
      <c r="A2160" t="s">
        <v>6528</v>
      </c>
      <c r="B2160">
        <v>2114736</v>
      </c>
    </row>
    <row r="2161" spans="1:2">
      <c r="A2161" t="s">
        <v>6642</v>
      </c>
      <c r="B2161" t="s">
        <v>5518</v>
      </c>
    </row>
    <row r="2162" spans="1:2">
      <c r="A2162" t="s">
        <v>6677</v>
      </c>
      <c r="B2162">
        <v>5045693</v>
      </c>
    </row>
    <row r="2163" spans="1:2">
      <c r="A2163" t="s">
        <v>6642</v>
      </c>
      <c r="B2163" t="s">
        <v>5519</v>
      </c>
    </row>
    <row r="2164" spans="1:2">
      <c r="A2164" t="s">
        <v>6528</v>
      </c>
      <c r="B2164">
        <v>2114752</v>
      </c>
    </row>
    <row r="2165" spans="1:2">
      <c r="A2165" t="s">
        <v>6530</v>
      </c>
      <c r="B2165" t="s">
        <v>5477</v>
      </c>
    </row>
    <row r="2166" spans="1:2">
      <c r="A2166" t="s">
        <v>6677</v>
      </c>
      <c r="B2166" t="s">
        <v>5475</v>
      </c>
    </row>
    <row r="2167" spans="1:2">
      <c r="A2167" t="s">
        <v>6645</v>
      </c>
      <c r="B2167" t="s">
        <v>5476</v>
      </c>
    </row>
    <row r="2168" spans="1:2">
      <c r="A2168" t="s">
        <v>6528</v>
      </c>
      <c r="B2168">
        <v>2103941</v>
      </c>
    </row>
    <row r="2169" spans="1:2">
      <c r="A2169" t="s">
        <v>6529</v>
      </c>
      <c r="B2169">
        <v>3300002926</v>
      </c>
    </row>
    <row r="2170" spans="1:2">
      <c r="A2170" t="s">
        <v>6530</v>
      </c>
      <c r="B2170" t="s">
        <v>2662</v>
      </c>
    </row>
    <row r="2171" spans="1:2">
      <c r="A2171" t="s">
        <v>6528</v>
      </c>
      <c r="B2171">
        <v>2119208</v>
      </c>
    </row>
    <row r="2172" spans="1:2">
      <c r="A2172" t="s">
        <v>6677</v>
      </c>
      <c r="B2172">
        <v>5031912</v>
      </c>
    </row>
    <row r="2173" spans="1:2">
      <c r="A2173" t="s">
        <v>6645</v>
      </c>
      <c r="B2173" t="s">
        <v>2661</v>
      </c>
    </row>
    <row r="2174" spans="1:2">
      <c r="A2174" t="s">
        <v>6529</v>
      </c>
      <c r="B2174">
        <v>3300006799</v>
      </c>
    </row>
    <row r="2175" spans="1:2">
      <c r="A2175" t="s">
        <v>6528</v>
      </c>
      <c r="B2175">
        <v>2117105</v>
      </c>
    </row>
    <row r="2176" spans="1:2">
      <c r="A2176" t="s">
        <v>6530</v>
      </c>
      <c r="B2176" t="s">
        <v>4563</v>
      </c>
    </row>
    <row r="2177" spans="1:2">
      <c r="A2177" t="s">
        <v>6677</v>
      </c>
      <c r="B2177">
        <v>5006429</v>
      </c>
    </row>
    <row r="2178" spans="1:2">
      <c r="A2178" t="s">
        <v>6642</v>
      </c>
      <c r="B2178" t="s">
        <v>4562</v>
      </c>
    </row>
    <row r="2179" spans="1:2">
      <c r="A2179" t="s">
        <v>6529</v>
      </c>
      <c r="B2179">
        <v>3300008157</v>
      </c>
    </row>
    <row r="2180" spans="1:2">
      <c r="A2180" t="s">
        <v>6677</v>
      </c>
      <c r="B2180">
        <v>5040899</v>
      </c>
    </row>
    <row r="2181" spans="1:2">
      <c r="A2181" t="s">
        <v>6528</v>
      </c>
      <c r="B2181">
        <v>2103867</v>
      </c>
    </row>
    <row r="2182" spans="1:2">
      <c r="A2182" t="s">
        <v>6530</v>
      </c>
      <c r="B2182" t="s">
        <v>6763</v>
      </c>
    </row>
    <row r="2183" spans="1:2">
      <c r="A2183" t="s">
        <v>6528</v>
      </c>
      <c r="B2183">
        <v>2119183</v>
      </c>
    </row>
    <row r="2184" spans="1:2">
      <c r="A2184" t="s">
        <v>6645</v>
      </c>
      <c r="B2184" t="s">
        <v>2653</v>
      </c>
    </row>
    <row r="2185" spans="1:2">
      <c r="A2185" t="s">
        <v>6677</v>
      </c>
      <c r="B2185">
        <v>5040904</v>
      </c>
    </row>
    <row r="2186" spans="1:2">
      <c r="A2186" t="s">
        <v>6529</v>
      </c>
      <c r="B2186">
        <v>3300002974</v>
      </c>
    </row>
    <row r="2187" spans="1:2">
      <c r="A2187" t="s">
        <v>6528</v>
      </c>
      <c r="B2187">
        <v>2117106</v>
      </c>
    </row>
    <row r="2188" spans="1:2">
      <c r="A2188" t="s">
        <v>6530</v>
      </c>
      <c r="B2188" t="s">
        <v>2047</v>
      </c>
    </row>
    <row r="2189" spans="1:2">
      <c r="A2189" t="s">
        <v>6645</v>
      </c>
      <c r="B2189" t="s">
        <v>2045</v>
      </c>
    </row>
    <row r="2190" spans="1:2">
      <c r="A2190" t="s">
        <v>6672</v>
      </c>
      <c r="B2190">
        <v>2159890</v>
      </c>
    </row>
    <row r="2191" spans="1:2">
      <c r="A2191" t="s">
        <v>6677</v>
      </c>
      <c r="B2191">
        <v>5049721</v>
      </c>
    </row>
    <row r="2192" spans="1:2">
      <c r="A2192" t="s">
        <v>6529</v>
      </c>
      <c r="B2192">
        <v>3300009543</v>
      </c>
    </row>
    <row r="2193" spans="1:2">
      <c r="A2193" t="s">
        <v>6632</v>
      </c>
      <c r="B2193" t="s">
        <v>2046</v>
      </c>
    </row>
    <row r="2194" spans="1:2">
      <c r="A2194" t="s">
        <v>6573</v>
      </c>
      <c r="B2194" t="s">
        <v>4508</v>
      </c>
    </row>
    <row r="2195" spans="1:2">
      <c r="A2195" t="s">
        <v>6528</v>
      </c>
      <c r="B2195">
        <v>2103716</v>
      </c>
    </row>
    <row r="2196" spans="1:2">
      <c r="A2196" t="s">
        <v>6642</v>
      </c>
      <c r="B2196" t="s">
        <v>4506</v>
      </c>
    </row>
    <row r="2197" spans="1:2">
      <c r="A2197" t="s">
        <v>6529</v>
      </c>
      <c r="B2197">
        <v>3300002929</v>
      </c>
    </row>
    <row r="2198" spans="1:2">
      <c r="A2198" t="s">
        <v>6642</v>
      </c>
      <c r="B2198" t="s">
        <v>4507</v>
      </c>
    </row>
    <row r="2199" spans="1:2">
      <c r="A2199" t="s">
        <v>6528</v>
      </c>
      <c r="B2199">
        <v>2103755</v>
      </c>
    </row>
    <row r="2200" spans="1:2">
      <c r="A2200" t="s">
        <v>6530</v>
      </c>
      <c r="B2200" t="s">
        <v>5224</v>
      </c>
    </row>
    <row r="2201" spans="1:2">
      <c r="A2201" t="s">
        <v>6528</v>
      </c>
      <c r="B2201">
        <v>2103757</v>
      </c>
    </row>
    <row r="2202" spans="1:2">
      <c r="A2202" t="s">
        <v>6642</v>
      </c>
      <c r="B2202" t="s">
        <v>5223</v>
      </c>
    </row>
    <row r="2203" spans="1:2">
      <c r="A2203" t="s">
        <v>6528</v>
      </c>
      <c r="B2203">
        <v>2103772</v>
      </c>
    </row>
    <row r="2204" spans="1:2">
      <c r="A2204" t="s">
        <v>6530</v>
      </c>
      <c r="B2204" t="s">
        <v>2095</v>
      </c>
    </row>
    <row r="2205" spans="1:2">
      <c r="A2205" t="s">
        <v>6677</v>
      </c>
      <c r="B2205" t="s">
        <v>2094</v>
      </c>
    </row>
    <row r="2206" spans="1:2">
      <c r="A2206" t="s">
        <v>6528</v>
      </c>
      <c r="B2206">
        <v>2114796</v>
      </c>
    </row>
    <row r="2207" spans="1:2">
      <c r="A2207" t="s">
        <v>6573</v>
      </c>
      <c r="B2207" t="s">
        <v>5484</v>
      </c>
    </row>
    <row r="2208" spans="1:2">
      <c r="A2208" t="s">
        <v>6677</v>
      </c>
      <c r="B2208">
        <v>5042653</v>
      </c>
    </row>
    <row r="2209" spans="1:2">
      <c r="A2209" t="s">
        <v>6528</v>
      </c>
      <c r="B2209">
        <v>2119184</v>
      </c>
    </row>
    <row r="2210" spans="1:2">
      <c r="A2210" t="s">
        <v>6642</v>
      </c>
      <c r="B2210" t="s">
        <v>5483</v>
      </c>
    </row>
    <row r="2211" spans="1:2">
      <c r="A2211" t="s">
        <v>6677</v>
      </c>
      <c r="B2211">
        <v>5042648</v>
      </c>
    </row>
    <row r="2212" spans="1:2">
      <c r="A2212" t="s">
        <v>6530</v>
      </c>
      <c r="B2212" t="s">
        <v>5197</v>
      </c>
    </row>
    <row r="2213" spans="1:2">
      <c r="A2213" t="s">
        <v>6529</v>
      </c>
      <c r="B2213">
        <v>3300002978</v>
      </c>
    </row>
    <row r="2214" spans="1:2">
      <c r="A2214" t="s">
        <v>6645</v>
      </c>
      <c r="B2214" t="s">
        <v>5196</v>
      </c>
    </row>
    <row r="2215" spans="1:2">
      <c r="A2215" t="s">
        <v>6528</v>
      </c>
      <c r="B2215">
        <v>2177350</v>
      </c>
    </row>
    <row r="2216" spans="1:2">
      <c r="A2216" t="s">
        <v>6530</v>
      </c>
      <c r="B2216" t="s">
        <v>6764</v>
      </c>
    </row>
    <row r="2217" spans="1:2">
      <c r="A2217" t="s">
        <v>6529</v>
      </c>
      <c r="B2217">
        <v>3300009737</v>
      </c>
    </row>
    <row r="2218" spans="1:2">
      <c r="A2218" t="s">
        <v>6645</v>
      </c>
      <c r="B2218" t="s">
        <v>5089</v>
      </c>
    </row>
    <row r="2219" spans="1:2">
      <c r="A2219" t="s">
        <v>6528</v>
      </c>
      <c r="B2219">
        <v>2177348</v>
      </c>
    </row>
    <row r="2220" spans="1:2">
      <c r="A2220" t="s">
        <v>6530</v>
      </c>
      <c r="B2220" t="s">
        <v>5291</v>
      </c>
    </row>
    <row r="2221" spans="1:2">
      <c r="A2221" t="s">
        <v>6528</v>
      </c>
      <c r="B2221">
        <v>2115640</v>
      </c>
    </row>
    <row r="2222" spans="1:2">
      <c r="A2222" t="s">
        <v>6645</v>
      </c>
      <c r="B2222" t="s">
        <v>5290</v>
      </c>
    </row>
    <row r="2223" spans="1:2">
      <c r="A2223" t="s">
        <v>6529</v>
      </c>
      <c r="B2223">
        <v>3300011790</v>
      </c>
    </row>
    <row r="2224" spans="1:2">
      <c r="A2224" t="s">
        <v>6677</v>
      </c>
      <c r="B2224">
        <v>5059348</v>
      </c>
    </row>
    <row r="2225" spans="1:2">
      <c r="A2225" t="s">
        <v>6530</v>
      </c>
      <c r="B2225" t="s">
        <v>5654</v>
      </c>
    </row>
    <row r="2226" spans="1:2">
      <c r="A2226" t="s">
        <v>6528</v>
      </c>
      <c r="B2226">
        <v>2119198</v>
      </c>
    </row>
    <row r="2227" spans="1:2">
      <c r="A2227" t="s">
        <v>6642</v>
      </c>
      <c r="B2227" t="s">
        <v>5653</v>
      </c>
    </row>
    <row r="2228" spans="1:2">
      <c r="A2228" t="s">
        <v>6677</v>
      </c>
      <c r="B2228">
        <v>5001446</v>
      </c>
    </row>
    <row r="2229" spans="1:2">
      <c r="A2229" t="s">
        <v>6528</v>
      </c>
      <c r="B2229">
        <v>2116237</v>
      </c>
    </row>
    <row r="2230" spans="1:2">
      <c r="A2230" t="s">
        <v>6573</v>
      </c>
      <c r="B2230" t="s">
        <v>2002</v>
      </c>
    </row>
    <row r="2231" spans="1:2">
      <c r="A2231" t="s">
        <v>6683</v>
      </c>
      <c r="B2231" t="s">
        <v>1999</v>
      </c>
    </row>
    <row r="2232" spans="1:2">
      <c r="A2232" t="s">
        <v>6529</v>
      </c>
      <c r="B2232">
        <v>3300005182</v>
      </c>
    </row>
    <row r="2233" spans="1:2">
      <c r="A2233" t="s">
        <v>6645</v>
      </c>
      <c r="B2233" t="s">
        <v>2000</v>
      </c>
    </row>
    <row r="2234" spans="1:2">
      <c r="A2234" t="s">
        <v>6529</v>
      </c>
      <c r="B2234">
        <v>3300002805</v>
      </c>
    </row>
    <row r="2235" spans="1:2">
      <c r="A2235" t="s">
        <v>6642</v>
      </c>
      <c r="B2235" t="s">
        <v>2001</v>
      </c>
    </row>
    <row r="2236" spans="1:2">
      <c r="A2236" t="s">
        <v>6573</v>
      </c>
      <c r="B2236" t="s">
        <v>1995</v>
      </c>
    </row>
    <row r="2237" spans="1:2">
      <c r="A2237" t="s">
        <v>6528</v>
      </c>
      <c r="B2237">
        <v>2116291</v>
      </c>
    </row>
    <row r="2238" spans="1:2">
      <c r="A2238" t="s">
        <v>6645</v>
      </c>
      <c r="B2238" t="s">
        <v>1994</v>
      </c>
    </row>
    <row r="2239" spans="1:2">
      <c r="A2239" t="s">
        <v>6528</v>
      </c>
      <c r="B2239">
        <v>2116297</v>
      </c>
    </row>
    <row r="2240" spans="1:2">
      <c r="A2240" t="s">
        <v>6529</v>
      </c>
      <c r="B2240">
        <v>3300002924</v>
      </c>
    </row>
    <row r="2241" spans="1:2">
      <c r="A2241" t="s">
        <v>6677</v>
      </c>
      <c r="B2241">
        <v>5059342</v>
      </c>
    </row>
    <row r="2242" spans="1:2">
      <c r="A2242" t="s">
        <v>6573</v>
      </c>
      <c r="B2242" t="s">
        <v>4714</v>
      </c>
    </row>
    <row r="2243" spans="1:2">
      <c r="A2243" t="s">
        <v>6528</v>
      </c>
      <c r="B2243">
        <v>2103866</v>
      </c>
    </row>
    <row r="2244" spans="1:2">
      <c r="A2244" t="s">
        <v>6645</v>
      </c>
      <c r="B2244" t="s">
        <v>4712</v>
      </c>
    </row>
    <row r="2245" spans="1:2">
      <c r="A2245" t="s">
        <v>6528</v>
      </c>
      <c r="B2245">
        <v>2103865</v>
      </c>
    </row>
    <row r="2246" spans="1:2">
      <c r="A2246" t="s">
        <v>6642</v>
      </c>
      <c r="B2246" t="s">
        <v>4713</v>
      </c>
    </row>
    <row r="2247" spans="1:2">
      <c r="A2247" t="s">
        <v>6573</v>
      </c>
      <c r="B2247" t="s">
        <v>4815</v>
      </c>
    </row>
    <row r="2248" spans="1:2">
      <c r="A2248" t="s">
        <v>6677</v>
      </c>
      <c r="B2248">
        <v>5049687</v>
      </c>
    </row>
    <row r="2249" spans="1:2">
      <c r="A2249" t="s">
        <v>6528</v>
      </c>
      <c r="B2249">
        <v>2177329</v>
      </c>
    </row>
    <row r="2250" spans="1:2">
      <c r="A2250" t="s">
        <v>6529</v>
      </c>
      <c r="B2250">
        <v>3300003621</v>
      </c>
    </row>
    <row r="2251" spans="1:2">
      <c r="A2251" t="s">
        <v>6530</v>
      </c>
      <c r="B2251" t="s">
        <v>3535</v>
      </c>
    </row>
    <row r="2252" spans="1:2">
      <c r="A2252" t="s">
        <v>6677</v>
      </c>
      <c r="B2252" t="s">
        <v>3533</v>
      </c>
    </row>
    <row r="2253" spans="1:2">
      <c r="A2253" t="s">
        <v>6528</v>
      </c>
      <c r="B2253">
        <v>2084810</v>
      </c>
    </row>
    <row r="2254" spans="1:2">
      <c r="A2254" t="s">
        <v>6677</v>
      </c>
      <c r="B2254" t="s">
        <v>3534</v>
      </c>
    </row>
    <row r="2255" spans="1:2">
      <c r="A2255" t="s">
        <v>6573</v>
      </c>
      <c r="B2255" t="s">
        <v>5211</v>
      </c>
    </row>
    <row r="2256" spans="1:2">
      <c r="A2256" t="s">
        <v>6528</v>
      </c>
      <c r="B2256">
        <v>2172443</v>
      </c>
    </row>
    <row r="2257" spans="1:2">
      <c r="A2257" t="s">
        <v>6645</v>
      </c>
      <c r="B2257" t="s">
        <v>5210</v>
      </c>
    </row>
    <row r="2258" spans="1:2">
      <c r="A2258" t="s">
        <v>6573</v>
      </c>
      <c r="B2258" t="s">
        <v>6765</v>
      </c>
    </row>
    <row r="2259" spans="1:2">
      <c r="A2259" t="s">
        <v>6528</v>
      </c>
      <c r="B2259">
        <v>2180501</v>
      </c>
    </row>
    <row r="2260" spans="1:2">
      <c r="A2260" t="s">
        <v>6677</v>
      </c>
      <c r="B2260">
        <v>5045695</v>
      </c>
    </row>
    <row r="2261" spans="1:2">
      <c r="A2261" t="s">
        <v>6530</v>
      </c>
      <c r="B2261" t="s">
        <v>5460</v>
      </c>
    </row>
    <row r="2262" spans="1:2">
      <c r="A2262" t="s">
        <v>6528</v>
      </c>
      <c r="B2262">
        <v>2177349</v>
      </c>
    </row>
    <row r="2263" spans="1:2">
      <c r="A2263" t="s">
        <v>6677</v>
      </c>
      <c r="B2263">
        <v>5031896</v>
      </c>
    </row>
    <row r="2264" spans="1:2">
      <c r="A2264" t="s">
        <v>6528</v>
      </c>
      <c r="B2264">
        <v>2103495</v>
      </c>
    </row>
    <row r="2265" spans="1:2">
      <c r="A2265" t="s">
        <v>6642</v>
      </c>
      <c r="B2265" t="s">
        <v>5459</v>
      </c>
    </row>
    <row r="2266" spans="1:2">
      <c r="A2266" t="s">
        <v>6530</v>
      </c>
      <c r="B2266" t="s">
        <v>1254</v>
      </c>
    </row>
    <row r="2267" spans="1:2">
      <c r="A2267" t="s">
        <v>6642</v>
      </c>
      <c r="B2267" t="s">
        <v>1251</v>
      </c>
    </row>
    <row r="2268" spans="1:2">
      <c r="A2268" t="s">
        <v>6642</v>
      </c>
      <c r="B2268" t="s">
        <v>1252</v>
      </c>
    </row>
    <row r="2269" spans="1:2">
      <c r="A2269" t="s">
        <v>6528</v>
      </c>
      <c r="B2269">
        <v>2103546</v>
      </c>
    </row>
    <row r="2270" spans="1:2">
      <c r="A2270" t="s">
        <v>6645</v>
      </c>
      <c r="B2270" t="s">
        <v>1253</v>
      </c>
    </row>
    <row r="2271" spans="1:2">
      <c r="A2271" t="s">
        <v>6530</v>
      </c>
      <c r="B2271" t="s">
        <v>2514</v>
      </c>
    </row>
    <row r="2272" spans="1:2">
      <c r="A2272" t="s">
        <v>6528</v>
      </c>
      <c r="B2272">
        <v>2177163</v>
      </c>
    </row>
    <row r="2273" spans="1:2">
      <c r="A2273" t="s">
        <v>6677</v>
      </c>
      <c r="B2273">
        <v>5059386</v>
      </c>
    </row>
    <row r="2274" spans="1:2">
      <c r="A2274" t="s">
        <v>6645</v>
      </c>
      <c r="B2274" t="s">
        <v>2513</v>
      </c>
    </row>
    <row r="2275" spans="1:2">
      <c r="A2275" t="s">
        <v>6530</v>
      </c>
      <c r="B2275" t="s">
        <v>4616</v>
      </c>
    </row>
    <row r="2276" spans="1:2">
      <c r="A2276" t="s">
        <v>6528</v>
      </c>
      <c r="B2276">
        <v>2114725</v>
      </c>
    </row>
    <row r="2277" spans="1:2">
      <c r="A2277" t="s">
        <v>6677</v>
      </c>
      <c r="B2277">
        <v>5006421</v>
      </c>
    </row>
    <row r="2278" spans="1:2">
      <c r="A2278" t="s">
        <v>6645</v>
      </c>
      <c r="B2278" t="s">
        <v>4615</v>
      </c>
    </row>
    <row r="2279" spans="1:2">
      <c r="A2279" t="s">
        <v>6529</v>
      </c>
      <c r="B2279">
        <v>3300009771</v>
      </c>
    </row>
    <row r="2280" spans="1:2">
      <c r="A2280" t="s">
        <v>6528</v>
      </c>
      <c r="B2280">
        <v>2172440</v>
      </c>
    </row>
    <row r="2281" spans="1:2">
      <c r="A2281" t="s">
        <v>6530</v>
      </c>
      <c r="B2281" t="s">
        <v>5940</v>
      </c>
    </row>
    <row r="2282" spans="1:2">
      <c r="A2282" t="s">
        <v>6677</v>
      </c>
      <c r="B2282" t="s">
        <v>5938</v>
      </c>
    </row>
    <row r="2283" spans="1:2">
      <c r="A2283" t="s">
        <v>6528</v>
      </c>
      <c r="B2283">
        <v>2103737</v>
      </c>
    </row>
    <row r="2284" spans="1:2">
      <c r="A2284" t="s">
        <v>6677</v>
      </c>
      <c r="B2284" t="s">
        <v>5939</v>
      </c>
    </row>
    <row r="2285" spans="1:2">
      <c r="A2285" t="s">
        <v>6530</v>
      </c>
      <c r="B2285" t="s">
        <v>6766</v>
      </c>
    </row>
    <row r="2286" spans="1:2">
      <c r="A2286" t="s">
        <v>6677</v>
      </c>
      <c r="B2286">
        <v>5050425</v>
      </c>
    </row>
    <row r="2287" spans="1:2">
      <c r="A2287" t="s">
        <v>6645</v>
      </c>
      <c r="B2287" t="s">
        <v>4512</v>
      </c>
    </row>
    <row r="2288" spans="1:2">
      <c r="A2288" t="s">
        <v>6672</v>
      </c>
      <c r="B2288">
        <v>2171947</v>
      </c>
    </row>
    <row r="2289" spans="1:2">
      <c r="A2289" t="s">
        <v>6569</v>
      </c>
      <c r="B2289" t="s">
        <v>940</v>
      </c>
    </row>
    <row r="2290" spans="1:2">
      <c r="A2290" t="s">
        <v>6529</v>
      </c>
      <c r="B2290">
        <v>3300010086</v>
      </c>
    </row>
    <row r="2291" spans="1:2">
      <c r="A2291" t="s">
        <v>6528</v>
      </c>
      <c r="B2291">
        <v>2116003</v>
      </c>
    </row>
    <row r="2292" spans="1:2">
      <c r="A2292" t="s">
        <v>6645</v>
      </c>
      <c r="B2292" t="s">
        <v>938</v>
      </c>
    </row>
    <row r="2293" spans="1:2">
      <c r="A2293" t="s">
        <v>6677</v>
      </c>
      <c r="B2293">
        <v>5046329</v>
      </c>
    </row>
    <row r="2294" spans="1:2">
      <c r="A2294" t="s">
        <v>6642</v>
      </c>
      <c r="B2294" t="s">
        <v>939</v>
      </c>
    </row>
    <row r="2295" spans="1:2">
      <c r="A2295" t="s">
        <v>6530</v>
      </c>
      <c r="B2295" t="s">
        <v>4453</v>
      </c>
    </row>
    <row r="2296" spans="1:2">
      <c r="A2296" t="s">
        <v>6642</v>
      </c>
      <c r="B2296" t="s">
        <v>4451</v>
      </c>
    </row>
    <row r="2297" spans="1:2">
      <c r="A2297" t="s">
        <v>6677</v>
      </c>
      <c r="B2297">
        <v>5012460</v>
      </c>
    </row>
    <row r="2298" spans="1:2">
      <c r="A2298" t="s">
        <v>6677</v>
      </c>
      <c r="B2298">
        <v>5012468</v>
      </c>
    </row>
    <row r="2299" spans="1:2">
      <c r="A2299" t="s">
        <v>6529</v>
      </c>
      <c r="B2299">
        <v>3300001277</v>
      </c>
    </row>
    <row r="2300" spans="1:2">
      <c r="A2300" t="s">
        <v>6642</v>
      </c>
      <c r="B2300" t="s">
        <v>4452</v>
      </c>
    </row>
    <row r="2301" spans="1:2">
      <c r="A2301" t="s">
        <v>6569</v>
      </c>
      <c r="B2301" t="s">
        <v>963</v>
      </c>
    </row>
    <row r="2302" spans="1:2">
      <c r="A2302" t="s">
        <v>6642</v>
      </c>
      <c r="B2302" t="s">
        <v>961</v>
      </c>
    </row>
    <row r="2303" spans="1:2">
      <c r="A2303" t="s">
        <v>6528</v>
      </c>
      <c r="B2303">
        <v>2116223</v>
      </c>
    </row>
    <row r="2304" spans="1:2">
      <c r="A2304" t="s">
        <v>6645</v>
      </c>
      <c r="B2304" t="s">
        <v>962</v>
      </c>
    </row>
    <row r="2305" spans="1:2">
      <c r="A2305" t="s">
        <v>6529</v>
      </c>
      <c r="B2305">
        <v>3300010671</v>
      </c>
    </row>
    <row r="2306" spans="1:2">
      <c r="A2306" t="s">
        <v>6528</v>
      </c>
      <c r="B2306">
        <v>2116236</v>
      </c>
    </row>
    <row r="2307" spans="1:2">
      <c r="A2307" t="s">
        <v>6530</v>
      </c>
      <c r="B2307" t="s">
        <v>5177</v>
      </c>
    </row>
    <row r="2308" spans="1:2">
      <c r="A2308" t="s">
        <v>6672</v>
      </c>
      <c r="B2308">
        <v>2183609</v>
      </c>
    </row>
    <row r="2309" spans="1:2">
      <c r="A2309" t="s">
        <v>6642</v>
      </c>
      <c r="B2309" t="s">
        <v>5176</v>
      </c>
    </row>
    <row r="2310" spans="1:2">
      <c r="A2310" t="s">
        <v>6529</v>
      </c>
      <c r="B2310">
        <v>3300010890</v>
      </c>
    </row>
    <row r="2311" spans="1:2">
      <c r="A2311" t="s">
        <v>6672</v>
      </c>
      <c r="B2311">
        <v>2183526</v>
      </c>
    </row>
    <row r="2312" spans="1:2">
      <c r="A2312" t="s">
        <v>6530</v>
      </c>
      <c r="B2312" t="s">
        <v>6393</v>
      </c>
    </row>
    <row r="2313" spans="1:2">
      <c r="A2313" t="s">
        <v>6528</v>
      </c>
      <c r="B2313">
        <v>2117086</v>
      </c>
    </row>
    <row r="2314" spans="1:2">
      <c r="A2314" t="s">
        <v>6677</v>
      </c>
      <c r="B2314">
        <v>5031909</v>
      </c>
    </row>
    <row r="2315" spans="1:2">
      <c r="A2315" t="s">
        <v>6529</v>
      </c>
      <c r="B2315">
        <v>3300008139</v>
      </c>
    </row>
    <row r="2316" spans="1:2">
      <c r="A2316" t="s">
        <v>6530</v>
      </c>
      <c r="B2316" t="s">
        <v>6767</v>
      </c>
    </row>
    <row r="2317" spans="1:2">
      <c r="A2317" t="s">
        <v>6529</v>
      </c>
      <c r="B2317">
        <v>3300009752</v>
      </c>
    </row>
    <row r="2318" spans="1:2">
      <c r="A2318" t="s">
        <v>6677</v>
      </c>
      <c r="B2318">
        <v>5050436</v>
      </c>
    </row>
    <row r="2319" spans="1:2">
      <c r="A2319" t="s">
        <v>6645</v>
      </c>
      <c r="B2319" t="s">
        <v>1094</v>
      </c>
    </row>
    <row r="2320" spans="1:2">
      <c r="A2320" t="s">
        <v>6528</v>
      </c>
      <c r="B2320">
        <v>2177122</v>
      </c>
    </row>
    <row r="2321" spans="1:2">
      <c r="A2321" t="s">
        <v>6529</v>
      </c>
      <c r="B2321">
        <v>3300009740</v>
      </c>
    </row>
    <row r="2322" spans="1:2">
      <c r="A2322" t="s">
        <v>6530</v>
      </c>
      <c r="B2322" t="s">
        <v>2783</v>
      </c>
    </row>
    <row r="2323" spans="1:2">
      <c r="A2323" t="s">
        <v>6528</v>
      </c>
      <c r="B2323">
        <v>2115668</v>
      </c>
    </row>
    <row r="2324" spans="1:2">
      <c r="A2324" t="s">
        <v>6645</v>
      </c>
      <c r="B2324" t="s">
        <v>2782</v>
      </c>
    </row>
    <row r="2325" spans="1:2">
      <c r="A2325" t="s">
        <v>6677</v>
      </c>
      <c r="B2325">
        <v>5040887</v>
      </c>
    </row>
    <row r="2326" spans="1:2">
      <c r="A2326" t="s">
        <v>6528</v>
      </c>
      <c r="B2326">
        <v>2117102</v>
      </c>
    </row>
    <row r="2327" spans="1:2">
      <c r="A2327" t="s">
        <v>6573</v>
      </c>
      <c r="B2327" t="s">
        <v>4858</v>
      </c>
    </row>
    <row r="2328" spans="1:2">
      <c r="A2328" t="s">
        <v>6528</v>
      </c>
      <c r="B2328">
        <v>2119190</v>
      </c>
    </row>
    <row r="2329" spans="1:2">
      <c r="A2329" t="s">
        <v>6677</v>
      </c>
      <c r="B2329">
        <v>5031904</v>
      </c>
    </row>
    <row r="2330" spans="1:2">
      <c r="A2330" t="s">
        <v>6529</v>
      </c>
      <c r="B2330">
        <v>3300008155</v>
      </c>
    </row>
    <row r="2331" spans="1:2">
      <c r="A2331" t="s">
        <v>6677</v>
      </c>
      <c r="B2331">
        <v>5045686</v>
      </c>
    </row>
    <row r="2332" spans="1:2">
      <c r="A2332" t="s">
        <v>6645</v>
      </c>
      <c r="B2332" t="s">
        <v>4857</v>
      </c>
    </row>
    <row r="2333" spans="1:2">
      <c r="A2333" t="s">
        <v>6530</v>
      </c>
      <c r="B2333" t="s">
        <v>6304</v>
      </c>
    </row>
    <row r="2334" spans="1:2">
      <c r="A2334" t="s">
        <v>6528</v>
      </c>
      <c r="B2334">
        <v>2117100</v>
      </c>
    </row>
    <row r="2335" spans="1:2">
      <c r="A2335" t="s">
        <v>6677</v>
      </c>
      <c r="B2335">
        <v>5031898</v>
      </c>
    </row>
    <row r="2336" spans="1:2">
      <c r="A2336" t="s">
        <v>6529</v>
      </c>
      <c r="B2336">
        <v>3300008143</v>
      </c>
    </row>
    <row r="2337" spans="1:2">
      <c r="A2337" t="s">
        <v>6528</v>
      </c>
      <c r="B2337">
        <v>2116296</v>
      </c>
    </row>
    <row r="2338" spans="1:2">
      <c r="A2338" t="s">
        <v>6530</v>
      </c>
      <c r="B2338" t="s">
        <v>2962</v>
      </c>
    </row>
    <row r="2339" spans="1:2">
      <c r="A2339" t="s">
        <v>6528</v>
      </c>
      <c r="B2339">
        <v>2117431</v>
      </c>
    </row>
    <row r="2340" spans="1:2">
      <c r="A2340" t="s">
        <v>6529</v>
      </c>
      <c r="B2340">
        <v>3300010663</v>
      </c>
    </row>
    <row r="2341" spans="1:2">
      <c r="A2341" t="s">
        <v>6677</v>
      </c>
      <c r="B2341" t="s">
        <v>2961</v>
      </c>
    </row>
    <row r="2342" spans="1:2">
      <c r="A2342" t="s">
        <v>6530</v>
      </c>
      <c r="B2342" t="s">
        <v>5331</v>
      </c>
    </row>
    <row r="2343" spans="1:2">
      <c r="A2343" t="s">
        <v>6677</v>
      </c>
      <c r="B2343">
        <v>5031854</v>
      </c>
    </row>
    <row r="2344" spans="1:2">
      <c r="A2344" t="s">
        <v>6645</v>
      </c>
      <c r="B2344" t="s">
        <v>5330</v>
      </c>
    </row>
    <row r="2345" spans="1:2">
      <c r="A2345" t="s">
        <v>6529</v>
      </c>
      <c r="B2345">
        <v>3300006793</v>
      </c>
    </row>
    <row r="2346" spans="1:2">
      <c r="A2346" t="s">
        <v>6677</v>
      </c>
      <c r="B2346">
        <v>5040895</v>
      </c>
    </row>
    <row r="2347" spans="1:2">
      <c r="A2347" t="s">
        <v>6672</v>
      </c>
      <c r="B2347">
        <v>2183572</v>
      </c>
    </row>
    <row r="2348" spans="1:2">
      <c r="A2348" t="s">
        <v>6530</v>
      </c>
      <c r="B2348" t="s">
        <v>4701</v>
      </c>
    </row>
    <row r="2349" spans="1:2">
      <c r="A2349" t="s">
        <v>6528</v>
      </c>
      <c r="B2349">
        <v>2117099</v>
      </c>
    </row>
    <row r="2350" spans="1:2">
      <c r="A2350" t="s">
        <v>6677</v>
      </c>
      <c r="B2350">
        <v>5031919</v>
      </c>
    </row>
    <row r="2351" spans="1:2">
      <c r="A2351" t="s">
        <v>6645</v>
      </c>
      <c r="B2351" t="s">
        <v>4700</v>
      </c>
    </row>
    <row r="2352" spans="1:2">
      <c r="A2352" t="s">
        <v>6529</v>
      </c>
      <c r="B2352">
        <v>3300008147</v>
      </c>
    </row>
    <row r="2353" spans="1:2">
      <c r="A2353" t="s">
        <v>6528</v>
      </c>
      <c r="B2353">
        <v>2119194</v>
      </c>
    </row>
    <row r="2354" spans="1:2">
      <c r="A2354" t="s">
        <v>6530</v>
      </c>
      <c r="B2354" t="s">
        <v>6768</v>
      </c>
    </row>
    <row r="2355" spans="1:2">
      <c r="A2355" t="s">
        <v>6642</v>
      </c>
      <c r="B2355" t="s">
        <v>3278</v>
      </c>
    </row>
    <row r="2356" spans="1:2">
      <c r="A2356" t="s">
        <v>6528</v>
      </c>
      <c r="B2356">
        <v>2115904</v>
      </c>
    </row>
    <row r="2357" spans="1:2">
      <c r="A2357" t="s">
        <v>6677</v>
      </c>
      <c r="B2357" t="s">
        <v>3279</v>
      </c>
    </row>
    <row r="2358" spans="1:2">
      <c r="A2358" t="s">
        <v>6530</v>
      </c>
      <c r="B2358" t="s">
        <v>3318</v>
      </c>
    </row>
    <row r="2359" spans="1:2">
      <c r="A2359" t="s">
        <v>6677</v>
      </c>
      <c r="B2359">
        <v>5031848</v>
      </c>
    </row>
    <row r="2360" spans="1:2">
      <c r="A2360" t="s">
        <v>6642</v>
      </c>
      <c r="B2360" t="s">
        <v>3317</v>
      </c>
    </row>
    <row r="2361" spans="1:2">
      <c r="A2361" t="s">
        <v>6528</v>
      </c>
      <c r="B2361">
        <v>2119268</v>
      </c>
    </row>
    <row r="2362" spans="1:2">
      <c r="A2362" t="s">
        <v>6529</v>
      </c>
      <c r="B2362">
        <v>3300011800</v>
      </c>
    </row>
    <row r="2363" spans="1:2">
      <c r="A2363" t="s">
        <v>6530</v>
      </c>
      <c r="B2363" t="s">
        <v>3126</v>
      </c>
    </row>
    <row r="2364" spans="1:2">
      <c r="A2364" t="s">
        <v>6677</v>
      </c>
      <c r="B2364" t="s">
        <v>3124</v>
      </c>
    </row>
    <row r="2365" spans="1:2">
      <c r="A2365" t="s">
        <v>6676</v>
      </c>
      <c r="B2365">
        <v>41784</v>
      </c>
    </row>
    <row r="2366" spans="1:2">
      <c r="A2366" t="s">
        <v>6660</v>
      </c>
      <c r="B2366" t="s">
        <v>3125</v>
      </c>
    </row>
    <row r="2367" spans="1:2">
      <c r="A2367" t="s">
        <v>6573</v>
      </c>
      <c r="B2367" t="s">
        <v>2279</v>
      </c>
    </row>
    <row r="2368" spans="1:2">
      <c r="A2368" t="s">
        <v>6632</v>
      </c>
      <c r="B2368" t="s">
        <v>2277</v>
      </c>
    </row>
    <row r="2369" spans="1:2">
      <c r="A2369" t="s">
        <v>6677</v>
      </c>
      <c r="B2369">
        <v>5042642</v>
      </c>
    </row>
    <row r="2370" spans="1:2">
      <c r="A2370" t="s">
        <v>6645</v>
      </c>
      <c r="B2370" t="s">
        <v>2278</v>
      </c>
    </row>
    <row r="2371" spans="1:2">
      <c r="A2371" t="s">
        <v>6529</v>
      </c>
      <c r="B2371">
        <v>3300006816</v>
      </c>
    </row>
    <row r="2372" spans="1:2">
      <c r="A2372" t="s">
        <v>6672</v>
      </c>
      <c r="B2372">
        <v>2159826</v>
      </c>
    </row>
    <row r="2373" spans="1:2">
      <c r="A2373" t="s">
        <v>6530</v>
      </c>
      <c r="B2373" t="s">
        <v>5153</v>
      </c>
    </row>
    <row r="2374" spans="1:2">
      <c r="A2374" t="s">
        <v>6677</v>
      </c>
      <c r="B2374">
        <v>5006420</v>
      </c>
    </row>
    <row r="2375" spans="1:2">
      <c r="A2375" t="s">
        <v>6645</v>
      </c>
      <c r="B2375" t="s">
        <v>5152</v>
      </c>
    </row>
    <row r="2376" spans="1:2">
      <c r="A2376" t="s">
        <v>6529</v>
      </c>
      <c r="B2376">
        <v>3300002973</v>
      </c>
    </row>
    <row r="2377" spans="1:2">
      <c r="A2377" t="s">
        <v>6528</v>
      </c>
      <c r="B2377">
        <v>2117089</v>
      </c>
    </row>
    <row r="2378" spans="1:2">
      <c r="A2378" t="s">
        <v>6573</v>
      </c>
      <c r="B2378" t="s">
        <v>5455</v>
      </c>
    </row>
    <row r="2379" spans="1:2">
      <c r="A2379" t="s">
        <v>6645</v>
      </c>
      <c r="B2379" t="s">
        <v>5454</v>
      </c>
    </row>
    <row r="2380" spans="1:2">
      <c r="A2380" t="s">
        <v>6672</v>
      </c>
      <c r="B2380">
        <v>2171986</v>
      </c>
    </row>
    <row r="2381" spans="1:2">
      <c r="A2381" t="s">
        <v>6530</v>
      </c>
      <c r="B2381" t="s">
        <v>2746</v>
      </c>
    </row>
    <row r="2382" spans="1:2">
      <c r="A2382" t="s">
        <v>6528</v>
      </c>
      <c r="B2382">
        <v>2119179</v>
      </c>
    </row>
    <row r="2383" spans="1:2">
      <c r="A2383" t="s">
        <v>6677</v>
      </c>
      <c r="B2383">
        <v>5031902</v>
      </c>
    </row>
    <row r="2384" spans="1:2">
      <c r="A2384" t="s">
        <v>6529</v>
      </c>
      <c r="B2384">
        <v>3300006804</v>
      </c>
    </row>
    <row r="2385" spans="1:2">
      <c r="A2385" t="s">
        <v>6528</v>
      </c>
      <c r="B2385">
        <v>2117079</v>
      </c>
    </row>
    <row r="2386" spans="1:2">
      <c r="A2386" t="s">
        <v>6530</v>
      </c>
      <c r="B2386" t="s">
        <v>2718</v>
      </c>
    </row>
    <row r="2387" spans="1:2">
      <c r="A2387" t="s">
        <v>6528</v>
      </c>
      <c r="B2387">
        <v>2117101</v>
      </c>
    </row>
    <row r="2388" spans="1:2">
      <c r="A2388" t="s">
        <v>6645</v>
      </c>
      <c r="B2388" t="s">
        <v>2716</v>
      </c>
    </row>
    <row r="2389" spans="1:2">
      <c r="A2389" t="s">
        <v>6529</v>
      </c>
      <c r="B2389">
        <v>3300008154</v>
      </c>
    </row>
    <row r="2390" spans="1:2">
      <c r="A2390" t="s">
        <v>6528</v>
      </c>
      <c r="B2390">
        <v>2117071</v>
      </c>
    </row>
    <row r="2391" spans="1:2">
      <c r="A2391" t="s">
        <v>6677</v>
      </c>
      <c r="B2391" t="s">
        <v>2717</v>
      </c>
    </row>
    <row r="2392" spans="1:2">
      <c r="A2392" t="s">
        <v>6530</v>
      </c>
      <c r="B2392" t="s">
        <v>4574</v>
      </c>
    </row>
    <row r="2393" spans="1:2">
      <c r="A2393" t="s">
        <v>6528</v>
      </c>
      <c r="B2393">
        <v>2167692</v>
      </c>
    </row>
    <row r="2394" spans="1:2">
      <c r="A2394" t="s">
        <v>6677</v>
      </c>
      <c r="B2394" t="s">
        <v>4571</v>
      </c>
    </row>
    <row r="2395" spans="1:2">
      <c r="A2395" t="s">
        <v>6645</v>
      </c>
      <c r="B2395" t="s">
        <v>4572</v>
      </c>
    </row>
    <row r="2396" spans="1:2">
      <c r="A2396" t="s">
        <v>6529</v>
      </c>
      <c r="B2396">
        <v>3300009537</v>
      </c>
    </row>
    <row r="2397" spans="1:2">
      <c r="A2397" t="s">
        <v>6528</v>
      </c>
      <c r="B2397">
        <v>2172438</v>
      </c>
    </row>
    <row r="2398" spans="1:2">
      <c r="A2398" t="s">
        <v>6530</v>
      </c>
      <c r="B2398" t="s">
        <v>3673</v>
      </c>
    </row>
    <row r="2399" spans="1:2">
      <c r="A2399" t="s">
        <v>6677</v>
      </c>
      <c r="B2399">
        <v>5031841</v>
      </c>
    </row>
    <row r="2400" spans="1:2">
      <c r="A2400" t="s">
        <v>6677</v>
      </c>
      <c r="B2400" t="s">
        <v>3672</v>
      </c>
    </row>
    <row r="2401" spans="1:2">
      <c r="A2401" t="s">
        <v>6530</v>
      </c>
      <c r="B2401" t="s">
        <v>1039</v>
      </c>
    </row>
    <row r="2402" spans="1:2">
      <c r="A2402" t="s">
        <v>6677</v>
      </c>
      <c r="B2402">
        <v>5049678</v>
      </c>
    </row>
    <row r="2403" spans="1:2">
      <c r="A2403" t="s">
        <v>6645</v>
      </c>
      <c r="B2403" t="s">
        <v>1038</v>
      </c>
    </row>
    <row r="2404" spans="1:2">
      <c r="A2404" t="s">
        <v>6672</v>
      </c>
      <c r="B2404">
        <v>2171916</v>
      </c>
    </row>
    <row r="2405" spans="1:2">
      <c r="A2405" t="s">
        <v>6677</v>
      </c>
      <c r="B2405">
        <v>5049675</v>
      </c>
    </row>
    <row r="2406" spans="1:2">
      <c r="A2406" t="s">
        <v>6530</v>
      </c>
      <c r="B2406" t="s">
        <v>6241</v>
      </c>
    </row>
    <row r="2407" spans="1:2">
      <c r="A2407" t="s">
        <v>6642</v>
      </c>
      <c r="B2407" t="s">
        <v>6240</v>
      </c>
    </row>
    <row r="2408" spans="1:2">
      <c r="A2408" t="s">
        <v>6528</v>
      </c>
      <c r="B2408">
        <v>2115891</v>
      </c>
    </row>
    <row r="2409" spans="1:2">
      <c r="A2409" t="s">
        <v>6677</v>
      </c>
      <c r="B2409">
        <v>5059294</v>
      </c>
    </row>
    <row r="2410" spans="1:2">
      <c r="A2410" t="s">
        <v>6530</v>
      </c>
      <c r="B2410" t="s">
        <v>6769</v>
      </c>
    </row>
    <row r="2411" spans="1:2">
      <c r="A2411" t="s">
        <v>6645</v>
      </c>
      <c r="B2411" t="s">
        <v>3852</v>
      </c>
    </row>
    <row r="2412" spans="1:2">
      <c r="A2412" t="s">
        <v>6677</v>
      </c>
      <c r="B2412">
        <v>5050455</v>
      </c>
    </row>
    <row r="2413" spans="1:2">
      <c r="A2413" t="s">
        <v>6672</v>
      </c>
      <c r="B2413">
        <v>2171907</v>
      </c>
    </row>
    <row r="2414" spans="1:2">
      <c r="A2414" t="s">
        <v>6529</v>
      </c>
      <c r="B2414">
        <v>3300002810</v>
      </c>
    </row>
    <row r="2415" spans="1:2">
      <c r="A2415" t="s">
        <v>6683</v>
      </c>
      <c r="B2415" t="s">
        <v>3853</v>
      </c>
    </row>
    <row r="2416" spans="1:2">
      <c r="A2416" t="s">
        <v>6530</v>
      </c>
      <c r="B2416" t="s">
        <v>5262</v>
      </c>
    </row>
    <row r="2417" spans="1:2">
      <c r="A2417" t="s">
        <v>6528</v>
      </c>
      <c r="B2417">
        <v>2117426</v>
      </c>
    </row>
    <row r="2418" spans="1:2">
      <c r="A2418" t="s">
        <v>6677</v>
      </c>
      <c r="B2418" t="s">
        <v>5259</v>
      </c>
    </row>
    <row r="2419" spans="1:2">
      <c r="A2419" t="s">
        <v>6529</v>
      </c>
      <c r="B2419">
        <v>3300012806</v>
      </c>
    </row>
    <row r="2420" spans="1:2">
      <c r="A2420" t="s">
        <v>6528</v>
      </c>
      <c r="B2420">
        <v>2117594</v>
      </c>
    </row>
    <row r="2421" spans="1:2">
      <c r="A2421" t="s">
        <v>6677</v>
      </c>
      <c r="B2421" t="s">
        <v>5261</v>
      </c>
    </row>
    <row r="2422" spans="1:2">
      <c r="A2422" t="s">
        <v>6530</v>
      </c>
      <c r="B2422" t="s">
        <v>6405</v>
      </c>
    </row>
    <row r="2423" spans="1:2">
      <c r="A2423" t="s">
        <v>6642</v>
      </c>
      <c r="B2423" t="s">
        <v>6404</v>
      </c>
    </row>
    <row r="2424" spans="1:2">
      <c r="A2424" t="s">
        <v>6677</v>
      </c>
      <c r="B2424">
        <v>5032241</v>
      </c>
    </row>
    <row r="2425" spans="1:2">
      <c r="A2425" t="s">
        <v>6528</v>
      </c>
      <c r="B2425">
        <v>2103479</v>
      </c>
    </row>
    <row r="2426" spans="1:2">
      <c r="A2426" t="s">
        <v>6530</v>
      </c>
      <c r="B2426" t="s">
        <v>4133</v>
      </c>
    </row>
    <row r="2427" spans="1:2">
      <c r="A2427" t="s">
        <v>6528</v>
      </c>
      <c r="B2427">
        <v>2116278</v>
      </c>
    </row>
    <row r="2428" spans="1:2">
      <c r="A2428" t="s">
        <v>6677</v>
      </c>
      <c r="B2428">
        <v>5031833</v>
      </c>
    </row>
    <row r="2429" spans="1:2">
      <c r="A2429" t="s">
        <v>6645</v>
      </c>
      <c r="B2429" t="s">
        <v>4132</v>
      </c>
    </row>
    <row r="2430" spans="1:2">
      <c r="A2430" t="s">
        <v>6529</v>
      </c>
      <c r="B2430">
        <v>3300008133</v>
      </c>
    </row>
    <row r="2431" spans="1:2">
      <c r="A2431" t="s">
        <v>6528</v>
      </c>
      <c r="B2431">
        <v>2117083</v>
      </c>
    </row>
    <row r="2432" spans="1:2">
      <c r="A2432" t="s">
        <v>6530</v>
      </c>
      <c r="B2432" t="s">
        <v>6770</v>
      </c>
    </row>
    <row r="2433" spans="1:2">
      <c r="A2433" t="s">
        <v>6677</v>
      </c>
      <c r="B2433">
        <v>5040900</v>
      </c>
    </row>
    <row r="2434" spans="1:2">
      <c r="A2434" t="s">
        <v>6645</v>
      </c>
      <c r="B2434" t="s">
        <v>3463</v>
      </c>
    </row>
    <row r="2435" spans="1:2">
      <c r="A2435" t="s">
        <v>6529</v>
      </c>
      <c r="B2435">
        <v>3300006812</v>
      </c>
    </row>
    <row r="2436" spans="1:2">
      <c r="A2436" t="s">
        <v>6528</v>
      </c>
      <c r="B2436">
        <v>2116209</v>
      </c>
    </row>
    <row r="2437" spans="1:2">
      <c r="A2437" t="s">
        <v>6530</v>
      </c>
      <c r="B2437" t="s">
        <v>4541</v>
      </c>
    </row>
    <row r="2438" spans="1:2">
      <c r="A2438" t="s">
        <v>6677</v>
      </c>
      <c r="B2438">
        <v>5031847</v>
      </c>
    </row>
    <row r="2439" spans="1:2">
      <c r="A2439" t="s">
        <v>6645</v>
      </c>
      <c r="B2439" t="s">
        <v>4539</v>
      </c>
    </row>
    <row r="2440" spans="1:2">
      <c r="A2440" t="s">
        <v>6529</v>
      </c>
      <c r="B2440">
        <v>3300006798</v>
      </c>
    </row>
    <row r="2441" spans="1:2">
      <c r="A2441" t="s">
        <v>6660</v>
      </c>
      <c r="B2441" t="s">
        <v>4540</v>
      </c>
    </row>
    <row r="2442" spans="1:2">
      <c r="A2442" t="s">
        <v>6530</v>
      </c>
      <c r="B2442" t="s">
        <v>1117</v>
      </c>
    </row>
    <row r="2443" spans="1:2">
      <c r="A2443" t="s">
        <v>6675</v>
      </c>
      <c r="B2443">
        <v>3400001164</v>
      </c>
    </row>
    <row r="2444" spans="1:2">
      <c r="A2444" t="s">
        <v>6528</v>
      </c>
      <c r="B2444">
        <v>2119286</v>
      </c>
    </row>
    <row r="2445" spans="1:2">
      <c r="A2445" t="s">
        <v>6677</v>
      </c>
      <c r="B2445">
        <v>5040883</v>
      </c>
    </row>
    <row r="2446" spans="1:2">
      <c r="A2446" t="s">
        <v>6645</v>
      </c>
      <c r="B2446" t="s">
        <v>1116</v>
      </c>
    </row>
    <row r="2447" spans="1:2">
      <c r="A2447" t="s">
        <v>6573</v>
      </c>
      <c r="B2447" t="s">
        <v>6176</v>
      </c>
    </row>
    <row r="2448" spans="1:2">
      <c r="A2448" t="s">
        <v>6528</v>
      </c>
      <c r="B2448">
        <v>2115669</v>
      </c>
    </row>
    <row r="2449" spans="1:2">
      <c r="A2449" t="s">
        <v>6677</v>
      </c>
      <c r="B2449">
        <v>5031828</v>
      </c>
    </row>
    <row r="2450" spans="1:2">
      <c r="A2450" t="s">
        <v>6645</v>
      </c>
      <c r="B2450" t="s">
        <v>6174</v>
      </c>
    </row>
    <row r="2451" spans="1:2">
      <c r="A2451" t="s">
        <v>6529</v>
      </c>
      <c r="B2451">
        <v>3300002931</v>
      </c>
    </row>
    <row r="2452" spans="1:2">
      <c r="A2452" t="s">
        <v>6683</v>
      </c>
      <c r="B2452" t="s">
        <v>6175</v>
      </c>
    </row>
    <row r="2453" spans="1:2">
      <c r="A2453" t="s">
        <v>6530</v>
      </c>
      <c r="B2453" t="s">
        <v>6195</v>
      </c>
    </row>
    <row r="2454" spans="1:2">
      <c r="A2454" t="s">
        <v>6677</v>
      </c>
      <c r="B2454">
        <v>5014456</v>
      </c>
    </row>
    <row r="2455" spans="1:2">
      <c r="A2455" t="s">
        <v>6528</v>
      </c>
      <c r="B2455">
        <v>2176445</v>
      </c>
    </row>
    <row r="2456" spans="1:2">
      <c r="A2456" t="s">
        <v>6529</v>
      </c>
      <c r="B2456">
        <v>3300008142</v>
      </c>
    </row>
    <row r="2457" spans="1:2">
      <c r="A2457" t="s">
        <v>6530</v>
      </c>
      <c r="B2457" t="s">
        <v>4431</v>
      </c>
    </row>
    <row r="2458" spans="1:2">
      <c r="A2458" t="s">
        <v>6677</v>
      </c>
      <c r="B2458">
        <v>5042654</v>
      </c>
    </row>
    <row r="2459" spans="1:2">
      <c r="A2459" t="s">
        <v>6645</v>
      </c>
      <c r="B2459" t="s">
        <v>4430</v>
      </c>
    </row>
    <row r="2460" spans="1:2">
      <c r="A2460" t="s">
        <v>6529</v>
      </c>
      <c r="B2460">
        <v>3300006810</v>
      </c>
    </row>
    <row r="2461" spans="1:2">
      <c r="A2461" t="s">
        <v>6677</v>
      </c>
      <c r="B2461">
        <v>5042657</v>
      </c>
    </row>
    <row r="2462" spans="1:2">
      <c r="A2462" t="s">
        <v>6672</v>
      </c>
      <c r="B2462">
        <v>2183486</v>
      </c>
    </row>
    <row r="2463" spans="1:2">
      <c r="A2463" t="s">
        <v>6530</v>
      </c>
      <c r="B2463" t="s">
        <v>5447</v>
      </c>
    </row>
    <row r="2464" spans="1:2">
      <c r="A2464" t="s">
        <v>6672</v>
      </c>
      <c r="B2464">
        <v>2183473</v>
      </c>
    </row>
    <row r="2465" spans="1:2">
      <c r="A2465" t="s">
        <v>6677</v>
      </c>
      <c r="B2465">
        <v>5059335</v>
      </c>
    </row>
    <row r="2466" spans="1:2">
      <c r="A2466" t="s">
        <v>6529</v>
      </c>
      <c r="B2466">
        <v>3300002918</v>
      </c>
    </row>
    <row r="2467" spans="1:2">
      <c r="A2467" t="s">
        <v>6530</v>
      </c>
      <c r="B2467" t="s">
        <v>3104</v>
      </c>
    </row>
    <row r="2468" spans="1:2">
      <c r="A2468" t="s">
        <v>6677</v>
      </c>
      <c r="B2468" t="s">
        <v>3102</v>
      </c>
    </row>
    <row r="2469" spans="1:2">
      <c r="A2469" t="s">
        <v>6528</v>
      </c>
      <c r="B2469">
        <v>2103497</v>
      </c>
    </row>
    <row r="2470" spans="1:2">
      <c r="A2470" t="s">
        <v>6677</v>
      </c>
      <c r="B2470" t="s">
        <v>3103</v>
      </c>
    </row>
    <row r="2471" spans="1:2">
      <c r="A2471" t="s">
        <v>6530</v>
      </c>
      <c r="B2471" t="s">
        <v>4804</v>
      </c>
    </row>
    <row r="2472" spans="1:2">
      <c r="A2472" t="s">
        <v>6677</v>
      </c>
      <c r="B2472" t="s">
        <v>4800</v>
      </c>
    </row>
    <row r="2473" spans="1:2">
      <c r="A2473" t="s">
        <v>6528</v>
      </c>
      <c r="B2473">
        <v>2081845</v>
      </c>
    </row>
    <row r="2474" spans="1:2">
      <c r="A2474" t="s">
        <v>6529</v>
      </c>
      <c r="B2474">
        <v>3300011493</v>
      </c>
    </row>
    <row r="2475" spans="1:2">
      <c r="A2475" t="s">
        <v>6528</v>
      </c>
      <c r="B2475">
        <v>2086984</v>
      </c>
    </row>
    <row r="2476" spans="1:2">
      <c r="A2476" t="s">
        <v>6642</v>
      </c>
      <c r="B2476" t="s">
        <v>4803</v>
      </c>
    </row>
    <row r="2477" spans="1:2">
      <c r="A2477" t="s">
        <v>6530</v>
      </c>
      <c r="B2477" t="s">
        <v>3451</v>
      </c>
    </row>
    <row r="2478" spans="1:2">
      <c r="A2478" t="s">
        <v>6677</v>
      </c>
      <c r="B2478">
        <v>5042658</v>
      </c>
    </row>
    <row r="2479" spans="1:2">
      <c r="A2479" t="s">
        <v>6645</v>
      </c>
      <c r="B2479" t="s">
        <v>3450</v>
      </c>
    </row>
    <row r="2480" spans="1:2">
      <c r="A2480" t="s">
        <v>6528</v>
      </c>
      <c r="B2480">
        <v>2117087</v>
      </c>
    </row>
    <row r="2481" spans="1:2">
      <c r="A2481" t="s">
        <v>6529</v>
      </c>
      <c r="B2481">
        <v>3300002928</v>
      </c>
    </row>
    <row r="2482" spans="1:2">
      <c r="A2482" t="s">
        <v>6530</v>
      </c>
      <c r="B2482" t="s">
        <v>3859</v>
      </c>
    </row>
    <row r="2483" spans="1:2">
      <c r="A2483" t="s">
        <v>6645</v>
      </c>
      <c r="B2483" t="s">
        <v>3858</v>
      </c>
    </row>
    <row r="2484" spans="1:2">
      <c r="A2484" t="s">
        <v>6677</v>
      </c>
      <c r="B2484">
        <v>5049685</v>
      </c>
    </row>
    <row r="2485" spans="1:2">
      <c r="A2485" t="s">
        <v>6672</v>
      </c>
      <c r="B2485">
        <v>2171973</v>
      </c>
    </row>
    <row r="2486" spans="1:2">
      <c r="A2486" t="s">
        <v>6573</v>
      </c>
      <c r="B2486" t="s">
        <v>3709</v>
      </c>
    </row>
    <row r="2487" spans="1:2">
      <c r="A2487" t="s">
        <v>6672</v>
      </c>
      <c r="B2487">
        <v>2183604</v>
      </c>
    </row>
    <row r="2488" spans="1:2">
      <c r="A2488" t="s">
        <v>6642</v>
      </c>
      <c r="B2488" t="s">
        <v>3707</v>
      </c>
    </row>
    <row r="2489" spans="1:2">
      <c r="A2489" t="s">
        <v>6677</v>
      </c>
      <c r="B2489" t="s">
        <v>3708</v>
      </c>
    </row>
    <row r="2490" spans="1:2">
      <c r="A2490" t="s">
        <v>6530</v>
      </c>
      <c r="B2490" t="s">
        <v>3345</v>
      </c>
    </row>
    <row r="2491" spans="1:2">
      <c r="A2491" t="s">
        <v>6645</v>
      </c>
      <c r="B2491" t="s">
        <v>3344</v>
      </c>
    </row>
    <row r="2492" spans="1:2">
      <c r="A2492" t="s">
        <v>6529</v>
      </c>
      <c r="B2492">
        <v>3300004141</v>
      </c>
    </row>
    <row r="2493" spans="1:2">
      <c r="A2493" t="s">
        <v>6672</v>
      </c>
      <c r="B2493">
        <v>2183530</v>
      </c>
    </row>
    <row r="2494" spans="1:2">
      <c r="A2494" t="s">
        <v>6530</v>
      </c>
      <c r="B2494" t="s">
        <v>6771</v>
      </c>
    </row>
    <row r="2495" spans="1:2">
      <c r="A2495" t="s">
        <v>6677</v>
      </c>
      <c r="B2495">
        <v>5031822</v>
      </c>
    </row>
    <row r="2496" spans="1:2">
      <c r="A2496" t="s">
        <v>6528</v>
      </c>
      <c r="B2496">
        <v>2119259</v>
      </c>
    </row>
    <row r="2497" spans="1:2">
      <c r="A2497" t="s">
        <v>6530</v>
      </c>
      <c r="B2497" t="s">
        <v>5641</v>
      </c>
    </row>
    <row r="2498" spans="1:2">
      <c r="A2498" t="s">
        <v>6529</v>
      </c>
      <c r="B2498">
        <v>3300009564</v>
      </c>
    </row>
    <row r="2499" spans="1:2">
      <c r="A2499" t="s">
        <v>6645</v>
      </c>
      <c r="B2499" t="s">
        <v>5639</v>
      </c>
    </row>
    <row r="2500" spans="1:2">
      <c r="A2500" t="s">
        <v>6677</v>
      </c>
      <c r="B2500">
        <v>5050442</v>
      </c>
    </row>
    <row r="2501" spans="1:2">
      <c r="A2501" t="s">
        <v>6529</v>
      </c>
      <c r="B2501">
        <v>3300009735</v>
      </c>
    </row>
    <row r="2502" spans="1:2">
      <c r="A2502" t="s">
        <v>6528</v>
      </c>
      <c r="B2502">
        <v>2103758</v>
      </c>
    </row>
    <row r="2503" spans="1:2">
      <c r="A2503" t="s">
        <v>6530</v>
      </c>
      <c r="B2503" t="s">
        <v>5273</v>
      </c>
    </row>
    <row r="2504" spans="1:2">
      <c r="A2504" t="s">
        <v>6528</v>
      </c>
      <c r="B2504">
        <v>2114758</v>
      </c>
    </row>
    <row r="2505" spans="1:2">
      <c r="A2505" t="s">
        <v>6677</v>
      </c>
      <c r="B2505">
        <v>5059385</v>
      </c>
    </row>
    <row r="2506" spans="1:2">
      <c r="A2506" t="s">
        <v>6529</v>
      </c>
      <c r="B2506">
        <v>3300008132</v>
      </c>
    </row>
    <row r="2507" spans="1:2">
      <c r="A2507" t="s">
        <v>6530</v>
      </c>
      <c r="B2507" t="s">
        <v>5188</v>
      </c>
    </row>
    <row r="2508" spans="1:2">
      <c r="A2508" t="s">
        <v>6528</v>
      </c>
      <c r="B2508">
        <v>2172356</v>
      </c>
    </row>
    <row r="2509" spans="1:2">
      <c r="A2509" t="s">
        <v>6645</v>
      </c>
      <c r="B2509" t="s">
        <v>5187</v>
      </c>
    </row>
    <row r="2510" spans="1:2">
      <c r="A2510" t="s">
        <v>6677</v>
      </c>
      <c r="B2510">
        <v>5014462</v>
      </c>
    </row>
    <row r="2511" spans="1:2">
      <c r="A2511" t="s">
        <v>6530</v>
      </c>
      <c r="B2511" t="s">
        <v>4907</v>
      </c>
    </row>
    <row r="2512" spans="1:2">
      <c r="A2512" t="s">
        <v>6645</v>
      </c>
      <c r="B2512" t="s">
        <v>4906</v>
      </c>
    </row>
    <row r="2513" spans="1:2">
      <c r="A2513" t="s">
        <v>6529</v>
      </c>
      <c r="B2513">
        <v>3300002968</v>
      </c>
    </row>
    <row r="2514" spans="1:2">
      <c r="A2514" t="s">
        <v>6677</v>
      </c>
      <c r="B2514">
        <v>5031891</v>
      </c>
    </row>
    <row r="2515" spans="1:2">
      <c r="A2515" t="s">
        <v>6677</v>
      </c>
      <c r="B2515">
        <v>5031893</v>
      </c>
    </row>
    <row r="2516" spans="1:2">
      <c r="A2516" t="s">
        <v>6528</v>
      </c>
      <c r="B2516">
        <v>2119188</v>
      </c>
    </row>
    <row r="2517" spans="1:2">
      <c r="A2517" t="s">
        <v>6530</v>
      </c>
      <c r="B2517" t="s">
        <v>3992</v>
      </c>
    </row>
    <row r="2518" spans="1:2">
      <c r="A2518" t="s">
        <v>6528</v>
      </c>
      <c r="B2518">
        <v>2172439</v>
      </c>
    </row>
    <row r="2519" spans="1:2">
      <c r="A2519" t="s">
        <v>6677</v>
      </c>
      <c r="B2519">
        <v>5031888</v>
      </c>
    </row>
    <row r="2520" spans="1:2">
      <c r="A2520" t="s">
        <v>6677</v>
      </c>
      <c r="B2520" t="s">
        <v>3991</v>
      </c>
    </row>
    <row r="2521" spans="1:2">
      <c r="A2521" t="s">
        <v>6569</v>
      </c>
      <c r="B2521" t="s">
        <v>1711</v>
      </c>
    </row>
    <row r="2522" spans="1:2">
      <c r="A2522" t="s">
        <v>6642</v>
      </c>
      <c r="B2522" t="s">
        <v>1709</v>
      </c>
    </row>
    <row r="2523" spans="1:2">
      <c r="A2523" t="s">
        <v>6528</v>
      </c>
      <c r="B2523">
        <v>2160455</v>
      </c>
    </row>
    <row r="2524" spans="1:2">
      <c r="A2524" t="s">
        <v>6645</v>
      </c>
      <c r="B2524" t="s">
        <v>1710</v>
      </c>
    </row>
    <row r="2525" spans="1:2">
      <c r="A2525" t="s">
        <v>6677</v>
      </c>
      <c r="B2525">
        <v>5036848</v>
      </c>
    </row>
    <row r="2526" spans="1:2">
      <c r="A2526" t="s">
        <v>6529</v>
      </c>
      <c r="B2526">
        <v>3300009510</v>
      </c>
    </row>
    <row r="2527" spans="1:2">
      <c r="A2527" t="s">
        <v>6530</v>
      </c>
      <c r="B2527" t="s">
        <v>1655</v>
      </c>
    </row>
    <row r="2528" spans="1:2">
      <c r="A2528" t="s">
        <v>6677</v>
      </c>
      <c r="B2528">
        <v>5049691</v>
      </c>
    </row>
    <row r="2529" spans="1:2">
      <c r="A2529" t="s">
        <v>6645</v>
      </c>
      <c r="B2529" t="s">
        <v>1654</v>
      </c>
    </row>
    <row r="2530" spans="1:2">
      <c r="A2530" t="s">
        <v>6672</v>
      </c>
      <c r="B2530">
        <v>2172030</v>
      </c>
    </row>
    <row r="2531" spans="1:2">
      <c r="A2531" t="s">
        <v>6530</v>
      </c>
      <c r="B2531" t="s">
        <v>1668</v>
      </c>
    </row>
    <row r="2532" spans="1:2">
      <c r="A2532" t="s">
        <v>6528</v>
      </c>
      <c r="B2532">
        <v>2119220</v>
      </c>
    </row>
    <row r="2533" spans="1:2">
      <c r="A2533" t="s">
        <v>6642</v>
      </c>
      <c r="B2533" t="s">
        <v>1667</v>
      </c>
    </row>
    <row r="2534" spans="1:2">
      <c r="A2534" t="s">
        <v>6529</v>
      </c>
      <c r="B2534">
        <v>3300010900</v>
      </c>
    </row>
    <row r="2535" spans="1:2">
      <c r="A2535" t="s">
        <v>6530</v>
      </c>
      <c r="B2535" t="s">
        <v>6772</v>
      </c>
    </row>
    <row r="2536" spans="1:2">
      <c r="A2536" t="s">
        <v>6672</v>
      </c>
      <c r="B2536">
        <v>2183474</v>
      </c>
    </row>
    <row r="2537" spans="1:2">
      <c r="A2537" t="s">
        <v>6645</v>
      </c>
      <c r="B2537" t="s">
        <v>3350</v>
      </c>
    </row>
    <row r="2538" spans="1:2">
      <c r="A2538" t="s">
        <v>6677</v>
      </c>
      <c r="B2538" t="s">
        <v>3351</v>
      </c>
    </row>
    <row r="2539" spans="1:2">
      <c r="A2539" t="s">
        <v>6530</v>
      </c>
      <c r="B2539" t="s">
        <v>1375</v>
      </c>
    </row>
    <row r="2540" spans="1:2">
      <c r="A2540" t="s">
        <v>6645</v>
      </c>
      <c r="B2540" t="s">
        <v>1374</v>
      </c>
    </row>
    <row r="2541" spans="1:2">
      <c r="A2541" t="s">
        <v>6529</v>
      </c>
      <c r="B2541">
        <v>3300002984</v>
      </c>
    </row>
    <row r="2542" spans="1:2">
      <c r="A2542" t="s">
        <v>6674</v>
      </c>
      <c r="B2542">
        <v>1765962</v>
      </c>
    </row>
    <row r="2543" spans="1:2">
      <c r="A2543" t="s">
        <v>6530</v>
      </c>
      <c r="B2543" t="s">
        <v>4162</v>
      </c>
    </row>
    <row r="2544" spans="1:2">
      <c r="A2544" t="s">
        <v>6645</v>
      </c>
      <c r="B2544" t="s">
        <v>4160</v>
      </c>
    </row>
    <row r="2545" spans="1:2">
      <c r="A2545" t="s">
        <v>6529</v>
      </c>
      <c r="B2545">
        <v>3300010912</v>
      </c>
    </row>
    <row r="2546" spans="1:2">
      <c r="A2546" t="s">
        <v>6677</v>
      </c>
      <c r="B2546" t="s">
        <v>4161</v>
      </c>
    </row>
    <row r="2547" spans="1:2">
      <c r="A2547" t="s">
        <v>6528</v>
      </c>
      <c r="B2547">
        <v>2119261</v>
      </c>
    </row>
    <row r="2548" spans="1:2">
      <c r="A2548" t="s">
        <v>6528</v>
      </c>
      <c r="B2548">
        <v>2115659</v>
      </c>
    </row>
    <row r="2549" spans="1:2">
      <c r="A2549" t="s">
        <v>6530</v>
      </c>
      <c r="B2549" t="s">
        <v>5344</v>
      </c>
    </row>
    <row r="2550" spans="1:2">
      <c r="A2550" t="s">
        <v>6642</v>
      </c>
      <c r="B2550" t="s">
        <v>5343</v>
      </c>
    </row>
    <row r="2551" spans="1:2">
      <c r="A2551" t="s">
        <v>6677</v>
      </c>
      <c r="B2551">
        <v>5033024</v>
      </c>
    </row>
    <row r="2552" spans="1:2">
      <c r="A2552" t="s">
        <v>6530</v>
      </c>
      <c r="B2552" t="s">
        <v>6436</v>
      </c>
    </row>
    <row r="2553" spans="1:2">
      <c r="A2553" t="s">
        <v>6528</v>
      </c>
      <c r="B2553">
        <v>2170044</v>
      </c>
    </row>
    <row r="2554" spans="1:2">
      <c r="A2554" t="s">
        <v>6677</v>
      </c>
      <c r="B2554" t="s">
        <v>6435</v>
      </c>
    </row>
    <row r="2555" spans="1:2">
      <c r="A2555" t="s">
        <v>6676</v>
      </c>
      <c r="B2555">
        <v>41709</v>
      </c>
    </row>
    <row r="2556" spans="1:2">
      <c r="A2556" t="s">
        <v>6530</v>
      </c>
      <c r="B2556" t="s">
        <v>5470</v>
      </c>
    </row>
    <row r="2557" spans="1:2">
      <c r="A2557" t="s">
        <v>6672</v>
      </c>
      <c r="B2557">
        <v>2171945</v>
      </c>
    </row>
    <row r="2558" spans="1:2">
      <c r="A2558" t="s">
        <v>6645</v>
      </c>
      <c r="B2558" t="s">
        <v>5469</v>
      </c>
    </row>
    <row r="2559" spans="1:2">
      <c r="A2559" t="s">
        <v>6530</v>
      </c>
      <c r="B2559" t="s">
        <v>4064</v>
      </c>
    </row>
    <row r="2560" spans="1:2">
      <c r="A2560" t="s">
        <v>6677</v>
      </c>
      <c r="B2560">
        <v>5042664</v>
      </c>
    </row>
    <row r="2561" spans="1:2">
      <c r="A2561" t="s">
        <v>6645</v>
      </c>
      <c r="B2561" t="s">
        <v>4063</v>
      </c>
    </row>
    <row r="2562" spans="1:2">
      <c r="A2562" t="s">
        <v>6528</v>
      </c>
      <c r="B2562">
        <v>2119202</v>
      </c>
    </row>
    <row r="2563" spans="1:2">
      <c r="A2563" t="s">
        <v>6677</v>
      </c>
      <c r="B2563">
        <v>5042656</v>
      </c>
    </row>
    <row r="2564" spans="1:2">
      <c r="A2564" t="s">
        <v>6530</v>
      </c>
      <c r="B2564" t="s">
        <v>3763</v>
      </c>
    </row>
    <row r="2565" spans="1:2">
      <c r="A2565" t="s">
        <v>6529</v>
      </c>
      <c r="B2565">
        <v>3300009794</v>
      </c>
    </row>
    <row r="2566" spans="1:2">
      <c r="A2566" t="s">
        <v>6677</v>
      </c>
      <c r="B2566">
        <v>5050448</v>
      </c>
    </row>
    <row r="2567" spans="1:2">
      <c r="A2567" t="s">
        <v>6645</v>
      </c>
      <c r="B2567" t="s">
        <v>3761</v>
      </c>
    </row>
    <row r="2568" spans="1:2">
      <c r="A2568" t="s">
        <v>6528</v>
      </c>
      <c r="B2568">
        <v>2177158</v>
      </c>
    </row>
    <row r="2569" spans="1:2">
      <c r="A2569" t="s">
        <v>6683</v>
      </c>
      <c r="B2569" t="s">
        <v>3762</v>
      </c>
    </row>
    <row r="2570" spans="1:2">
      <c r="A2570" t="s">
        <v>6530</v>
      </c>
      <c r="B2570" t="s">
        <v>6773</v>
      </c>
    </row>
    <row r="2571" spans="1:2">
      <c r="A2571" t="s">
        <v>6528</v>
      </c>
      <c r="B2571">
        <v>2119265</v>
      </c>
    </row>
    <row r="2572" spans="1:2">
      <c r="A2572" t="s">
        <v>6645</v>
      </c>
      <c r="B2572" t="s">
        <v>1532</v>
      </c>
    </row>
    <row r="2573" spans="1:2">
      <c r="A2573" t="s">
        <v>6529</v>
      </c>
      <c r="B2573">
        <v>3300008146</v>
      </c>
    </row>
    <row r="2574" spans="1:2">
      <c r="A2574" t="s">
        <v>6677</v>
      </c>
      <c r="B2574">
        <v>5031877</v>
      </c>
    </row>
    <row r="2575" spans="1:2">
      <c r="A2575" t="s">
        <v>6530</v>
      </c>
      <c r="B2575" t="s">
        <v>1614</v>
      </c>
    </row>
    <row r="2576" spans="1:2">
      <c r="A2576" t="s">
        <v>6645</v>
      </c>
      <c r="B2576" t="s">
        <v>1613</v>
      </c>
    </row>
    <row r="2577" spans="1:2">
      <c r="A2577" t="s">
        <v>6528</v>
      </c>
      <c r="B2577">
        <v>2119263</v>
      </c>
    </row>
    <row r="2578" spans="1:2">
      <c r="A2578" t="s">
        <v>6672</v>
      </c>
      <c r="B2578">
        <v>2159931</v>
      </c>
    </row>
    <row r="2579" spans="1:2">
      <c r="A2579" t="s">
        <v>6573</v>
      </c>
      <c r="B2579" t="s">
        <v>3781</v>
      </c>
    </row>
    <row r="2580" spans="1:2">
      <c r="A2580" t="s">
        <v>6677</v>
      </c>
      <c r="B2580">
        <v>5042645</v>
      </c>
    </row>
    <row r="2581" spans="1:2">
      <c r="A2581" t="s">
        <v>6645</v>
      </c>
      <c r="B2581" t="s">
        <v>3780</v>
      </c>
    </row>
    <row r="2582" spans="1:2">
      <c r="A2582" t="s">
        <v>6528</v>
      </c>
      <c r="B2582">
        <v>2117104</v>
      </c>
    </row>
    <row r="2583" spans="1:2">
      <c r="A2583" t="s">
        <v>6677</v>
      </c>
      <c r="B2583">
        <v>5042661</v>
      </c>
    </row>
    <row r="2584" spans="1:2">
      <c r="A2584" t="s">
        <v>6530</v>
      </c>
      <c r="B2584" t="s">
        <v>2067</v>
      </c>
    </row>
    <row r="2585" spans="1:2">
      <c r="A2585" t="s">
        <v>6645</v>
      </c>
      <c r="B2585" t="s">
        <v>2066</v>
      </c>
    </row>
    <row r="2586" spans="1:2">
      <c r="A2586" t="s">
        <v>6677</v>
      </c>
      <c r="B2586">
        <v>5049701</v>
      </c>
    </row>
    <row r="2587" spans="1:2">
      <c r="A2587" t="s">
        <v>6672</v>
      </c>
      <c r="B2587">
        <v>2171968</v>
      </c>
    </row>
    <row r="2588" spans="1:2">
      <c r="A2588" t="s">
        <v>6530</v>
      </c>
      <c r="B2588" t="s">
        <v>5621</v>
      </c>
    </row>
    <row r="2589" spans="1:2">
      <c r="A2589" t="s">
        <v>6645</v>
      </c>
      <c r="B2589" t="s">
        <v>5620</v>
      </c>
    </row>
    <row r="2590" spans="1:2">
      <c r="A2590" t="s">
        <v>6529</v>
      </c>
      <c r="B2590">
        <v>3300002971</v>
      </c>
    </row>
    <row r="2591" spans="1:2">
      <c r="A2591" t="s">
        <v>6672</v>
      </c>
      <c r="B2591">
        <v>2171933</v>
      </c>
    </row>
    <row r="2592" spans="1:2">
      <c r="A2592" t="s">
        <v>6530</v>
      </c>
      <c r="B2592" t="s">
        <v>6031</v>
      </c>
    </row>
    <row r="2593" spans="1:2">
      <c r="A2593" t="s">
        <v>6677</v>
      </c>
      <c r="B2593">
        <v>5059291</v>
      </c>
    </row>
    <row r="2594" spans="1:2">
      <c r="A2594" t="s">
        <v>6529</v>
      </c>
      <c r="B2594">
        <v>3300009728</v>
      </c>
    </row>
    <row r="2595" spans="1:2">
      <c r="A2595" t="s">
        <v>6672</v>
      </c>
      <c r="B2595">
        <v>2171982</v>
      </c>
    </row>
    <row r="2596" spans="1:2">
      <c r="A2596" t="s">
        <v>6642</v>
      </c>
      <c r="B2596" t="s">
        <v>6030</v>
      </c>
    </row>
    <row r="2597" spans="1:2">
      <c r="A2597" t="s">
        <v>6530</v>
      </c>
      <c r="B2597" t="s">
        <v>3775</v>
      </c>
    </row>
    <row r="2598" spans="1:2">
      <c r="A2598" t="s">
        <v>6528</v>
      </c>
      <c r="B2598">
        <v>2177126</v>
      </c>
    </row>
    <row r="2599" spans="1:2">
      <c r="A2599" t="s">
        <v>6645</v>
      </c>
      <c r="B2599" t="s">
        <v>3774</v>
      </c>
    </row>
    <row r="2600" spans="1:2">
      <c r="A2600" t="s">
        <v>6529</v>
      </c>
      <c r="B2600">
        <v>3300006566</v>
      </c>
    </row>
    <row r="2601" spans="1:2">
      <c r="A2601" t="s">
        <v>6528</v>
      </c>
      <c r="B2601">
        <v>2115663</v>
      </c>
    </row>
    <row r="2602" spans="1:2">
      <c r="A2602" t="s">
        <v>6677</v>
      </c>
      <c r="B2602">
        <v>5033028</v>
      </c>
    </row>
    <row r="2603" spans="1:2">
      <c r="A2603" t="s">
        <v>6530</v>
      </c>
      <c r="B2603" t="s">
        <v>6774</v>
      </c>
    </row>
    <row r="2604" spans="1:2">
      <c r="A2604" t="s">
        <v>6672</v>
      </c>
      <c r="B2604">
        <v>2183482</v>
      </c>
    </row>
    <row r="2605" spans="1:2">
      <c r="A2605" t="s">
        <v>6642</v>
      </c>
      <c r="B2605" t="s">
        <v>5829</v>
      </c>
    </row>
    <row r="2606" spans="1:2">
      <c r="A2606" t="s">
        <v>6529</v>
      </c>
      <c r="B2606">
        <v>3300010899</v>
      </c>
    </row>
    <row r="2607" spans="1:2">
      <c r="A2607" t="s">
        <v>6672</v>
      </c>
      <c r="B2607">
        <v>2183546</v>
      </c>
    </row>
    <row r="2608" spans="1:2">
      <c r="A2608" t="s">
        <v>6530</v>
      </c>
      <c r="B2608" t="s">
        <v>4195</v>
      </c>
    </row>
    <row r="2609" spans="1:2">
      <c r="A2609" t="s">
        <v>6645</v>
      </c>
      <c r="B2609" t="s">
        <v>4193</v>
      </c>
    </row>
    <row r="2610" spans="1:2">
      <c r="A2610" t="s">
        <v>6677</v>
      </c>
      <c r="B2610">
        <v>5049714</v>
      </c>
    </row>
    <row r="2611" spans="1:2">
      <c r="A2611" t="s">
        <v>6672</v>
      </c>
      <c r="B2611">
        <v>2172021</v>
      </c>
    </row>
    <row r="2612" spans="1:2">
      <c r="A2612" t="s">
        <v>6529</v>
      </c>
      <c r="B2612">
        <v>3300009533</v>
      </c>
    </row>
    <row r="2613" spans="1:2">
      <c r="A2613" t="s">
        <v>6645</v>
      </c>
      <c r="B2613" t="s">
        <v>4194</v>
      </c>
    </row>
    <row r="2614" spans="1:2">
      <c r="A2614" t="s">
        <v>6569</v>
      </c>
      <c r="B2614" t="s">
        <v>948</v>
      </c>
    </row>
    <row r="2615" spans="1:2">
      <c r="A2615" t="s">
        <v>6529</v>
      </c>
      <c r="B2615">
        <v>3300010698</v>
      </c>
    </row>
    <row r="2616" spans="1:2">
      <c r="A2616" t="s">
        <v>6528</v>
      </c>
      <c r="B2616">
        <v>2177125</v>
      </c>
    </row>
    <row r="2617" spans="1:2">
      <c r="A2617" t="s">
        <v>6645</v>
      </c>
      <c r="B2617" t="s">
        <v>946</v>
      </c>
    </row>
    <row r="2618" spans="1:2">
      <c r="A2618" t="s">
        <v>6677</v>
      </c>
      <c r="B2618">
        <v>5050502</v>
      </c>
    </row>
    <row r="2619" spans="1:2">
      <c r="A2619" t="s">
        <v>6642</v>
      </c>
      <c r="B2619" t="s">
        <v>947</v>
      </c>
    </row>
    <row r="2620" spans="1:2">
      <c r="A2620" t="s">
        <v>6530</v>
      </c>
      <c r="B2620" t="s">
        <v>2355</v>
      </c>
    </row>
    <row r="2621" spans="1:2">
      <c r="A2621" t="s">
        <v>6528</v>
      </c>
      <c r="B2621">
        <v>2177534</v>
      </c>
    </row>
    <row r="2622" spans="1:2">
      <c r="A2622" t="s">
        <v>6529</v>
      </c>
      <c r="B2622">
        <v>3300008119</v>
      </c>
    </row>
    <row r="2623" spans="1:2">
      <c r="A2623" t="s">
        <v>6645</v>
      </c>
      <c r="B2623" t="s">
        <v>2354</v>
      </c>
    </row>
    <row r="2624" spans="1:2">
      <c r="A2624" t="s">
        <v>6677</v>
      </c>
      <c r="B2624">
        <v>5047879</v>
      </c>
    </row>
    <row r="2625" spans="1:2">
      <c r="A2625" t="s">
        <v>6530</v>
      </c>
      <c r="B2625" t="s">
        <v>5711</v>
      </c>
    </row>
    <row r="2626" spans="1:2">
      <c r="A2626" t="s">
        <v>6672</v>
      </c>
      <c r="B2626">
        <v>2183511</v>
      </c>
    </row>
    <row r="2627" spans="1:2">
      <c r="A2627" t="s">
        <v>6677</v>
      </c>
      <c r="B2627">
        <v>5059301</v>
      </c>
    </row>
    <row r="2628" spans="1:2">
      <c r="A2628" t="s">
        <v>6529</v>
      </c>
      <c r="B2628">
        <v>3300011789</v>
      </c>
    </row>
    <row r="2629" spans="1:2">
      <c r="A2629" t="s">
        <v>6672</v>
      </c>
      <c r="B2629">
        <v>2183520</v>
      </c>
    </row>
    <row r="2630" spans="1:2">
      <c r="A2630" t="s">
        <v>6642</v>
      </c>
      <c r="B2630" t="s">
        <v>5710</v>
      </c>
    </row>
    <row r="2631" spans="1:2">
      <c r="A2631" t="s">
        <v>6530</v>
      </c>
      <c r="B2631" t="s">
        <v>1900</v>
      </c>
    </row>
    <row r="2632" spans="1:2">
      <c r="A2632" t="s">
        <v>6642</v>
      </c>
      <c r="B2632" t="s">
        <v>1898</v>
      </c>
    </row>
    <row r="2633" spans="1:2">
      <c r="A2633" t="s">
        <v>6529</v>
      </c>
      <c r="B2633">
        <v>3300002829</v>
      </c>
    </row>
    <row r="2634" spans="1:2">
      <c r="A2634" t="s">
        <v>6645</v>
      </c>
      <c r="B2634" t="s">
        <v>1899</v>
      </c>
    </row>
    <row r="2635" spans="1:2">
      <c r="A2635" t="s">
        <v>6528</v>
      </c>
      <c r="B2635">
        <v>2103872</v>
      </c>
    </row>
    <row r="2636" spans="1:2">
      <c r="A2636" t="s">
        <v>6677</v>
      </c>
      <c r="B2636">
        <v>5045673</v>
      </c>
    </row>
    <row r="2637" spans="1:2">
      <c r="A2637" t="s">
        <v>6530</v>
      </c>
      <c r="B2637" t="s">
        <v>1420</v>
      </c>
    </row>
    <row r="2638" spans="1:2">
      <c r="A2638" t="s">
        <v>6528</v>
      </c>
      <c r="B2638">
        <v>2116277</v>
      </c>
    </row>
    <row r="2639" spans="1:2">
      <c r="A2639" t="s">
        <v>6529</v>
      </c>
      <c r="B2639">
        <v>3300002959</v>
      </c>
    </row>
    <row r="2640" spans="1:2">
      <c r="A2640" t="s">
        <v>6645</v>
      </c>
      <c r="B2640" t="s">
        <v>1419</v>
      </c>
    </row>
    <row r="2641" spans="1:2">
      <c r="A2641" t="s">
        <v>6528</v>
      </c>
      <c r="B2641">
        <v>2116280</v>
      </c>
    </row>
    <row r="2642" spans="1:2">
      <c r="A2642" t="s">
        <v>6677</v>
      </c>
      <c r="B2642">
        <v>5070904</v>
      </c>
    </row>
    <row r="2643" spans="1:2">
      <c r="A2643" t="s">
        <v>6530</v>
      </c>
      <c r="B2643" t="s">
        <v>3339</v>
      </c>
    </row>
    <row r="2644" spans="1:2">
      <c r="A2644" t="s">
        <v>6660</v>
      </c>
      <c r="B2644" t="s">
        <v>3337</v>
      </c>
    </row>
    <row r="2645" spans="1:2">
      <c r="A2645" t="s">
        <v>6677</v>
      </c>
      <c r="B2645">
        <v>5014451</v>
      </c>
    </row>
    <row r="2646" spans="1:2">
      <c r="A2646" t="s">
        <v>6529</v>
      </c>
      <c r="B2646">
        <v>3300005162</v>
      </c>
    </row>
    <row r="2647" spans="1:2">
      <c r="A2647" t="s">
        <v>6642</v>
      </c>
      <c r="B2647" t="s">
        <v>3338</v>
      </c>
    </row>
    <row r="2648" spans="1:2">
      <c r="A2648" t="s">
        <v>6530</v>
      </c>
      <c r="B2648" t="s">
        <v>5777</v>
      </c>
    </row>
    <row r="2649" spans="1:2">
      <c r="A2649" t="s">
        <v>6528</v>
      </c>
      <c r="B2649">
        <v>2103899</v>
      </c>
    </row>
    <row r="2650" spans="1:2">
      <c r="A2650" t="s">
        <v>6642</v>
      </c>
      <c r="B2650" t="s">
        <v>5774</v>
      </c>
    </row>
    <row r="2651" spans="1:2">
      <c r="A2651" t="s">
        <v>6645</v>
      </c>
      <c r="B2651" t="s">
        <v>5775</v>
      </c>
    </row>
    <row r="2652" spans="1:2">
      <c r="A2652" t="s">
        <v>6642</v>
      </c>
      <c r="B2652" t="s">
        <v>5776</v>
      </c>
    </row>
    <row r="2653" spans="1:2">
      <c r="A2653" t="s">
        <v>6529</v>
      </c>
      <c r="B2653">
        <v>3300003005</v>
      </c>
    </row>
    <row r="2654" spans="1:2">
      <c r="A2654" t="s">
        <v>6530</v>
      </c>
      <c r="B2654" t="s">
        <v>5967</v>
      </c>
    </row>
    <row r="2655" spans="1:2">
      <c r="A2655" t="s">
        <v>6528</v>
      </c>
      <c r="B2655">
        <v>2114793</v>
      </c>
    </row>
    <row r="2656" spans="1:2">
      <c r="A2656" t="s">
        <v>6642</v>
      </c>
      <c r="B2656" t="s">
        <v>5966</v>
      </c>
    </row>
    <row r="2657" spans="1:2">
      <c r="A2657" t="s">
        <v>6528</v>
      </c>
      <c r="B2657">
        <v>2114747</v>
      </c>
    </row>
    <row r="2658" spans="1:2">
      <c r="A2658" t="s">
        <v>6529</v>
      </c>
      <c r="B2658">
        <v>3300002957</v>
      </c>
    </row>
    <row r="2659" spans="1:2">
      <c r="A2659" t="s">
        <v>6573</v>
      </c>
      <c r="B2659" t="s">
        <v>2758</v>
      </c>
    </row>
    <row r="2660" spans="1:2">
      <c r="A2660" t="s">
        <v>6528</v>
      </c>
      <c r="B2660">
        <v>2116289</v>
      </c>
    </row>
    <row r="2661" spans="1:2">
      <c r="A2661" t="s">
        <v>6645</v>
      </c>
      <c r="B2661" t="s">
        <v>2757</v>
      </c>
    </row>
    <row r="2662" spans="1:2">
      <c r="A2662" t="s">
        <v>6529</v>
      </c>
      <c r="B2662">
        <v>3300002981</v>
      </c>
    </row>
    <row r="2663" spans="1:2">
      <c r="A2663" t="s">
        <v>6530</v>
      </c>
      <c r="B2663" t="s">
        <v>4258</v>
      </c>
    </row>
    <row r="2664" spans="1:2">
      <c r="A2664" t="s">
        <v>6642</v>
      </c>
      <c r="B2664" t="s">
        <v>4257</v>
      </c>
    </row>
    <row r="2665" spans="1:2">
      <c r="A2665" t="s">
        <v>6677</v>
      </c>
      <c r="B2665">
        <v>5001442</v>
      </c>
    </row>
    <row r="2666" spans="1:2">
      <c r="A2666" t="s">
        <v>6529</v>
      </c>
      <c r="B2666">
        <v>3300002999</v>
      </c>
    </row>
    <row r="2667" spans="1:2">
      <c r="A2667" t="s">
        <v>6573</v>
      </c>
      <c r="B2667" t="s">
        <v>2710</v>
      </c>
    </row>
    <row r="2668" spans="1:2">
      <c r="A2668" t="s">
        <v>6645</v>
      </c>
      <c r="B2668" t="s">
        <v>2709</v>
      </c>
    </row>
    <row r="2669" spans="1:2">
      <c r="A2669" t="s">
        <v>6529</v>
      </c>
      <c r="B2669">
        <v>3300005144</v>
      </c>
    </row>
    <row r="2670" spans="1:2">
      <c r="A2670" t="s">
        <v>6569</v>
      </c>
      <c r="B2670" t="s">
        <v>912</v>
      </c>
    </row>
    <row r="2671" spans="1:2">
      <c r="A2671" t="s">
        <v>6529</v>
      </c>
      <c r="B2671">
        <v>3300009470</v>
      </c>
    </row>
    <row r="2672" spans="1:2">
      <c r="A2672" t="s">
        <v>6677</v>
      </c>
      <c r="B2672">
        <v>5003023</v>
      </c>
    </row>
    <row r="2673" spans="1:2">
      <c r="A2673" t="s">
        <v>6645</v>
      </c>
      <c r="B2673" t="s">
        <v>910</v>
      </c>
    </row>
    <row r="2674" spans="1:2">
      <c r="A2674" t="s">
        <v>6528</v>
      </c>
      <c r="B2674">
        <v>2084831</v>
      </c>
    </row>
    <row r="2675" spans="1:2">
      <c r="A2675" t="s">
        <v>6642</v>
      </c>
      <c r="B2675" t="s">
        <v>911</v>
      </c>
    </row>
    <row r="2676" spans="1:2">
      <c r="A2676" t="s">
        <v>6530</v>
      </c>
      <c r="B2676" t="s">
        <v>3271</v>
      </c>
    </row>
    <row r="2677" spans="1:2">
      <c r="A2677" t="s">
        <v>6642</v>
      </c>
      <c r="B2677" t="s">
        <v>3269</v>
      </c>
    </row>
    <row r="2678" spans="1:2">
      <c r="A2678" t="s">
        <v>6677</v>
      </c>
      <c r="B2678">
        <v>5014459</v>
      </c>
    </row>
    <row r="2679" spans="1:2">
      <c r="A2679" t="s">
        <v>6529</v>
      </c>
      <c r="B2679">
        <v>3300005181</v>
      </c>
    </row>
    <row r="2680" spans="1:2">
      <c r="A2680" t="s">
        <v>6642</v>
      </c>
      <c r="B2680" t="s">
        <v>3270</v>
      </c>
    </row>
    <row r="2681" spans="1:2">
      <c r="A2681" t="s">
        <v>6530</v>
      </c>
      <c r="B2681" t="s">
        <v>5718</v>
      </c>
    </row>
    <row r="2682" spans="1:2">
      <c r="A2682" t="s">
        <v>6528</v>
      </c>
      <c r="B2682">
        <v>2114723</v>
      </c>
    </row>
    <row r="2683" spans="1:2">
      <c r="A2683" t="s">
        <v>6529</v>
      </c>
      <c r="B2683">
        <v>3300002962</v>
      </c>
    </row>
    <row r="2684" spans="1:2">
      <c r="A2684" t="s">
        <v>6528</v>
      </c>
      <c r="B2684">
        <v>2114769</v>
      </c>
    </row>
    <row r="2685" spans="1:2">
      <c r="A2685" t="s">
        <v>6530</v>
      </c>
      <c r="B2685" t="s">
        <v>3406</v>
      </c>
    </row>
    <row r="2686" spans="1:2">
      <c r="A2686" t="s">
        <v>6677</v>
      </c>
      <c r="B2686">
        <v>5045662</v>
      </c>
    </row>
    <row r="2687" spans="1:2">
      <c r="A2687" t="s">
        <v>6645</v>
      </c>
      <c r="B2687" t="s">
        <v>3405</v>
      </c>
    </row>
    <row r="2688" spans="1:2">
      <c r="A2688" t="s">
        <v>6528</v>
      </c>
      <c r="B2688">
        <v>2103491</v>
      </c>
    </row>
    <row r="2689" spans="1:2">
      <c r="A2689" t="s">
        <v>6530</v>
      </c>
      <c r="B2689" t="s">
        <v>4836</v>
      </c>
    </row>
    <row r="2690" spans="1:2">
      <c r="A2690" t="s">
        <v>6645</v>
      </c>
      <c r="B2690" t="s">
        <v>4835</v>
      </c>
    </row>
    <row r="2691" spans="1:2">
      <c r="A2691" t="s">
        <v>6677</v>
      </c>
      <c r="B2691">
        <v>5042663</v>
      </c>
    </row>
    <row r="2692" spans="1:2">
      <c r="A2692" t="s">
        <v>6528</v>
      </c>
      <c r="B2692">
        <v>2114765</v>
      </c>
    </row>
    <row r="2693" spans="1:2">
      <c r="A2693" t="s">
        <v>6530</v>
      </c>
      <c r="B2693" t="s">
        <v>4660</v>
      </c>
    </row>
    <row r="2694" spans="1:2">
      <c r="A2694" t="s">
        <v>6528</v>
      </c>
      <c r="B2694">
        <v>2116254</v>
      </c>
    </row>
    <row r="2695" spans="1:2">
      <c r="A2695" t="s">
        <v>6645</v>
      </c>
      <c r="B2695" t="s">
        <v>4659</v>
      </c>
    </row>
    <row r="2696" spans="1:2">
      <c r="A2696" t="s">
        <v>6528</v>
      </c>
      <c r="B2696">
        <v>2116275</v>
      </c>
    </row>
    <row r="2697" spans="1:2">
      <c r="A2697" t="s">
        <v>6529</v>
      </c>
      <c r="B2697">
        <v>3300008162</v>
      </c>
    </row>
    <row r="2698" spans="1:2">
      <c r="A2698" t="s">
        <v>6528</v>
      </c>
      <c r="B2698">
        <v>2116255</v>
      </c>
    </row>
    <row r="2699" spans="1:2">
      <c r="A2699" t="s">
        <v>6530</v>
      </c>
      <c r="B2699" t="s">
        <v>4844</v>
      </c>
    </row>
    <row r="2700" spans="1:2">
      <c r="A2700" t="s">
        <v>6677</v>
      </c>
      <c r="B2700" t="s">
        <v>4842</v>
      </c>
    </row>
    <row r="2701" spans="1:2">
      <c r="A2701" t="s">
        <v>6645</v>
      </c>
      <c r="B2701" t="s">
        <v>4843</v>
      </c>
    </row>
    <row r="2702" spans="1:2">
      <c r="A2702" t="s">
        <v>6528</v>
      </c>
      <c r="B2702">
        <v>2116241</v>
      </c>
    </row>
    <row r="2703" spans="1:2">
      <c r="A2703" t="s">
        <v>6529</v>
      </c>
      <c r="B2703">
        <v>3300002966</v>
      </c>
    </row>
    <row r="2704" spans="1:2">
      <c r="A2704" t="s">
        <v>6528</v>
      </c>
      <c r="B2704">
        <v>2116257</v>
      </c>
    </row>
    <row r="2705" spans="1:2">
      <c r="A2705" t="s">
        <v>6530</v>
      </c>
      <c r="B2705" t="s">
        <v>6775</v>
      </c>
    </row>
    <row r="2706" spans="1:2">
      <c r="A2706" t="s">
        <v>6529</v>
      </c>
      <c r="B2706">
        <v>3300009797</v>
      </c>
    </row>
    <row r="2707" spans="1:2">
      <c r="A2707" t="s">
        <v>6642</v>
      </c>
      <c r="B2707" t="s">
        <v>4757</v>
      </c>
    </row>
    <row r="2708" spans="1:2">
      <c r="A2708" t="s">
        <v>6528</v>
      </c>
      <c r="B2708">
        <v>2103722</v>
      </c>
    </row>
    <row r="2709" spans="1:2">
      <c r="A2709" t="s">
        <v>6677</v>
      </c>
      <c r="B2709">
        <v>5031887</v>
      </c>
    </row>
    <row r="2710" spans="1:2">
      <c r="A2710" t="s">
        <v>6569</v>
      </c>
      <c r="B2710" t="s">
        <v>6776</v>
      </c>
    </row>
    <row r="2711" spans="1:2">
      <c r="A2711" t="s">
        <v>6528</v>
      </c>
      <c r="B2711">
        <v>2081823</v>
      </c>
    </row>
    <row r="2712" spans="1:2">
      <c r="A2712" t="s">
        <v>6528</v>
      </c>
      <c r="B2712">
        <v>2087336</v>
      </c>
    </row>
    <row r="2713" spans="1:2">
      <c r="A2713" t="s">
        <v>6529</v>
      </c>
      <c r="B2713">
        <v>3300005982</v>
      </c>
    </row>
    <row r="2714" spans="1:2">
      <c r="A2714" t="s">
        <v>6529</v>
      </c>
      <c r="B2714">
        <v>3300005987</v>
      </c>
    </row>
    <row r="2715" spans="1:2">
      <c r="A2715" t="s">
        <v>6677</v>
      </c>
      <c r="B2715">
        <v>5043112</v>
      </c>
    </row>
    <row r="2716" spans="1:2">
      <c r="A2716" t="s">
        <v>6530</v>
      </c>
      <c r="B2716" t="s">
        <v>3699</v>
      </c>
    </row>
    <row r="2717" spans="1:2">
      <c r="A2717" t="s">
        <v>6645</v>
      </c>
      <c r="B2717" t="s">
        <v>3697</v>
      </c>
    </row>
    <row r="2718" spans="1:2">
      <c r="A2718" t="s">
        <v>6642</v>
      </c>
      <c r="B2718" t="s">
        <v>3698</v>
      </c>
    </row>
    <row r="2719" spans="1:2">
      <c r="A2719" t="s">
        <v>6529</v>
      </c>
      <c r="B2719">
        <v>3300002998</v>
      </c>
    </row>
    <row r="2720" spans="1:2">
      <c r="A2720" t="s">
        <v>6530</v>
      </c>
      <c r="B2720" t="s">
        <v>3867</v>
      </c>
    </row>
    <row r="2721" spans="1:2">
      <c r="A2721" t="s">
        <v>6529</v>
      </c>
      <c r="B2721">
        <v>3300003634</v>
      </c>
    </row>
    <row r="2722" spans="1:2">
      <c r="A2722" t="s">
        <v>6645</v>
      </c>
      <c r="B2722" t="s">
        <v>3865</v>
      </c>
    </row>
    <row r="2723" spans="1:2">
      <c r="A2723" t="s">
        <v>6528</v>
      </c>
      <c r="B2723">
        <v>2103901</v>
      </c>
    </row>
    <row r="2724" spans="1:2">
      <c r="A2724" t="s">
        <v>6645</v>
      </c>
      <c r="B2724" t="s">
        <v>3866</v>
      </c>
    </row>
    <row r="2725" spans="1:2">
      <c r="A2725" t="s">
        <v>6674</v>
      </c>
      <c r="B2725">
        <v>1766133</v>
      </c>
    </row>
    <row r="2726" spans="1:2">
      <c r="A2726" t="s">
        <v>6573</v>
      </c>
      <c r="B2726" t="s">
        <v>4669</v>
      </c>
    </row>
    <row r="2727" spans="1:2">
      <c r="A2727" t="s">
        <v>6528</v>
      </c>
      <c r="B2727">
        <v>2110129</v>
      </c>
    </row>
    <row r="2728" spans="1:2">
      <c r="A2728" t="s">
        <v>6642</v>
      </c>
      <c r="B2728" t="s">
        <v>4667</v>
      </c>
    </row>
    <row r="2729" spans="1:2">
      <c r="A2729" t="s">
        <v>6529</v>
      </c>
      <c r="B2729">
        <v>3300002939</v>
      </c>
    </row>
    <row r="2730" spans="1:2">
      <c r="A2730" t="s">
        <v>6642</v>
      </c>
      <c r="B2730" t="s">
        <v>4668</v>
      </c>
    </row>
    <row r="2731" spans="1:2">
      <c r="A2731" t="s">
        <v>6530</v>
      </c>
      <c r="B2731" t="s">
        <v>6777</v>
      </c>
    </row>
    <row r="2732" spans="1:2">
      <c r="A2732" t="s">
        <v>6645</v>
      </c>
      <c r="B2732" t="s">
        <v>3398</v>
      </c>
    </row>
    <row r="2733" spans="1:2">
      <c r="A2733" t="s">
        <v>6672</v>
      </c>
      <c r="B2733">
        <v>2171892</v>
      </c>
    </row>
    <row r="2734" spans="1:2">
      <c r="A2734" t="s">
        <v>6530</v>
      </c>
      <c r="B2734" t="s">
        <v>6778</v>
      </c>
    </row>
    <row r="2735" spans="1:2">
      <c r="A2735" t="s">
        <v>6677</v>
      </c>
      <c r="B2735">
        <v>5031885</v>
      </c>
    </row>
    <row r="2736" spans="1:2">
      <c r="A2736" t="s">
        <v>6645</v>
      </c>
      <c r="B2736" t="s">
        <v>5075</v>
      </c>
    </row>
    <row r="2737" spans="1:2">
      <c r="A2737" t="s">
        <v>6529</v>
      </c>
      <c r="B2737">
        <v>3300006794</v>
      </c>
    </row>
    <row r="2738" spans="1:2">
      <c r="A2738" t="s">
        <v>6528</v>
      </c>
      <c r="B2738">
        <v>2114728</v>
      </c>
    </row>
    <row r="2739" spans="1:2">
      <c r="A2739" t="s">
        <v>6677</v>
      </c>
      <c r="B2739">
        <v>5031875</v>
      </c>
    </row>
    <row r="2740" spans="1:2">
      <c r="A2740" t="s">
        <v>6530</v>
      </c>
      <c r="B2740" t="s">
        <v>4968</v>
      </c>
    </row>
    <row r="2741" spans="1:2">
      <c r="A2741" t="s">
        <v>6677</v>
      </c>
      <c r="B2741">
        <v>5031897</v>
      </c>
    </row>
    <row r="2742" spans="1:2">
      <c r="A2742" t="s">
        <v>6528</v>
      </c>
      <c r="B2742">
        <v>2117080</v>
      </c>
    </row>
    <row r="2743" spans="1:2">
      <c r="A2743" t="s">
        <v>6677</v>
      </c>
      <c r="B2743">
        <v>5031918</v>
      </c>
    </row>
    <row r="2744" spans="1:2">
      <c r="A2744" t="s">
        <v>6530</v>
      </c>
      <c r="B2744" t="s">
        <v>1872</v>
      </c>
    </row>
    <row r="2745" spans="1:2">
      <c r="A2745" t="s">
        <v>6528</v>
      </c>
      <c r="B2745">
        <v>2116295</v>
      </c>
    </row>
    <row r="2746" spans="1:2">
      <c r="A2746" t="s">
        <v>6645</v>
      </c>
      <c r="B2746" t="s">
        <v>1870</v>
      </c>
    </row>
    <row r="2747" spans="1:2">
      <c r="A2747" t="s">
        <v>6528</v>
      </c>
      <c r="B2747">
        <v>2116293</v>
      </c>
    </row>
    <row r="2748" spans="1:2">
      <c r="A2748" t="s">
        <v>6529</v>
      </c>
      <c r="B2748">
        <v>3300002944</v>
      </c>
    </row>
    <row r="2749" spans="1:2">
      <c r="A2749" t="s">
        <v>6683</v>
      </c>
      <c r="B2749" t="s">
        <v>1871</v>
      </c>
    </row>
    <row r="2750" spans="1:2">
      <c r="A2750" t="s">
        <v>6530</v>
      </c>
      <c r="B2750" t="s">
        <v>5045</v>
      </c>
    </row>
    <row r="2751" spans="1:2">
      <c r="A2751" t="s">
        <v>6528</v>
      </c>
      <c r="B2751">
        <v>2103956</v>
      </c>
    </row>
    <row r="2752" spans="1:2">
      <c r="A2752" t="s">
        <v>6645</v>
      </c>
      <c r="B2752" t="s">
        <v>5044</v>
      </c>
    </row>
    <row r="2753" spans="1:2">
      <c r="A2753" t="s">
        <v>6529</v>
      </c>
      <c r="B2753">
        <v>3300002830</v>
      </c>
    </row>
    <row r="2754" spans="1:2">
      <c r="A2754" t="s">
        <v>6528</v>
      </c>
      <c r="B2754">
        <v>2103904</v>
      </c>
    </row>
    <row r="2755" spans="1:2">
      <c r="A2755" t="s">
        <v>6530</v>
      </c>
      <c r="B2755" t="s">
        <v>4556</v>
      </c>
    </row>
    <row r="2756" spans="1:2">
      <c r="A2756" t="s">
        <v>6677</v>
      </c>
      <c r="B2756">
        <v>5059332</v>
      </c>
    </row>
    <row r="2757" spans="1:2">
      <c r="A2757" t="s">
        <v>6645</v>
      </c>
      <c r="B2757" t="s">
        <v>4555</v>
      </c>
    </row>
    <row r="2758" spans="1:2">
      <c r="A2758" t="s">
        <v>6528</v>
      </c>
      <c r="B2758">
        <v>2116274</v>
      </c>
    </row>
    <row r="2759" spans="1:2">
      <c r="A2759" t="s">
        <v>6529</v>
      </c>
      <c r="B2759">
        <v>3300008159</v>
      </c>
    </row>
    <row r="2760" spans="1:2">
      <c r="A2760" t="s">
        <v>6528</v>
      </c>
      <c r="B2760">
        <v>2116268</v>
      </c>
    </row>
    <row r="2761" spans="1:2">
      <c r="A2761" t="s">
        <v>6530</v>
      </c>
      <c r="B2761" t="s">
        <v>4489</v>
      </c>
    </row>
    <row r="2762" spans="1:2">
      <c r="A2762" t="s">
        <v>6528</v>
      </c>
      <c r="B2762">
        <v>2117077</v>
      </c>
    </row>
    <row r="2763" spans="1:2">
      <c r="A2763" t="s">
        <v>6677</v>
      </c>
      <c r="B2763">
        <v>5031911</v>
      </c>
    </row>
    <row r="2764" spans="1:2">
      <c r="A2764" t="s">
        <v>6528</v>
      </c>
      <c r="B2764">
        <v>2103939</v>
      </c>
    </row>
    <row r="2765" spans="1:2">
      <c r="A2765" t="s">
        <v>6529</v>
      </c>
      <c r="B2765">
        <v>3300002967</v>
      </c>
    </row>
    <row r="2766" spans="1:2">
      <c r="A2766" t="s">
        <v>6528</v>
      </c>
      <c r="B2766">
        <v>2119175</v>
      </c>
    </row>
    <row r="2767" spans="1:2">
      <c r="A2767" t="s">
        <v>6530</v>
      </c>
      <c r="B2767" t="s">
        <v>3263</v>
      </c>
    </row>
    <row r="2768" spans="1:2">
      <c r="A2768" t="s">
        <v>6528</v>
      </c>
      <c r="B2768">
        <v>2116256</v>
      </c>
    </row>
    <row r="2769" spans="1:2">
      <c r="A2769" t="s">
        <v>6677</v>
      </c>
      <c r="B2769">
        <v>5031829</v>
      </c>
    </row>
    <row r="2770" spans="1:2">
      <c r="A2770" t="s">
        <v>6645</v>
      </c>
      <c r="B2770" t="s">
        <v>3262</v>
      </c>
    </row>
    <row r="2771" spans="1:2">
      <c r="A2771" t="s">
        <v>6529</v>
      </c>
      <c r="B2771">
        <v>3300008131</v>
      </c>
    </row>
    <row r="2772" spans="1:2">
      <c r="A2772" t="s">
        <v>6528</v>
      </c>
      <c r="B2772">
        <v>2117073</v>
      </c>
    </row>
    <row r="2773" spans="1:2">
      <c r="A2773" t="s">
        <v>6530</v>
      </c>
      <c r="B2773" t="s">
        <v>905</v>
      </c>
    </row>
    <row r="2774" spans="1:2">
      <c r="A2774" t="s">
        <v>6529</v>
      </c>
      <c r="B2774">
        <v>3300010089</v>
      </c>
    </row>
    <row r="2775" spans="1:2">
      <c r="A2775" t="s">
        <v>6528</v>
      </c>
      <c r="B2775">
        <v>2117377</v>
      </c>
    </row>
    <row r="2776" spans="1:2">
      <c r="A2776" t="s">
        <v>6642</v>
      </c>
      <c r="B2776" t="s">
        <v>903</v>
      </c>
    </row>
    <row r="2777" spans="1:2">
      <c r="A2777" t="s">
        <v>6660</v>
      </c>
      <c r="B2777" t="s">
        <v>904</v>
      </c>
    </row>
    <row r="2778" spans="1:2">
      <c r="A2778" t="s">
        <v>6677</v>
      </c>
      <c r="B2778">
        <v>5048924</v>
      </c>
    </row>
    <row r="2779" spans="1:2">
      <c r="A2779" t="s">
        <v>6530</v>
      </c>
      <c r="B2779" t="s">
        <v>4868</v>
      </c>
    </row>
    <row r="2780" spans="1:2">
      <c r="A2780" t="s">
        <v>6672</v>
      </c>
      <c r="B2780">
        <v>2183525</v>
      </c>
    </row>
    <row r="2781" spans="1:2">
      <c r="A2781" t="s">
        <v>6677</v>
      </c>
      <c r="B2781">
        <v>5012469</v>
      </c>
    </row>
    <row r="2782" spans="1:2">
      <c r="A2782" t="s">
        <v>6529</v>
      </c>
      <c r="B2782">
        <v>3300009772</v>
      </c>
    </row>
    <row r="2783" spans="1:2">
      <c r="A2783" t="s">
        <v>6645</v>
      </c>
      <c r="B2783" t="s">
        <v>4867</v>
      </c>
    </row>
    <row r="2784" spans="1:2">
      <c r="A2784" t="s">
        <v>6528</v>
      </c>
      <c r="B2784">
        <v>2114764</v>
      </c>
    </row>
    <row r="2785" spans="1:2">
      <c r="A2785" t="s">
        <v>6530</v>
      </c>
      <c r="B2785" t="s">
        <v>4646</v>
      </c>
    </row>
    <row r="2786" spans="1:2">
      <c r="A2786" t="s">
        <v>6677</v>
      </c>
      <c r="B2786">
        <v>5049673</v>
      </c>
    </row>
    <row r="2787" spans="1:2">
      <c r="A2787" t="s">
        <v>6672</v>
      </c>
      <c r="B2787">
        <v>2171915</v>
      </c>
    </row>
    <row r="2788" spans="1:2">
      <c r="A2788" t="s">
        <v>6529</v>
      </c>
      <c r="B2788">
        <v>3300001255</v>
      </c>
    </row>
    <row r="2789" spans="1:2">
      <c r="A2789" t="s">
        <v>6645</v>
      </c>
      <c r="B2789" t="s">
        <v>4645</v>
      </c>
    </row>
    <row r="2790" spans="1:2">
      <c r="A2790" t="s">
        <v>6677</v>
      </c>
      <c r="B2790">
        <v>5049684</v>
      </c>
    </row>
    <row r="2791" spans="1:2">
      <c r="A2791" t="s">
        <v>6530</v>
      </c>
      <c r="B2791" t="s">
        <v>1069</v>
      </c>
    </row>
    <row r="2792" spans="1:2">
      <c r="A2792" t="s">
        <v>6529</v>
      </c>
      <c r="B2792">
        <v>3300009710</v>
      </c>
    </row>
    <row r="2793" spans="1:2">
      <c r="A2793" t="s">
        <v>6645</v>
      </c>
      <c r="B2793" t="s">
        <v>1068</v>
      </c>
    </row>
    <row r="2794" spans="1:2">
      <c r="A2794" t="s">
        <v>6677</v>
      </c>
      <c r="B2794">
        <v>5050465</v>
      </c>
    </row>
    <row r="2795" spans="1:2">
      <c r="A2795" t="s">
        <v>6528</v>
      </c>
      <c r="B2795">
        <v>2103955</v>
      </c>
    </row>
    <row r="2796" spans="1:2">
      <c r="A2796" t="s">
        <v>6529</v>
      </c>
      <c r="B2796">
        <v>3300011804</v>
      </c>
    </row>
    <row r="2797" spans="1:2">
      <c r="A2797" t="s">
        <v>6530</v>
      </c>
      <c r="B2797" t="s">
        <v>1231</v>
      </c>
    </row>
    <row r="2798" spans="1:2">
      <c r="A2798" t="s">
        <v>6672</v>
      </c>
      <c r="B2798">
        <v>2183471</v>
      </c>
    </row>
    <row r="2799" spans="1:2">
      <c r="A2799" t="s">
        <v>6645</v>
      </c>
      <c r="B2799" t="s">
        <v>1230</v>
      </c>
    </row>
    <row r="2800" spans="1:2">
      <c r="A2800" t="s">
        <v>6529</v>
      </c>
      <c r="B2800">
        <v>3300006801</v>
      </c>
    </row>
    <row r="2801" spans="1:2">
      <c r="A2801" t="s">
        <v>6677</v>
      </c>
      <c r="B2801">
        <v>5059311</v>
      </c>
    </row>
    <row r="2802" spans="1:2">
      <c r="A2802" t="s">
        <v>6573</v>
      </c>
      <c r="B2802" t="s">
        <v>5434</v>
      </c>
    </row>
    <row r="2803" spans="1:2">
      <c r="A2803" t="s">
        <v>6642</v>
      </c>
      <c r="B2803" t="s">
        <v>5432</v>
      </c>
    </row>
    <row r="2804" spans="1:2">
      <c r="A2804" t="s">
        <v>6677</v>
      </c>
      <c r="B2804">
        <v>5001474</v>
      </c>
    </row>
    <row r="2805" spans="1:2">
      <c r="A2805" t="s">
        <v>6645</v>
      </c>
      <c r="B2805" t="s">
        <v>5433</v>
      </c>
    </row>
    <row r="2806" spans="1:2">
      <c r="A2806" t="s">
        <v>6677</v>
      </c>
      <c r="B2806">
        <v>5001455</v>
      </c>
    </row>
    <row r="2807" spans="1:2">
      <c r="A2807" t="s">
        <v>6529</v>
      </c>
      <c r="B2807">
        <v>3300003629</v>
      </c>
    </row>
    <row r="2808" spans="1:2">
      <c r="A2808" t="s">
        <v>6573</v>
      </c>
      <c r="B2808" t="s">
        <v>5439</v>
      </c>
    </row>
    <row r="2809" spans="1:2">
      <c r="A2809" t="s">
        <v>6529</v>
      </c>
      <c r="B2809">
        <v>3300001259</v>
      </c>
    </row>
    <row r="2810" spans="1:2">
      <c r="A2810" t="s">
        <v>6529</v>
      </c>
      <c r="B2810">
        <v>3300001260</v>
      </c>
    </row>
    <row r="2811" spans="1:2">
      <c r="A2811" t="s">
        <v>6672</v>
      </c>
      <c r="B2811">
        <v>2183564</v>
      </c>
    </row>
    <row r="2812" spans="1:2">
      <c r="A2812" t="s">
        <v>6642</v>
      </c>
      <c r="B2812" t="s">
        <v>5438</v>
      </c>
    </row>
    <row r="2813" spans="1:2">
      <c r="A2813" t="s">
        <v>6528</v>
      </c>
      <c r="B2813">
        <v>2103447</v>
      </c>
    </row>
    <row r="2814" spans="1:2">
      <c r="A2814" t="s">
        <v>6530</v>
      </c>
      <c r="B2814" t="s">
        <v>1405</v>
      </c>
    </row>
    <row r="2815" spans="1:2">
      <c r="A2815" t="s">
        <v>6677</v>
      </c>
      <c r="B2815">
        <v>5014454</v>
      </c>
    </row>
    <row r="2816" spans="1:2">
      <c r="A2816" t="s">
        <v>6642</v>
      </c>
      <c r="B2816" t="s">
        <v>1404</v>
      </c>
    </row>
    <row r="2817" spans="1:2">
      <c r="A2817" t="s">
        <v>6529</v>
      </c>
      <c r="B2817">
        <v>3300005168</v>
      </c>
    </row>
    <row r="2818" spans="1:2">
      <c r="A2818" t="s">
        <v>6672</v>
      </c>
      <c r="B2818">
        <v>2183582</v>
      </c>
    </row>
    <row r="2819" spans="1:2">
      <c r="A2819" t="s">
        <v>6530</v>
      </c>
      <c r="B2819" t="s">
        <v>2060</v>
      </c>
    </row>
    <row r="2820" spans="1:2">
      <c r="A2820" t="s">
        <v>6528</v>
      </c>
      <c r="B2820">
        <v>2117072</v>
      </c>
    </row>
    <row r="2821" spans="1:2">
      <c r="A2821" t="s">
        <v>6677</v>
      </c>
      <c r="B2821">
        <v>5031831</v>
      </c>
    </row>
    <row r="2822" spans="1:2">
      <c r="A2822" t="s">
        <v>6529</v>
      </c>
      <c r="B2822">
        <v>3300012255</v>
      </c>
    </row>
    <row r="2823" spans="1:2">
      <c r="A2823" t="s">
        <v>6645</v>
      </c>
      <c r="B2823" t="s">
        <v>2059</v>
      </c>
    </row>
    <row r="2824" spans="1:2">
      <c r="A2824" t="s">
        <v>6528</v>
      </c>
      <c r="B2824">
        <v>2103909</v>
      </c>
    </row>
    <row r="2825" spans="1:2">
      <c r="A2825" t="s">
        <v>6573</v>
      </c>
      <c r="B2825" t="s">
        <v>4963</v>
      </c>
    </row>
    <row r="2826" spans="1:2">
      <c r="A2826" t="s">
        <v>6642</v>
      </c>
      <c r="B2826" t="s">
        <v>4961</v>
      </c>
    </row>
    <row r="2827" spans="1:2">
      <c r="A2827" t="s">
        <v>6529</v>
      </c>
      <c r="B2827">
        <v>3300003618</v>
      </c>
    </row>
    <row r="2828" spans="1:2">
      <c r="A2828" t="s">
        <v>6528</v>
      </c>
      <c r="B2828">
        <v>2172273</v>
      </c>
    </row>
    <row r="2829" spans="1:2">
      <c r="A2829" t="s">
        <v>6529</v>
      </c>
      <c r="B2829">
        <v>3300003631</v>
      </c>
    </row>
    <row r="2830" spans="1:2">
      <c r="A2830" t="s">
        <v>6642</v>
      </c>
      <c r="B2830" t="s">
        <v>4962</v>
      </c>
    </row>
    <row r="2831" spans="1:2">
      <c r="A2831" t="s">
        <v>6530</v>
      </c>
      <c r="B2831" t="s">
        <v>1009</v>
      </c>
    </row>
    <row r="2832" spans="1:2">
      <c r="A2832" t="s">
        <v>6529</v>
      </c>
      <c r="B2832">
        <v>3300001227</v>
      </c>
    </row>
    <row r="2833" spans="1:2">
      <c r="A2833" t="s">
        <v>6642</v>
      </c>
      <c r="B2833" t="s">
        <v>1008</v>
      </c>
    </row>
    <row r="2834" spans="1:2">
      <c r="A2834" t="s">
        <v>6529</v>
      </c>
      <c r="B2834">
        <v>3300001228</v>
      </c>
    </row>
    <row r="2835" spans="1:2">
      <c r="A2835" t="s">
        <v>6528</v>
      </c>
      <c r="B2835">
        <v>2119254</v>
      </c>
    </row>
    <row r="2836" spans="1:2">
      <c r="A2836" t="s">
        <v>6677</v>
      </c>
      <c r="B2836">
        <v>5031886</v>
      </c>
    </row>
    <row r="2837" spans="1:2">
      <c r="A2837" t="s">
        <v>6530</v>
      </c>
      <c r="B2837" t="s">
        <v>2215</v>
      </c>
    </row>
    <row r="2838" spans="1:2">
      <c r="A2838" t="s">
        <v>6529</v>
      </c>
      <c r="B2838">
        <v>3300005151</v>
      </c>
    </row>
    <row r="2839" spans="1:2">
      <c r="A2839" t="s">
        <v>6642</v>
      </c>
      <c r="B2839" t="s">
        <v>2214</v>
      </c>
    </row>
    <row r="2840" spans="1:2">
      <c r="A2840" t="s">
        <v>6529</v>
      </c>
      <c r="B2840">
        <v>3300005149</v>
      </c>
    </row>
    <row r="2841" spans="1:2">
      <c r="A2841" t="s">
        <v>6528</v>
      </c>
      <c r="B2841">
        <v>2114774</v>
      </c>
    </row>
    <row r="2842" spans="1:2">
      <c r="A2842" t="s">
        <v>6530</v>
      </c>
      <c r="B2842" t="s">
        <v>5593</v>
      </c>
    </row>
    <row r="2843" spans="1:2">
      <c r="A2843" t="s">
        <v>6528</v>
      </c>
      <c r="B2843">
        <v>2115646</v>
      </c>
    </row>
    <row r="2844" spans="1:2">
      <c r="A2844" t="s">
        <v>6677</v>
      </c>
      <c r="B2844">
        <v>5001450</v>
      </c>
    </row>
    <row r="2845" spans="1:2">
      <c r="A2845" t="s">
        <v>6529</v>
      </c>
      <c r="B2845">
        <v>3300008128</v>
      </c>
    </row>
    <row r="2846" spans="1:2">
      <c r="A2846" t="s">
        <v>6528</v>
      </c>
      <c r="B2846">
        <v>2115658</v>
      </c>
    </row>
    <row r="2847" spans="1:2">
      <c r="A2847" t="s">
        <v>6530</v>
      </c>
      <c r="B2847" t="s">
        <v>1979</v>
      </c>
    </row>
    <row r="2848" spans="1:2">
      <c r="A2848" t="s">
        <v>6528</v>
      </c>
      <c r="B2848">
        <v>2103799</v>
      </c>
    </row>
    <row r="2849" spans="1:2">
      <c r="A2849" t="s">
        <v>6677</v>
      </c>
      <c r="B2849">
        <v>5050509</v>
      </c>
    </row>
    <row r="2850" spans="1:2">
      <c r="A2850" t="s">
        <v>6645</v>
      </c>
      <c r="B2850" t="s">
        <v>1977</v>
      </c>
    </row>
    <row r="2851" spans="1:2">
      <c r="A2851" t="s">
        <v>6642</v>
      </c>
      <c r="B2851" t="s">
        <v>1978</v>
      </c>
    </row>
    <row r="2852" spans="1:2">
      <c r="A2852" t="s">
        <v>6529</v>
      </c>
      <c r="B2852">
        <v>3300009512</v>
      </c>
    </row>
    <row r="2853" spans="1:2">
      <c r="A2853" t="s">
        <v>6530</v>
      </c>
      <c r="B2853" t="s">
        <v>6779</v>
      </c>
    </row>
    <row r="2854" spans="1:2">
      <c r="A2854" t="s">
        <v>6677</v>
      </c>
      <c r="B2854">
        <v>5045661</v>
      </c>
    </row>
    <row r="2855" spans="1:2">
      <c r="A2855" t="s">
        <v>6645</v>
      </c>
      <c r="B2855" t="s">
        <v>4609</v>
      </c>
    </row>
    <row r="2856" spans="1:2">
      <c r="A2856" t="s">
        <v>6672</v>
      </c>
      <c r="B2856">
        <v>2171949</v>
      </c>
    </row>
    <row r="2857" spans="1:2">
      <c r="A2857" t="s">
        <v>6529</v>
      </c>
      <c r="B2857">
        <v>3300011488</v>
      </c>
    </row>
    <row r="2858" spans="1:2">
      <c r="A2858" t="s">
        <v>6677</v>
      </c>
      <c r="B2858">
        <v>5045692</v>
      </c>
    </row>
    <row r="2859" spans="1:2">
      <c r="A2859" t="s">
        <v>6530</v>
      </c>
      <c r="B2859" t="s">
        <v>6780</v>
      </c>
    </row>
    <row r="2860" spans="1:2">
      <c r="A2860" t="s">
        <v>6528</v>
      </c>
      <c r="B2860">
        <v>2115667</v>
      </c>
    </row>
    <row r="2861" spans="1:2">
      <c r="A2861" t="s">
        <v>6677</v>
      </c>
      <c r="B2861">
        <v>5001463</v>
      </c>
    </row>
    <row r="2862" spans="1:2">
      <c r="A2862" t="s">
        <v>6529</v>
      </c>
      <c r="B2862">
        <v>3300008148</v>
      </c>
    </row>
    <row r="2863" spans="1:2">
      <c r="A2863" t="s">
        <v>6677</v>
      </c>
      <c r="B2863">
        <v>5001478</v>
      </c>
    </row>
    <row r="2864" spans="1:2">
      <c r="A2864" t="s">
        <v>6528</v>
      </c>
      <c r="B2864">
        <v>2115645</v>
      </c>
    </row>
    <row r="2865" spans="1:2">
      <c r="A2865" t="s">
        <v>6569</v>
      </c>
      <c r="B2865" t="s">
        <v>2150</v>
      </c>
    </row>
    <row r="2866" spans="1:2">
      <c r="A2866" t="s">
        <v>6642</v>
      </c>
      <c r="B2866" t="s">
        <v>2148</v>
      </c>
    </row>
    <row r="2867" spans="1:2">
      <c r="A2867" t="s">
        <v>6528</v>
      </c>
      <c r="B2867">
        <v>2116010</v>
      </c>
    </row>
    <row r="2868" spans="1:2">
      <c r="A2868" t="s">
        <v>6645</v>
      </c>
      <c r="B2868" t="s">
        <v>2149</v>
      </c>
    </row>
    <row r="2869" spans="1:2">
      <c r="A2869" t="s">
        <v>6677</v>
      </c>
      <c r="B2869">
        <v>5036911</v>
      </c>
    </row>
    <row r="2870" spans="1:2">
      <c r="A2870" t="s">
        <v>6528</v>
      </c>
      <c r="B2870">
        <v>2116013</v>
      </c>
    </row>
    <row r="2871" spans="1:2">
      <c r="A2871" t="s">
        <v>6530</v>
      </c>
      <c r="B2871" t="s">
        <v>6323</v>
      </c>
    </row>
    <row r="2872" spans="1:2">
      <c r="A2872" t="s">
        <v>6528</v>
      </c>
      <c r="B2872">
        <v>2096476</v>
      </c>
    </row>
    <row r="2873" spans="1:2">
      <c r="A2873" t="s">
        <v>6677</v>
      </c>
      <c r="B2873" t="s">
        <v>6321</v>
      </c>
    </row>
    <row r="2874" spans="1:2">
      <c r="A2874" t="s">
        <v>6642</v>
      </c>
      <c r="B2874" t="s">
        <v>6322</v>
      </c>
    </row>
    <row r="2875" spans="1:2">
      <c r="A2875" t="s">
        <v>6677</v>
      </c>
      <c r="B2875">
        <v>5059341</v>
      </c>
    </row>
    <row r="2876" spans="1:2">
      <c r="A2876" t="s">
        <v>6530</v>
      </c>
      <c r="B2876" t="s">
        <v>2140</v>
      </c>
    </row>
    <row r="2877" spans="1:2">
      <c r="A2877" t="s">
        <v>6672</v>
      </c>
      <c r="B2877">
        <v>2183588</v>
      </c>
    </row>
    <row r="2878" spans="1:2">
      <c r="A2878" t="s">
        <v>6677</v>
      </c>
      <c r="B2878">
        <v>5059302</v>
      </c>
    </row>
    <row r="2879" spans="1:2">
      <c r="A2879" t="s">
        <v>6529</v>
      </c>
      <c r="B2879">
        <v>3300002813</v>
      </c>
    </row>
    <row r="2880" spans="1:2">
      <c r="A2880" t="s">
        <v>6528</v>
      </c>
      <c r="B2880">
        <v>2103960</v>
      </c>
    </row>
    <row r="2881" spans="1:2">
      <c r="A2881" t="s">
        <v>6642</v>
      </c>
      <c r="B2881" t="s">
        <v>2139</v>
      </c>
    </row>
    <row r="2882" spans="1:2">
      <c r="A2882" t="s">
        <v>6530</v>
      </c>
      <c r="B2882" t="s">
        <v>6781</v>
      </c>
    </row>
    <row r="2883" spans="1:2">
      <c r="A2883" t="s">
        <v>6529</v>
      </c>
      <c r="B2883">
        <v>3300004133</v>
      </c>
    </row>
    <row r="2884" spans="1:2">
      <c r="A2884" t="s">
        <v>6528</v>
      </c>
      <c r="B2884">
        <v>2084653</v>
      </c>
    </row>
    <row r="2885" spans="1:2">
      <c r="A2885" t="s">
        <v>6529</v>
      </c>
      <c r="B2885">
        <v>3300004118</v>
      </c>
    </row>
    <row r="2886" spans="1:2">
      <c r="A2886" t="s">
        <v>6642</v>
      </c>
      <c r="B2886" t="s">
        <v>1281</v>
      </c>
    </row>
    <row r="2887" spans="1:2">
      <c r="A2887" t="s">
        <v>6530</v>
      </c>
      <c r="B2887" t="s">
        <v>4683</v>
      </c>
    </row>
    <row r="2888" spans="1:2">
      <c r="A2888" t="s">
        <v>6528</v>
      </c>
      <c r="B2888">
        <v>2115649</v>
      </c>
    </row>
    <row r="2889" spans="1:2">
      <c r="A2889" t="s">
        <v>6645</v>
      </c>
      <c r="B2889" t="s">
        <v>4682</v>
      </c>
    </row>
    <row r="2890" spans="1:2">
      <c r="A2890" t="s">
        <v>6528</v>
      </c>
      <c r="B2890">
        <v>2115656</v>
      </c>
    </row>
    <row r="2891" spans="1:2">
      <c r="A2891" t="s">
        <v>6529</v>
      </c>
      <c r="B2891">
        <v>3300002930</v>
      </c>
    </row>
    <row r="2892" spans="1:2">
      <c r="A2892" t="s">
        <v>6573</v>
      </c>
      <c r="B2892" t="s">
        <v>5112</v>
      </c>
    </row>
    <row r="2893" spans="1:2">
      <c r="A2893" t="s">
        <v>6528</v>
      </c>
      <c r="B2893">
        <v>2116243</v>
      </c>
    </row>
    <row r="2894" spans="1:2">
      <c r="A2894" t="s">
        <v>6645</v>
      </c>
      <c r="B2894" t="s">
        <v>5111</v>
      </c>
    </row>
    <row r="2895" spans="1:2">
      <c r="A2895" t="s">
        <v>6677</v>
      </c>
      <c r="B2895">
        <v>5059378</v>
      </c>
    </row>
    <row r="2896" spans="1:2">
      <c r="A2896" t="s">
        <v>6530</v>
      </c>
      <c r="B2896" t="s">
        <v>6782</v>
      </c>
    </row>
    <row r="2897" spans="1:2">
      <c r="A2897" t="s">
        <v>6672</v>
      </c>
      <c r="B2897">
        <v>2183517</v>
      </c>
    </row>
    <row r="2898" spans="1:2">
      <c r="A2898" t="s">
        <v>6529</v>
      </c>
      <c r="B2898">
        <v>3300011502</v>
      </c>
    </row>
    <row r="2899" spans="1:2">
      <c r="A2899" t="s">
        <v>6677</v>
      </c>
      <c r="B2899">
        <v>5040892</v>
      </c>
    </row>
    <row r="2900" spans="1:2">
      <c r="A2900" t="s">
        <v>6645</v>
      </c>
      <c r="B2900" t="s">
        <v>1561</v>
      </c>
    </row>
    <row r="2901" spans="1:2">
      <c r="A2901" t="s">
        <v>6672</v>
      </c>
      <c r="B2901">
        <v>2159893</v>
      </c>
    </row>
    <row r="2902" spans="1:2">
      <c r="A2902" t="s">
        <v>6530</v>
      </c>
      <c r="B2902" t="s">
        <v>5757</v>
      </c>
    </row>
    <row r="2903" spans="1:2">
      <c r="A2903" t="s">
        <v>6528</v>
      </c>
      <c r="B2903">
        <v>2114729</v>
      </c>
    </row>
    <row r="2904" spans="1:2">
      <c r="A2904" t="s">
        <v>6642</v>
      </c>
      <c r="B2904" t="s">
        <v>5754</v>
      </c>
    </row>
    <row r="2905" spans="1:2">
      <c r="A2905" t="s">
        <v>6645</v>
      </c>
      <c r="B2905" t="s">
        <v>5755</v>
      </c>
    </row>
    <row r="2906" spans="1:2">
      <c r="A2906" t="s">
        <v>6642</v>
      </c>
      <c r="B2906" t="s">
        <v>5756</v>
      </c>
    </row>
    <row r="2907" spans="1:2">
      <c r="A2907" t="s">
        <v>6528</v>
      </c>
      <c r="B2907">
        <v>2114749</v>
      </c>
    </row>
    <row r="2908" spans="1:2">
      <c r="A2908" t="s">
        <v>6530</v>
      </c>
      <c r="B2908" t="s">
        <v>1496</v>
      </c>
    </row>
    <row r="2909" spans="1:2">
      <c r="A2909" t="s">
        <v>6528</v>
      </c>
      <c r="B2909">
        <v>2116281</v>
      </c>
    </row>
    <row r="2910" spans="1:2">
      <c r="A2910" t="s">
        <v>6645</v>
      </c>
      <c r="B2910" t="s">
        <v>1494</v>
      </c>
    </row>
    <row r="2911" spans="1:2">
      <c r="A2911" t="s">
        <v>6677</v>
      </c>
      <c r="B2911" t="s">
        <v>1495</v>
      </c>
    </row>
    <row r="2912" spans="1:2">
      <c r="A2912" t="s">
        <v>6529</v>
      </c>
      <c r="B2912">
        <v>3300002949</v>
      </c>
    </row>
    <row r="2913" spans="1:2">
      <c r="A2913" t="s">
        <v>6528</v>
      </c>
      <c r="B2913">
        <v>2116286</v>
      </c>
    </row>
    <row r="2914" spans="1:2">
      <c r="A2914" t="s">
        <v>6530</v>
      </c>
      <c r="B2914" t="s">
        <v>5844</v>
      </c>
    </row>
    <row r="2915" spans="1:2">
      <c r="A2915" t="s">
        <v>6677</v>
      </c>
      <c r="B2915">
        <v>5014460</v>
      </c>
    </row>
    <row r="2916" spans="1:2">
      <c r="A2916" t="s">
        <v>6529</v>
      </c>
      <c r="B2916">
        <v>3300005173</v>
      </c>
    </row>
    <row r="2917" spans="1:2">
      <c r="A2917" t="s">
        <v>6530</v>
      </c>
      <c r="B2917" t="s">
        <v>6783</v>
      </c>
    </row>
    <row r="2918" spans="1:2">
      <c r="A2918" t="s">
        <v>6529</v>
      </c>
      <c r="B2918">
        <v>3300011492</v>
      </c>
    </row>
    <row r="2919" spans="1:2">
      <c r="A2919" t="s">
        <v>6645</v>
      </c>
      <c r="B2919" t="s">
        <v>1016</v>
      </c>
    </row>
    <row r="2920" spans="1:2">
      <c r="A2920" t="s">
        <v>6672</v>
      </c>
      <c r="B2920">
        <v>2171885</v>
      </c>
    </row>
    <row r="2921" spans="1:2">
      <c r="A2921" t="s">
        <v>6529</v>
      </c>
      <c r="B2921">
        <v>3300002976</v>
      </c>
    </row>
    <row r="2922" spans="1:2">
      <c r="A2922" t="s">
        <v>6573</v>
      </c>
      <c r="B2922" t="s">
        <v>1428</v>
      </c>
    </row>
    <row r="2923" spans="1:2">
      <c r="A2923" t="s">
        <v>6528</v>
      </c>
      <c r="B2923">
        <v>2103511</v>
      </c>
    </row>
    <row r="2924" spans="1:2">
      <c r="A2924" t="s">
        <v>6529</v>
      </c>
      <c r="B2924">
        <v>3300004140</v>
      </c>
    </row>
    <row r="2925" spans="1:2">
      <c r="A2925" t="s">
        <v>6677</v>
      </c>
      <c r="B2925" t="s">
        <v>1427</v>
      </c>
    </row>
    <row r="2926" spans="1:2">
      <c r="A2926" t="s">
        <v>6530</v>
      </c>
      <c r="B2926" t="s">
        <v>5545</v>
      </c>
    </row>
    <row r="2927" spans="1:2">
      <c r="A2927" t="s">
        <v>6529</v>
      </c>
      <c r="B2927">
        <v>3300006517</v>
      </c>
    </row>
    <row r="2928" spans="1:2">
      <c r="A2928" t="s">
        <v>6529</v>
      </c>
      <c r="B2928">
        <v>3300006522</v>
      </c>
    </row>
    <row r="2929" spans="1:2">
      <c r="A2929" t="s">
        <v>6645</v>
      </c>
      <c r="B2929" t="s">
        <v>5544</v>
      </c>
    </row>
    <row r="2930" spans="1:2">
      <c r="A2930" t="s">
        <v>6528</v>
      </c>
      <c r="B2930">
        <v>2083217</v>
      </c>
    </row>
    <row r="2931" spans="1:2">
      <c r="A2931" t="s">
        <v>6573</v>
      </c>
      <c r="B2931" t="s">
        <v>5106</v>
      </c>
    </row>
    <row r="2932" spans="1:2">
      <c r="A2932" t="s">
        <v>6677</v>
      </c>
      <c r="B2932">
        <v>5045651</v>
      </c>
    </row>
    <row r="2933" spans="1:2">
      <c r="A2933" t="s">
        <v>6673</v>
      </c>
      <c r="B2933">
        <v>2117585</v>
      </c>
    </row>
    <row r="2934" spans="1:2">
      <c r="A2934" t="s">
        <v>6645</v>
      </c>
      <c r="B2934" t="s">
        <v>5105</v>
      </c>
    </row>
    <row r="2935" spans="1:2">
      <c r="A2935" t="s">
        <v>6573</v>
      </c>
      <c r="B2935" t="s">
        <v>3010</v>
      </c>
    </row>
    <row r="2936" spans="1:2">
      <c r="A2936" t="s">
        <v>6529</v>
      </c>
      <c r="B2936">
        <v>3300008125</v>
      </c>
    </row>
    <row r="2937" spans="1:2">
      <c r="A2937" t="s">
        <v>6528</v>
      </c>
      <c r="B2937">
        <v>2103500</v>
      </c>
    </row>
    <row r="2938" spans="1:2">
      <c r="A2938" t="s">
        <v>6529</v>
      </c>
      <c r="B2938">
        <v>3300004117</v>
      </c>
    </row>
    <row r="2939" spans="1:2">
      <c r="A2939" t="s">
        <v>6530</v>
      </c>
      <c r="B2939" t="s">
        <v>6263</v>
      </c>
    </row>
    <row r="2940" spans="1:2">
      <c r="A2940" t="s">
        <v>6672</v>
      </c>
      <c r="B2940">
        <v>2183505</v>
      </c>
    </row>
    <row r="2941" spans="1:2">
      <c r="A2941" t="s">
        <v>6677</v>
      </c>
      <c r="B2941">
        <v>5001472</v>
      </c>
    </row>
    <row r="2942" spans="1:2">
      <c r="A2942" t="s">
        <v>6642</v>
      </c>
      <c r="B2942" t="s">
        <v>6262</v>
      </c>
    </row>
    <row r="2943" spans="1:2">
      <c r="A2943" t="s">
        <v>6573</v>
      </c>
      <c r="B2943" t="s">
        <v>2606</v>
      </c>
    </row>
    <row r="2944" spans="1:2">
      <c r="A2944" t="s">
        <v>6528</v>
      </c>
      <c r="B2944">
        <v>2103927</v>
      </c>
    </row>
    <row r="2945" spans="1:2">
      <c r="A2945" t="s">
        <v>6645</v>
      </c>
      <c r="B2945" t="s">
        <v>2605</v>
      </c>
    </row>
    <row r="2946" spans="1:2">
      <c r="A2946" t="s">
        <v>6528</v>
      </c>
      <c r="B2946">
        <v>2103947</v>
      </c>
    </row>
    <row r="2947" spans="1:2">
      <c r="A2947" t="s">
        <v>6530</v>
      </c>
      <c r="B2947" t="s">
        <v>878</v>
      </c>
    </row>
    <row r="2948" spans="1:2">
      <c r="A2948" t="s">
        <v>6528</v>
      </c>
      <c r="B2948">
        <v>2103873</v>
      </c>
    </row>
    <row r="2949" spans="1:2">
      <c r="A2949" t="s">
        <v>6645</v>
      </c>
      <c r="B2949" t="s">
        <v>877</v>
      </c>
    </row>
    <row r="2950" spans="1:2">
      <c r="A2950" t="s">
        <v>6528</v>
      </c>
      <c r="B2950">
        <v>2103931</v>
      </c>
    </row>
    <row r="2951" spans="1:2">
      <c r="A2951" t="s">
        <v>6529</v>
      </c>
      <c r="B2951">
        <v>3300003614</v>
      </c>
    </row>
    <row r="2952" spans="1:2">
      <c r="A2952" t="s">
        <v>6528</v>
      </c>
      <c r="B2952">
        <v>2103871</v>
      </c>
    </row>
    <row r="2953" spans="1:2">
      <c r="A2953" t="s">
        <v>6530</v>
      </c>
      <c r="B2953" t="s">
        <v>6784</v>
      </c>
    </row>
    <row r="2954" spans="1:2">
      <c r="A2954" t="s">
        <v>6529</v>
      </c>
      <c r="B2954">
        <v>3300002994</v>
      </c>
    </row>
    <row r="2955" spans="1:2">
      <c r="A2955" t="s">
        <v>6642</v>
      </c>
      <c r="B2955" t="s">
        <v>2937</v>
      </c>
    </row>
    <row r="2956" spans="1:2">
      <c r="A2956" t="s">
        <v>6528</v>
      </c>
      <c r="B2956">
        <v>2114794</v>
      </c>
    </row>
    <row r="2957" spans="1:2">
      <c r="A2957" t="s">
        <v>6529</v>
      </c>
      <c r="B2957">
        <v>3300009715</v>
      </c>
    </row>
    <row r="2958" spans="1:2">
      <c r="A2958" t="s">
        <v>6677</v>
      </c>
      <c r="B2958">
        <v>5032249</v>
      </c>
    </row>
    <row r="2959" spans="1:2">
      <c r="A2959" t="s">
        <v>6530</v>
      </c>
      <c r="B2959" t="s">
        <v>1157</v>
      </c>
    </row>
    <row r="2960" spans="1:2">
      <c r="A2960" t="s">
        <v>6529</v>
      </c>
      <c r="B2960">
        <v>3300005143</v>
      </c>
    </row>
    <row r="2961" spans="1:2">
      <c r="A2961" t="s">
        <v>6677</v>
      </c>
      <c r="B2961">
        <v>5006426</v>
      </c>
    </row>
    <row r="2962" spans="1:2">
      <c r="A2962" t="s">
        <v>6528</v>
      </c>
      <c r="B2962">
        <v>2084094</v>
      </c>
    </row>
    <row r="2963" spans="1:2">
      <c r="A2963" t="s">
        <v>6529</v>
      </c>
      <c r="B2963">
        <v>3300005135</v>
      </c>
    </row>
    <row r="2964" spans="1:2">
      <c r="A2964" t="s">
        <v>6530</v>
      </c>
      <c r="B2964" t="s">
        <v>3413</v>
      </c>
    </row>
    <row r="2965" spans="1:2">
      <c r="A2965" t="s">
        <v>6672</v>
      </c>
      <c r="B2965">
        <v>2171992</v>
      </c>
    </row>
    <row r="2966" spans="1:2">
      <c r="A2966" t="s">
        <v>6677</v>
      </c>
      <c r="B2966">
        <v>5059303</v>
      </c>
    </row>
    <row r="2967" spans="1:2">
      <c r="A2967" t="s">
        <v>6645</v>
      </c>
      <c r="B2967" t="s">
        <v>3412</v>
      </c>
    </row>
    <row r="2968" spans="1:2">
      <c r="A2968" t="s">
        <v>6530</v>
      </c>
      <c r="B2968" t="s">
        <v>1799</v>
      </c>
    </row>
    <row r="2969" spans="1:2">
      <c r="A2969" t="s">
        <v>6528</v>
      </c>
      <c r="B2969">
        <v>2114733</v>
      </c>
    </row>
    <row r="2970" spans="1:2">
      <c r="A2970" t="s">
        <v>6645</v>
      </c>
      <c r="B2970" t="s">
        <v>1798</v>
      </c>
    </row>
    <row r="2971" spans="1:2">
      <c r="A2971" t="s">
        <v>6528</v>
      </c>
      <c r="B2971">
        <v>2114791</v>
      </c>
    </row>
    <row r="2972" spans="1:2">
      <c r="A2972" t="s">
        <v>6529</v>
      </c>
      <c r="B2972">
        <v>3300002933</v>
      </c>
    </row>
    <row r="2973" spans="1:2">
      <c r="A2973" t="s">
        <v>6530</v>
      </c>
      <c r="B2973" t="s">
        <v>4271</v>
      </c>
    </row>
    <row r="2974" spans="1:2">
      <c r="A2974" t="s">
        <v>6528</v>
      </c>
      <c r="B2974">
        <v>2177514</v>
      </c>
    </row>
    <row r="2975" spans="1:2">
      <c r="A2975" t="s">
        <v>6642</v>
      </c>
      <c r="B2975" t="s">
        <v>4270</v>
      </c>
    </row>
    <row r="2976" spans="1:2">
      <c r="A2976" t="s">
        <v>6529</v>
      </c>
      <c r="B2976">
        <v>3300005158</v>
      </c>
    </row>
    <row r="2977" spans="1:2">
      <c r="A2977" t="s">
        <v>6677</v>
      </c>
      <c r="B2977">
        <v>5033023</v>
      </c>
    </row>
    <row r="2978" spans="1:2">
      <c r="A2978" t="s">
        <v>6528</v>
      </c>
      <c r="B2978">
        <v>2119241</v>
      </c>
    </row>
    <row r="2979" spans="1:2">
      <c r="A2979" t="s">
        <v>6530</v>
      </c>
      <c r="B2979" t="s">
        <v>1164</v>
      </c>
    </row>
    <row r="2980" spans="1:2">
      <c r="A2980" t="s">
        <v>6677</v>
      </c>
      <c r="B2980">
        <v>5049697</v>
      </c>
    </row>
    <row r="2981" spans="1:2">
      <c r="A2981" t="s">
        <v>6642</v>
      </c>
      <c r="B2981" t="s">
        <v>1163</v>
      </c>
    </row>
    <row r="2982" spans="1:2">
      <c r="A2982" t="s">
        <v>6529</v>
      </c>
      <c r="B2982">
        <v>3300002941</v>
      </c>
    </row>
    <row r="2983" spans="1:2">
      <c r="A2983" t="s">
        <v>6528</v>
      </c>
      <c r="B2983">
        <v>2116035</v>
      </c>
    </row>
    <row r="2984" spans="1:2">
      <c r="A2984" t="s">
        <v>6530</v>
      </c>
      <c r="B2984" t="s">
        <v>6785</v>
      </c>
    </row>
    <row r="2985" spans="1:2">
      <c r="A2985" t="s">
        <v>6529</v>
      </c>
      <c r="B2985">
        <v>3300009556</v>
      </c>
    </row>
    <row r="2986" spans="1:2">
      <c r="A2986" t="s">
        <v>6677</v>
      </c>
      <c r="B2986">
        <v>5050423</v>
      </c>
    </row>
    <row r="2987" spans="1:2">
      <c r="A2987" t="s">
        <v>6645</v>
      </c>
      <c r="B2987" t="s">
        <v>4125</v>
      </c>
    </row>
    <row r="2988" spans="1:2">
      <c r="A2988" t="s">
        <v>6528</v>
      </c>
      <c r="B2988">
        <v>2177369</v>
      </c>
    </row>
    <row r="2989" spans="1:2">
      <c r="A2989" t="s">
        <v>6573</v>
      </c>
      <c r="B2989" t="s">
        <v>2808</v>
      </c>
    </row>
    <row r="2990" spans="1:2">
      <c r="A2990" t="s">
        <v>6677</v>
      </c>
      <c r="B2990">
        <v>5031873</v>
      </c>
    </row>
    <row r="2991" spans="1:2">
      <c r="A2991" t="s">
        <v>6645</v>
      </c>
      <c r="B2991" t="s">
        <v>2807</v>
      </c>
    </row>
    <row r="2992" spans="1:2">
      <c r="A2992" t="s">
        <v>6528</v>
      </c>
      <c r="B2992">
        <v>2119275</v>
      </c>
    </row>
    <row r="2993" spans="1:2">
      <c r="A2993" t="s">
        <v>6529</v>
      </c>
      <c r="B2993">
        <v>3300001219</v>
      </c>
    </row>
    <row r="2994" spans="1:2">
      <c r="A2994" t="s">
        <v>6677</v>
      </c>
      <c r="B2994">
        <v>5031884</v>
      </c>
    </row>
    <row r="2995" spans="1:2">
      <c r="A2995" t="s">
        <v>6530</v>
      </c>
      <c r="B2995" t="s">
        <v>3312</v>
      </c>
    </row>
    <row r="2996" spans="1:2">
      <c r="A2996" t="s">
        <v>6677</v>
      </c>
      <c r="B2996">
        <v>5031852</v>
      </c>
    </row>
    <row r="2997" spans="1:2">
      <c r="A2997" t="s">
        <v>6528</v>
      </c>
      <c r="B2997">
        <v>2119256</v>
      </c>
    </row>
    <row r="2998" spans="1:2">
      <c r="A2998" t="s">
        <v>6645</v>
      </c>
      <c r="B2998" t="s">
        <v>3311</v>
      </c>
    </row>
    <row r="2999" spans="1:2">
      <c r="A2999" t="s">
        <v>6529</v>
      </c>
      <c r="B2999">
        <v>3300004127</v>
      </c>
    </row>
    <row r="3000" spans="1:2">
      <c r="A3000" t="s">
        <v>6677</v>
      </c>
      <c r="B3000">
        <v>5031862</v>
      </c>
    </row>
    <row r="3001" spans="1:2">
      <c r="A3001" t="s">
        <v>6530</v>
      </c>
      <c r="B3001" t="s">
        <v>2491</v>
      </c>
    </row>
    <row r="3002" spans="1:2">
      <c r="A3002" t="s">
        <v>6528</v>
      </c>
      <c r="B3002">
        <v>2114779</v>
      </c>
    </row>
    <row r="3003" spans="1:2">
      <c r="A3003" t="s">
        <v>6529</v>
      </c>
      <c r="B3003">
        <v>3300002932</v>
      </c>
    </row>
    <row r="3004" spans="1:2">
      <c r="A3004" t="s">
        <v>6528</v>
      </c>
      <c r="B3004">
        <v>2114786</v>
      </c>
    </row>
    <row r="3005" spans="1:2">
      <c r="A3005" t="s">
        <v>6642</v>
      </c>
      <c r="B3005" t="s">
        <v>2489</v>
      </c>
    </row>
    <row r="3006" spans="1:2">
      <c r="A3006" t="s">
        <v>6677</v>
      </c>
      <c r="B3006" t="s">
        <v>2490</v>
      </c>
    </row>
    <row r="3007" spans="1:2">
      <c r="A3007" t="s">
        <v>6530</v>
      </c>
      <c r="B3007" t="s">
        <v>855</v>
      </c>
    </row>
    <row r="3008" spans="1:2">
      <c r="A3008" t="s">
        <v>6632</v>
      </c>
      <c r="B3008" t="s">
        <v>854</v>
      </c>
    </row>
    <row r="3009" spans="1:2">
      <c r="A3009" t="s">
        <v>6529</v>
      </c>
      <c r="B3009">
        <v>3300001422</v>
      </c>
    </row>
    <row r="3010" spans="1:2">
      <c r="A3010" t="s">
        <v>6677</v>
      </c>
      <c r="B3010">
        <v>5051830</v>
      </c>
    </row>
    <row r="3011" spans="1:2">
      <c r="A3011" t="s">
        <v>6529</v>
      </c>
      <c r="B3011">
        <v>3300006725</v>
      </c>
    </row>
    <row r="3012" spans="1:2">
      <c r="A3012" t="s">
        <v>6530</v>
      </c>
      <c r="B3012" t="s">
        <v>3023</v>
      </c>
    </row>
    <row r="3013" spans="1:2">
      <c r="A3013" t="s">
        <v>6528</v>
      </c>
      <c r="B3013">
        <v>2117092</v>
      </c>
    </row>
    <row r="3014" spans="1:2">
      <c r="A3014" t="s">
        <v>6677</v>
      </c>
      <c r="B3014">
        <v>5031917</v>
      </c>
    </row>
    <row r="3015" spans="1:2">
      <c r="A3015" t="s">
        <v>6529</v>
      </c>
      <c r="B3015">
        <v>3300008141</v>
      </c>
    </row>
    <row r="3016" spans="1:2">
      <c r="A3016" t="s">
        <v>6645</v>
      </c>
      <c r="B3016" t="s">
        <v>3022</v>
      </c>
    </row>
    <row r="3017" spans="1:2">
      <c r="A3017" t="s">
        <v>6677</v>
      </c>
      <c r="B3017">
        <v>5040891</v>
      </c>
    </row>
    <row r="3018" spans="1:2">
      <c r="A3018" t="s">
        <v>6530</v>
      </c>
      <c r="B3018" t="s">
        <v>2915</v>
      </c>
    </row>
    <row r="3019" spans="1:2">
      <c r="A3019" t="s">
        <v>6528</v>
      </c>
      <c r="B3019">
        <v>2119193</v>
      </c>
    </row>
    <row r="3020" spans="1:2">
      <c r="A3020" t="s">
        <v>6677</v>
      </c>
      <c r="B3020" t="s">
        <v>2914</v>
      </c>
    </row>
    <row r="3021" spans="1:2">
      <c r="A3021" t="s">
        <v>6573</v>
      </c>
      <c r="B3021" t="s">
        <v>5366</v>
      </c>
    </row>
    <row r="3022" spans="1:2">
      <c r="A3022" t="s">
        <v>6674</v>
      </c>
      <c r="B3022">
        <v>1723939</v>
      </c>
    </row>
    <row r="3023" spans="1:2">
      <c r="A3023" t="s">
        <v>6642</v>
      </c>
      <c r="B3023" t="s">
        <v>5365</v>
      </c>
    </row>
    <row r="3024" spans="1:2">
      <c r="A3024" t="s">
        <v>6674</v>
      </c>
      <c r="B3024">
        <v>1756703</v>
      </c>
    </row>
    <row r="3025" spans="1:2">
      <c r="A3025" t="s">
        <v>6530</v>
      </c>
      <c r="B3025" t="s">
        <v>6190</v>
      </c>
    </row>
    <row r="3026" spans="1:2">
      <c r="A3026" t="s">
        <v>6528</v>
      </c>
      <c r="B3026">
        <v>2116273</v>
      </c>
    </row>
    <row r="3027" spans="1:2">
      <c r="A3027" t="s">
        <v>6645</v>
      </c>
      <c r="B3027" t="s">
        <v>6189</v>
      </c>
    </row>
    <row r="3028" spans="1:2">
      <c r="A3028" t="s">
        <v>6528</v>
      </c>
      <c r="B3028">
        <v>2116259</v>
      </c>
    </row>
    <row r="3029" spans="1:2">
      <c r="A3029" t="s">
        <v>6529</v>
      </c>
      <c r="B3029">
        <v>3300008122</v>
      </c>
    </row>
    <row r="3030" spans="1:2">
      <c r="A3030" t="s">
        <v>6677</v>
      </c>
      <c r="B3030">
        <v>5050452</v>
      </c>
    </row>
    <row r="3031" spans="1:2">
      <c r="A3031" t="s">
        <v>6573</v>
      </c>
      <c r="B3031" t="s">
        <v>3186</v>
      </c>
    </row>
    <row r="3032" spans="1:2">
      <c r="A3032" t="s">
        <v>6677</v>
      </c>
      <c r="B3032">
        <v>5014449</v>
      </c>
    </row>
    <row r="3033" spans="1:2">
      <c r="A3033" t="s">
        <v>6642</v>
      </c>
      <c r="B3033" t="s">
        <v>3184</v>
      </c>
    </row>
    <row r="3034" spans="1:2">
      <c r="A3034" t="s">
        <v>6529</v>
      </c>
      <c r="B3034">
        <v>3300005177</v>
      </c>
    </row>
    <row r="3035" spans="1:2">
      <c r="A3035" t="s">
        <v>6677</v>
      </c>
      <c r="B3035" t="s">
        <v>3185</v>
      </c>
    </row>
    <row r="3036" spans="1:2">
      <c r="A3036" t="s">
        <v>6530</v>
      </c>
      <c r="B3036" t="s">
        <v>5986</v>
      </c>
    </row>
    <row r="3037" spans="1:2">
      <c r="A3037" t="s">
        <v>6677</v>
      </c>
      <c r="B3037">
        <v>5040881</v>
      </c>
    </row>
    <row r="3038" spans="1:2">
      <c r="A3038" t="s">
        <v>6645</v>
      </c>
      <c r="B3038" t="s">
        <v>5985</v>
      </c>
    </row>
    <row r="3039" spans="1:2">
      <c r="A3039" t="s">
        <v>6528</v>
      </c>
      <c r="B3039">
        <v>2119282</v>
      </c>
    </row>
    <row r="3040" spans="1:2">
      <c r="A3040" t="s">
        <v>6529</v>
      </c>
      <c r="B3040">
        <v>3300006807</v>
      </c>
    </row>
    <row r="3041" spans="1:2">
      <c r="A3041" t="s">
        <v>6677</v>
      </c>
      <c r="B3041">
        <v>5040889</v>
      </c>
    </row>
    <row r="3042" spans="1:2">
      <c r="A3042" t="s">
        <v>6530</v>
      </c>
      <c r="B3042" t="s">
        <v>4444</v>
      </c>
    </row>
    <row r="3043" spans="1:2">
      <c r="A3043" t="s">
        <v>6645</v>
      </c>
      <c r="B3043" t="s">
        <v>4442</v>
      </c>
    </row>
    <row r="3044" spans="1:2">
      <c r="A3044" t="s">
        <v>6677</v>
      </c>
      <c r="B3044">
        <v>5050428</v>
      </c>
    </row>
    <row r="3045" spans="1:2">
      <c r="A3045" t="s">
        <v>6672</v>
      </c>
      <c r="B3045">
        <v>2172015</v>
      </c>
    </row>
    <row r="3046" spans="1:2">
      <c r="A3046" t="s">
        <v>6529</v>
      </c>
      <c r="B3046">
        <v>3300009562</v>
      </c>
    </row>
    <row r="3047" spans="1:2">
      <c r="A3047" t="s">
        <v>6645</v>
      </c>
      <c r="B3047" t="s">
        <v>4443</v>
      </c>
    </row>
    <row r="3048" spans="1:2">
      <c r="A3048" t="s">
        <v>6530</v>
      </c>
      <c r="B3048" t="s">
        <v>5628</v>
      </c>
    </row>
    <row r="3049" spans="1:2">
      <c r="A3049" t="s">
        <v>6528</v>
      </c>
      <c r="B3049">
        <v>2119191</v>
      </c>
    </row>
    <row r="3050" spans="1:2">
      <c r="A3050" t="s">
        <v>6677</v>
      </c>
      <c r="B3050">
        <v>5031844</v>
      </c>
    </row>
    <row r="3051" spans="1:2">
      <c r="A3051" t="s">
        <v>6529</v>
      </c>
      <c r="B3051">
        <v>3300008123</v>
      </c>
    </row>
    <row r="3052" spans="1:2">
      <c r="A3052" t="s">
        <v>6530</v>
      </c>
      <c r="B3052" t="s">
        <v>6182</v>
      </c>
    </row>
    <row r="3053" spans="1:2">
      <c r="A3053" t="s">
        <v>6528</v>
      </c>
      <c r="B3053">
        <v>2114745</v>
      </c>
    </row>
    <row r="3054" spans="1:2">
      <c r="A3054" t="s">
        <v>6642</v>
      </c>
      <c r="B3054" t="s">
        <v>6181</v>
      </c>
    </row>
    <row r="3055" spans="1:2">
      <c r="A3055" t="s">
        <v>6528</v>
      </c>
      <c r="B3055">
        <v>2114790</v>
      </c>
    </row>
    <row r="3056" spans="1:2">
      <c r="A3056" t="s">
        <v>6529</v>
      </c>
      <c r="B3056">
        <v>3300002940</v>
      </c>
    </row>
    <row r="3057" spans="1:2">
      <c r="A3057" t="s">
        <v>6530</v>
      </c>
      <c r="B3057" t="s">
        <v>6000</v>
      </c>
    </row>
    <row r="3058" spans="1:2">
      <c r="A3058" t="s">
        <v>6528</v>
      </c>
      <c r="B3058">
        <v>2117069</v>
      </c>
    </row>
    <row r="3059" spans="1:2">
      <c r="A3059" t="s">
        <v>6677</v>
      </c>
      <c r="B3059">
        <v>5031905</v>
      </c>
    </row>
    <row r="3060" spans="1:2">
      <c r="A3060" t="s">
        <v>6529</v>
      </c>
      <c r="B3060">
        <v>3300008145</v>
      </c>
    </row>
    <row r="3061" spans="1:2">
      <c r="A3061" t="s">
        <v>6528</v>
      </c>
      <c r="B3061">
        <v>2116313</v>
      </c>
    </row>
    <row r="3062" spans="1:2">
      <c r="A3062" t="s">
        <v>6530</v>
      </c>
      <c r="B3062" t="s">
        <v>6375</v>
      </c>
    </row>
    <row r="3063" spans="1:2">
      <c r="A3063" t="s">
        <v>6677</v>
      </c>
      <c r="B3063">
        <v>5040882</v>
      </c>
    </row>
    <row r="3064" spans="1:2">
      <c r="A3064" t="s">
        <v>6645</v>
      </c>
      <c r="B3064" t="s">
        <v>6374</v>
      </c>
    </row>
    <row r="3065" spans="1:2">
      <c r="A3065" t="s">
        <v>6529</v>
      </c>
      <c r="B3065">
        <v>3300006791</v>
      </c>
    </row>
    <row r="3066" spans="1:2">
      <c r="A3066" t="s">
        <v>6677</v>
      </c>
      <c r="B3066">
        <v>5040894</v>
      </c>
    </row>
    <row r="3067" spans="1:2">
      <c r="A3067" t="s">
        <v>6530</v>
      </c>
      <c r="B3067" t="s">
        <v>886</v>
      </c>
    </row>
    <row r="3068" spans="1:2">
      <c r="A3068" t="s">
        <v>6672</v>
      </c>
      <c r="B3068">
        <v>2183528</v>
      </c>
    </row>
    <row r="3069" spans="1:2">
      <c r="A3069" t="s">
        <v>6529</v>
      </c>
      <c r="B3069">
        <v>3300009155</v>
      </c>
    </row>
    <row r="3070" spans="1:2">
      <c r="A3070" t="s">
        <v>6645</v>
      </c>
      <c r="B3070" t="s">
        <v>885</v>
      </c>
    </row>
    <row r="3071" spans="1:2">
      <c r="A3071" t="s">
        <v>6677</v>
      </c>
      <c r="B3071">
        <v>5047877</v>
      </c>
    </row>
    <row r="3072" spans="1:2">
      <c r="A3072" t="s">
        <v>6672</v>
      </c>
      <c r="B3072">
        <v>2183467</v>
      </c>
    </row>
    <row r="3073" spans="1:2">
      <c r="A3073" t="s">
        <v>6530</v>
      </c>
      <c r="B3073" t="s">
        <v>6786</v>
      </c>
    </row>
    <row r="3074" spans="1:2">
      <c r="A3074" t="s">
        <v>6528</v>
      </c>
      <c r="B3074">
        <v>2103727</v>
      </c>
    </row>
    <row r="3075" spans="1:2">
      <c r="A3075" t="s">
        <v>6645</v>
      </c>
      <c r="B3075" t="s">
        <v>4639</v>
      </c>
    </row>
    <row r="3076" spans="1:2">
      <c r="A3076" t="s">
        <v>6529</v>
      </c>
      <c r="B3076">
        <v>3300009761</v>
      </c>
    </row>
    <row r="3077" spans="1:2">
      <c r="A3077" t="s">
        <v>6528</v>
      </c>
      <c r="B3077">
        <v>2119255</v>
      </c>
    </row>
    <row r="3078" spans="1:2">
      <c r="A3078" t="s">
        <v>6530</v>
      </c>
      <c r="B3078" t="s">
        <v>1109</v>
      </c>
    </row>
    <row r="3079" spans="1:2">
      <c r="A3079" t="s">
        <v>6677</v>
      </c>
      <c r="B3079">
        <v>5042649</v>
      </c>
    </row>
    <row r="3080" spans="1:2">
      <c r="A3080" t="s">
        <v>6645</v>
      </c>
      <c r="B3080" t="s">
        <v>1108</v>
      </c>
    </row>
    <row r="3081" spans="1:2">
      <c r="A3081" t="s">
        <v>6529</v>
      </c>
      <c r="B3081">
        <v>3300006814</v>
      </c>
    </row>
    <row r="3082" spans="1:2">
      <c r="A3082" t="s">
        <v>6528</v>
      </c>
      <c r="B3082">
        <v>2119271</v>
      </c>
    </row>
    <row r="3083" spans="1:2">
      <c r="A3083" t="s">
        <v>6530</v>
      </c>
      <c r="B3083" t="s">
        <v>5867</v>
      </c>
    </row>
    <row r="3084" spans="1:2">
      <c r="A3084" t="s">
        <v>6528</v>
      </c>
      <c r="B3084">
        <v>2119278</v>
      </c>
    </row>
    <row r="3085" spans="1:2">
      <c r="A3085" t="s">
        <v>6529</v>
      </c>
      <c r="B3085">
        <v>3300001238</v>
      </c>
    </row>
    <row r="3086" spans="1:2">
      <c r="A3086" t="s">
        <v>6530</v>
      </c>
      <c r="B3086" t="s">
        <v>6787</v>
      </c>
    </row>
    <row r="3087" spans="1:2">
      <c r="A3087" t="s">
        <v>6672</v>
      </c>
      <c r="B3087">
        <v>2171932</v>
      </c>
    </row>
    <row r="3088" spans="1:2">
      <c r="A3088" t="s">
        <v>6645</v>
      </c>
      <c r="B3088" t="s">
        <v>6385</v>
      </c>
    </row>
    <row r="3089" spans="1:2">
      <c r="A3089" t="s">
        <v>6529</v>
      </c>
      <c r="B3089">
        <v>3300009524</v>
      </c>
    </row>
    <row r="3090" spans="1:2">
      <c r="A3090" t="s">
        <v>6672</v>
      </c>
      <c r="B3090">
        <v>2171929</v>
      </c>
    </row>
    <row r="3091" spans="1:2">
      <c r="A3091" t="s">
        <v>6573</v>
      </c>
      <c r="B3091" t="s">
        <v>2080</v>
      </c>
    </row>
    <row r="3092" spans="1:2">
      <c r="A3092" t="s">
        <v>6528</v>
      </c>
      <c r="B3092">
        <v>2103957</v>
      </c>
    </row>
    <row r="3093" spans="1:2">
      <c r="A3093" t="s">
        <v>6645</v>
      </c>
      <c r="B3093" t="s">
        <v>2079</v>
      </c>
    </row>
    <row r="3094" spans="1:2">
      <c r="A3094" t="s">
        <v>6677</v>
      </c>
      <c r="B3094">
        <v>5049682</v>
      </c>
    </row>
    <row r="3095" spans="1:2">
      <c r="A3095" t="s">
        <v>6529</v>
      </c>
      <c r="B3095">
        <v>3300011509</v>
      </c>
    </row>
    <row r="3096" spans="1:2">
      <c r="A3096" t="s">
        <v>6528</v>
      </c>
      <c r="B3096">
        <v>2114792</v>
      </c>
    </row>
    <row r="3097" spans="1:2">
      <c r="A3097" t="s">
        <v>6530</v>
      </c>
      <c r="B3097" t="s">
        <v>1368</v>
      </c>
    </row>
    <row r="3098" spans="1:2">
      <c r="A3098" t="s">
        <v>6642</v>
      </c>
      <c r="B3098" t="s">
        <v>1365</v>
      </c>
    </row>
    <row r="3099" spans="1:2">
      <c r="A3099" t="s">
        <v>6529</v>
      </c>
      <c r="B3099">
        <v>3300005142</v>
      </c>
    </row>
    <row r="3100" spans="1:2">
      <c r="A3100" t="s">
        <v>6645</v>
      </c>
      <c r="B3100" t="s">
        <v>1366</v>
      </c>
    </row>
    <row r="3101" spans="1:2">
      <c r="A3101" t="s">
        <v>6677</v>
      </c>
      <c r="B3101">
        <v>5045666</v>
      </c>
    </row>
    <row r="3102" spans="1:2">
      <c r="A3102" t="s">
        <v>6683</v>
      </c>
      <c r="B3102" t="s">
        <v>1367</v>
      </c>
    </row>
    <row r="3103" spans="1:2">
      <c r="A3103" t="s">
        <v>6530</v>
      </c>
      <c r="B3103" t="s">
        <v>1662</v>
      </c>
    </row>
    <row r="3104" spans="1:2">
      <c r="A3104" t="s">
        <v>6677</v>
      </c>
      <c r="B3104">
        <v>5036919</v>
      </c>
    </row>
    <row r="3105" spans="1:2">
      <c r="A3105" t="s">
        <v>6677</v>
      </c>
      <c r="B3105">
        <v>5036924</v>
      </c>
    </row>
    <row r="3106" spans="1:2">
      <c r="A3106" t="s">
        <v>6529</v>
      </c>
      <c r="B3106">
        <v>3300006713</v>
      </c>
    </row>
    <row r="3107" spans="1:2">
      <c r="A3107" t="s">
        <v>6528</v>
      </c>
      <c r="B3107">
        <v>2160439</v>
      </c>
    </row>
    <row r="3108" spans="1:2">
      <c r="A3108" t="s">
        <v>6528</v>
      </c>
      <c r="B3108">
        <v>2114807</v>
      </c>
    </row>
    <row r="3109" spans="1:2">
      <c r="A3109" t="s">
        <v>6530</v>
      </c>
      <c r="B3109" t="s">
        <v>3979</v>
      </c>
    </row>
    <row r="3110" spans="1:2">
      <c r="A3110" t="s">
        <v>6677</v>
      </c>
      <c r="B3110">
        <v>5049689</v>
      </c>
    </row>
    <row r="3111" spans="1:2">
      <c r="A3111" t="s">
        <v>6645</v>
      </c>
      <c r="B3111" t="s">
        <v>3978</v>
      </c>
    </row>
    <row r="3112" spans="1:2">
      <c r="A3112" t="s">
        <v>6529</v>
      </c>
      <c r="B3112">
        <v>3300009711</v>
      </c>
    </row>
    <row r="3113" spans="1:2">
      <c r="A3113" t="s">
        <v>6672</v>
      </c>
      <c r="B3113">
        <v>2171975</v>
      </c>
    </row>
    <row r="3114" spans="1:2">
      <c r="A3114" t="s">
        <v>6677</v>
      </c>
      <c r="B3114">
        <v>5049707</v>
      </c>
    </row>
    <row r="3115" spans="1:2">
      <c r="A3115" t="s">
        <v>6530</v>
      </c>
      <c r="B3115" t="s">
        <v>1859</v>
      </c>
    </row>
    <row r="3116" spans="1:2">
      <c r="A3116" t="s">
        <v>6672</v>
      </c>
      <c r="B3116">
        <v>2171972</v>
      </c>
    </row>
    <row r="3117" spans="1:2">
      <c r="A3117" t="s">
        <v>6677</v>
      </c>
      <c r="B3117">
        <v>5049680</v>
      </c>
    </row>
    <row r="3118" spans="1:2">
      <c r="A3118" t="s">
        <v>6645</v>
      </c>
      <c r="B3118" t="s">
        <v>1858</v>
      </c>
    </row>
    <row r="3119" spans="1:2">
      <c r="A3119" t="s">
        <v>6529</v>
      </c>
      <c r="B3119">
        <v>3300001686</v>
      </c>
    </row>
    <row r="3120" spans="1:2">
      <c r="A3120" t="s">
        <v>6672</v>
      </c>
      <c r="B3120">
        <v>2171942</v>
      </c>
    </row>
    <row r="3121" spans="1:2">
      <c r="A3121" t="s">
        <v>6530</v>
      </c>
      <c r="B3121" t="s">
        <v>5818</v>
      </c>
    </row>
    <row r="3122" spans="1:2">
      <c r="A3122" t="s">
        <v>6528</v>
      </c>
      <c r="B3122">
        <v>2081888</v>
      </c>
    </row>
    <row r="3123" spans="1:2">
      <c r="A3123" t="s">
        <v>6677</v>
      </c>
      <c r="B3123" t="s">
        <v>5817</v>
      </c>
    </row>
    <row r="3124" spans="1:2">
      <c r="A3124" t="s">
        <v>6529</v>
      </c>
      <c r="B3124">
        <v>3300009548</v>
      </c>
    </row>
    <row r="3125" spans="1:2">
      <c r="A3125" t="s">
        <v>6530</v>
      </c>
      <c r="B3125" t="s">
        <v>1812</v>
      </c>
    </row>
    <row r="3126" spans="1:2">
      <c r="A3126" t="s">
        <v>6645</v>
      </c>
      <c r="B3126" t="s">
        <v>1809</v>
      </c>
    </row>
    <row r="3127" spans="1:2">
      <c r="A3127" t="s">
        <v>6645</v>
      </c>
      <c r="B3127" t="s">
        <v>1810</v>
      </c>
    </row>
    <row r="3128" spans="1:2">
      <c r="A3128" t="s">
        <v>6683</v>
      </c>
      <c r="B3128" t="s">
        <v>1811</v>
      </c>
    </row>
    <row r="3129" spans="1:2">
      <c r="A3129" t="s">
        <v>6528</v>
      </c>
      <c r="B3129">
        <v>2116248</v>
      </c>
    </row>
    <row r="3130" spans="1:2">
      <c r="A3130" t="s">
        <v>6529</v>
      </c>
      <c r="B3130">
        <v>3300011485</v>
      </c>
    </row>
    <row r="3131" spans="1:2">
      <c r="A3131" t="s">
        <v>6573</v>
      </c>
      <c r="B3131" t="s">
        <v>5744</v>
      </c>
    </row>
    <row r="3132" spans="1:2">
      <c r="A3132" t="s">
        <v>6528</v>
      </c>
      <c r="B3132">
        <v>2115638</v>
      </c>
    </row>
    <row r="3133" spans="1:2">
      <c r="A3133" t="s">
        <v>6642</v>
      </c>
      <c r="B3133" t="s">
        <v>5742</v>
      </c>
    </row>
    <row r="3134" spans="1:2">
      <c r="A3134" t="s">
        <v>6528</v>
      </c>
      <c r="B3134">
        <v>2115670</v>
      </c>
    </row>
    <row r="3135" spans="1:2">
      <c r="A3135" t="s">
        <v>6645</v>
      </c>
      <c r="B3135" t="s">
        <v>5743</v>
      </c>
    </row>
    <row r="3136" spans="1:2">
      <c r="A3136" t="s">
        <v>6677</v>
      </c>
      <c r="B3136">
        <v>5031868</v>
      </c>
    </row>
    <row r="3137" spans="1:2">
      <c r="A3137" t="s">
        <v>6530</v>
      </c>
      <c r="B3137" t="s">
        <v>2903</v>
      </c>
    </row>
    <row r="3138" spans="1:2">
      <c r="A3138" t="s">
        <v>6645</v>
      </c>
      <c r="B3138" t="s">
        <v>2902</v>
      </c>
    </row>
    <row r="3139" spans="1:2">
      <c r="A3139" t="s">
        <v>6529</v>
      </c>
      <c r="B3139">
        <v>3300001266</v>
      </c>
    </row>
    <row r="3140" spans="1:2">
      <c r="A3140" t="s">
        <v>6672</v>
      </c>
      <c r="B3140">
        <v>2171938</v>
      </c>
    </row>
    <row r="3141" spans="1:2">
      <c r="A3141" t="s">
        <v>6529</v>
      </c>
      <c r="B3141">
        <v>3300001250</v>
      </c>
    </row>
    <row r="3142" spans="1:2">
      <c r="A3142" t="s">
        <v>6530</v>
      </c>
      <c r="B3142" t="s">
        <v>6788</v>
      </c>
    </row>
    <row r="3143" spans="1:2">
      <c r="A3143" t="s">
        <v>6677</v>
      </c>
      <c r="B3143">
        <v>5031866</v>
      </c>
    </row>
    <row r="3144" spans="1:2">
      <c r="A3144" t="s">
        <v>6642</v>
      </c>
      <c r="B3144" t="s">
        <v>2640</v>
      </c>
    </row>
    <row r="3145" spans="1:2">
      <c r="A3145" t="s">
        <v>6528</v>
      </c>
      <c r="B3145">
        <v>2119284</v>
      </c>
    </row>
    <row r="3146" spans="1:2">
      <c r="A3146" t="s">
        <v>6672</v>
      </c>
      <c r="B3146">
        <v>2171927</v>
      </c>
    </row>
    <row r="3147" spans="1:2">
      <c r="A3147" t="s">
        <v>6632</v>
      </c>
      <c r="B3147" t="s">
        <v>2641</v>
      </c>
    </row>
    <row r="3148" spans="1:2">
      <c r="A3148" t="s">
        <v>6530</v>
      </c>
      <c r="B3148" t="s">
        <v>3742</v>
      </c>
    </row>
    <row r="3149" spans="1:2">
      <c r="A3149" t="s">
        <v>6677</v>
      </c>
      <c r="B3149">
        <v>5031825</v>
      </c>
    </row>
    <row r="3150" spans="1:2">
      <c r="A3150" t="s">
        <v>6528</v>
      </c>
      <c r="B3150">
        <v>2119253</v>
      </c>
    </row>
    <row r="3151" spans="1:2">
      <c r="A3151" t="s">
        <v>6674</v>
      </c>
      <c r="B3151">
        <v>2117587</v>
      </c>
    </row>
    <row r="3152" spans="1:2">
      <c r="A3152" t="s">
        <v>6529</v>
      </c>
      <c r="B3152">
        <v>3300009778</v>
      </c>
    </row>
    <row r="3153" spans="1:2">
      <c r="A3153" t="s">
        <v>6530</v>
      </c>
      <c r="B3153" t="s">
        <v>4279</v>
      </c>
    </row>
    <row r="3154" spans="1:2">
      <c r="A3154" t="s">
        <v>6528</v>
      </c>
      <c r="B3154">
        <v>2116244</v>
      </c>
    </row>
    <row r="3155" spans="1:2">
      <c r="A3155" t="s">
        <v>6528</v>
      </c>
      <c r="B3155">
        <v>2116249</v>
      </c>
    </row>
    <row r="3156" spans="1:2">
      <c r="A3156" t="s">
        <v>6645</v>
      </c>
      <c r="B3156" t="s">
        <v>4278</v>
      </c>
    </row>
    <row r="3157" spans="1:2">
      <c r="A3157" t="s">
        <v>6529</v>
      </c>
      <c r="B3157">
        <v>3300009739</v>
      </c>
    </row>
    <row r="3158" spans="1:2">
      <c r="A3158" t="s">
        <v>6530</v>
      </c>
      <c r="B3158" t="s">
        <v>4690</v>
      </c>
    </row>
    <row r="3159" spans="1:2">
      <c r="A3159" t="s">
        <v>6528</v>
      </c>
      <c r="B3159">
        <v>2103729</v>
      </c>
    </row>
    <row r="3160" spans="1:2">
      <c r="A3160" t="s">
        <v>6677</v>
      </c>
      <c r="B3160">
        <v>5001440</v>
      </c>
    </row>
    <row r="3161" spans="1:2">
      <c r="A3161" t="s">
        <v>6645</v>
      </c>
      <c r="B3161" t="s">
        <v>4688</v>
      </c>
    </row>
    <row r="3162" spans="1:2">
      <c r="A3162" t="s">
        <v>6683</v>
      </c>
      <c r="B3162" t="s">
        <v>4689</v>
      </c>
    </row>
    <row r="3163" spans="1:2">
      <c r="A3163" t="s">
        <v>6528</v>
      </c>
      <c r="B3163">
        <v>2110114</v>
      </c>
    </row>
    <row r="3164" spans="1:2">
      <c r="A3164" t="s">
        <v>6530</v>
      </c>
      <c r="B3164" t="s">
        <v>4729</v>
      </c>
    </row>
    <row r="3165" spans="1:2">
      <c r="A3165" t="s">
        <v>6528</v>
      </c>
      <c r="B3165">
        <v>2103949</v>
      </c>
    </row>
    <row r="3166" spans="1:2">
      <c r="A3166" t="s">
        <v>6642</v>
      </c>
      <c r="B3166" t="s">
        <v>4727</v>
      </c>
    </row>
    <row r="3167" spans="1:2">
      <c r="A3167" t="s">
        <v>6529</v>
      </c>
      <c r="B3167">
        <v>3300003626</v>
      </c>
    </row>
    <row r="3168" spans="1:2">
      <c r="A3168" t="s">
        <v>6642</v>
      </c>
      <c r="B3168" t="s">
        <v>4728</v>
      </c>
    </row>
    <row r="3169" spans="1:2">
      <c r="A3169" t="s">
        <v>6528</v>
      </c>
      <c r="B3169">
        <v>2103951</v>
      </c>
    </row>
    <row r="3170" spans="1:2">
      <c r="A3170" t="s">
        <v>6573</v>
      </c>
      <c r="B3170" t="s">
        <v>3714</v>
      </c>
    </row>
    <row r="3171" spans="1:2">
      <c r="A3171" t="s">
        <v>6528</v>
      </c>
      <c r="B3171">
        <v>2119187</v>
      </c>
    </row>
    <row r="3172" spans="1:2">
      <c r="A3172" t="s">
        <v>6645</v>
      </c>
      <c r="B3172" t="s">
        <v>3713</v>
      </c>
    </row>
    <row r="3173" spans="1:2">
      <c r="A3173" t="s">
        <v>6529</v>
      </c>
      <c r="B3173">
        <v>3300002980</v>
      </c>
    </row>
    <row r="3174" spans="1:2">
      <c r="A3174" t="s">
        <v>6677</v>
      </c>
      <c r="B3174">
        <v>5059375</v>
      </c>
    </row>
    <row r="3175" spans="1:2">
      <c r="A3175" t="s">
        <v>6573</v>
      </c>
      <c r="B3175" t="s">
        <v>2949</v>
      </c>
    </row>
    <row r="3176" spans="1:2">
      <c r="A3176" t="s">
        <v>6672</v>
      </c>
      <c r="B3176">
        <v>2172024</v>
      </c>
    </row>
    <row r="3177" spans="1:2">
      <c r="A3177" t="s">
        <v>6677</v>
      </c>
      <c r="B3177">
        <v>5049677</v>
      </c>
    </row>
    <row r="3178" spans="1:2">
      <c r="A3178" t="s">
        <v>6529</v>
      </c>
      <c r="B3178">
        <v>3300002970</v>
      </c>
    </row>
    <row r="3179" spans="1:2">
      <c r="A3179" t="s">
        <v>6645</v>
      </c>
      <c r="B3179" t="s">
        <v>2948</v>
      </c>
    </row>
    <row r="3180" spans="1:2">
      <c r="A3180" t="s">
        <v>6530</v>
      </c>
      <c r="B3180" t="s">
        <v>2074</v>
      </c>
    </row>
    <row r="3181" spans="1:2">
      <c r="A3181" t="s">
        <v>6677</v>
      </c>
      <c r="B3181">
        <v>5042640</v>
      </c>
    </row>
    <row r="3182" spans="1:2">
      <c r="A3182" t="s">
        <v>6645</v>
      </c>
      <c r="B3182" t="s">
        <v>2072</v>
      </c>
    </row>
    <row r="3183" spans="1:2">
      <c r="A3183" t="s">
        <v>6677</v>
      </c>
      <c r="B3183" t="s">
        <v>2073</v>
      </c>
    </row>
    <row r="3184" spans="1:2">
      <c r="A3184" t="s">
        <v>6672</v>
      </c>
      <c r="B3184">
        <v>2159932</v>
      </c>
    </row>
    <row r="3185" spans="1:2">
      <c r="A3185" t="s">
        <v>6529</v>
      </c>
      <c r="B3185">
        <v>3300005156</v>
      </c>
    </row>
    <row r="3186" spans="1:2">
      <c r="A3186" t="s">
        <v>6573</v>
      </c>
      <c r="B3186" t="s">
        <v>5465</v>
      </c>
    </row>
    <row r="3187" spans="1:2">
      <c r="A3187" t="s">
        <v>6677</v>
      </c>
      <c r="B3187" t="s">
        <v>5463</v>
      </c>
    </row>
    <row r="3188" spans="1:2">
      <c r="A3188" t="s">
        <v>6528</v>
      </c>
      <c r="B3188">
        <v>2103894</v>
      </c>
    </row>
    <row r="3189" spans="1:2">
      <c r="A3189" t="s">
        <v>6677</v>
      </c>
      <c r="B3189" t="s">
        <v>5464</v>
      </c>
    </row>
    <row r="3190" spans="1:2">
      <c r="A3190" t="s">
        <v>6530</v>
      </c>
      <c r="B3190" t="s">
        <v>6789</v>
      </c>
    </row>
    <row r="3191" spans="1:2">
      <c r="A3191" t="s">
        <v>6672</v>
      </c>
      <c r="B3191">
        <v>2183606</v>
      </c>
    </row>
    <row r="3192" spans="1:2">
      <c r="A3192" t="s">
        <v>6645</v>
      </c>
      <c r="B3192" t="s">
        <v>3785</v>
      </c>
    </row>
    <row r="3193" spans="1:2">
      <c r="A3193" t="s">
        <v>6530</v>
      </c>
      <c r="B3193" t="s">
        <v>6790</v>
      </c>
    </row>
    <row r="3194" spans="1:2">
      <c r="A3194" t="s">
        <v>6645</v>
      </c>
      <c r="B3194" t="s">
        <v>4983</v>
      </c>
    </row>
    <row r="3195" spans="1:2">
      <c r="A3195" t="s">
        <v>6529</v>
      </c>
      <c r="B3195">
        <v>3300003624</v>
      </c>
    </row>
    <row r="3196" spans="1:2">
      <c r="A3196" t="s">
        <v>6672</v>
      </c>
      <c r="B3196">
        <v>2171963</v>
      </c>
    </row>
    <row r="3197" spans="1:2">
      <c r="A3197" t="s">
        <v>6645</v>
      </c>
      <c r="B3197" t="s">
        <v>4984</v>
      </c>
    </row>
    <row r="3198" spans="1:2">
      <c r="A3198" t="s">
        <v>6530</v>
      </c>
      <c r="B3198" t="s">
        <v>1606</v>
      </c>
    </row>
    <row r="3199" spans="1:2">
      <c r="A3199" t="s">
        <v>6672</v>
      </c>
      <c r="B3199">
        <v>2183553</v>
      </c>
    </row>
    <row r="3200" spans="1:2">
      <c r="A3200" t="s">
        <v>6645</v>
      </c>
      <c r="B3200" t="s">
        <v>1605</v>
      </c>
    </row>
    <row r="3201" spans="1:2">
      <c r="A3201" t="s">
        <v>6530</v>
      </c>
      <c r="B3201" t="s">
        <v>1342</v>
      </c>
    </row>
    <row r="3202" spans="1:2">
      <c r="A3202" t="s">
        <v>6529</v>
      </c>
      <c r="B3202">
        <v>3300009722</v>
      </c>
    </row>
    <row r="3203" spans="1:2">
      <c r="A3203" t="s">
        <v>6677</v>
      </c>
      <c r="B3203">
        <v>5050458</v>
      </c>
    </row>
    <row r="3204" spans="1:2">
      <c r="A3204" t="s">
        <v>6645</v>
      </c>
      <c r="B3204" t="s">
        <v>1341</v>
      </c>
    </row>
    <row r="3205" spans="1:2">
      <c r="A3205" t="s">
        <v>6528</v>
      </c>
      <c r="B3205">
        <v>2177358</v>
      </c>
    </row>
    <row r="3206" spans="1:2">
      <c r="A3206" t="s">
        <v>6529</v>
      </c>
      <c r="B3206">
        <v>3300010892</v>
      </c>
    </row>
    <row r="3207" spans="1:2">
      <c r="A3207" t="s">
        <v>6530</v>
      </c>
      <c r="B3207" t="s">
        <v>3733</v>
      </c>
    </row>
    <row r="3208" spans="1:2">
      <c r="A3208" t="s">
        <v>6677</v>
      </c>
      <c r="B3208">
        <v>5049709</v>
      </c>
    </row>
    <row r="3209" spans="1:2">
      <c r="A3209" t="s">
        <v>6645</v>
      </c>
      <c r="B3209" t="s">
        <v>3732</v>
      </c>
    </row>
    <row r="3210" spans="1:2">
      <c r="A3210" t="s">
        <v>6528</v>
      </c>
      <c r="B3210">
        <v>2103946</v>
      </c>
    </row>
    <row r="3211" spans="1:2">
      <c r="A3211" t="s">
        <v>6529</v>
      </c>
      <c r="B3211">
        <v>3300001693</v>
      </c>
    </row>
    <row r="3212" spans="1:2">
      <c r="A3212" t="s">
        <v>6530</v>
      </c>
      <c r="B3212" t="s">
        <v>1299</v>
      </c>
    </row>
    <row r="3213" spans="1:2">
      <c r="A3213" t="s">
        <v>6672</v>
      </c>
      <c r="B3213">
        <v>2172009</v>
      </c>
    </row>
    <row r="3214" spans="1:2">
      <c r="A3214" t="s">
        <v>6677</v>
      </c>
      <c r="B3214">
        <v>5049692</v>
      </c>
    </row>
    <row r="3215" spans="1:2">
      <c r="A3215" t="s">
        <v>6645</v>
      </c>
      <c r="B3215" t="s">
        <v>1298</v>
      </c>
    </row>
    <row r="3216" spans="1:2">
      <c r="A3216" t="s">
        <v>6529</v>
      </c>
      <c r="B3216">
        <v>3300002834</v>
      </c>
    </row>
    <row r="3217" spans="1:2">
      <c r="A3217" t="s">
        <v>6672</v>
      </c>
      <c r="B3217">
        <v>2172006</v>
      </c>
    </row>
    <row r="3218" spans="1:2">
      <c r="A3218" t="s">
        <v>6530</v>
      </c>
      <c r="B3218" t="s">
        <v>6791</v>
      </c>
    </row>
    <row r="3219" spans="1:2">
      <c r="A3219" t="s">
        <v>6677</v>
      </c>
      <c r="B3219" t="s">
        <v>4172</v>
      </c>
    </row>
    <row r="3220" spans="1:2">
      <c r="A3220" t="s">
        <v>6645</v>
      </c>
      <c r="B3220" t="s">
        <v>4173</v>
      </c>
    </row>
    <row r="3221" spans="1:2">
      <c r="A3221" t="s">
        <v>6528</v>
      </c>
      <c r="B3221">
        <v>2096482</v>
      </c>
    </row>
    <row r="3222" spans="1:2">
      <c r="A3222" t="s">
        <v>6677</v>
      </c>
      <c r="B3222">
        <v>5042667</v>
      </c>
    </row>
    <row r="3223" spans="1:2">
      <c r="A3223" t="s">
        <v>6530</v>
      </c>
      <c r="B3223" t="s">
        <v>2678</v>
      </c>
    </row>
    <row r="3224" spans="1:2">
      <c r="A3224" t="s">
        <v>6677</v>
      </c>
      <c r="B3224">
        <v>5042671</v>
      </c>
    </row>
    <row r="3225" spans="1:2">
      <c r="A3225" t="s">
        <v>6642</v>
      </c>
      <c r="B3225" t="s">
        <v>2677</v>
      </c>
    </row>
    <row r="3226" spans="1:2">
      <c r="A3226" t="s">
        <v>6529</v>
      </c>
      <c r="B3226">
        <v>3300008892</v>
      </c>
    </row>
    <row r="3227" spans="1:2">
      <c r="A3227" t="s">
        <v>6528</v>
      </c>
      <c r="B3227">
        <v>2119246</v>
      </c>
    </row>
    <row r="3228" spans="1:2">
      <c r="A3228" t="s">
        <v>6677</v>
      </c>
      <c r="B3228">
        <v>5042672</v>
      </c>
    </row>
    <row r="3229" spans="1:2">
      <c r="A3229" t="s">
        <v>6573</v>
      </c>
      <c r="B3229" t="s">
        <v>6026</v>
      </c>
    </row>
    <row r="3230" spans="1:2">
      <c r="A3230" t="s">
        <v>6573</v>
      </c>
      <c r="B3230" t="s">
        <v>6792</v>
      </c>
    </row>
    <row r="3231" spans="1:2">
      <c r="A3231" t="s">
        <v>6645</v>
      </c>
      <c r="B3231" t="s">
        <v>6025</v>
      </c>
    </row>
    <row r="3232" spans="1:2">
      <c r="A3232" t="s">
        <v>6529</v>
      </c>
      <c r="B3232">
        <v>3300009717</v>
      </c>
    </row>
    <row r="3233" spans="1:2">
      <c r="A3233" t="s">
        <v>6677</v>
      </c>
      <c r="B3233">
        <v>5049713</v>
      </c>
    </row>
    <row r="3234" spans="1:2">
      <c r="A3234" t="s">
        <v>6672</v>
      </c>
      <c r="B3234">
        <v>2171950</v>
      </c>
    </row>
    <row r="3235" spans="1:2">
      <c r="A3235" t="s">
        <v>6530</v>
      </c>
      <c r="B3235" t="s">
        <v>6793</v>
      </c>
    </row>
    <row r="3236" spans="1:2">
      <c r="A3236" t="s">
        <v>6528</v>
      </c>
      <c r="B3236">
        <v>2116043</v>
      </c>
    </row>
    <row r="3237" spans="1:2">
      <c r="A3237" t="s">
        <v>6642</v>
      </c>
      <c r="B3237" t="s">
        <v>1411</v>
      </c>
    </row>
    <row r="3238" spans="1:2">
      <c r="A3238" t="s">
        <v>6529</v>
      </c>
      <c r="B3238">
        <v>3300009806</v>
      </c>
    </row>
    <row r="3239" spans="1:2">
      <c r="A3239" t="s">
        <v>6677</v>
      </c>
      <c r="B3239">
        <v>5033020</v>
      </c>
    </row>
    <row r="3240" spans="1:2">
      <c r="A3240" t="s">
        <v>6528</v>
      </c>
      <c r="B3240">
        <v>2119180</v>
      </c>
    </row>
    <row r="3241" spans="1:2">
      <c r="A3241" t="s">
        <v>6530</v>
      </c>
      <c r="B3241" t="s">
        <v>2932</v>
      </c>
    </row>
    <row r="3242" spans="1:2">
      <c r="A3242" t="s">
        <v>6645</v>
      </c>
      <c r="B3242" t="s">
        <v>2931</v>
      </c>
    </row>
    <row r="3243" spans="1:2">
      <c r="A3243" t="s">
        <v>6529</v>
      </c>
      <c r="B3243">
        <v>3300009521</v>
      </c>
    </row>
    <row r="3244" spans="1:2">
      <c r="A3244" t="s">
        <v>6677</v>
      </c>
      <c r="B3244">
        <v>5050443</v>
      </c>
    </row>
    <row r="3245" spans="1:2">
      <c r="A3245" t="s">
        <v>6672</v>
      </c>
      <c r="B3245">
        <v>2171993</v>
      </c>
    </row>
    <row r="3246" spans="1:2">
      <c r="A3246" t="s">
        <v>6677</v>
      </c>
      <c r="B3246">
        <v>5042641</v>
      </c>
    </row>
    <row r="3247" spans="1:2">
      <c r="A3247" t="s">
        <v>6573</v>
      </c>
      <c r="B3247" t="s">
        <v>4423</v>
      </c>
    </row>
    <row r="3248" spans="1:2">
      <c r="A3248" t="s">
        <v>6677</v>
      </c>
      <c r="B3248" t="s">
        <v>4421</v>
      </c>
    </row>
    <row r="3249" spans="1:2">
      <c r="A3249" t="s">
        <v>6660</v>
      </c>
      <c r="B3249" t="s">
        <v>4422</v>
      </c>
    </row>
    <row r="3250" spans="1:2">
      <c r="A3250" t="s">
        <v>6530</v>
      </c>
      <c r="B3250" t="s">
        <v>6794</v>
      </c>
    </row>
    <row r="3251" spans="1:2">
      <c r="A3251" t="s">
        <v>6642</v>
      </c>
      <c r="B3251" t="s">
        <v>5550</v>
      </c>
    </row>
    <row r="3252" spans="1:2">
      <c r="A3252" t="s">
        <v>6677</v>
      </c>
      <c r="B3252">
        <v>5032246</v>
      </c>
    </row>
    <row r="3253" spans="1:2">
      <c r="A3253" t="s">
        <v>6528</v>
      </c>
      <c r="B3253">
        <v>2115899</v>
      </c>
    </row>
    <row r="3254" spans="1:2">
      <c r="A3254" t="s">
        <v>6529</v>
      </c>
      <c r="B3254">
        <v>3300012811</v>
      </c>
    </row>
    <row r="3255" spans="1:2">
      <c r="A3255" t="s">
        <v>6530</v>
      </c>
      <c r="B3255" t="s">
        <v>6795</v>
      </c>
    </row>
    <row r="3256" spans="1:2">
      <c r="A3256" t="s">
        <v>6642</v>
      </c>
      <c r="B3256" t="s">
        <v>4923</v>
      </c>
    </row>
    <row r="3257" spans="1:2">
      <c r="A3257" t="s">
        <v>6528</v>
      </c>
      <c r="B3257">
        <v>2172434</v>
      </c>
    </row>
    <row r="3258" spans="1:2">
      <c r="A3258" t="s">
        <v>6642</v>
      </c>
      <c r="B3258" t="s">
        <v>4924</v>
      </c>
    </row>
    <row r="3259" spans="1:2">
      <c r="A3259" t="s">
        <v>6642</v>
      </c>
      <c r="B3259" t="s">
        <v>4925</v>
      </c>
    </row>
    <row r="3260" spans="1:2">
      <c r="A3260" t="s">
        <v>6529</v>
      </c>
      <c r="B3260">
        <v>3300009788</v>
      </c>
    </row>
    <row r="3261" spans="1:2">
      <c r="A3261" t="s">
        <v>6530</v>
      </c>
      <c r="B3261" t="s">
        <v>1084</v>
      </c>
    </row>
    <row r="3262" spans="1:2">
      <c r="A3262" t="s">
        <v>6529</v>
      </c>
      <c r="B3262">
        <v>3300009791</v>
      </c>
    </row>
    <row r="3263" spans="1:2">
      <c r="A3263" t="s">
        <v>6645</v>
      </c>
      <c r="B3263" t="s">
        <v>1083</v>
      </c>
    </row>
    <row r="3264" spans="1:2">
      <c r="A3264" t="s">
        <v>6528</v>
      </c>
      <c r="B3264">
        <v>2177524</v>
      </c>
    </row>
    <row r="3265" spans="1:2">
      <c r="A3265" t="s">
        <v>6677</v>
      </c>
      <c r="B3265">
        <v>5050469</v>
      </c>
    </row>
    <row r="3266" spans="1:2">
      <c r="A3266" t="s">
        <v>6529</v>
      </c>
      <c r="B3266">
        <v>3300009779</v>
      </c>
    </row>
    <row r="3267" spans="1:2">
      <c r="A3267" t="s">
        <v>6530</v>
      </c>
      <c r="B3267" t="s">
        <v>6215</v>
      </c>
    </row>
    <row r="3268" spans="1:2">
      <c r="A3268" t="s">
        <v>6528</v>
      </c>
      <c r="B3268">
        <v>2170075</v>
      </c>
    </row>
    <row r="3269" spans="1:2">
      <c r="A3269" t="s">
        <v>6529</v>
      </c>
      <c r="B3269">
        <v>3300009818</v>
      </c>
    </row>
    <row r="3270" spans="1:2">
      <c r="A3270" t="s">
        <v>6677</v>
      </c>
      <c r="B3270">
        <v>5042673</v>
      </c>
    </row>
    <row r="3271" spans="1:2">
      <c r="A3271" t="s">
        <v>6645</v>
      </c>
      <c r="B3271" t="s">
        <v>6214</v>
      </c>
    </row>
    <row r="3272" spans="1:2">
      <c r="A3272" t="s">
        <v>6530</v>
      </c>
      <c r="B3272" t="s">
        <v>6161</v>
      </c>
    </row>
    <row r="3273" spans="1:2">
      <c r="A3273" t="s">
        <v>6677</v>
      </c>
      <c r="B3273" t="s">
        <v>6160</v>
      </c>
    </row>
    <row r="3274" spans="1:2">
      <c r="A3274" t="s">
        <v>6528</v>
      </c>
      <c r="B3274">
        <v>2110123</v>
      </c>
    </row>
    <row r="3275" spans="1:2">
      <c r="A3275" t="s">
        <v>6529</v>
      </c>
      <c r="B3275">
        <v>3300012819</v>
      </c>
    </row>
    <row r="3276" spans="1:2">
      <c r="A3276" t="s">
        <v>6530</v>
      </c>
      <c r="B3276" t="s">
        <v>4045</v>
      </c>
    </row>
    <row r="3277" spans="1:2">
      <c r="A3277" t="s">
        <v>6645</v>
      </c>
      <c r="B3277" t="s">
        <v>4044</v>
      </c>
    </row>
    <row r="3278" spans="1:2">
      <c r="A3278" t="s">
        <v>6529</v>
      </c>
      <c r="B3278">
        <v>3300009520</v>
      </c>
    </row>
    <row r="3279" spans="1:2">
      <c r="A3279" t="s">
        <v>6677</v>
      </c>
      <c r="B3279">
        <v>5049693</v>
      </c>
    </row>
    <row r="3280" spans="1:2">
      <c r="A3280" t="s">
        <v>6672</v>
      </c>
      <c r="B3280">
        <v>2172014</v>
      </c>
    </row>
    <row r="3281" spans="1:2">
      <c r="A3281" t="s">
        <v>6530</v>
      </c>
      <c r="B3281" t="s">
        <v>4318</v>
      </c>
    </row>
    <row r="3282" spans="1:2">
      <c r="A3282" t="s">
        <v>6683</v>
      </c>
      <c r="B3282" t="s">
        <v>4316</v>
      </c>
    </row>
    <row r="3283" spans="1:2">
      <c r="A3283" t="s">
        <v>6528</v>
      </c>
      <c r="B3283">
        <v>2119206</v>
      </c>
    </row>
    <row r="3284" spans="1:2">
      <c r="A3284" t="s">
        <v>6529</v>
      </c>
      <c r="B3284">
        <v>3300009526</v>
      </c>
    </row>
    <row r="3285" spans="1:2">
      <c r="A3285" t="s">
        <v>6645</v>
      </c>
      <c r="B3285" t="s">
        <v>4317</v>
      </c>
    </row>
    <row r="3286" spans="1:2">
      <c r="A3286" t="s">
        <v>6677</v>
      </c>
      <c r="B3286">
        <v>5040897</v>
      </c>
    </row>
    <row r="3287" spans="1:2">
      <c r="A3287" t="s">
        <v>6530</v>
      </c>
      <c r="B3287" t="s">
        <v>6796</v>
      </c>
    </row>
    <row r="3288" spans="1:2">
      <c r="A3288" t="s">
        <v>6677</v>
      </c>
      <c r="B3288">
        <v>5050440</v>
      </c>
    </row>
    <row r="3289" spans="1:2">
      <c r="A3289" t="s">
        <v>6645</v>
      </c>
      <c r="B3289" t="s">
        <v>3551</v>
      </c>
    </row>
    <row r="3290" spans="1:2">
      <c r="A3290" t="s">
        <v>6528</v>
      </c>
      <c r="B3290">
        <v>2103915</v>
      </c>
    </row>
    <row r="3291" spans="1:2">
      <c r="A3291" t="s">
        <v>6530</v>
      </c>
      <c r="B3291" t="s">
        <v>5059</v>
      </c>
    </row>
    <row r="3292" spans="1:2">
      <c r="A3292" t="s">
        <v>6677</v>
      </c>
      <c r="B3292" t="s">
        <v>5057</v>
      </c>
    </row>
    <row r="3293" spans="1:2">
      <c r="A3293" t="s">
        <v>6677</v>
      </c>
      <c r="B3293" t="s">
        <v>5058</v>
      </c>
    </row>
    <row r="3294" spans="1:2">
      <c r="A3294" t="s">
        <v>6530</v>
      </c>
      <c r="B3294" t="s">
        <v>5891</v>
      </c>
    </row>
    <row r="3295" spans="1:2">
      <c r="A3295" t="s">
        <v>6529</v>
      </c>
      <c r="B3295">
        <v>3300009731</v>
      </c>
    </row>
    <row r="3296" spans="1:2">
      <c r="A3296" t="s">
        <v>6645</v>
      </c>
      <c r="B3296" t="s">
        <v>5890</v>
      </c>
    </row>
    <row r="3297" spans="1:2">
      <c r="A3297" t="s">
        <v>6672</v>
      </c>
      <c r="B3297">
        <v>2171884</v>
      </c>
    </row>
    <row r="3298" spans="1:2">
      <c r="A3298" t="s">
        <v>6529</v>
      </c>
      <c r="B3298">
        <v>3300009541</v>
      </c>
    </row>
    <row r="3299" spans="1:2">
      <c r="A3299" t="s">
        <v>6530</v>
      </c>
      <c r="B3299" t="s">
        <v>1144</v>
      </c>
    </row>
    <row r="3300" spans="1:2">
      <c r="A3300" t="s">
        <v>6645</v>
      </c>
      <c r="B3300" t="s">
        <v>1142</v>
      </c>
    </row>
    <row r="3301" spans="1:2">
      <c r="A3301" t="s">
        <v>6677</v>
      </c>
      <c r="B3301">
        <v>5014464</v>
      </c>
    </row>
    <row r="3302" spans="1:2">
      <c r="A3302" t="s">
        <v>6672</v>
      </c>
      <c r="B3302">
        <v>2171955</v>
      </c>
    </row>
    <row r="3303" spans="1:2">
      <c r="A3303" t="s">
        <v>6672</v>
      </c>
      <c r="B3303">
        <v>2183495</v>
      </c>
    </row>
    <row r="3304" spans="1:2">
      <c r="A3304" t="s">
        <v>6677</v>
      </c>
      <c r="B3304" t="s">
        <v>1143</v>
      </c>
    </row>
    <row r="3305" spans="1:2">
      <c r="A3305" t="s">
        <v>6530</v>
      </c>
      <c r="B3305" t="s">
        <v>3806</v>
      </c>
    </row>
    <row r="3306" spans="1:2">
      <c r="A3306" t="s">
        <v>6677</v>
      </c>
      <c r="B3306">
        <v>5040880</v>
      </c>
    </row>
    <row r="3307" spans="1:2">
      <c r="A3307" t="s">
        <v>6528</v>
      </c>
      <c r="B3307">
        <v>2119288</v>
      </c>
    </row>
    <row r="3308" spans="1:2">
      <c r="A3308" t="s">
        <v>6645</v>
      </c>
      <c r="B3308" t="s">
        <v>3805</v>
      </c>
    </row>
    <row r="3309" spans="1:2">
      <c r="A3309" t="s">
        <v>6529</v>
      </c>
      <c r="B3309">
        <v>3300001665</v>
      </c>
    </row>
    <row r="3310" spans="1:2">
      <c r="A3310" t="s">
        <v>6677</v>
      </c>
      <c r="B3310">
        <v>5040896</v>
      </c>
    </row>
    <row r="3311" spans="1:2">
      <c r="A3311" t="s">
        <v>6569</v>
      </c>
      <c r="B3311" t="s">
        <v>1322</v>
      </c>
    </row>
    <row r="3312" spans="1:2">
      <c r="A3312" t="s">
        <v>6529</v>
      </c>
      <c r="B3312">
        <v>3300010099</v>
      </c>
    </row>
    <row r="3313" spans="1:2">
      <c r="A3313" t="s">
        <v>6672</v>
      </c>
      <c r="B3313">
        <v>2168130</v>
      </c>
    </row>
    <row r="3314" spans="1:2">
      <c r="A3314" t="s">
        <v>6645</v>
      </c>
      <c r="B3314" t="s">
        <v>1320</v>
      </c>
    </row>
    <row r="3315" spans="1:2">
      <c r="A3315" t="s">
        <v>6677</v>
      </c>
      <c r="B3315">
        <v>5048925</v>
      </c>
    </row>
    <row r="3316" spans="1:2">
      <c r="A3316" t="s">
        <v>6642</v>
      </c>
      <c r="B3316" t="s">
        <v>1321</v>
      </c>
    </row>
    <row r="3317" spans="1:2">
      <c r="A3317" t="s">
        <v>6530</v>
      </c>
      <c r="B3317" t="s">
        <v>3193</v>
      </c>
    </row>
    <row r="3318" spans="1:2">
      <c r="A3318" t="s">
        <v>6645</v>
      </c>
      <c r="B3318" t="s">
        <v>3192</v>
      </c>
    </row>
    <row r="3319" spans="1:2">
      <c r="A3319" t="s">
        <v>6677</v>
      </c>
      <c r="B3319">
        <v>5045671</v>
      </c>
    </row>
    <row r="3320" spans="1:2">
      <c r="A3320" t="s">
        <v>6672</v>
      </c>
      <c r="B3320">
        <v>2183469</v>
      </c>
    </row>
    <row r="3321" spans="1:2">
      <c r="A3321" t="s">
        <v>6529</v>
      </c>
      <c r="B3321">
        <v>3300011801</v>
      </c>
    </row>
    <row r="3322" spans="1:2">
      <c r="A3322" t="s">
        <v>6677</v>
      </c>
      <c r="B3322">
        <v>5045659</v>
      </c>
    </row>
    <row r="3323" spans="1:2">
      <c r="A3323" t="s">
        <v>6530</v>
      </c>
      <c r="B3323" t="s">
        <v>6797</v>
      </c>
    </row>
    <row r="3324" spans="1:2">
      <c r="A3324" t="s">
        <v>6677</v>
      </c>
      <c r="B3324">
        <v>5050426</v>
      </c>
    </row>
    <row r="3325" spans="1:2">
      <c r="A3325" t="s">
        <v>6645</v>
      </c>
      <c r="B3325" t="s">
        <v>6466</v>
      </c>
    </row>
    <row r="3326" spans="1:2">
      <c r="A3326" t="s">
        <v>6672</v>
      </c>
      <c r="B3326">
        <v>2172012</v>
      </c>
    </row>
    <row r="3327" spans="1:2">
      <c r="A3327" t="s">
        <v>6529</v>
      </c>
      <c r="B3327">
        <v>3300005726</v>
      </c>
    </row>
    <row r="3328" spans="1:2">
      <c r="A3328" t="s">
        <v>6530</v>
      </c>
      <c r="B3328" t="s">
        <v>4888</v>
      </c>
    </row>
    <row r="3329" spans="1:2">
      <c r="A3329" t="s">
        <v>6645</v>
      </c>
      <c r="B3329" t="s">
        <v>4887</v>
      </c>
    </row>
    <row r="3330" spans="1:2">
      <c r="A3330" t="s">
        <v>6529</v>
      </c>
      <c r="B3330">
        <v>3300009528</v>
      </c>
    </row>
    <row r="3331" spans="1:2">
      <c r="A3331" t="s">
        <v>6672</v>
      </c>
      <c r="B3331">
        <v>2171989</v>
      </c>
    </row>
    <row r="3332" spans="1:2">
      <c r="A3332" t="s">
        <v>6530</v>
      </c>
      <c r="B3332" t="s">
        <v>6798</v>
      </c>
    </row>
    <row r="3333" spans="1:2">
      <c r="A3333" t="s">
        <v>6528</v>
      </c>
      <c r="B3333">
        <v>2116283</v>
      </c>
    </row>
    <row r="3334" spans="1:2">
      <c r="A3334" t="s">
        <v>6645</v>
      </c>
      <c r="B3334" t="s">
        <v>1877</v>
      </c>
    </row>
    <row r="3335" spans="1:2">
      <c r="A3335" t="s">
        <v>6529</v>
      </c>
      <c r="B3335">
        <v>3300006525</v>
      </c>
    </row>
    <row r="3336" spans="1:2">
      <c r="A3336" t="s">
        <v>6528</v>
      </c>
      <c r="B3336">
        <v>2119232</v>
      </c>
    </row>
    <row r="3337" spans="1:2">
      <c r="A3337" t="s">
        <v>6530</v>
      </c>
      <c r="B3337" t="s">
        <v>4005</v>
      </c>
    </row>
    <row r="3338" spans="1:2">
      <c r="A3338" t="s">
        <v>6677</v>
      </c>
      <c r="B3338">
        <v>5049719</v>
      </c>
    </row>
    <row r="3339" spans="1:2">
      <c r="A3339" t="s">
        <v>6645</v>
      </c>
      <c r="B3339" t="s">
        <v>4004</v>
      </c>
    </row>
    <row r="3340" spans="1:2">
      <c r="A3340" t="s">
        <v>6529</v>
      </c>
      <c r="B3340">
        <v>3300009725</v>
      </c>
    </row>
    <row r="3341" spans="1:2">
      <c r="A3341" t="s">
        <v>6672</v>
      </c>
      <c r="B3341">
        <v>2171889</v>
      </c>
    </row>
    <row r="3342" spans="1:2">
      <c r="A3342" t="s">
        <v>6677</v>
      </c>
      <c r="B3342">
        <v>5049704</v>
      </c>
    </row>
    <row r="3343" spans="1:2">
      <c r="A3343" t="s">
        <v>6530</v>
      </c>
      <c r="B3343" t="s">
        <v>3458</v>
      </c>
    </row>
    <row r="3344" spans="1:2">
      <c r="A3344" t="s">
        <v>6645</v>
      </c>
      <c r="B3344" t="s">
        <v>3457</v>
      </c>
    </row>
    <row r="3345" spans="1:2">
      <c r="A3345" t="s">
        <v>6672</v>
      </c>
      <c r="B3345">
        <v>2171897</v>
      </c>
    </row>
    <row r="3346" spans="1:2">
      <c r="A3346" t="s">
        <v>6677</v>
      </c>
      <c r="B3346">
        <v>5014443</v>
      </c>
    </row>
    <row r="3347" spans="1:2">
      <c r="A3347" t="s">
        <v>6530</v>
      </c>
      <c r="B3347" t="s">
        <v>3931</v>
      </c>
    </row>
    <row r="3348" spans="1:2">
      <c r="A3348" t="s">
        <v>6528</v>
      </c>
      <c r="B3348">
        <v>2115648</v>
      </c>
    </row>
    <row r="3349" spans="1:2">
      <c r="A3349" t="s">
        <v>6529</v>
      </c>
      <c r="B3349">
        <v>3300010906</v>
      </c>
    </row>
    <row r="3350" spans="1:2">
      <c r="A3350" t="s">
        <v>6529</v>
      </c>
      <c r="B3350">
        <v>3300001211</v>
      </c>
    </row>
    <row r="3351" spans="1:2">
      <c r="A3351" t="s">
        <v>6529</v>
      </c>
      <c r="B3351">
        <v>3300001212</v>
      </c>
    </row>
    <row r="3352" spans="1:2">
      <c r="A3352" t="s">
        <v>6645</v>
      </c>
      <c r="B3352" t="s">
        <v>6799</v>
      </c>
    </row>
    <row r="3353" spans="1:2">
      <c r="A3353" t="s">
        <v>6530</v>
      </c>
      <c r="B3353" t="s">
        <v>2769</v>
      </c>
    </row>
    <row r="3354" spans="1:2">
      <c r="A3354" t="s">
        <v>6677</v>
      </c>
      <c r="B3354" t="s">
        <v>2768</v>
      </c>
    </row>
    <row r="3355" spans="1:2">
      <c r="A3355" t="s">
        <v>6529</v>
      </c>
      <c r="B3355">
        <v>3300012838</v>
      </c>
    </row>
    <row r="3356" spans="1:2">
      <c r="A3356" t="s">
        <v>6528</v>
      </c>
      <c r="B3356">
        <v>2116305</v>
      </c>
    </row>
    <row r="3357" spans="1:2">
      <c r="A3357" t="s">
        <v>6530</v>
      </c>
      <c r="B3357" t="s">
        <v>6800</v>
      </c>
    </row>
    <row r="3358" spans="1:2">
      <c r="A3358" t="s">
        <v>6528</v>
      </c>
      <c r="B3358">
        <v>2103929</v>
      </c>
    </row>
    <row r="3359" spans="1:2">
      <c r="A3359" t="s">
        <v>6645</v>
      </c>
      <c r="B3359" t="s">
        <v>1313</v>
      </c>
    </row>
    <row r="3360" spans="1:2">
      <c r="A3360" t="s">
        <v>6529</v>
      </c>
      <c r="B3360">
        <v>3300009519</v>
      </c>
    </row>
    <row r="3361" spans="1:2">
      <c r="A3361" t="s">
        <v>6677</v>
      </c>
      <c r="B3361">
        <v>5032248</v>
      </c>
    </row>
    <row r="3362" spans="1:2">
      <c r="A3362" t="s">
        <v>6530</v>
      </c>
      <c r="B3362" t="s">
        <v>2593</v>
      </c>
    </row>
    <row r="3363" spans="1:2">
      <c r="A3363" t="s">
        <v>6677</v>
      </c>
      <c r="B3363" t="s">
        <v>2592</v>
      </c>
    </row>
    <row r="3364" spans="1:2">
      <c r="A3364" t="s">
        <v>6528</v>
      </c>
      <c r="B3364">
        <v>2119204</v>
      </c>
    </row>
    <row r="3365" spans="1:2">
      <c r="A3365" t="s">
        <v>6529</v>
      </c>
      <c r="B3365">
        <v>3300010910</v>
      </c>
    </row>
    <row r="3366" spans="1:2">
      <c r="A3366" t="s">
        <v>6530</v>
      </c>
      <c r="B3366" t="s">
        <v>2892</v>
      </c>
    </row>
    <row r="3367" spans="1:2">
      <c r="A3367" t="s">
        <v>6672</v>
      </c>
      <c r="B3367">
        <v>2171971</v>
      </c>
    </row>
    <row r="3368" spans="1:2">
      <c r="A3368" t="s">
        <v>6677</v>
      </c>
      <c r="B3368">
        <v>5049686</v>
      </c>
    </row>
    <row r="3369" spans="1:2">
      <c r="A3369" t="s">
        <v>6645</v>
      </c>
      <c r="B3369" t="s">
        <v>2891</v>
      </c>
    </row>
    <row r="3370" spans="1:2">
      <c r="A3370" t="s">
        <v>6672</v>
      </c>
      <c r="B3370">
        <v>2172018</v>
      </c>
    </row>
    <row r="3371" spans="1:2">
      <c r="A3371" t="s">
        <v>6530</v>
      </c>
      <c r="B3371" t="s">
        <v>6801</v>
      </c>
    </row>
    <row r="3372" spans="1:2">
      <c r="A3372" t="s">
        <v>6529</v>
      </c>
      <c r="B3372">
        <v>3300009559</v>
      </c>
    </row>
    <row r="3373" spans="1:2">
      <c r="A3373" t="s">
        <v>6645</v>
      </c>
      <c r="B3373" t="s">
        <v>2875</v>
      </c>
    </row>
    <row r="3374" spans="1:2">
      <c r="A3374" t="s">
        <v>6528</v>
      </c>
      <c r="B3374">
        <v>2177144</v>
      </c>
    </row>
    <row r="3375" spans="1:2">
      <c r="A3375" t="s">
        <v>6677</v>
      </c>
      <c r="B3375">
        <v>5059353</v>
      </c>
    </row>
    <row r="3376" spans="1:2">
      <c r="A3376" t="s">
        <v>6530</v>
      </c>
      <c r="B3376" t="s">
        <v>2021</v>
      </c>
    </row>
    <row r="3377" spans="1:2">
      <c r="A3377" t="s">
        <v>6645</v>
      </c>
      <c r="B3377" t="s">
        <v>2020</v>
      </c>
    </row>
    <row r="3378" spans="1:2">
      <c r="A3378" t="s">
        <v>6529</v>
      </c>
      <c r="B3378">
        <v>3300009530</v>
      </c>
    </row>
    <row r="3379" spans="1:2">
      <c r="A3379" t="s">
        <v>6672</v>
      </c>
      <c r="B3379">
        <v>2172000</v>
      </c>
    </row>
    <row r="3380" spans="1:2">
      <c r="A3380" t="s">
        <v>6677</v>
      </c>
      <c r="B3380">
        <v>5049681</v>
      </c>
    </row>
    <row r="3381" spans="1:2">
      <c r="A3381" t="s">
        <v>6528</v>
      </c>
      <c r="B3381">
        <v>2103724</v>
      </c>
    </row>
    <row r="3382" spans="1:2">
      <c r="A3382" t="s">
        <v>6530</v>
      </c>
      <c r="B3382" t="s">
        <v>1177</v>
      </c>
    </row>
    <row r="3383" spans="1:2">
      <c r="A3383" t="s">
        <v>6529</v>
      </c>
      <c r="B3383">
        <v>3300009824</v>
      </c>
    </row>
    <row r="3384" spans="1:2">
      <c r="A3384" t="s">
        <v>6672</v>
      </c>
      <c r="B3384">
        <v>2171919</v>
      </c>
    </row>
    <row r="3385" spans="1:2">
      <c r="A3385" t="s">
        <v>6677</v>
      </c>
      <c r="B3385">
        <v>5049679</v>
      </c>
    </row>
    <row r="3386" spans="1:2">
      <c r="A3386" t="s">
        <v>6530</v>
      </c>
      <c r="B3386" t="s">
        <v>2120</v>
      </c>
    </row>
    <row r="3387" spans="1:2">
      <c r="A3387" t="s">
        <v>6672</v>
      </c>
      <c r="B3387">
        <v>2183463</v>
      </c>
    </row>
    <row r="3388" spans="1:2">
      <c r="A3388" t="s">
        <v>6645</v>
      </c>
      <c r="B3388" t="s">
        <v>2119</v>
      </c>
    </row>
    <row r="3389" spans="1:2">
      <c r="A3389" t="s">
        <v>6530</v>
      </c>
      <c r="B3389" t="s">
        <v>4438</v>
      </c>
    </row>
    <row r="3390" spans="1:2">
      <c r="A3390" t="s">
        <v>6645</v>
      </c>
      <c r="B3390" t="s">
        <v>4436</v>
      </c>
    </row>
    <row r="3391" spans="1:2">
      <c r="A3391" t="s">
        <v>6529</v>
      </c>
      <c r="B3391">
        <v>3300009549</v>
      </c>
    </row>
    <row r="3392" spans="1:2">
      <c r="A3392" t="s">
        <v>6672</v>
      </c>
      <c r="B3392">
        <v>2172004</v>
      </c>
    </row>
    <row r="3393" spans="1:2">
      <c r="A3393" t="s">
        <v>6677</v>
      </c>
      <c r="B3393">
        <v>5059347</v>
      </c>
    </row>
    <row r="3394" spans="1:2">
      <c r="A3394" t="s">
        <v>6632</v>
      </c>
      <c r="B3394" t="s">
        <v>4437</v>
      </c>
    </row>
    <row r="3395" spans="1:2">
      <c r="A3395" t="s">
        <v>6530</v>
      </c>
      <c r="B3395" t="s">
        <v>4750</v>
      </c>
    </row>
    <row r="3396" spans="1:2">
      <c r="A3396" t="s">
        <v>6529</v>
      </c>
      <c r="B3396">
        <v>3300009706</v>
      </c>
    </row>
    <row r="3397" spans="1:2">
      <c r="A3397" t="s">
        <v>6645</v>
      </c>
      <c r="B3397" t="s">
        <v>4749</v>
      </c>
    </row>
    <row r="3398" spans="1:2">
      <c r="A3398" t="s">
        <v>6528</v>
      </c>
      <c r="B3398">
        <v>2103454</v>
      </c>
    </row>
    <row r="3399" spans="1:2">
      <c r="A3399" t="s">
        <v>6530</v>
      </c>
      <c r="B3399" t="s">
        <v>1791</v>
      </c>
    </row>
    <row r="3400" spans="1:2">
      <c r="A3400" t="s">
        <v>6672</v>
      </c>
      <c r="B3400">
        <v>2171978</v>
      </c>
    </row>
    <row r="3401" spans="1:2">
      <c r="A3401" t="s">
        <v>6677</v>
      </c>
      <c r="B3401">
        <v>5049715</v>
      </c>
    </row>
    <row r="3402" spans="1:2">
      <c r="A3402" t="s">
        <v>6645</v>
      </c>
      <c r="B3402" t="s">
        <v>1790</v>
      </c>
    </row>
    <row r="3403" spans="1:2">
      <c r="A3403" t="s">
        <v>6529</v>
      </c>
      <c r="B3403">
        <v>3300009822</v>
      </c>
    </row>
    <row r="3404" spans="1:2">
      <c r="A3404" t="s">
        <v>6573</v>
      </c>
      <c r="B3404" t="s">
        <v>5232</v>
      </c>
    </row>
    <row r="3405" spans="1:2">
      <c r="A3405" t="s">
        <v>6645</v>
      </c>
      <c r="B3405" t="s">
        <v>5230</v>
      </c>
    </row>
    <row r="3406" spans="1:2">
      <c r="A3406" t="s">
        <v>6529</v>
      </c>
      <c r="B3406">
        <v>3300009724</v>
      </c>
    </row>
    <row r="3407" spans="1:2">
      <c r="A3407" t="s">
        <v>6677</v>
      </c>
      <c r="B3407">
        <v>5050460</v>
      </c>
    </row>
    <row r="3408" spans="1:2">
      <c r="A3408" t="s">
        <v>6672</v>
      </c>
      <c r="B3408">
        <v>2172025</v>
      </c>
    </row>
    <row r="3409" spans="1:2">
      <c r="A3409" t="s">
        <v>6642</v>
      </c>
      <c r="B3409" t="s">
        <v>5231</v>
      </c>
    </row>
    <row r="3410" spans="1:2">
      <c r="A3410" t="s">
        <v>6530</v>
      </c>
      <c r="B3410" t="s">
        <v>1171</v>
      </c>
    </row>
    <row r="3411" spans="1:2">
      <c r="A3411" t="s">
        <v>6528</v>
      </c>
      <c r="B3411">
        <v>2117460</v>
      </c>
    </row>
    <row r="3412" spans="1:2">
      <c r="A3412" t="s">
        <v>6529</v>
      </c>
      <c r="B3412">
        <v>3300005978</v>
      </c>
    </row>
    <row r="3413" spans="1:2">
      <c r="A3413" t="s">
        <v>6677</v>
      </c>
      <c r="B3413">
        <v>5051827</v>
      </c>
    </row>
    <row r="3414" spans="1:2">
      <c r="A3414" t="s">
        <v>6529</v>
      </c>
      <c r="B3414">
        <v>3300010682</v>
      </c>
    </row>
    <row r="3415" spans="1:2">
      <c r="A3415" t="s">
        <v>6528</v>
      </c>
      <c r="B3415">
        <v>2180551</v>
      </c>
    </row>
    <row r="3416" spans="1:2">
      <c r="A3416" t="s">
        <v>6530</v>
      </c>
      <c r="B3416" t="s">
        <v>4039</v>
      </c>
    </row>
    <row r="3417" spans="1:2">
      <c r="A3417" t="s">
        <v>6529</v>
      </c>
      <c r="B3417">
        <v>3300009768</v>
      </c>
    </row>
    <row r="3418" spans="1:2">
      <c r="A3418" t="s">
        <v>6677</v>
      </c>
      <c r="B3418">
        <v>5047873</v>
      </c>
    </row>
    <row r="3419" spans="1:2">
      <c r="A3419" t="s">
        <v>6645</v>
      </c>
      <c r="B3419" t="s">
        <v>4038</v>
      </c>
    </row>
    <row r="3420" spans="1:2">
      <c r="A3420" t="s">
        <v>6528</v>
      </c>
      <c r="B3420">
        <v>2177332</v>
      </c>
    </row>
    <row r="3421" spans="1:2">
      <c r="A3421" t="s">
        <v>6530</v>
      </c>
      <c r="B3421" t="s">
        <v>4236</v>
      </c>
    </row>
    <row r="3422" spans="1:2">
      <c r="A3422" t="s">
        <v>6529</v>
      </c>
      <c r="B3422">
        <v>3300009747</v>
      </c>
    </row>
    <row r="3423" spans="1:2">
      <c r="A3423" t="s">
        <v>6683</v>
      </c>
      <c r="B3423" t="s">
        <v>4233</v>
      </c>
    </row>
    <row r="3424" spans="1:2">
      <c r="A3424" t="s">
        <v>6645</v>
      </c>
      <c r="B3424" t="s">
        <v>4234</v>
      </c>
    </row>
    <row r="3425" spans="1:2">
      <c r="A3425" t="s">
        <v>6528</v>
      </c>
      <c r="B3425">
        <v>2177149</v>
      </c>
    </row>
    <row r="3426" spans="1:2">
      <c r="A3426" t="s">
        <v>6642</v>
      </c>
      <c r="B3426" t="s">
        <v>4235</v>
      </c>
    </row>
    <row r="3427" spans="1:2">
      <c r="A3427" t="s">
        <v>6530</v>
      </c>
      <c r="B3427" t="s">
        <v>1821</v>
      </c>
    </row>
    <row r="3428" spans="1:2">
      <c r="A3428" t="s">
        <v>6528</v>
      </c>
      <c r="B3428">
        <v>2176281</v>
      </c>
    </row>
    <row r="3429" spans="1:2">
      <c r="A3429" t="s">
        <v>6642</v>
      </c>
      <c r="B3429" t="s">
        <v>1820</v>
      </c>
    </row>
    <row r="3430" spans="1:2">
      <c r="A3430" t="s">
        <v>6677</v>
      </c>
      <c r="B3430">
        <v>5010061</v>
      </c>
    </row>
    <row r="3431" spans="1:2">
      <c r="A3431" t="s">
        <v>6530</v>
      </c>
      <c r="B3431" t="s">
        <v>5132</v>
      </c>
    </row>
    <row r="3432" spans="1:2">
      <c r="A3432" t="s">
        <v>6676</v>
      </c>
      <c r="B3432">
        <v>41740</v>
      </c>
    </row>
    <row r="3433" spans="1:2">
      <c r="A3433" t="s">
        <v>6677</v>
      </c>
      <c r="B3433" t="s">
        <v>5130</v>
      </c>
    </row>
    <row r="3434" spans="1:2">
      <c r="A3434" t="s">
        <v>6528</v>
      </c>
      <c r="B3434">
        <v>2180496</v>
      </c>
    </row>
    <row r="3435" spans="1:2">
      <c r="A3435" t="s">
        <v>6530</v>
      </c>
      <c r="B3435" t="s">
        <v>1225</v>
      </c>
    </row>
    <row r="3436" spans="1:2">
      <c r="A3436" t="s">
        <v>6528</v>
      </c>
      <c r="B3436">
        <v>2103916</v>
      </c>
    </row>
    <row r="3437" spans="1:2">
      <c r="A3437" t="s">
        <v>6529</v>
      </c>
      <c r="B3437">
        <v>3300004163</v>
      </c>
    </row>
    <row r="3438" spans="1:2">
      <c r="A3438" t="s">
        <v>6677</v>
      </c>
      <c r="B3438">
        <v>5042651</v>
      </c>
    </row>
    <row r="3439" spans="1:2">
      <c r="A3439" t="s">
        <v>6645</v>
      </c>
      <c r="B3439" t="s">
        <v>1224</v>
      </c>
    </row>
    <row r="3440" spans="1:2">
      <c r="A3440" t="s">
        <v>6528</v>
      </c>
      <c r="B3440">
        <v>2117630</v>
      </c>
    </row>
    <row r="3441" spans="1:2">
      <c r="A3441" t="s">
        <v>6530</v>
      </c>
      <c r="B3441" t="s">
        <v>6802</v>
      </c>
    </row>
    <row r="3442" spans="1:2">
      <c r="A3442" t="s">
        <v>6677</v>
      </c>
      <c r="B3442">
        <v>5031835</v>
      </c>
    </row>
    <row r="3443" spans="1:2">
      <c r="A3443" t="s">
        <v>6529</v>
      </c>
      <c r="B3443">
        <v>3300009527</v>
      </c>
    </row>
    <row r="3444" spans="1:2">
      <c r="A3444" t="s">
        <v>6672</v>
      </c>
      <c r="B3444">
        <v>2171980</v>
      </c>
    </row>
    <row r="3445" spans="1:2">
      <c r="A3445" t="s">
        <v>6573</v>
      </c>
      <c r="B3445" t="s">
        <v>6317</v>
      </c>
    </row>
    <row r="3446" spans="1:2">
      <c r="A3446" t="s">
        <v>6529</v>
      </c>
      <c r="B3446">
        <v>3300001257</v>
      </c>
    </row>
    <row r="3447" spans="1:2">
      <c r="A3447" t="s">
        <v>6645</v>
      </c>
      <c r="B3447" t="s">
        <v>6316</v>
      </c>
    </row>
    <row r="3448" spans="1:2">
      <c r="A3448" t="s">
        <v>6530</v>
      </c>
      <c r="B3448" t="s">
        <v>2164</v>
      </c>
    </row>
    <row r="3449" spans="1:2">
      <c r="A3449" t="s">
        <v>6529</v>
      </c>
      <c r="B3449">
        <v>3300010664</v>
      </c>
    </row>
    <row r="3450" spans="1:2">
      <c r="A3450" t="s">
        <v>6672</v>
      </c>
      <c r="B3450">
        <v>2182983</v>
      </c>
    </row>
    <row r="3451" spans="1:2">
      <c r="A3451" t="s">
        <v>6645</v>
      </c>
      <c r="B3451" t="s">
        <v>2162</v>
      </c>
    </row>
    <row r="3452" spans="1:2">
      <c r="A3452" t="s">
        <v>6677</v>
      </c>
      <c r="B3452">
        <v>5051835</v>
      </c>
    </row>
    <row r="3453" spans="1:2">
      <c r="A3453" t="s">
        <v>6642</v>
      </c>
      <c r="B3453" t="s">
        <v>2163</v>
      </c>
    </row>
    <row r="3454" spans="1:2">
      <c r="A3454" t="s">
        <v>6530</v>
      </c>
      <c r="B3454" t="s">
        <v>6803</v>
      </c>
    </row>
    <row r="3455" spans="1:2">
      <c r="A3455" t="s">
        <v>6672</v>
      </c>
      <c r="B3455">
        <v>2183541</v>
      </c>
    </row>
    <row r="3456" spans="1:2">
      <c r="A3456" t="s">
        <v>6642</v>
      </c>
      <c r="B3456" t="s">
        <v>4991</v>
      </c>
    </row>
    <row r="3457" spans="1:2">
      <c r="A3457" t="s">
        <v>6529</v>
      </c>
      <c r="B3457">
        <v>3300009763</v>
      </c>
    </row>
    <row r="3458" spans="1:2">
      <c r="A3458" t="s">
        <v>6672</v>
      </c>
      <c r="B3458">
        <v>2183561</v>
      </c>
    </row>
    <row r="3459" spans="1:2">
      <c r="A3459" t="s">
        <v>6530</v>
      </c>
      <c r="B3459" t="s">
        <v>6804</v>
      </c>
    </row>
    <row r="3460" spans="1:2">
      <c r="A3460" t="s">
        <v>6645</v>
      </c>
      <c r="B3460" t="s">
        <v>1501</v>
      </c>
    </row>
    <row r="3461" spans="1:2">
      <c r="A3461" t="s">
        <v>6677</v>
      </c>
      <c r="B3461">
        <v>5049706</v>
      </c>
    </row>
    <row r="3462" spans="1:2">
      <c r="A3462" t="s">
        <v>6645</v>
      </c>
      <c r="B3462" t="s">
        <v>1502</v>
      </c>
    </row>
    <row r="3463" spans="1:2">
      <c r="A3463" t="s">
        <v>6672</v>
      </c>
      <c r="B3463">
        <v>2171991</v>
      </c>
    </row>
    <row r="3464" spans="1:2">
      <c r="A3464" t="s">
        <v>6530</v>
      </c>
      <c r="B3464" t="s">
        <v>1649</v>
      </c>
    </row>
    <row r="3465" spans="1:2">
      <c r="A3465" t="s">
        <v>6677</v>
      </c>
      <c r="B3465" t="s">
        <v>1648</v>
      </c>
    </row>
    <row r="3466" spans="1:2">
      <c r="A3466" t="s">
        <v>6528</v>
      </c>
      <c r="B3466">
        <v>2119285</v>
      </c>
    </row>
    <row r="3467" spans="1:2">
      <c r="A3467" t="s">
        <v>6529</v>
      </c>
      <c r="B3467">
        <v>3300002995</v>
      </c>
    </row>
    <row r="3468" spans="1:2">
      <c r="A3468" t="s">
        <v>6530</v>
      </c>
      <c r="B3468" t="s">
        <v>5026</v>
      </c>
    </row>
    <row r="3469" spans="1:2">
      <c r="A3469" t="s">
        <v>6529</v>
      </c>
      <c r="B3469">
        <v>3300009732</v>
      </c>
    </row>
    <row r="3470" spans="1:2">
      <c r="A3470" t="s">
        <v>6645</v>
      </c>
      <c r="B3470" t="s">
        <v>5025</v>
      </c>
    </row>
    <row r="3471" spans="1:2">
      <c r="A3471" t="s">
        <v>6528</v>
      </c>
      <c r="B3471">
        <v>2177525</v>
      </c>
    </row>
    <row r="3472" spans="1:2">
      <c r="A3472" t="s">
        <v>6573</v>
      </c>
      <c r="B3472" t="s">
        <v>3444</v>
      </c>
    </row>
    <row r="3473" spans="1:2">
      <c r="A3473" t="s">
        <v>6645</v>
      </c>
      <c r="B3473" t="s">
        <v>3442</v>
      </c>
    </row>
    <row r="3474" spans="1:2">
      <c r="A3474" t="s">
        <v>6529</v>
      </c>
      <c r="B3474">
        <v>3300009727</v>
      </c>
    </row>
    <row r="3475" spans="1:2">
      <c r="A3475" t="s">
        <v>6672</v>
      </c>
      <c r="B3475">
        <v>2171985</v>
      </c>
    </row>
    <row r="3476" spans="1:2">
      <c r="A3476" t="s">
        <v>6677</v>
      </c>
      <c r="B3476">
        <v>5049703</v>
      </c>
    </row>
    <row r="3477" spans="1:2">
      <c r="A3477" t="s">
        <v>6645</v>
      </c>
      <c r="B3477" t="s">
        <v>3443</v>
      </c>
    </row>
    <row r="3478" spans="1:2">
      <c r="A3478" t="s">
        <v>6530</v>
      </c>
      <c r="B3478" t="s">
        <v>2265</v>
      </c>
    </row>
    <row r="3479" spans="1:2">
      <c r="A3479" t="s">
        <v>6529</v>
      </c>
      <c r="B3479">
        <v>3300009766</v>
      </c>
    </row>
    <row r="3480" spans="1:2">
      <c r="A3480" t="s">
        <v>6642</v>
      </c>
      <c r="B3480" t="s">
        <v>2264</v>
      </c>
    </row>
    <row r="3481" spans="1:2">
      <c r="A3481" t="s">
        <v>6528</v>
      </c>
      <c r="B3481">
        <v>2177542</v>
      </c>
    </row>
    <row r="3482" spans="1:2">
      <c r="A3482" t="s">
        <v>6573</v>
      </c>
      <c r="B3482" t="s">
        <v>5660</v>
      </c>
    </row>
    <row r="3483" spans="1:2">
      <c r="A3483" t="s">
        <v>6677</v>
      </c>
      <c r="B3483">
        <v>5045696</v>
      </c>
    </row>
    <row r="3484" spans="1:2">
      <c r="A3484" t="s">
        <v>6645</v>
      </c>
      <c r="B3484" t="s">
        <v>5659</v>
      </c>
    </row>
    <row r="3485" spans="1:2">
      <c r="A3485" t="s">
        <v>6528</v>
      </c>
      <c r="B3485">
        <v>2103443</v>
      </c>
    </row>
    <row r="3486" spans="1:2">
      <c r="A3486" t="s">
        <v>6530</v>
      </c>
      <c r="B3486" t="s">
        <v>4333</v>
      </c>
    </row>
    <row r="3487" spans="1:2">
      <c r="A3487" t="s">
        <v>6674</v>
      </c>
      <c r="B3487">
        <v>2177693</v>
      </c>
    </row>
    <row r="3488" spans="1:2">
      <c r="A3488" t="s">
        <v>6645</v>
      </c>
      <c r="B3488" t="s">
        <v>4331</v>
      </c>
    </row>
    <row r="3489" spans="1:2">
      <c r="A3489" t="s">
        <v>6683</v>
      </c>
      <c r="B3489" t="s">
        <v>4332</v>
      </c>
    </row>
    <row r="3490" spans="1:2">
      <c r="A3490" t="s">
        <v>6675</v>
      </c>
      <c r="B3490">
        <v>3400001175</v>
      </c>
    </row>
    <row r="3491" spans="1:2">
      <c r="A3491" t="s">
        <v>6675</v>
      </c>
      <c r="B3491">
        <v>3400001161</v>
      </c>
    </row>
    <row r="3492" spans="1:2">
      <c r="A3492" t="s">
        <v>6530</v>
      </c>
      <c r="B3492" t="s">
        <v>6805</v>
      </c>
    </row>
    <row r="3493" spans="1:2">
      <c r="A3493" t="s">
        <v>6529</v>
      </c>
      <c r="B3493">
        <v>3300002960</v>
      </c>
    </row>
    <row r="3494" spans="1:2">
      <c r="A3494" t="s">
        <v>6645</v>
      </c>
      <c r="B3494" t="s">
        <v>5019</v>
      </c>
    </row>
    <row r="3495" spans="1:2">
      <c r="A3495" t="s">
        <v>6528</v>
      </c>
      <c r="B3495">
        <v>2103919</v>
      </c>
    </row>
    <row r="3496" spans="1:2">
      <c r="A3496" t="s">
        <v>6677</v>
      </c>
      <c r="B3496" t="s">
        <v>5020</v>
      </c>
    </row>
    <row r="3497" spans="1:2">
      <c r="A3497" t="s">
        <v>6530</v>
      </c>
      <c r="B3497" t="s">
        <v>6806</v>
      </c>
    </row>
    <row r="3498" spans="1:2">
      <c r="A3498" t="s">
        <v>6645</v>
      </c>
      <c r="B3498" t="s">
        <v>4290</v>
      </c>
    </row>
    <row r="3499" spans="1:2">
      <c r="A3499" t="s">
        <v>6529</v>
      </c>
      <c r="B3499">
        <v>3300009540</v>
      </c>
    </row>
    <row r="3500" spans="1:2">
      <c r="A3500" t="s">
        <v>6672</v>
      </c>
      <c r="B3500">
        <v>2172016</v>
      </c>
    </row>
    <row r="3501" spans="1:2">
      <c r="A3501" t="s">
        <v>6530</v>
      </c>
      <c r="B3501" t="s">
        <v>2271</v>
      </c>
    </row>
    <row r="3502" spans="1:2">
      <c r="A3502" t="s">
        <v>6529</v>
      </c>
      <c r="B3502">
        <v>3300009721</v>
      </c>
    </row>
    <row r="3503" spans="1:2">
      <c r="A3503" t="s">
        <v>6645</v>
      </c>
      <c r="B3503" t="s">
        <v>2270</v>
      </c>
    </row>
    <row r="3504" spans="1:2">
      <c r="A3504" t="s">
        <v>6529</v>
      </c>
      <c r="B3504">
        <v>3300012297</v>
      </c>
    </row>
    <row r="3505" spans="1:2">
      <c r="A3505" t="s">
        <v>6530</v>
      </c>
      <c r="B3505" t="s">
        <v>4253</v>
      </c>
    </row>
    <row r="3506" spans="1:2">
      <c r="A3506" t="s">
        <v>6645</v>
      </c>
      <c r="B3506" t="s">
        <v>4252</v>
      </c>
    </row>
    <row r="3507" spans="1:2">
      <c r="A3507" t="s">
        <v>6677</v>
      </c>
      <c r="B3507">
        <v>5049695</v>
      </c>
    </row>
    <row r="3508" spans="1:2">
      <c r="A3508" t="s">
        <v>6672</v>
      </c>
      <c r="B3508">
        <v>2171948</v>
      </c>
    </row>
    <row r="3509" spans="1:2">
      <c r="A3509" t="s">
        <v>6529</v>
      </c>
      <c r="B3509">
        <v>3300009539</v>
      </c>
    </row>
    <row r="3510" spans="1:2">
      <c r="A3510" t="s">
        <v>6530</v>
      </c>
      <c r="B3510" t="s">
        <v>4933</v>
      </c>
    </row>
    <row r="3511" spans="1:2">
      <c r="A3511" t="s">
        <v>6529</v>
      </c>
      <c r="B3511">
        <v>3300005136</v>
      </c>
    </row>
    <row r="3512" spans="1:2">
      <c r="A3512" t="s">
        <v>6645</v>
      </c>
      <c r="B3512" t="s">
        <v>4932</v>
      </c>
    </row>
    <row r="3513" spans="1:2">
      <c r="A3513" t="s">
        <v>6528</v>
      </c>
      <c r="B3513">
        <v>2119233</v>
      </c>
    </row>
    <row r="3514" spans="1:2">
      <c r="A3514" t="s">
        <v>6677</v>
      </c>
      <c r="B3514">
        <v>5001458</v>
      </c>
    </row>
    <row r="3515" spans="1:2">
      <c r="A3515" t="s">
        <v>6530</v>
      </c>
      <c r="B3515" t="s">
        <v>5041</v>
      </c>
    </row>
    <row r="3516" spans="1:2">
      <c r="A3516" t="s">
        <v>6529</v>
      </c>
      <c r="B3516">
        <v>3300009718</v>
      </c>
    </row>
    <row r="3517" spans="1:2">
      <c r="A3517" t="s">
        <v>6645</v>
      </c>
      <c r="B3517" t="s">
        <v>5040</v>
      </c>
    </row>
    <row r="3518" spans="1:2">
      <c r="A3518" t="s">
        <v>6672</v>
      </c>
      <c r="B3518">
        <v>2171914</v>
      </c>
    </row>
    <row r="3519" spans="1:2">
      <c r="A3519" t="s">
        <v>6677</v>
      </c>
      <c r="B3519">
        <v>5050461</v>
      </c>
    </row>
    <row r="3520" spans="1:2">
      <c r="A3520" t="s">
        <v>6529</v>
      </c>
      <c r="B3520">
        <v>3300009790</v>
      </c>
    </row>
    <row r="3521" spans="1:2">
      <c r="A3521" t="s">
        <v>6530</v>
      </c>
      <c r="B3521" t="s">
        <v>4957</v>
      </c>
    </row>
    <row r="3522" spans="1:2">
      <c r="A3522" t="s">
        <v>6677</v>
      </c>
      <c r="B3522">
        <v>5059371</v>
      </c>
    </row>
    <row r="3523" spans="1:2">
      <c r="A3523" t="s">
        <v>6672</v>
      </c>
      <c r="B3523">
        <v>2183491</v>
      </c>
    </row>
    <row r="3524" spans="1:2">
      <c r="A3524" t="s">
        <v>6529</v>
      </c>
      <c r="B3524">
        <v>3300011822</v>
      </c>
    </row>
    <row r="3525" spans="1:2">
      <c r="A3525" t="s">
        <v>6573</v>
      </c>
      <c r="B3525" t="s">
        <v>4939</v>
      </c>
    </row>
    <row r="3526" spans="1:2">
      <c r="A3526" t="s">
        <v>6672</v>
      </c>
      <c r="B3526">
        <v>2183527</v>
      </c>
    </row>
    <row r="3527" spans="1:2">
      <c r="A3527" t="s">
        <v>6642</v>
      </c>
      <c r="B3527" t="s">
        <v>4938</v>
      </c>
    </row>
    <row r="3528" spans="1:2">
      <c r="A3528" t="s">
        <v>6530</v>
      </c>
      <c r="B3528" t="s">
        <v>5802</v>
      </c>
    </row>
    <row r="3529" spans="1:2">
      <c r="A3529" t="s">
        <v>6528</v>
      </c>
      <c r="B3529">
        <v>2117095</v>
      </c>
    </row>
    <row r="3530" spans="1:2">
      <c r="A3530" t="s">
        <v>6642</v>
      </c>
      <c r="B3530" t="s">
        <v>5801</v>
      </c>
    </row>
    <row r="3531" spans="1:2">
      <c r="A3531" t="s">
        <v>6529</v>
      </c>
      <c r="B3531">
        <v>3300009762</v>
      </c>
    </row>
    <row r="3532" spans="1:2">
      <c r="A3532" t="s">
        <v>6528</v>
      </c>
      <c r="B3532">
        <v>2119229</v>
      </c>
    </row>
    <row r="3533" spans="1:2">
      <c r="A3533" t="s">
        <v>6530</v>
      </c>
      <c r="B3533" t="s">
        <v>5690</v>
      </c>
    </row>
    <row r="3534" spans="1:2">
      <c r="A3534" t="s">
        <v>6528</v>
      </c>
      <c r="B3534">
        <v>2103720</v>
      </c>
    </row>
    <row r="3535" spans="1:2">
      <c r="A3535" t="s">
        <v>6642</v>
      </c>
      <c r="B3535" t="s">
        <v>5688</v>
      </c>
    </row>
    <row r="3536" spans="1:2">
      <c r="A3536" t="s">
        <v>6529</v>
      </c>
      <c r="B3536">
        <v>3300009713</v>
      </c>
    </row>
    <row r="3537" spans="1:2">
      <c r="A3537" t="s">
        <v>6645</v>
      </c>
      <c r="B3537" t="s">
        <v>5689</v>
      </c>
    </row>
    <row r="3538" spans="1:2">
      <c r="A3538" t="s">
        <v>6530</v>
      </c>
      <c r="B3538" t="s">
        <v>5182</v>
      </c>
    </row>
    <row r="3539" spans="1:2">
      <c r="A3539" t="s">
        <v>6672</v>
      </c>
      <c r="B3539">
        <v>2183480</v>
      </c>
    </row>
    <row r="3540" spans="1:2">
      <c r="A3540" t="s">
        <v>6529</v>
      </c>
      <c r="B3540">
        <v>3300009733</v>
      </c>
    </row>
    <row r="3541" spans="1:2">
      <c r="A3541" t="s">
        <v>6645</v>
      </c>
      <c r="B3541" t="s">
        <v>5181</v>
      </c>
    </row>
    <row r="3542" spans="1:2">
      <c r="A3542" t="s">
        <v>6677</v>
      </c>
      <c r="B3542">
        <v>5049705</v>
      </c>
    </row>
    <row r="3543" spans="1:2">
      <c r="A3543" t="s">
        <v>6672</v>
      </c>
      <c r="B3543">
        <v>2183555</v>
      </c>
    </row>
    <row r="3544" spans="1:2">
      <c r="A3544" t="s">
        <v>6573</v>
      </c>
      <c r="B3544" t="s">
        <v>2014</v>
      </c>
    </row>
    <row r="3545" spans="1:2">
      <c r="A3545" t="s">
        <v>6529</v>
      </c>
      <c r="B3545">
        <v>3300009745</v>
      </c>
    </row>
    <row r="3546" spans="1:2">
      <c r="A3546" t="s">
        <v>6645</v>
      </c>
      <c r="B3546" t="s">
        <v>2013</v>
      </c>
    </row>
    <row r="3547" spans="1:2">
      <c r="A3547" t="s">
        <v>6528</v>
      </c>
      <c r="B3547">
        <v>2177166</v>
      </c>
    </row>
    <row r="3548" spans="1:2">
      <c r="A3548" t="s">
        <v>6530</v>
      </c>
      <c r="B3548" t="s">
        <v>1329</v>
      </c>
    </row>
    <row r="3549" spans="1:2">
      <c r="A3549" t="s">
        <v>6642</v>
      </c>
      <c r="B3549" t="s">
        <v>1328</v>
      </c>
    </row>
    <row r="3550" spans="1:2">
      <c r="A3550" t="s">
        <v>6529</v>
      </c>
      <c r="B3550">
        <v>3300010098</v>
      </c>
    </row>
    <row r="3551" spans="1:2">
      <c r="A3551" t="s">
        <v>6672</v>
      </c>
      <c r="B3551">
        <v>2168144</v>
      </c>
    </row>
    <row r="3552" spans="1:2">
      <c r="A3552" t="s">
        <v>6677</v>
      </c>
      <c r="B3552">
        <v>5053843</v>
      </c>
    </row>
    <row r="3553" spans="1:2">
      <c r="A3553" t="s">
        <v>6530</v>
      </c>
      <c r="B3553" t="s">
        <v>4978</v>
      </c>
    </row>
    <row r="3554" spans="1:2">
      <c r="A3554" t="s">
        <v>6672</v>
      </c>
      <c r="B3554">
        <v>2183548</v>
      </c>
    </row>
    <row r="3555" spans="1:2">
      <c r="A3555" t="s">
        <v>6677</v>
      </c>
      <c r="B3555">
        <v>5059388</v>
      </c>
    </row>
    <row r="3556" spans="1:2">
      <c r="A3556" t="s">
        <v>6529</v>
      </c>
      <c r="B3556">
        <v>3300011777</v>
      </c>
    </row>
    <row r="3557" spans="1:2">
      <c r="A3557" t="s">
        <v>6645</v>
      </c>
      <c r="B3557" t="s">
        <v>4977</v>
      </c>
    </row>
    <row r="3558" spans="1:2">
      <c r="A3558" t="s">
        <v>6530</v>
      </c>
      <c r="B3558" t="s">
        <v>3291</v>
      </c>
    </row>
    <row r="3559" spans="1:2">
      <c r="A3559" t="s">
        <v>6529</v>
      </c>
      <c r="B3559">
        <v>3300009759</v>
      </c>
    </row>
    <row r="3560" spans="1:2">
      <c r="A3560" t="s">
        <v>6677</v>
      </c>
      <c r="B3560" t="s">
        <v>3290</v>
      </c>
    </row>
    <row r="3561" spans="1:2">
      <c r="A3561" t="s">
        <v>6530</v>
      </c>
      <c r="B3561" t="s">
        <v>6807</v>
      </c>
    </row>
    <row r="3562" spans="1:2">
      <c r="A3562" t="s">
        <v>6677</v>
      </c>
      <c r="B3562" t="s">
        <v>4323</v>
      </c>
    </row>
    <row r="3563" spans="1:2">
      <c r="A3563" t="s">
        <v>6677</v>
      </c>
      <c r="B3563">
        <v>5049718</v>
      </c>
    </row>
    <row r="3564" spans="1:2">
      <c r="A3564" t="s">
        <v>6672</v>
      </c>
      <c r="B3564">
        <v>2172001</v>
      </c>
    </row>
    <row r="3565" spans="1:2">
      <c r="A3565" t="s">
        <v>6529</v>
      </c>
      <c r="B3565">
        <v>3300009536</v>
      </c>
    </row>
    <row r="3566" spans="1:2">
      <c r="A3566" t="s">
        <v>6645</v>
      </c>
      <c r="B3566" t="s">
        <v>4324</v>
      </c>
    </row>
    <row r="3567" spans="1:2">
      <c r="A3567" t="s">
        <v>6530</v>
      </c>
      <c r="B3567" t="s">
        <v>6808</v>
      </c>
    </row>
    <row r="3568" spans="1:2">
      <c r="A3568" t="s">
        <v>6529</v>
      </c>
      <c r="B3568">
        <v>3300009534</v>
      </c>
    </row>
    <row r="3569" spans="1:2">
      <c r="A3569" t="s">
        <v>6645</v>
      </c>
      <c r="B3569" t="s">
        <v>2052</v>
      </c>
    </row>
    <row r="3570" spans="1:2">
      <c r="A3570" t="s">
        <v>6677</v>
      </c>
      <c r="B3570">
        <v>5050432</v>
      </c>
    </row>
    <row r="3571" spans="1:2">
      <c r="A3571" t="s">
        <v>6528</v>
      </c>
      <c r="B3571">
        <v>2084077</v>
      </c>
    </row>
    <row r="3572" spans="1:2">
      <c r="A3572" t="s">
        <v>6530</v>
      </c>
      <c r="B3572" t="s">
        <v>6809</v>
      </c>
    </row>
    <row r="3573" spans="1:2">
      <c r="A3573" t="s">
        <v>6677</v>
      </c>
      <c r="B3573" t="s">
        <v>2086</v>
      </c>
    </row>
    <row r="3574" spans="1:2">
      <c r="A3574" t="s">
        <v>6528</v>
      </c>
      <c r="B3574">
        <v>2119195</v>
      </c>
    </row>
    <row r="3575" spans="1:2">
      <c r="A3575" t="s">
        <v>6529</v>
      </c>
      <c r="B3575">
        <v>3300012814</v>
      </c>
    </row>
    <row r="3576" spans="1:2">
      <c r="A3576" t="s">
        <v>6645</v>
      </c>
      <c r="B3576" t="s">
        <v>2087</v>
      </c>
    </row>
    <row r="3577" spans="1:2">
      <c r="A3577" t="s">
        <v>6677</v>
      </c>
      <c r="B3577">
        <v>5014463</v>
      </c>
    </row>
    <row r="3578" spans="1:2">
      <c r="A3578" t="s">
        <v>6530</v>
      </c>
      <c r="B3578" t="s">
        <v>2683</v>
      </c>
    </row>
    <row r="3579" spans="1:2">
      <c r="A3579" t="s">
        <v>6528</v>
      </c>
      <c r="B3579">
        <v>2084812</v>
      </c>
    </row>
    <row r="3580" spans="1:2">
      <c r="A3580" t="s">
        <v>6642</v>
      </c>
      <c r="B3580" t="s">
        <v>2681</v>
      </c>
    </row>
    <row r="3581" spans="1:2">
      <c r="A3581" t="s">
        <v>6677</v>
      </c>
      <c r="B3581" t="s">
        <v>2682</v>
      </c>
    </row>
    <row r="3582" spans="1:2">
      <c r="A3582" t="s">
        <v>6530</v>
      </c>
      <c r="B3582" t="s">
        <v>2459</v>
      </c>
    </row>
    <row r="3583" spans="1:2">
      <c r="A3583" t="s">
        <v>6642</v>
      </c>
      <c r="B3583" t="s">
        <v>2458</v>
      </c>
    </row>
    <row r="3584" spans="1:2">
      <c r="A3584" t="s">
        <v>6672</v>
      </c>
      <c r="B3584">
        <v>2183563</v>
      </c>
    </row>
    <row r="3585" spans="1:2">
      <c r="A3585" t="s">
        <v>6677</v>
      </c>
      <c r="B3585">
        <v>5059350</v>
      </c>
    </row>
    <row r="3586" spans="1:2">
      <c r="A3586" t="s">
        <v>6530</v>
      </c>
      <c r="B3586" t="s">
        <v>6810</v>
      </c>
    </row>
    <row r="3587" spans="1:2">
      <c r="A3587" t="s">
        <v>6529</v>
      </c>
      <c r="B3587">
        <v>3300009780</v>
      </c>
    </row>
    <row r="3588" spans="1:2">
      <c r="A3588" t="s">
        <v>6645</v>
      </c>
      <c r="B3588" t="s">
        <v>5511</v>
      </c>
    </row>
    <row r="3589" spans="1:2">
      <c r="A3589" t="s">
        <v>6528</v>
      </c>
      <c r="B3589">
        <v>2176448</v>
      </c>
    </row>
    <row r="3590" spans="1:2">
      <c r="A3590" t="s">
        <v>6529</v>
      </c>
      <c r="B3590">
        <v>3300009730</v>
      </c>
    </row>
    <row r="3591" spans="1:2">
      <c r="A3591" t="s">
        <v>6569</v>
      </c>
      <c r="B3591" t="s">
        <v>2158</v>
      </c>
    </row>
    <row r="3592" spans="1:2">
      <c r="A3592" t="s">
        <v>6529</v>
      </c>
      <c r="B3592">
        <v>3300010657</v>
      </c>
    </row>
    <row r="3593" spans="1:2">
      <c r="A3593" t="s">
        <v>6672</v>
      </c>
      <c r="B3593">
        <v>2182982</v>
      </c>
    </row>
    <row r="3594" spans="1:2">
      <c r="A3594" t="s">
        <v>6645</v>
      </c>
      <c r="B3594" t="s">
        <v>2156</v>
      </c>
    </row>
    <row r="3595" spans="1:2">
      <c r="A3595" t="s">
        <v>6677</v>
      </c>
      <c r="B3595">
        <v>5051811</v>
      </c>
    </row>
    <row r="3596" spans="1:2">
      <c r="A3596" t="s">
        <v>6642</v>
      </c>
      <c r="B3596" t="s">
        <v>2157</v>
      </c>
    </row>
    <row r="3597" spans="1:2">
      <c r="A3597" t="s">
        <v>6530</v>
      </c>
      <c r="B3597" t="s">
        <v>1684</v>
      </c>
    </row>
    <row r="3598" spans="1:2">
      <c r="A3598" t="s">
        <v>6528</v>
      </c>
      <c r="B3598">
        <v>2119279</v>
      </c>
    </row>
    <row r="3599" spans="1:2">
      <c r="A3599" t="s">
        <v>6645</v>
      </c>
      <c r="B3599" t="s">
        <v>1682</v>
      </c>
    </row>
    <row r="3600" spans="1:2">
      <c r="A3600" t="s">
        <v>6529</v>
      </c>
      <c r="B3600">
        <v>3300001676</v>
      </c>
    </row>
    <row r="3601" spans="1:2">
      <c r="A3601" t="s">
        <v>6677</v>
      </c>
      <c r="B3601">
        <v>5042647</v>
      </c>
    </row>
    <row r="3602" spans="1:2">
      <c r="A3602" t="s">
        <v>6632</v>
      </c>
      <c r="B3602" t="s">
        <v>1683</v>
      </c>
    </row>
    <row r="3603" spans="1:2">
      <c r="A3603" t="s">
        <v>6573</v>
      </c>
      <c r="B3603" t="s">
        <v>4154</v>
      </c>
    </row>
    <row r="3604" spans="1:2">
      <c r="A3604" t="s">
        <v>6672</v>
      </c>
      <c r="B3604">
        <v>2183600</v>
      </c>
    </row>
    <row r="3605" spans="1:2">
      <c r="A3605" t="s">
        <v>6645</v>
      </c>
      <c r="B3605" t="s">
        <v>4153</v>
      </c>
    </row>
    <row r="3606" spans="1:2">
      <c r="A3606" t="s">
        <v>6530</v>
      </c>
      <c r="B3606" t="s">
        <v>5247</v>
      </c>
    </row>
    <row r="3607" spans="1:2">
      <c r="A3607" t="s">
        <v>6642</v>
      </c>
      <c r="B3607" t="s">
        <v>5244</v>
      </c>
    </row>
    <row r="3608" spans="1:2">
      <c r="A3608" t="s">
        <v>6529</v>
      </c>
      <c r="B3608">
        <v>3300001664</v>
      </c>
    </row>
    <row r="3609" spans="1:2">
      <c r="A3609" t="s">
        <v>6677</v>
      </c>
      <c r="B3609" t="s">
        <v>5245</v>
      </c>
    </row>
    <row r="3610" spans="1:2">
      <c r="A3610" t="s">
        <v>6672</v>
      </c>
      <c r="B3610">
        <v>2159930</v>
      </c>
    </row>
    <row r="3611" spans="1:2">
      <c r="A3611" t="s">
        <v>6677</v>
      </c>
      <c r="B3611" t="s">
        <v>5246</v>
      </c>
    </row>
    <row r="3612" spans="1:2">
      <c r="A3612" t="s">
        <v>6530</v>
      </c>
      <c r="B3612" t="s">
        <v>6811</v>
      </c>
    </row>
    <row r="3613" spans="1:2">
      <c r="A3613" t="s">
        <v>6528</v>
      </c>
      <c r="B3613">
        <v>2177176</v>
      </c>
    </row>
    <row r="3614" spans="1:2">
      <c r="A3614" t="s">
        <v>6529</v>
      </c>
      <c r="B3614">
        <v>3300009738</v>
      </c>
    </row>
    <row r="3615" spans="1:2">
      <c r="A3615" t="s">
        <v>6645</v>
      </c>
      <c r="B3615" t="s">
        <v>6454</v>
      </c>
    </row>
    <row r="3616" spans="1:2">
      <c r="A3616" t="s">
        <v>6677</v>
      </c>
      <c r="B3616">
        <v>5047875</v>
      </c>
    </row>
    <row r="3617" spans="1:2">
      <c r="A3617" t="s">
        <v>6672</v>
      </c>
      <c r="B3617">
        <v>2183521</v>
      </c>
    </row>
    <row r="3618" spans="1:2">
      <c r="A3618" t="s">
        <v>6530</v>
      </c>
      <c r="B3618" t="s">
        <v>6812</v>
      </c>
    </row>
    <row r="3619" spans="1:2">
      <c r="A3619" t="s">
        <v>6529</v>
      </c>
      <c r="B3619">
        <v>3300009744</v>
      </c>
    </row>
    <row r="3620" spans="1:2">
      <c r="A3620" t="s">
        <v>6528</v>
      </c>
      <c r="B3620">
        <v>2177182</v>
      </c>
    </row>
    <row r="3621" spans="1:2">
      <c r="A3621" t="s">
        <v>6645</v>
      </c>
      <c r="B3621" t="s">
        <v>6353</v>
      </c>
    </row>
    <row r="3622" spans="1:2">
      <c r="A3622" t="s">
        <v>6677</v>
      </c>
      <c r="B3622">
        <v>5047874</v>
      </c>
    </row>
    <row r="3623" spans="1:2">
      <c r="A3623" t="s">
        <v>6529</v>
      </c>
      <c r="B3623">
        <v>3300009789</v>
      </c>
    </row>
    <row r="3624" spans="1:2">
      <c r="A3624" t="s">
        <v>6530</v>
      </c>
      <c r="B3624" t="s">
        <v>3902</v>
      </c>
    </row>
    <row r="3625" spans="1:2">
      <c r="A3625" t="s">
        <v>6645</v>
      </c>
      <c r="B3625" t="s">
        <v>3901</v>
      </c>
    </row>
    <row r="3626" spans="1:2">
      <c r="A3626" t="s">
        <v>6677</v>
      </c>
      <c r="B3626">
        <v>5050445</v>
      </c>
    </row>
    <row r="3627" spans="1:2">
      <c r="A3627" t="s">
        <v>6529</v>
      </c>
      <c r="B3627">
        <v>3300005728</v>
      </c>
    </row>
    <row r="3628" spans="1:2">
      <c r="A3628" t="s">
        <v>6672</v>
      </c>
      <c r="B3628">
        <v>2171893</v>
      </c>
    </row>
    <row r="3629" spans="1:2">
      <c r="A3629" t="s">
        <v>6530</v>
      </c>
      <c r="B3629" t="s">
        <v>6813</v>
      </c>
    </row>
    <row r="3630" spans="1:2">
      <c r="A3630" t="s">
        <v>6529</v>
      </c>
      <c r="B3630">
        <v>3300009157</v>
      </c>
    </row>
    <row r="3631" spans="1:2">
      <c r="A3631" t="s">
        <v>6645</v>
      </c>
      <c r="B3631" t="s">
        <v>2575</v>
      </c>
    </row>
    <row r="3632" spans="1:2">
      <c r="A3632" t="s">
        <v>6528</v>
      </c>
      <c r="B3632">
        <v>2166996</v>
      </c>
    </row>
    <row r="3633" spans="1:2">
      <c r="A3633" t="s">
        <v>6677</v>
      </c>
      <c r="B3633">
        <v>5031839</v>
      </c>
    </row>
    <row r="3634" spans="1:2">
      <c r="A3634" t="s">
        <v>6529</v>
      </c>
      <c r="B3634">
        <v>3300009785</v>
      </c>
    </row>
    <row r="3635" spans="1:2">
      <c r="A3635" t="s">
        <v>6530</v>
      </c>
      <c r="B3635" t="s">
        <v>5501</v>
      </c>
    </row>
    <row r="3636" spans="1:2">
      <c r="A3636" t="s">
        <v>6529</v>
      </c>
      <c r="B3636">
        <v>3300008893</v>
      </c>
    </row>
    <row r="3637" spans="1:2">
      <c r="A3637" t="s">
        <v>6645</v>
      </c>
      <c r="B3637" t="s">
        <v>5500</v>
      </c>
    </row>
    <row r="3638" spans="1:2">
      <c r="A3638" t="s">
        <v>6528</v>
      </c>
      <c r="B3638">
        <v>2114776</v>
      </c>
    </row>
    <row r="3639" spans="1:2">
      <c r="A3639" t="s">
        <v>6677</v>
      </c>
      <c r="B3639">
        <v>5050468</v>
      </c>
    </row>
    <row r="3640" spans="1:2">
      <c r="A3640" t="s">
        <v>6530</v>
      </c>
      <c r="B3640" t="s">
        <v>5634</v>
      </c>
    </row>
    <row r="3641" spans="1:2">
      <c r="A3641" t="s">
        <v>6677</v>
      </c>
      <c r="B3641" t="s">
        <v>5633</v>
      </c>
    </row>
    <row r="3642" spans="1:2">
      <c r="A3642" t="s">
        <v>6528</v>
      </c>
      <c r="B3642">
        <v>2177331</v>
      </c>
    </row>
    <row r="3643" spans="1:2">
      <c r="A3643" t="s">
        <v>6530</v>
      </c>
      <c r="B3643" t="s">
        <v>2522</v>
      </c>
    </row>
    <row r="3644" spans="1:2">
      <c r="A3644" t="s">
        <v>6529</v>
      </c>
      <c r="B3644">
        <v>3300009792</v>
      </c>
    </row>
    <row r="3645" spans="1:2">
      <c r="A3645" t="s">
        <v>6645</v>
      </c>
      <c r="B3645" t="s">
        <v>2520</v>
      </c>
    </row>
    <row r="3646" spans="1:2">
      <c r="A3646" t="s">
        <v>6528</v>
      </c>
      <c r="B3646">
        <v>2119252</v>
      </c>
    </row>
    <row r="3647" spans="1:2">
      <c r="A3647" t="s">
        <v>6677</v>
      </c>
      <c r="B3647" t="s">
        <v>2521</v>
      </c>
    </row>
    <row r="3648" spans="1:2">
      <c r="A3648" t="s">
        <v>6530</v>
      </c>
      <c r="B3648" t="s">
        <v>4167</v>
      </c>
    </row>
    <row r="3649" spans="1:2">
      <c r="A3649" t="s">
        <v>6529</v>
      </c>
      <c r="B3649">
        <v>3300009555</v>
      </c>
    </row>
    <row r="3650" spans="1:2">
      <c r="A3650" t="s">
        <v>6645</v>
      </c>
      <c r="B3650" t="s">
        <v>4166</v>
      </c>
    </row>
    <row r="3651" spans="1:2">
      <c r="A3651" t="s">
        <v>6528</v>
      </c>
      <c r="B3651">
        <v>2177142</v>
      </c>
    </row>
    <row r="3652" spans="1:2">
      <c r="A3652" t="s">
        <v>6530</v>
      </c>
      <c r="B3652" t="s">
        <v>2317</v>
      </c>
    </row>
    <row r="3653" spans="1:2">
      <c r="A3653" t="s">
        <v>6528</v>
      </c>
      <c r="B3653">
        <v>2177335</v>
      </c>
    </row>
    <row r="3654" spans="1:2">
      <c r="A3654" t="s">
        <v>6645</v>
      </c>
      <c r="B3654" t="s">
        <v>2315</v>
      </c>
    </row>
    <row r="3655" spans="1:2">
      <c r="A3655" t="s">
        <v>6677</v>
      </c>
      <c r="B3655" t="s">
        <v>2316</v>
      </c>
    </row>
    <row r="3656" spans="1:2">
      <c r="A3656" t="s">
        <v>6573</v>
      </c>
      <c r="B3656" t="s">
        <v>3484</v>
      </c>
    </row>
    <row r="3657" spans="1:2">
      <c r="A3657" t="s">
        <v>6645</v>
      </c>
      <c r="B3657" t="s">
        <v>3482</v>
      </c>
    </row>
    <row r="3658" spans="1:2">
      <c r="A3658" t="s">
        <v>6677</v>
      </c>
      <c r="B3658">
        <v>5050453</v>
      </c>
    </row>
    <row r="3659" spans="1:2">
      <c r="A3659" t="s">
        <v>6672</v>
      </c>
      <c r="B3659">
        <v>2171981</v>
      </c>
    </row>
    <row r="3660" spans="1:2">
      <c r="A3660" t="s">
        <v>6529</v>
      </c>
      <c r="B3660">
        <v>3300005727</v>
      </c>
    </row>
    <row r="3661" spans="1:2">
      <c r="A3661" t="s">
        <v>6645</v>
      </c>
      <c r="B3661" t="s">
        <v>3483</v>
      </c>
    </row>
    <row r="3662" spans="1:2">
      <c r="A3662" t="s">
        <v>6573</v>
      </c>
      <c r="B3662" t="s">
        <v>3499</v>
      </c>
    </row>
    <row r="3663" spans="1:2">
      <c r="A3663" t="s">
        <v>6645</v>
      </c>
      <c r="B3663" t="s">
        <v>3497</v>
      </c>
    </row>
    <row r="3664" spans="1:2">
      <c r="A3664" t="s">
        <v>6677</v>
      </c>
      <c r="B3664">
        <v>5050431</v>
      </c>
    </row>
    <row r="3665" spans="1:2">
      <c r="A3665" t="s">
        <v>6672</v>
      </c>
      <c r="B3665">
        <v>2171951</v>
      </c>
    </row>
    <row r="3666" spans="1:2">
      <c r="A3666" t="s">
        <v>6529</v>
      </c>
      <c r="B3666">
        <v>3300009561</v>
      </c>
    </row>
    <row r="3667" spans="1:2">
      <c r="A3667" t="s">
        <v>6645</v>
      </c>
      <c r="B3667" t="s">
        <v>3498</v>
      </c>
    </row>
    <row r="3668" spans="1:2">
      <c r="A3668" t="s">
        <v>6569</v>
      </c>
      <c r="B3668" t="s">
        <v>895</v>
      </c>
    </row>
    <row r="3669" spans="1:2">
      <c r="A3669" t="s">
        <v>6528</v>
      </c>
      <c r="B3669">
        <v>2166986</v>
      </c>
    </row>
    <row r="3670" spans="1:2">
      <c r="A3670" t="s">
        <v>6529</v>
      </c>
      <c r="B3670">
        <v>3300010658</v>
      </c>
    </row>
    <row r="3671" spans="1:2">
      <c r="A3671" t="s">
        <v>6642</v>
      </c>
      <c r="B3671" t="s">
        <v>894</v>
      </c>
    </row>
    <row r="3672" spans="1:2">
      <c r="A3672" t="s">
        <v>6530</v>
      </c>
      <c r="B3672" t="s">
        <v>1360</v>
      </c>
    </row>
    <row r="3673" spans="1:2">
      <c r="A3673" t="s">
        <v>6528</v>
      </c>
      <c r="B3673">
        <v>2176738</v>
      </c>
    </row>
    <row r="3674" spans="1:2">
      <c r="A3674" t="s">
        <v>6529</v>
      </c>
      <c r="B3674">
        <v>3300010126</v>
      </c>
    </row>
    <row r="3675" spans="1:2">
      <c r="A3675" t="s">
        <v>6676</v>
      </c>
      <c r="B3675">
        <v>41787</v>
      </c>
    </row>
    <row r="3676" spans="1:2">
      <c r="A3676" t="s">
        <v>6677</v>
      </c>
      <c r="B3676">
        <v>5047872</v>
      </c>
    </row>
    <row r="3677" spans="1:2">
      <c r="A3677" t="s">
        <v>6530</v>
      </c>
      <c r="B3677" t="s">
        <v>6814</v>
      </c>
    </row>
    <row r="3678" spans="1:2">
      <c r="A3678" t="s">
        <v>6529</v>
      </c>
      <c r="B3678">
        <v>3300009743</v>
      </c>
    </row>
    <row r="3679" spans="1:2">
      <c r="A3679" t="s">
        <v>6677</v>
      </c>
      <c r="B3679">
        <v>5050446</v>
      </c>
    </row>
    <row r="3680" spans="1:2">
      <c r="A3680" t="s">
        <v>6528</v>
      </c>
      <c r="B3680">
        <v>2177170</v>
      </c>
    </row>
    <row r="3681" spans="1:2">
      <c r="A3681" t="s">
        <v>6530</v>
      </c>
      <c r="B3681" t="s">
        <v>1785</v>
      </c>
    </row>
    <row r="3682" spans="1:2">
      <c r="A3682" t="s">
        <v>6677</v>
      </c>
      <c r="B3682">
        <v>5042662</v>
      </c>
    </row>
    <row r="3683" spans="1:2">
      <c r="A3683" t="s">
        <v>6645</v>
      </c>
      <c r="B3683" t="s">
        <v>1784</v>
      </c>
    </row>
    <row r="3684" spans="1:2">
      <c r="A3684" t="s">
        <v>6528</v>
      </c>
      <c r="B3684">
        <v>2119182</v>
      </c>
    </row>
    <row r="3685" spans="1:2">
      <c r="A3685" t="s">
        <v>6530</v>
      </c>
      <c r="B3685" t="s">
        <v>6815</v>
      </c>
    </row>
    <row r="3686" spans="1:2">
      <c r="A3686" t="s">
        <v>6672</v>
      </c>
      <c r="B3686">
        <v>2183538</v>
      </c>
    </row>
    <row r="3687" spans="1:2">
      <c r="A3687" t="s">
        <v>6677</v>
      </c>
      <c r="B3687">
        <v>5045682</v>
      </c>
    </row>
    <row r="3688" spans="1:2">
      <c r="A3688" t="s">
        <v>6645</v>
      </c>
      <c r="B3688" t="s">
        <v>4944</v>
      </c>
    </row>
    <row r="3689" spans="1:2">
      <c r="A3689" t="s">
        <v>6529</v>
      </c>
      <c r="B3689">
        <v>3300004114</v>
      </c>
    </row>
    <row r="3690" spans="1:2">
      <c r="A3690" t="s">
        <v>6672</v>
      </c>
      <c r="B3690">
        <v>2183601</v>
      </c>
    </row>
    <row r="3691" spans="1:2">
      <c r="A3691" t="s">
        <v>6530</v>
      </c>
      <c r="B3691" t="s">
        <v>4999</v>
      </c>
    </row>
    <row r="3692" spans="1:2">
      <c r="A3692" t="s">
        <v>6672</v>
      </c>
      <c r="B3692">
        <v>2183536</v>
      </c>
    </row>
    <row r="3693" spans="1:2">
      <c r="A3693" t="s">
        <v>6642</v>
      </c>
      <c r="B3693" t="s">
        <v>4997</v>
      </c>
    </row>
    <row r="3694" spans="1:2">
      <c r="A3694" t="s">
        <v>6529</v>
      </c>
      <c r="B3694">
        <v>3300009775</v>
      </c>
    </row>
    <row r="3695" spans="1:2">
      <c r="A3695" t="s">
        <v>6677</v>
      </c>
      <c r="B3695" t="s">
        <v>4998</v>
      </c>
    </row>
    <row r="3696" spans="1:2">
      <c r="A3696" t="s">
        <v>6672</v>
      </c>
      <c r="B3696">
        <v>2183550</v>
      </c>
    </row>
    <row r="3697" spans="1:2">
      <c r="A3697" t="s">
        <v>6530</v>
      </c>
      <c r="B3697" t="s">
        <v>6062</v>
      </c>
    </row>
    <row r="3698" spans="1:2">
      <c r="A3698" t="s">
        <v>6529</v>
      </c>
      <c r="B3698">
        <v>3300009749</v>
      </c>
    </row>
    <row r="3699" spans="1:2">
      <c r="A3699" t="s">
        <v>6645</v>
      </c>
      <c r="B3699" t="s">
        <v>6060</v>
      </c>
    </row>
    <row r="3700" spans="1:2">
      <c r="A3700" t="s">
        <v>6677</v>
      </c>
      <c r="B3700" t="s">
        <v>6061</v>
      </c>
    </row>
    <row r="3701" spans="1:2">
      <c r="A3701" t="s">
        <v>6530</v>
      </c>
      <c r="B3701" t="s">
        <v>2648</v>
      </c>
    </row>
    <row r="3702" spans="1:2">
      <c r="A3702" t="s">
        <v>6672</v>
      </c>
      <c r="B3702">
        <v>2183472</v>
      </c>
    </row>
    <row r="3703" spans="1:2">
      <c r="A3703" t="s">
        <v>6642</v>
      </c>
      <c r="B3703" t="s">
        <v>2647</v>
      </c>
    </row>
    <row r="3704" spans="1:2">
      <c r="A3704" t="s">
        <v>6529</v>
      </c>
      <c r="B3704">
        <v>3300009774</v>
      </c>
    </row>
    <row r="3705" spans="1:2">
      <c r="A3705" t="s">
        <v>6530</v>
      </c>
      <c r="B3705" t="s">
        <v>920</v>
      </c>
    </row>
    <row r="3706" spans="1:2">
      <c r="A3706" t="s">
        <v>6632</v>
      </c>
      <c r="B3706" t="s">
        <v>918</v>
      </c>
    </row>
    <row r="3707" spans="1:2">
      <c r="A3707" t="s">
        <v>6529</v>
      </c>
      <c r="B3707">
        <v>3300004120</v>
      </c>
    </row>
    <row r="3708" spans="1:2">
      <c r="A3708" t="s">
        <v>6528</v>
      </c>
      <c r="B3708">
        <v>2087175</v>
      </c>
    </row>
    <row r="3709" spans="1:2">
      <c r="A3709" t="s">
        <v>6529</v>
      </c>
      <c r="B3709">
        <v>3300006813</v>
      </c>
    </row>
    <row r="3710" spans="1:2">
      <c r="A3710" t="s">
        <v>6677</v>
      </c>
      <c r="B3710" t="s">
        <v>919</v>
      </c>
    </row>
    <row r="3711" spans="1:2">
      <c r="A3711" t="s">
        <v>6573</v>
      </c>
      <c r="B3711" t="s">
        <v>4417</v>
      </c>
    </row>
    <row r="3712" spans="1:2">
      <c r="A3712" t="s">
        <v>6529</v>
      </c>
      <c r="B3712">
        <v>3300009723</v>
      </c>
    </row>
    <row r="3713" spans="1:2">
      <c r="A3713" t="s">
        <v>6645</v>
      </c>
      <c r="B3713" t="s">
        <v>4416</v>
      </c>
    </row>
    <row r="3714" spans="1:2">
      <c r="A3714" t="s">
        <v>6528</v>
      </c>
      <c r="B3714">
        <v>2177365</v>
      </c>
    </row>
    <row r="3715" spans="1:2">
      <c r="A3715" t="s">
        <v>6530</v>
      </c>
      <c r="B3715" t="s">
        <v>1627</v>
      </c>
    </row>
    <row r="3716" spans="1:2">
      <c r="A3716" t="s">
        <v>6683</v>
      </c>
      <c r="B3716" t="s">
        <v>1625</v>
      </c>
    </row>
    <row r="3717" spans="1:2">
      <c r="A3717" t="s">
        <v>6529</v>
      </c>
      <c r="B3717">
        <v>3300009546</v>
      </c>
    </row>
    <row r="3718" spans="1:2">
      <c r="A3718" t="s">
        <v>6672</v>
      </c>
      <c r="B3718">
        <v>2172011</v>
      </c>
    </row>
    <row r="3719" spans="1:2">
      <c r="A3719" t="s">
        <v>6677</v>
      </c>
      <c r="B3719">
        <v>5049716</v>
      </c>
    </row>
    <row r="3720" spans="1:2">
      <c r="A3720" t="s">
        <v>6645</v>
      </c>
      <c r="B3720" t="s">
        <v>1626</v>
      </c>
    </row>
    <row r="3721" spans="1:2">
      <c r="A3721" t="s">
        <v>6573</v>
      </c>
      <c r="B3721" t="s">
        <v>4581</v>
      </c>
    </row>
    <row r="3722" spans="1:2">
      <c r="A3722" t="s">
        <v>6672</v>
      </c>
      <c r="B3722">
        <v>2183496</v>
      </c>
    </row>
    <row r="3723" spans="1:2">
      <c r="A3723" t="s">
        <v>6677</v>
      </c>
      <c r="B3723">
        <v>5042674</v>
      </c>
    </row>
    <row r="3724" spans="1:2">
      <c r="A3724" t="s">
        <v>6645</v>
      </c>
      <c r="B3724" t="s">
        <v>4580</v>
      </c>
    </row>
    <row r="3725" spans="1:2">
      <c r="A3725" t="s">
        <v>6529</v>
      </c>
      <c r="B3725">
        <v>3300009821</v>
      </c>
    </row>
    <row r="3726" spans="1:2">
      <c r="A3726" t="s">
        <v>6529</v>
      </c>
      <c r="B3726">
        <v>3300008130</v>
      </c>
    </row>
    <row r="3727" spans="1:2">
      <c r="A3727" t="s">
        <v>6530</v>
      </c>
      <c r="B3727" t="s">
        <v>3116</v>
      </c>
    </row>
    <row r="3728" spans="1:2">
      <c r="A3728" t="s">
        <v>6528</v>
      </c>
      <c r="B3728">
        <v>2114746</v>
      </c>
    </row>
    <row r="3729" spans="1:2">
      <c r="A3729" t="s">
        <v>6642</v>
      </c>
      <c r="B3729" t="s">
        <v>3115</v>
      </c>
    </row>
    <row r="3730" spans="1:2">
      <c r="A3730" t="s">
        <v>6530</v>
      </c>
      <c r="B3730" t="s">
        <v>5402</v>
      </c>
    </row>
    <row r="3731" spans="1:2">
      <c r="A3731" t="s">
        <v>6528</v>
      </c>
      <c r="B3731">
        <v>2103944</v>
      </c>
    </row>
    <row r="3732" spans="1:2">
      <c r="A3732" t="s">
        <v>6677</v>
      </c>
      <c r="B3732">
        <v>5031907</v>
      </c>
    </row>
    <row r="3733" spans="1:2">
      <c r="A3733" t="s">
        <v>6529</v>
      </c>
      <c r="B3733">
        <v>3300009550</v>
      </c>
    </row>
    <row r="3734" spans="1:2">
      <c r="A3734" t="s">
        <v>6530</v>
      </c>
      <c r="B3734" t="s">
        <v>3907</v>
      </c>
    </row>
    <row r="3735" spans="1:2">
      <c r="A3735" t="s">
        <v>6672</v>
      </c>
      <c r="B3735">
        <v>2183557</v>
      </c>
    </row>
    <row r="3736" spans="1:2">
      <c r="A3736" t="s">
        <v>6677</v>
      </c>
      <c r="B3736" t="s">
        <v>3906</v>
      </c>
    </row>
    <row r="3737" spans="1:2">
      <c r="A3737" t="s">
        <v>6676</v>
      </c>
      <c r="B3737">
        <v>41783</v>
      </c>
    </row>
    <row r="3738" spans="1:2">
      <c r="A3738" t="s">
        <v>6530</v>
      </c>
      <c r="B3738" t="s">
        <v>5567</v>
      </c>
    </row>
    <row r="3739" spans="1:2">
      <c r="A3739" t="s">
        <v>6529</v>
      </c>
      <c r="B3739">
        <v>3300005157</v>
      </c>
    </row>
    <row r="3740" spans="1:2">
      <c r="A3740" t="s">
        <v>6645</v>
      </c>
      <c r="B3740" t="s">
        <v>5566</v>
      </c>
    </row>
    <row r="3741" spans="1:2">
      <c r="A3741" t="s">
        <v>6530</v>
      </c>
      <c r="B3741" t="s">
        <v>6816</v>
      </c>
    </row>
    <row r="3742" spans="1:2">
      <c r="A3742" t="s">
        <v>6672</v>
      </c>
      <c r="B3742">
        <v>2171984</v>
      </c>
    </row>
    <row r="3743" spans="1:2">
      <c r="A3743" t="s">
        <v>6645</v>
      </c>
      <c r="B3743" t="s">
        <v>5573</v>
      </c>
    </row>
    <row r="3744" spans="1:2">
      <c r="A3744" t="s">
        <v>6530</v>
      </c>
      <c r="B3744" t="s">
        <v>5103</v>
      </c>
    </row>
    <row r="3745" spans="1:2">
      <c r="A3745" t="s">
        <v>6528</v>
      </c>
      <c r="B3745">
        <v>2117477</v>
      </c>
    </row>
    <row r="3746" spans="1:2">
      <c r="A3746" t="s">
        <v>6645</v>
      </c>
      <c r="B3746" t="s">
        <v>5101</v>
      </c>
    </row>
    <row r="3747" spans="1:2">
      <c r="A3747" t="s">
        <v>6529</v>
      </c>
      <c r="B3747">
        <v>3300009764</v>
      </c>
    </row>
    <row r="3748" spans="1:2">
      <c r="A3748" t="s">
        <v>6528</v>
      </c>
      <c r="B3748">
        <v>2103942</v>
      </c>
    </row>
    <row r="3749" spans="1:2">
      <c r="A3749" t="s">
        <v>6683</v>
      </c>
      <c r="B3749" t="s">
        <v>5102</v>
      </c>
    </row>
    <row r="3750" spans="1:2">
      <c r="A3750" t="s">
        <v>6530</v>
      </c>
      <c r="B3750" t="s">
        <v>5862</v>
      </c>
    </row>
    <row r="3751" spans="1:2">
      <c r="A3751" t="s">
        <v>6672</v>
      </c>
      <c r="B3751">
        <v>2183468</v>
      </c>
    </row>
    <row r="3752" spans="1:2">
      <c r="A3752" t="s">
        <v>6642</v>
      </c>
      <c r="B3752" t="s">
        <v>5861</v>
      </c>
    </row>
    <row r="3753" spans="1:2">
      <c r="A3753" t="s">
        <v>6529</v>
      </c>
      <c r="B3753">
        <v>3300009783</v>
      </c>
    </row>
    <row r="3754" spans="1:2">
      <c r="A3754" t="s">
        <v>6530</v>
      </c>
      <c r="B3754" t="s">
        <v>3477</v>
      </c>
    </row>
    <row r="3755" spans="1:2">
      <c r="A3755" t="s">
        <v>6672</v>
      </c>
      <c r="B3755">
        <v>2183461</v>
      </c>
    </row>
    <row r="3756" spans="1:2">
      <c r="A3756" t="s">
        <v>6642</v>
      </c>
      <c r="B3756" t="s">
        <v>3476</v>
      </c>
    </row>
    <row r="3757" spans="1:2">
      <c r="A3757" t="s">
        <v>6529</v>
      </c>
      <c r="B3757">
        <v>3300010893</v>
      </c>
    </row>
    <row r="3758" spans="1:2">
      <c r="A3758" t="s">
        <v>6672</v>
      </c>
      <c r="B3758">
        <v>2183603</v>
      </c>
    </row>
    <row r="3759" spans="1:2">
      <c r="A3759" t="s">
        <v>6573</v>
      </c>
      <c r="B3759" t="s">
        <v>2406</v>
      </c>
    </row>
    <row r="3760" spans="1:2">
      <c r="A3760" t="s">
        <v>6529</v>
      </c>
      <c r="B3760">
        <v>3300002808</v>
      </c>
    </row>
    <row r="3761" spans="1:2">
      <c r="A3761" t="s">
        <v>6645</v>
      </c>
      <c r="B3761" t="s">
        <v>2405</v>
      </c>
    </row>
    <row r="3762" spans="1:2">
      <c r="A3762" t="s">
        <v>6677</v>
      </c>
      <c r="B3762">
        <v>5050454</v>
      </c>
    </row>
    <row r="3763" spans="1:2">
      <c r="A3763" t="s">
        <v>6530</v>
      </c>
      <c r="B3763" t="s">
        <v>5538</v>
      </c>
    </row>
    <row r="3764" spans="1:2">
      <c r="A3764" t="s">
        <v>6672</v>
      </c>
      <c r="B3764">
        <v>2183608</v>
      </c>
    </row>
    <row r="3765" spans="1:2">
      <c r="A3765" t="s">
        <v>6642</v>
      </c>
      <c r="B3765" t="s">
        <v>5537</v>
      </c>
    </row>
    <row r="3766" spans="1:2">
      <c r="A3766" t="s">
        <v>6529</v>
      </c>
      <c r="B3766">
        <v>3300009782</v>
      </c>
    </row>
    <row r="3767" spans="1:2">
      <c r="A3767" t="s">
        <v>6672</v>
      </c>
      <c r="B3767">
        <v>2183610</v>
      </c>
    </row>
    <row r="3768" spans="1:2">
      <c r="A3768" t="s">
        <v>6530</v>
      </c>
      <c r="B3768" t="s">
        <v>1152</v>
      </c>
    </row>
    <row r="3769" spans="1:2">
      <c r="A3769" t="s">
        <v>6672</v>
      </c>
      <c r="B3769">
        <v>2183589</v>
      </c>
    </row>
    <row r="3770" spans="1:2">
      <c r="A3770" t="s">
        <v>6677</v>
      </c>
      <c r="B3770">
        <v>5059330</v>
      </c>
    </row>
    <row r="3771" spans="1:2">
      <c r="A3771" t="s">
        <v>6645</v>
      </c>
      <c r="B3771" t="s">
        <v>1151</v>
      </c>
    </row>
    <row r="3772" spans="1:2">
      <c r="A3772" t="s">
        <v>6573</v>
      </c>
      <c r="B3772" t="s">
        <v>3642</v>
      </c>
    </row>
    <row r="3773" spans="1:2">
      <c r="A3773" t="s">
        <v>6672</v>
      </c>
      <c r="B3773">
        <v>2183539</v>
      </c>
    </row>
    <row r="3774" spans="1:2">
      <c r="A3774" t="s">
        <v>6642</v>
      </c>
      <c r="B3774" t="s">
        <v>3641</v>
      </c>
    </row>
    <row r="3775" spans="1:2">
      <c r="A3775" t="s">
        <v>6529</v>
      </c>
      <c r="B3775">
        <v>3300005170</v>
      </c>
    </row>
    <row r="3776" spans="1:2">
      <c r="A3776" t="s">
        <v>6530</v>
      </c>
      <c r="B3776" t="s">
        <v>5496</v>
      </c>
    </row>
    <row r="3777" spans="1:2">
      <c r="A3777" t="s">
        <v>6645</v>
      </c>
      <c r="B3777" t="s">
        <v>5494</v>
      </c>
    </row>
    <row r="3778" spans="1:2">
      <c r="A3778" t="s">
        <v>6529</v>
      </c>
      <c r="B3778">
        <v>3300009517</v>
      </c>
    </row>
    <row r="3779" spans="1:2">
      <c r="A3779" t="s">
        <v>6672</v>
      </c>
      <c r="B3779">
        <v>2171898</v>
      </c>
    </row>
    <row r="3780" spans="1:2">
      <c r="A3780" t="s">
        <v>6677</v>
      </c>
      <c r="B3780">
        <v>5001465</v>
      </c>
    </row>
    <row r="3781" spans="1:2">
      <c r="A3781" t="s">
        <v>6645</v>
      </c>
      <c r="B3781" t="s">
        <v>5495</v>
      </c>
    </row>
    <row r="3782" spans="1:2">
      <c r="A3782" t="s">
        <v>6530</v>
      </c>
      <c r="B3782" t="s">
        <v>2370</v>
      </c>
    </row>
    <row r="3783" spans="1:2">
      <c r="A3783" t="s">
        <v>6529</v>
      </c>
      <c r="B3783">
        <v>3300012263</v>
      </c>
    </row>
    <row r="3784" spans="1:2">
      <c r="A3784" t="s">
        <v>6529</v>
      </c>
      <c r="B3784">
        <v>3300012295</v>
      </c>
    </row>
    <row r="3785" spans="1:2">
      <c r="A3785" t="s">
        <v>6645</v>
      </c>
      <c r="B3785" t="s">
        <v>2369</v>
      </c>
    </row>
    <row r="3786" spans="1:2">
      <c r="A3786" t="s">
        <v>6677</v>
      </c>
      <c r="B3786">
        <v>5059383</v>
      </c>
    </row>
    <row r="3787" spans="1:2">
      <c r="A3787" t="s">
        <v>6672</v>
      </c>
      <c r="B3787">
        <v>2183565</v>
      </c>
    </row>
    <row r="3788" spans="1:2">
      <c r="A3788" t="s">
        <v>6530</v>
      </c>
      <c r="B3788" t="s">
        <v>5873</v>
      </c>
    </row>
    <row r="3789" spans="1:2">
      <c r="A3789" t="s">
        <v>6672</v>
      </c>
      <c r="B3789">
        <v>2183591</v>
      </c>
    </row>
    <row r="3790" spans="1:2">
      <c r="A3790" t="s">
        <v>6677</v>
      </c>
      <c r="B3790">
        <v>5014441</v>
      </c>
    </row>
    <row r="3791" spans="1:2">
      <c r="A3791" t="s">
        <v>6529</v>
      </c>
      <c r="B3791">
        <v>3300010076</v>
      </c>
    </row>
    <row r="3792" spans="1:2">
      <c r="A3792" t="s">
        <v>6645</v>
      </c>
      <c r="B3792" t="s">
        <v>5872</v>
      </c>
    </row>
    <row r="3793" spans="1:2">
      <c r="A3793" t="s">
        <v>6530</v>
      </c>
      <c r="B3793" t="s">
        <v>4058</v>
      </c>
    </row>
    <row r="3794" spans="1:2">
      <c r="A3794" t="s">
        <v>6528</v>
      </c>
      <c r="B3794">
        <v>2172359</v>
      </c>
    </row>
    <row r="3795" spans="1:2">
      <c r="A3795" t="s">
        <v>6645</v>
      </c>
      <c r="B3795" t="s">
        <v>4057</v>
      </c>
    </row>
    <row r="3796" spans="1:2">
      <c r="A3796" t="s">
        <v>6529</v>
      </c>
      <c r="B3796">
        <v>3300006557</v>
      </c>
    </row>
    <row r="3797" spans="1:2">
      <c r="A3797" t="s">
        <v>6530</v>
      </c>
      <c r="B3797" t="s">
        <v>3069</v>
      </c>
    </row>
    <row r="3798" spans="1:2">
      <c r="A3798" t="s">
        <v>6528</v>
      </c>
      <c r="B3798">
        <v>2119211</v>
      </c>
    </row>
    <row r="3799" spans="1:2">
      <c r="A3799" t="s">
        <v>6677</v>
      </c>
      <c r="B3799" t="s">
        <v>3067</v>
      </c>
    </row>
    <row r="3800" spans="1:2">
      <c r="A3800" t="s">
        <v>6645</v>
      </c>
      <c r="B3800" t="s">
        <v>3068</v>
      </c>
    </row>
    <row r="3801" spans="1:2">
      <c r="A3801" t="s">
        <v>6672</v>
      </c>
      <c r="B3801">
        <v>2171970</v>
      </c>
    </row>
    <row r="3802" spans="1:2">
      <c r="A3802" t="s">
        <v>6530</v>
      </c>
      <c r="B3802" t="s">
        <v>6817</v>
      </c>
    </row>
    <row r="3803" spans="1:2">
      <c r="A3803" t="s">
        <v>6672</v>
      </c>
      <c r="B3803">
        <v>2183479</v>
      </c>
    </row>
    <row r="3804" spans="1:2">
      <c r="A3804" t="s">
        <v>6529</v>
      </c>
      <c r="B3804">
        <v>3300011819</v>
      </c>
    </row>
    <row r="3805" spans="1:2">
      <c r="A3805" t="s">
        <v>6645</v>
      </c>
      <c r="B3805" t="s">
        <v>1244</v>
      </c>
    </row>
    <row r="3806" spans="1:2">
      <c r="A3806" t="s">
        <v>6530</v>
      </c>
      <c r="B3806" t="s">
        <v>3143</v>
      </c>
    </row>
    <row r="3807" spans="1:2">
      <c r="A3807" t="s">
        <v>6645</v>
      </c>
      <c r="B3807" t="s">
        <v>3142</v>
      </c>
    </row>
    <row r="3808" spans="1:2">
      <c r="A3808" t="s">
        <v>6529</v>
      </c>
      <c r="B3808">
        <v>3300003617</v>
      </c>
    </row>
    <row r="3809" spans="1:2">
      <c r="A3809" t="s">
        <v>6672</v>
      </c>
      <c r="B3809">
        <v>2171921</v>
      </c>
    </row>
    <row r="3810" spans="1:2">
      <c r="A3810" t="s">
        <v>6530</v>
      </c>
      <c r="B3810" t="s">
        <v>1599</v>
      </c>
    </row>
    <row r="3811" spans="1:2">
      <c r="A3811" t="s">
        <v>6528</v>
      </c>
      <c r="B3811">
        <v>2116308</v>
      </c>
    </row>
    <row r="3812" spans="1:2">
      <c r="A3812" t="s">
        <v>6645</v>
      </c>
      <c r="B3812" t="s">
        <v>1598</v>
      </c>
    </row>
    <row r="3813" spans="1:2">
      <c r="A3813" t="s">
        <v>6528</v>
      </c>
      <c r="B3813">
        <v>2115664</v>
      </c>
    </row>
    <row r="3814" spans="1:2">
      <c r="A3814" t="s">
        <v>6529</v>
      </c>
      <c r="B3814">
        <v>3300008150</v>
      </c>
    </row>
    <row r="3815" spans="1:2">
      <c r="A3815" t="s">
        <v>6530</v>
      </c>
      <c r="B3815" t="s">
        <v>1736</v>
      </c>
    </row>
    <row r="3816" spans="1:2">
      <c r="A3816" t="s">
        <v>6677</v>
      </c>
      <c r="B3816">
        <v>5049708</v>
      </c>
    </row>
    <row r="3817" spans="1:2">
      <c r="A3817" t="s">
        <v>6645</v>
      </c>
      <c r="B3817" t="s">
        <v>1735</v>
      </c>
    </row>
    <row r="3818" spans="1:2">
      <c r="A3818" t="s">
        <v>6529</v>
      </c>
      <c r="B3818">
        <v>3300009716</v>
      </c>
    </row>
    <row r="3819" spans="1:2">
      <c r="A3819" t="s">
        <v>6672</v>
      </c>
      <c r="B3819">
        <v>2171912</v>
      </c>
    </row>
    <row r="3820" spans="1:2">
      <c r="A3820" t="s">
        <v>6677</v>
      </c>
      <c r="B3820">
        <v>5049710</v>
      </c>
    </row>
    <row r="3821" spans="1:2">
      <c r="A3821" t="s">
        <v>6530</v>
      </c>
      <c r="B3821" t="s">
        <v>1730</v>
      </c>
    </row>
    <row r="3822" spans="1:2">
      <c r="A3822" t="s">
        <v>6645</v>
      </c>
      <c r="B3822" t="s">
        <v>1728</v>
      </c>
    </row>
    <row r="3823" spans="1:2">
      <c r="A3823" t="s">
        <v>6529</v>
      </c>
      <c r="B3823">
        <v>3300009748</v>
      </c>
    </row>
    <row r="3824" spans="1:2">
      <c r="A3824" t="s">
        <v>6672</v>
      </c>
      <c r="B3824">
        <v>2171882</v>
      </c>
    </row>
    <row r="3825" spans="1:2">
      <c r="A3825" t="s">
        <v>6677</v>
      </c>
      <c r="B3825">
        <v>5050424</v>
      </c>
    </row>
    <row r="3826" spans="1:2">
      <c r="A3826" t="s">
        <v>6645</v>
      </c>
      <c r="B3826" t="s">
        <v>1729</v>
      </c>
    </row>
    <row r="3827" spans="1:2">
      <c r="A3827" t="s">
        <v>6530</v>
      </c>
      <c r="B3827" t="s">
        <v>2474</v>
      </c>
    </row>
    <row r="3828" spans="1:2">
      <c r="A3828" t="s">
        <v>6529</v>
      </c>
      <c r="B3828">
        <v>3300009707</v>
      </c>
    </row>
    <row r="3829" spans="1:2">
      <c r="A3829" t="s">
        <v>6645</v>
      </c>
      <c r="B3829" t="s">
        <v>2473</v>
      </c>
    </row>
    <row r="3830" spans="1:2">
      <c r="A3830" t="s">
        <v>6528</v>
      </c>
      <c r="B3830">
        <v>2177404</v>
      </c>
    </row>
    <row r="3831" spans="1:2">
      <c r="A3831" t="s">
        <v>6677</v>
      </c>
      <c r="B3831">
        <v>5050456</v>
      </c>
    </row>
    <row r="3832" spans="1:2">
      <c r="A3832" t="s">
        <v>6530</v>
      </c>
      <c r="B3832" t="s">
        <v>3419</v>
      </c>
    </row>
    <row r="3833" spans="1:2">
      <c r="A3833" t="s">
        <v>6529</v>
      </c>
      <c r="B3833">
        <v>3300009535</v>
      </c>
    </row>
    <row r="3834" spans="1:2">
      <c r="A3834" t="s">
        <v>6677</v>
      </c>
      <c r="B3834">
        <v>5050441</v>
      </c>
    </row>
    <row r="3835" spans="1:2">
      <c r="A3835" t="s">
        <v>6645</v>
      </c>
      <c r="B3835" t="s">
        <v>3418</v>
      </c>
    </row>
    <row r="3836" spans="1:2">
      <c r="A3836" t="s">
        <v>6528</v>
      </c>
      <c r="B3836">
        <v>2177181</v>
      </c>
    </row>
    <row r="3837" spans="1:2">
      <c r="A3837" t="s">
        <v>6529</v>
      </c>
      <c r="B3837">
        <v>3300011803</v>
      </c>
    </row>
    <row r="3838" spans="1:2">
      <c r="A3838" t="s">
        <v>6530</v>
      </c>
      <c r="B3838" t="s">
        <v>6818</v>
      </c>
    </row>
    <row r="3839" spans="1:2">
      <c r="A3839" t="s">
        <v>6677</v>
      </c>
      <c r="B3839">
        <v>5033022</v>
      </c>
    </row>
    <row r="3840" spans="1:2">
      <c r="A3840" t="s">
        <v>6528</v>
      </c>
      <c r="B3840">
        <v>2116052</v>
      </c>
    </row>
    <row r="3841" spans="1:2">
      <c r="A3841" t="s">
        <v>6642</v>
      </c>
      <c r="B3841" t="s">
        <v>1722</v>
      </c>
    </row>
    <row r="3842" spans="1:2">
      <c r="A3842" t="s">
        <v>6528</v>
      </c>
      <c r="B3842">
        <v>2116042</v>
      </c>
    </row>
    <row r="3843" spans="1:2">
      <c r="A3843" t="s">
        <v>6677</v>
      </c>
      <c r="B3843">
        <v>5033026</v>
      </c>
    </row>
    <row r="3844" spans="1:2">
      <c r="A3844" t="s">
        <v>6530</v>
      </c>
      <c r="B3844" t="s">
        <v>1964</v>
      </c>
    </row>
    <row r="3845" spans="1:2">
      <c r="A3845" t="s">
        <v>6645</v>
      </c>
      <c r="B3845" t="s">
        <v>1963</v>
      </c>
    </row>
    <row r="3846" spans="1:2">
      <c r="A3846" t="s">
        <v>6529</v>
      </c>
      <c r="B3846">
        <v>3300009547</v>
      </c>
    </row>
    <row r="3847" spans="1:2">
      <c r="A3847" t="s">
        <v>6672</v>
      </c>
      <c r="B3847">
        <v>2172007</v>
      </c>
    </row>
    <row r="3848" spans="1:2">
      <c r="A3848" t="s">
        <v>6529</v>
      </c>
      <c r="B3848">
        <v>3300009558</v>
      </c>
    </row>
    <row r="3849" spans="1:2">
      <c r="A3849" t="s">
        <v>6677</v>
      </c>
      <c r="B3849">
        <v>5031872</v>
      </c>
    </row>
    <row r="3850" spans="1:2">
      <c r="A3850" t="s">
        <v>6530</v>
      </c>
      <c r="B3850" t="s">
        <v>3381</v>
      </c>
    </row>
    <row r="3851" spans="1:2">
      <c r="A3851" t="s">
        <v>6645</v>
      </c>
      <c r="B3851" t="s">
        <v>3379</v>
      </c>
    </row>
    <row r="3852" spans="1:2">
      <c r="A3852" t="s">
        <v>6677</v>
      </c>
      <c r="B3852">
        <v>5050433</v>
      </c>
    </row>
    <row r="3853" spans="1:2">
      <c r="A3853" t="s">
        <v>6672</v>
      </c>
      <c r="B3853">
        <v>2171952</v>
      </c>
    </row>
    <row r="3854" spans="1:2">
      <c r="A3854" t="s">
        <v>6529</v>
      </c>
      <c r="B3854">
        <v>3300005729</v>
      </c>
    </row>
    <row r="3855" spans="1:2">
      <c r="A3855" t="s">
        <v>6632</v>
      </c>
      <c r="B3855" t="s">
        <v>3380</v>
      </c>
    </row>
    <row r="3856" spans="1:2">
      <c r="A3856" t="s">
        <v>6530</v>
      </c>
      <c r="B3856" t="s">
        <v>5886</v>
      </c>
    </row>
    <row r="3857" spans="1:2">
      <c r="A3857" t="s">
        <v>6529</v>
      </c>
      <c r="B3857">
        <v>3300009538</v>
      </c>
    </row>
    <row r="3858" spans="1:2">
      <c r="A3858" t="s">
        <v>6645</v>
      </c>
      <c r="B3858" t="s">
        <v>5885</v>
      </c>
    </row>
    <row r="3859" spans="1:2">
      <c r="A3859" t="s">
        <v>6677</v>
      </c>
      <c r="B3859">
        <v>5049700</v>
      </c>
    </row>
    <row r="3860" spans="1:2">
      <c r="A3860" t="s">
        <v>6672</v>
      </c>
      <c r="B3860">
        <v>2171987</v>
      </c>
    </row>
    <row r="3861" spans="1:2">
      <c r="A3861" t="s">
        <v>6529</v>
      </c>
      <c r="B3861">
        <v>3300009708</v>
      </c>
    </row>
    <row r="3862" spans="1:2">
      <c r="A3862" t="s">
        <v>6530</v>
      </c>
      <c r="B3862" t="s">
        <v>3150</v>
      </c>
    </row>
    <row r="3863" spans="1:2">
      <c r="A3863" t="s">
        <v>6645</v>
      </c>
      <c r="B3863" t="s">
        <v>3148</v>
      </c>
    </row>
    <row r="3864" spans="1:2">
      <c r="A3864" t="s">
        <v>6529</v>
      </c>
      <c r="B3864">
        <v>3300003000</v>
      </c>
    </row>
    <row r="3865" spans="1:2">
      <c r="A3865" t="s">
        <v>6672</v>
      </c>
      <c r="B3865">
        <v>2171910</v>
      </c>
    </row>
    <row r="3866" spans="1:2">
      <c r="A3866" t="s">
        <v>6677</v>
      </c>
      <c r="B3866">
        <v>5047871</v>
      </c>
    </row>
    <row r="3867" spans="1:2">
      <c r="A3867" t="s">
        <v>6645</v>
      </c>
      <c r="B3867" t="s">
        <v>3149</v>
      </c>
    </row>
    <row r="3868" spans="1:2">
      <c r="A3868" t="s">
        <v>6530</v>
      </c>
      <c r="B3868" t="s">
        <v>1442</v>
      </c>
    </row>
    <row r="3869" spans="1:2">
      <c r="A3869" t="s">
        <v>6677</v>
      </c>
      <c r="B3869" t="s">
        <v>1440</v>
      </c>
    </row>
    <row r="3870" spans="1:2">
      <c r="A3870" t="s">
        <v>6675</v>
      </c>
      <c r="B3870">
        <v>3400002976</v>
      </c>
    </row>
    <row r="3871" spans="1:2">
      <c r="A3871" t="s">
        <v>6632</v>
      </c>
      <c r="B3871" t="s">
        <v>1441</v>
      </c>
    </row>
    <row r="3872" spans="1:2">
      <c r="A3872" t="s">
        <v>6673</v>
      </c>
      <c r="B3872">
        <v>2199644</v>
      </c>
    </row>
    <row r="3873" spans="1:2">
      <c r="A3873" t="s">
        <v>6529</v>
      </c>
      <c r="B3873">
        <v>3300012808</v>
      </c>
    </row>
    <row r="3874" spans="1:2">
      <c r="A3874" t="s">
        <v>6530</v>
      </c>
      <c r="B3874" t="s">
        <v>4625</v>
      </c>
    </row>
    <row r="3875" spans="1:2">
      <c r="A3875" t="s">
        <v>6677</v>
      </c>
      <c r="B3875">
        <v>5070886</v>
      </c>
    </row>
    <row r="3876" spans="1:2">
      <c r="A3876" t="s">
        <v>6529</v>
      </c>
      <c r="B3876">
        <v>3300008120</v>
      </c>
    </row>
    <row r="3877" spans="1:2">
      <c r="A3877" t="s">
        <v>6645</v>
      </c>
      <c r="B3877" t="s">
        <v>4623</v>
      </c>
    </row>
    <row r="3878" spans="1:2">
      <c r="A3878" t="s">
        <v>6672</v>
      </c>
      <c r="B3878">
        <v>2171976</v>
      </c>
    </row>
    <row r="3879" spans="1:2">
      <c r="A3879" t="s">
        <v>6677</v>
      </c>
      <c r="B3879" t="s">
        <v>4624</v>
      </c>
    </row>
    <row r="3880" spans="1:2">
      <c r="A3880" t="s">
        <v>6530</v>
      </c>
      <c r="B3880" t="s">
        <v>4696</v>
      </c>
    </row>
    <row r="3881" spans="1:2">
      <c r="A3881" t="s">
        <v>6528</v>
      </c>
      <c r="B3881">
        <v>2114760</v>
      </c>
    </row>
    <row r="3882" spans="1:2">
      <c r="A3882" t="s">
        <v>6642</v>
      </c>
      <c r="B3882" t="s">
        <v>4695</v>
      </c>
    </row>
    <row r="3883" spans="1:2">
      <c r="A3883" t="s">
        <v>6677</v>
      </c>
      <c r="B3883">
        <v>5059307</v>
      </c>
    </row>
    <row r="3884" spans="1:2">
      <c r="A3884" t="s">
        <v>6530</v>
      </c>
      <c r="B3884" t="s">
        <v>6819</v>
      </c>
    </row>
    <row r="3885" spans="1:2">
      <c r="A3885" t="s">
        <v>6672</v>
      </c>
      <c r="B3885">
        <v>2183597</v>
      </c>
    </row>
    <row r="3886" spans="1:2">
      <c r="A3886" t="s">
        <v>6529</v>
      </c>
      <c r="B3886">
        <v>3300002988</v>
      </c>
    </row>
    <row r="3887" spans="1:2">
      <c r="A3887" t="s">
        <v>6645</v>
      </c>
      <c r="B3887" t="s">
        <v>3255</v>
      </c>
    </row>
    <row r="3888" spans="1:2">
      <c r="A3888" t="s">
        <v>6677</v>
      </c>
      <c r="B3888">
        <v>5047870</v>
      </c>
    </row>
    <row r="3889" spans="1:2">
      <c r="A3889" t="s">
        <v>6672</v>
      </c>
      <c r="B3889">
        <v>2183497</v>
      </c>
    </row>
    <row r="3890" spans="1:2">
      <c r="A3890" t="s">
        <v>6530</v>
      </c>
      <c r="B3890" t="s">
        <v>6820</v>
      </c>
    </row>
    <row r="3891" spans="1:2">
      <c r="A3891" t="s">
        <v>6529</v>
      </c>
      <c r="B3891">
        <v>3300009729</v>
      </c>
    </row>
    <row r="3892" spans="1:2">
      <c r="A3892" t="s">
        <v>6645</v>
      </c>
      <c r="B3892" t="s">
        <v>5647</v>
      </c>
    </row>
    <row r="3893" spans="1:2">
      <c r="A3893" t="s">
        <v>6528</v>
      </c>
      <c r="B3893">
        <v>2177377</v>
      </c>
    </row>
    <row r="3894" spans="1:2">
      <c r="A3894" t="s">
        <v>6677</v>
      </c>
      <c r="B3894">
        <v>5042665</v>
      </c>
    </row>
    <row r="3895" spans="1:2">
      <c r="A3895" t="s">
        <v>6529</v>
      </c>
      <c r="B3895">
        <v>3300009736</v>
      </c>
    </row>
    <row r="3896" spans="1:2">
      <c r="A3896" t="s">
        <v>6530</v>
      </c>
      <c r="B3896" t="s">
        <v>6821</v>
      </c>
    </row>
    <row r="3897" spans="1:2">
      <c r="A3897" t="s">
        <v>6529</v>
      </c>
      <c r="B3897">
        <v>3300009544</v>
      </c>
    </row>
    <row r="3898" spans="1:2">
      <c r="A3898" t="s">
        <v>6642</v>
      </c>
      <c r="B3898" t="s">
        <v>5506</v>
      </c>
    </row>
    <row r="3899" spans="1:2">
      <c r="A3899" t="s">
        <v>6528</v>
      </c>
      <c r="B3899">
        <v>2116285</v>
      </c>
    </row>
    <row r="3900" spans="1:2">
      <c r="A3900" t="s">
        <v>6677</v>
      </c>
      <c r="B3900">
        <v>5050451</v>
      </c>
    </row>
    <row r="3901" spans="1:2">
      <c r="A3901" t="s">
        <v>6529</v>
      </c>
      <c r="B3901">
        <v>3300009552</v>
      </c>
    </row>
    <row r="3902" spans="1:2">
      <c r="A3902" t="s">
        <v>6530</v>
      </c>
      <c r="B3902" t="s">
        <v>6822</v>
      </c>
    </row>
    <row r="3903" spans="1:2">
      <c r="A3903" t="s">
        <v>6672</v>
      </c>
      <c r="B3903">
        <v>2183477</v>
      </c>
    </row>
    <row r="3904" spans="1:2">
      <c r="A3904" t="s">
        <v>6529</v>
      </c>
      <c r="B3904">
        <v>3300011820</v>
      </c>
    </row>
    <row r="3905" spans="1:2">
      <c r="A3905" t="s">
        <v>6645</v>
      </c>
      <c r="B3905" t="s">
        <v>1816</v>
      </c>
    </row>
    <row r="3906" spans="1:2">
      <c r="A3906" t="s">
        <v>6677</v>
      </c>
      <c r="B3906">
        <v>5042669</v>
      </c>
    </row>
    <row r="3907" spans="1:2">
      <c r="A3907" t="s">
        <v>6672</v>
      </c>
      <c r="B3907">
        <v>2183462</v>
      </c>
    </row>
    <row r="3908" spans="1:2">
      <c r="A3908" t="s">
        <v>6530</v>
      </c>
      <c r="B3908" t="s">
        <v>4122</v>
      </c>
    </row>
    <row r="3909" spans="1:2">
      <c r="A3909" t="s">
        <v>6672</v>
      </c>
      <c r="B3909">
        <v>2183493</v>
      </c>
    </row>
    <row r="3910" spans="1:2">
      <c r="A3910" t="s">
        <v>6677</v>
      </c>
      <c r="B3910">
        <v>5059354</v>
      </c>
    </row>
    <row r="3911" spans="1:2">
      <c r="A3911" t="s">
        <v>6645</v>
      </c>
      <c r="B3911" t="s">
        <v>4121</v>
      </c>
    </row>
    <row r="3912" spans="1:2">
      <c r="A3912" t="s">
        <v>6671</v>
      </c>
      <c r="B3912">
        <v>2115090</v>
      </c>
    </row>
    <row r="3913" spans="1:2">
      <c r="A3913" t="s">
        <v>6671</v>
      </c>
      <c r="B3913">
        <v>2115088</v>
      </c>
    </row>
    <row r="3914" spans="1:2">
      <c r="A3914" t="s">
        <v>6530</v>
      </c>
      <c r="B3914" t="s">
        <v>4479</v>
      </c>
    </row>
    <row r="3915" spans="1:2">
      <c r="A3915" t="s">
        <v>6672</v>
      </c>
      <c r="B3915">
        <v>2183587</v>
      </c>
    </row>
    <row r="3916" spans="1:2">
      <c r="A3916" t="s">
        <v>6642</v>
      </c>
      <c r="B3916" t="s">
        <v>4477</v>
      </c>
    </row>
    <row r="3917" spans="1:2">
      <c r="A3917" t="s">
        <v>6529</v>
      </c>
      <c r="B3917">
        <v>3300009712</v>
      </c>
    </row>
    <row r="3918" spans="1:2">
      <c r="A3918" t="s">
        <v>6677</v>
      </c>
      <c r="B3918" t="s">
        <v>4478</v>
      </c>
    </row>
    <row r="3919" spans="1:2">
      <c r="A3919" t="s">
        <v>6530</v>
      </c>
      <c r="B3919" t="s">
        <v>4863</v>
      </c>
    </row>
    <row r="3920" spans="1:2">
      <c r="A3920" t="s">
        <v>6672</v>
      </c>
      <c r="B3920">
        <v>2183540</v>
      </c>
    </row>
    <row r="3921" spans="1:2">
      <c r="A3921" t="s">
        <v>6642</v>
      </c>
      <c r="B3921" t="s">
        <v>4862</v>
      </c>
    </row>
    <row r="3922" spans="1:2">
      <c r="A3922" t="s">
        <v>6529</v>
      </c>
      <c r="B3922">
        <v>3300009776</v>
      </c>
    </row>
    <row r="3923" spans="1:2">
      <c r="A3923" t="s">
        <v>6672</v>
      </c>
      <c r="B3923">
        <v>2183532</v>
      </c>
    </row>
    <row r="3924" spans="1:2">
      <c r="A3924" t="s">
        <v>6530</v>
      </c>
      <c r="B3924" t="s">
        <v>5269</v>
      </c>
    </row>
    <row r="3925" spans="1:2">
      <c r="A3925" t="s">
        <v>6677</v>
      </c>
      <c r="B3925">
        <v>5070884</v>
      </c>
    </row>
    <row r="3926" spans="1:2">
      <c r="A3926" t="s">
        <v>6528</v>
      </c>
      <c r="B3926">
        <v>2103861</v>
      </c>
    </row>
    <row r="3927" spans="1:2">
      <c r="A3927" t="s">
        <v>6529</v>
      </c>
      <c r="B3927">
        <v>3300008164</v>
      </c>
    </row>
    <row r="3928" spans="1:2">
      <c r="A3928" t="s">
        <v>6530</v>
      </c>
      <c r="B3928" t="s">
        <v>2619</v>
      </c>
    </row>
    <row r="3929" spans="1:2">
      <c r="A3929" t="s">
        <v>6677</v>
      </c>
      <c r="B3929">
        <v>5059300</v>
      </c>
    </row>
    <row r="3930" spans="1:2">
      <c r="A3930" t="s">
        <v>6672</v>
      </c>
      <c r="B3930">
        <v>2183581</v>
      </c>
    </row>
    <row r="3931" spans="1:2">
      <c r="A3931" t="s">
        <v>6645</v>
      </c>
      <c r="B3931" t="s">
        <v>2618</v>
      </c>
    </row>
    <row r="3932" spans="1:2">
      <c r="A3932" t="s">
        <v>6672</v>
      </c>
      <c r="B3932">
        <v>2171965</v>
      </c>
    </row>
    <row r="3933" spans="1:2">
      <c r="A3933" t="s">
        <v>6529</v>
      </c>
      <c r="B3933">
        <v>3300011788</v>
      </c>
    </row>
    <row r="3934" spans="1:2">
      <c r="A3934" t="s">
        <v>6530</v>
      </c>
      <c r="B3934" t="s">
        <v>1433</v>
      </c>
    </row>
    <row r="3935" spans="1:2">
      <c r="A3935" t="s">
        <v>6672</v>
      </c>
      <c r="B3935">
        <v>2183484</v>
      </c>
    </row>
    <row r="3936" spans="1:2">
      <c r="A3936" t="s">
        <v>6645</v>
      </c>
      <c r="B3936" t="s">
        <v>1432</v>
      </c>
    </row>
    <row r="3937" spans="1:2">
      <c r="A3937" t="s">
        <v>6529</v>
      </c>
      <c r="B3937">
        <v>3300009770</v>
      </c>
    </row>
    <row r="3938" spans="1:2">
      <c r="A3938" t="s">
        <v>6672</v>
      </c>
      <c r="B3938">
        <v>2183487</v>
      </c>
    </row>
    <row r="3939" spans="1:2">
      <c r="A3939" t="s">
        <v>6530</v>
      </c>
      <c r="B3939" t="s">
        <v>4371</v>
      </c>
    </row>
    <row r="3940" spans="1:2">
      <c r="A3940" t="s">
        <v>6677</v>
      </c>
      <c r="B3940" t="s">
        <v>4368</v>
      </c>
    </row>
    <row r="3941" spans="1:2">
      <c r="A3941" t="s">
        <v>6529</v>
      </c>
      <c r="B3941">
        <v>3300009786</v>
      </c>
    </row>
    <row r="3942" spans="1:2">
      <c r="A3942" t="s">
        <v>6645</v>
      </c>
      <c r="B3942" t="s">
        <v>4369</v>
      </c>
    </row>
    <row r="3943" spans="1:2">
      <c r="A3943" t="s">
        <v>6528</v>
      </c>
      <c r="B3943">
        <v>2116312</v>
      </c>
    </row>
    <row r="3944" spans="1:2">
      <c r="A3944" t="s">
        <v>6677</v>
      </c>
      <c r="B3944" t="s">
        <v>4370</v>
      </c>
    </row>
    <row r="3945" spans="1:2">
      <c r="A3945" t="s">
        <v>6530</v>
      </c>
      <c r="B3945" t="s">
        <v>6823</v>
      </c>
    </row>
    <row r="3946" spans="1:2">
      <c r="A3946" t="s">
        <v>6683</v>
      </c>
      <c r="B3946" t="s">
        <v>6341</v>
      </c>
    </row>
    <row r="3947" spans="1:2">
      <c r="A3947" t="s">
        <v>6529</v>
      </c>
      <c r="B3947">
        <v>3300008152</v>
      </c>
    </row>
    <row r="3948" spans="1:2">
      <c r="A3948" t="s">
        <v>6528</v>
      </c>
      <c r="B3948">
        <v>2119274</v>
      </c>
    </row>
    <row r="3949" spans="1:2">
      <c r="A3949" t="s">
        <v>6642</v>
      </c>
      <c r="B3949" t="s">
        <v>6342</v>
      </c>
    </row>
    <row r="3950" spans="1:2">
      <c r="A3950" t="s">
        <v>6528</v>
      </c>
      <c r="B3950">
        <v>2103953</v>
      </c>
    </row>
    <row r="3951" spans="1:2">
      <c r="A3951" t="s">
        <v>6530</v>
      </c>
      <c r="B3951" t="s">
        <v>2926</v>
      </c>
    </row>
    <row r="3952" spans="1:2">
      <c r="A3952" t="s">
        <v>6528</v>
      </c>
      <c r="B3952">
        <v>2115672</v>
      </c>
    </row>
    <row r="3953" spans="1:2">
      <c r="A3953" t="s">
        <v>6677</v>
      </c>
      <c r="B3953">
        <v>5059315</v>
      </c>
    </row>
    <row r="3954" spans="1:2">
      <c r="A3954" t="s">
        <v>6529</v>
      </c>
      <c r="B3954">
        <v>3300008138</v>
      </c>
    </row>
    <row r="3955" spans="1:2">
      <c r="A3955" t="s">
        <v>6642</v>
      </c>
      <c r="B3955" t="s">
        <v>2925</v>
      </c>
    </row>
    <row r="3956" spans="1:2">
      <c r="A3956" t="s">
        <v>6530</v>
      </c>
      <c r="B3956" t="s">
        <v>3438</v>
      </c>
    </row>
    <row r="3957" spans="1:2">
      <c r="A3957" t="s">
        <v>6672</v>
      </c>
      <c r="B3957">
        <v>2183545</v>
      </c>
    </row>
    <row r="3958" spans="1:2">
      <c r="A3958" t="s">
        <v>6677</v>
      </c>
      <c r="B3958">
        <v>5059387</v>
      </c>
    </row>
    <row r="3959" spans="1:2">
      <c r="A3959" t="s">
        <v>6645</v>
      </c>
      <c r="B3959" t="s">
        <v>3437</v>
      </c>
    </row>
    <row r="3960" spans="1:2">
      <c r="A3960" t="s">
        <v>6529</v>
      </c>
      <c r="B3960">
        <v>3300002820</v>
      </c>
    </row>
    <row r="3961" spans="1:2">
      <c r="A3961" t="s">
        <v>6672</v>
      </c>
      <c r="B3961">
        <v>2183575</v>
      </c>
    </row>
    <row r="3962" spans="1:2">
      <c r="A3962" t="s">
        <v>6530</v>
      </c>
      <c r="B3962" t="s">
        <v>6824</v>
      </c>
    </row>
    <row r="3963" spans="1:2">
      <c r="A3963" t="s">
        <v>6677</v>
      </c>
      <c r="B3963">
        <v>5059373</v>
      </c>
    </row>
    <row r="3964" spans="1:2">
      <c r="A3964" t="s">
        <v>6642</v>
      </c>
      <c r="B3964" t="s">
        <v>4765</v>
      </c>
    </row>
    <row r="3965" spans="1:2">
      <c r="A3965" t="s">
        <v>6528</v>
      </c>
      <c r="B3965">
        <v>2103907</v>
      </c>
    </row>
    <row r="3966" spans="1:2">
      <c r="A3966" t="s">
        <v>6569</v>
      </c>
      <c r="B3966" t="s">
        <v>1971</v>
      </c>
    </row>
    <row r="3967" spans="1:2">
      <c r="A3967" t="s">
        <v>6528</v>
      </c>
      <c r="B3967">
        <v>2084087</v>
      </c>
    </row>
    <row r="3968" spans="1:2">
      <c r="A3968" t="s">
        <v>6529</v>
      </c>
      <c r="B3968">
        <v>3300012249</v>
      </c>
    </row>
    <row r="3969" spans="1:2">
      <c r="A3969" t="s">
        <v>6642</v>
      </c>
      <c r="B3969" t="s">
        <v>1970</v>
      </c>
    </row>
    <row r="3970" spans="1:2">
      <c r="A3970" t="s">
        <v>6530</v>
      </c>
      <c r="B3970" t="s">
        <v>3081</v>
      </c>
    </row>
    <row r="3971" spans="1:2">
      <c r="A3971" t="s">
        <v>6677</v>
      </c>
      <c r="B3971">
        <v>5031883</v>
      </c>
    </row>
    <row r="3972" spans="1:2">
      <c r="A3972" t="s">
        <v>6642</v>
      </c>
      <c r="B3972" t="s">
        <v>3080</v>
      </c>
    </row>
    <row r="3973" spans="1:2">
      <c r="A3973" t="s">
        <v>6528</v>
      </c>
      <c r="B3973">
        <v>2119281</v>
      </c>
    </row>
    <row r="3974" spans="1:2">
      <c r="A3974" t="s">
        <v>6529</v>
      </c>
      <c r="B3974">
        <v>3300002913</v>
      </c>
    </row>
    <row r="3975" spans="1:2">
      <c r="A3975" t="s">
        <v>6528</v>
      </c>
      <c r="B3975">
        <v>2119207</v>
      </c>
    </row>
    <row r="3976" spans="1:2">
      <c r="A3976" t="s">
        <v>6569</v>
      </c>
      <c r="B3976" t="s">
        <v>979</v>
      </c>
    </row>
    <row r="3977" spans="1:2">
      <c r="A3977" t="s">
        <v>6529</v>
      </c>
      <c r="B3977">
        <v>3300011760</v>
      </c>
    </row>
    <row r="3978" spans="1:2">
      <c r="A3978" t="s">
        <v>6672</v>
      </c>
      <c r="B3978">
        <v>2182991</v>
      </c>
    </row>
    <row r="3979" spans="1:2">
      <c r="A3979" t="s">
        <v>6645</v>
      </c>
      <c r="B3979" t="s">
        <v>977</v>
      </c>
    </row>
    <row r="3980" spans="1:2">
      <c r="A3980" t="s">
        <v>6677</v>
      </c>
      <c r="B3980">
        <v>5050531</v>
      </c>
    </row>
    <row r="3981" spans="1:2">
      <c r="A3981" t="s">
        <v>6642</v>
      </c>
      <c r="B3981" t="s">
        <v>978</v>
      </c>
    </row>
    <row r="3982" spans="1:2">
      <c r="A3982" t="s">
        <v>6530</v>
      </c>
      <c r="B3982" t="s">
        <v>2582</v>
      </c>
    </row>
    <row r="3983" spans="1:2">
      <c r="A3983" t="s">
        <v>6672</v>
      </c>
      <c r="B3983">
        <v>2183506</v>
      </c>
    </row>
    <row r="3984" spans="1:2">
      <c r="A3984" t="s">
        <v>6677</v>
      </c>
      <c r="B3984">
        <v>5059361</v>
      </c>
    </row>
    <row r="3985" spans="1:2">
      <c r="A3985" t="s">
        <v>6645</v>
      </c>
      <c r="B3985" t="s">
        <v>2581</v>
      </c>
    </row>
    <row r="3986" spans="1:2">
      <c r="A3986" t="s">
        <v>6677</v>
      </c>
      <c r="B3986">
        <v>5031874</v>
      </c>
    </row>
    <row r="3987" spans="1:2">
      <c r="A3987" t="s">
        <v>6530</v>
      </c>
      <c r="B3987" t="s">
        <v>4460</v>
      </c>
    </row>
    <row r="3988" spans="1:2">
      <c r="A3988" t="s">
        <v>6528</v>
      </c>
      <c r="B3988">
        <v>2103725</v>
      </c>
    </row>
    <row r="3989" spans="1:2">
      <c r="A3989" t="s">
        <v>6645</v>
      </c>
      <c r="B3989" t="s">
        <v>4459</v>
      </c>
    </row>
    <row r="3990" spans="1:2">
      <c r="A3990" t="s">
        <v>6677</v>
      </c>
      <c r="B3990">
        <v>5050422</v>
      </c>
    </row>
    <row r="3991" spans="1:2">
      <c r="A3991" t="s">
        <v>6530</v>
      </c>
      <c r="B3991" t="s">
        <v>5789</v>
      </c>
    </row>
    <row r="3992" spans="1:2">
      <c r="A3992" t="s">
        <v>6529</v>
      </c>
      <c r="B3992">
        <v>3300009793</v>
      </c>
    </row>
    <row r="3993" spans="1:2">
      <c r="A3993" t="s">
        <v>6642</v>
      </c>
      <c r="B3993" t="s">
        <v>5788</v>
      </c>
    </row>
    <row r="3994" spans="1:2">
      <c r="A3994" t="s">
        <v>6528</v>
      </c>
      <c r="B3994">
        <v>2115657</v>
      </c>
    </row>
    <row r="3995" spans="1:2">
      <c r="A3995" t="s">
        <v>6529</v>
      </c>
      <c r="B3995">
        <v>3300005175</v>
      </c>
    </row>
    <row r="3996" spans="1:2">
      <c r="A3996" t="s">
        <v>6530</v>
      </c>
      <c r="B3996" t="s">
        <v>3156</v>
      </c>
    </row>
    <row r="3997" spans="1:2">
      <c r="A3997" t="s">
        <v>6677</v>
      </c>
      <c r="B3997" t="s">
        <v>3155</v>
      </c>
    </row>
    <row r="3998" spans="1:2">
      <c r="A3998" t="s">
        <v>6528</v>
      </c>
      <c r="B3998">
        <v>2115671</v>
      </c>
    </row>
    <row r="3999" spans="1:2">
      <c r="A3999" t="s">
        <v>6529</v>
      </c>
      <c r="B3999">
        <v>3300009819</v>
      </c>
    </row>
    <row r="4000" spans="1:2">
      <c r="A4000" t="s">
        <v>6530</v>
      </c>
      <c r="B4000" t="s">
        <v>1192</v>
      </c>
    </row>
    <row r="4001" spans="1:2">
      <c r="A4001" t="s">
        <v>6528</v>
      </c>
      <c r="B4001">
        <v>2177364</v>
      </c>
    </row>
    <row r="4002" spans="1:2">
      <c r="A4002" t="s">
        <v>6677</v>
      </c>
      <c r="B4002">
        <v>5059367</v>
      </c>
    </row>
    <row r="4003" spans="1:2">
      <c r="A4003" t="s">
        <v>6529</v>
      </c>
      <c r="B4003">
        <v>3300008144</v>
      </c>
    </row>
    <row r="4004" spans="1:2">
      <c r="A4004" t="s">
        <v>6530</v>
      </c>
      <c r="B4004" t="s">
        <v>4382</v>
      </c>
    </row>
    <row r="4005" spans="1:2">
      <c r="A4005" t="s">
        <v>6672</v>
      </c>
      <c r="B4005">
        <v>2183500</v>
      </c>
    </row>
    <row r="4006" spans="1:2">
      <c r="A4006" t="s">
        <v>6677</v>
      </c>
      <c r="B4006">
        <v>5059290</v>
      </c>
    </row>
    <row r="4007" spans="1:2">
      <c r="A4007" t="s">
        <v>6645</v>
      </c>
      <c r="B4007" t="s">
        <v>4381</v>
      </c>
    </row>
    <row r="4008" spans="1:2">
      <c r="A4008" t="s">
        <v>6530</v>
      </c>
      <c r="B4008" t="s">
        <v>6380</v>
      </c>
    </row>
    <row r="4009" spans="1:2">
      <c r="A4009" t="s">
        <v>6529</v>
      </c>
      <c r="B4009">
        <v>3300009163</v>
      </c>
    </row>
    <row r="4010" spans="1:2">
      <c r="A4010" t="s">
        <v>6528</v>
      </c>
      <c r="B4010">
        <v>2117476</v>
      </c>
    </row>
    <row r="4011" spans="1:2">
      <c r="A4011" t="s">
        <v>6677</v>
      </c>
      <c r="B4011">
        <v>5031849</v>
      </c>
    </row>
    <row r="4012" spans="1:2">
      <c r="A4012" t="s">
        <v>6530</v>
      </c>
      <c r="B4012" t="s">
        <v>6825</v>
      </c>
    </row>
    <row r="4013" spans="1:2">
      <c r="A4013" t="s">
        <v>6672</v>
      </c>
      <c r="B4013">
        <v>2183584</v>
      </c>
    </row>
    <row r="4014" spans="1:2">
      <c r="A4014" t="s">
        <v>6677</v>
      </c>
      <c r="B4014">
        <v>5059382</v>
      </c>
    </row>
    <row r="4015" spans="1:2">
      <c r="A4015" t="s">
        <v>6529</v>
      </c>
      <c r="B4015">
        <v>3300002946</v>
      </c>
    </row>
    <row r="4016" spans="1:2">
      <c r="A4016" t="s">
        <v>6672</v>
      </c>
      <c r="B4016">
        <v>2183560</v>
      </c>
    </row>
    <row r="4017" spans="1:2">
      <c r="A4017" t="s">
        <v>6530</v>
      </c>
      <c r="B4017" t="s">
        <v>1288</v>
      </c>
    </row>
    <row r="4018" spans="1:2">
      <c r="A4018" t="s">
        <v>6677</v>
      </c>
      <c r="B4018" t="s">
        <v>1287</v>
      </c>
    </row>
    <row r="4019" spans="1:2">
      <c r="A4019" t="s">
        <v>6529</v>
      </c>
      <c r="B4019">
        <v>3300010907</v>
      </c>
    </row>
    <row r="4020" spans="1:2">
      <c r="A4020" t="s">
        <v>6530</v>
      </c>
      <c r="B4020" t="s">
        <v>4791</v>
      </c>
    </row>
    <row r="4021" spans="1:2">
      <c r="A4021" t="s">
        <v>6677</v>
      </c>
      <c r="B4021">
        <v>5059317</v>
      </c>
    </row>
    <row r="4022" spans="1:2">
      <c r="A4022" t="s">
        <v>6642</v>
      </c>
      <c r="B4022" t="s">
        <v>4790</v>
      </c>
    </row>
    <row r="4023" spans="1:2">
      <c r="A4023" t="s">
        <v>6528</v>
      </c>
      <c r="B4023">
        <v>2115655</v>
      </c>
    </row>
    <row r="4024" spans="1:2">
      <c r="A4024" t="s">
        <v>6530</v>
      </c>
      <c r="B4024" t="s">
        <v>2180</v>
      </c>
    </row>
    <row r="4025" spans="1:2">
      <c r="A4025" t="s">
        <v>6672</v>
      </c>
      <c r="B4025">
        <v>2183501</v>
      </c>
    </row>
    <row r="4026" spans="1:2">
      <c r="A4026" t="s">
        <v>6677</v>
      </c>
      <c r="B4026">
        <v>5059314</v>
      </c>
    </row>
    <row r="4027" spans="1:2">
      <c r="A4027" t="s">
        <v>6645</v>
      </c>
      <c r="B4027" t="s">
        <v>6826</v>
      </c>
    </row>
    <row r="4028" spans="1:2">
      <c r="A4028" t="s">
        <v>6530</v>
      </c>
      <c r="B4028" t="s">
        <v>5124</v>
      </c>
    </row>
    <row r="4029" spans="1:2">
      <c r="A4029" t="s">
        <v>6528</v>
      </c>
      <c r="B4029">
        <v>2116251</v>
      </c>
    </row>
    <row r="4030" spans="1:2">
      <c r="A4030" t="s">
        <v>6645</v>
      </c>
      <c r="B4030" t="s">
        <v>5123</v>
      </c>
    </row>
    <row r="4031" spans="1:2">
      <c r="A4031" t="s">
        <v>6677</v>
      </c>
      <c r="B4031">
        <v>5050434</v>
      </c>
    </row>
    <row r="4032" spans="1:2">
      <c r="A4032" t="s">
        <v>6530</v>
      </c>
      <c r="B4032" t="s">
        <v>2691</v>
      </c>
    </row>
    <row r="4033" spans="1:2">
      <c r="A4033" t="s">
        <v>6632</v>
      </c>
      <c r="B4033" t="s">
        <v>2689</v>
      </c>
    </row>
    <row r="4034" spans="1:2">
      <c r="A4034" t="s">
        <v>6677</v>
      </c>
      <c r="B4034">
        <v>5059316</v>
      </c>
    </row>
    <row r="4035" spans="1:2">
      <c r="A4035" t="s">
        <v>6529</v>
      </c>
      <c r="B4035">
        <v>3300012262</v>
      </c>
    </row>
    <row r="4036" spans="1:2">
      <c r="A4036" t="s">
        <v>6672</v>
      </c>
      <c r="B4036">
        <v>2183578</v>
      </c>
    </row>
    <row r="4037" spans="1:2">
      <c r="A4037" t="s">
        <v>6645</v>
      </c>
      <c r="B4037" t="s">
        <v>2690</v>
      </c>
    </row>
    <row r="4038" spans="1:2">
      <c r="A4038" t="s">
        <v>6530</v>
      </c>
      <c r="B4038" t="s">
        <v>6349</v>
      </c>
    </row>
    <row r="4039" spans="1:2">
      <c r="A4039" t="s">
        <v>6677</v>
      </c>
      <c r="B4039">
        <v>5070894</v>
      </c>
    </row>
    <row r="4040" spans="1:2">
      <c r="A4040" t="s">
        <v>6529</v>
      </c>
      <c r="B4040">
        <v>3300009753</v>
      </c>
    </row>
    <row r="4041" spans="1:2">
      <c r="A4041" t="s">
        <v>6672</v>
      </c>
      <c r="B4041">
        <v>2171906</v>
      </c>
    </row>
    <row r="4042" spans="1:2">
      <c r="A4042" t="s">
        <v>6677</v>
      </c>
      <c r="B4042">
        <v>5050427</v>
      </c>
    </row>
    <row r="4043" spans="1:2">
      <c r="A4043" t="s">
        <v>6642</v>
      </c>
      <c r="B4043" t="s">
        <v>6348</v>
      </c>
    </row>
    <row r="4044" spans="1:2">
      <c r="A4044" t="s">
        <v>6530</v>
      </c>
      <c r="B4044" t="s">
        <v>1526</v>
      </c>
    </row>
    <row r="4045" spans="1:2">
      <c r="A4045" t="s">
        <v>6528</v>
      </c>
      <c r="B4045">
        <v>2114737</v>
      </c>
    </row>
    <row r="4046" spans="1:2">
      <c r="A4046" t="s">
        <v>6677</v>
      </c>
      <c r="B4046">
        <v>5059329</v>
      </c>
    </row>
    <row r="4047" spans="1:2">
      <c r="A4047" t="s">
        <v>6645</v>
      </c>
      <c r="B4047" t="s">
        <v>1525</v>
      </c>
    </row>
    <row r="4048" spans="1:2">
      <c r="A4048" t="s">
        <v>6529</v>
      </c>
      <c r="B4048">
        <v>3300002985</v>
      </c>
    </row>
    <row r="4049" spans="1:2">
      <c r="A4049" t="s">
        <v>6528</v>
      </c>
      <c r="B4049">
        <v>2170083</v>
      </c>
    </row>
    <row r="4050" spans="1:2">
      <c r="A4050" t="s">
        <v>6530</v>
      </c>
      <c r="B4050" t="s">
        <v>871</v>
      </c>
    </row>
    <row r="4051" spans="1:2">
      <c r="A4051" t="s">
        <v>6677</v>
      </c>
      <c r="B4051" t="s">
        <v>870</v>
      </c>
    </row>
    <row r="4052" spans="1:2">
      <c r="A4052" t="s">
        <v>6528</v>
      </c>
      <c r="B4052">
        <v>2119291</v>
      </c>
    </row>
    <row r="4053" spans="1:2">
      <c r="A4053" t="s">
        <v>6529</v>
      </c>
      <c r="B4053">
        <v>3300012832</v>
      </c>
    </row>
    <row r="4054" spans="1:2">
      <c r="A4054" t="s">
        <v>6530</v>
      </c>
      <c r="B4054" t="s">
        <v>6311</v>
      </c>
    </row>
    <row r="4055" spans="1:2">
      <c r="A4055" t="s">
        <v>6645</v>
      </c>
      <c r="B4055" t="s">
        <v>6310</v>
      </c>
    </row>
    <row r="4056" spans="1:2">
      <c r="A4056" t="s">
        <v>6672</v>
      </c>
      <c r="B4056">
        <v>2171922</v>
      </c>
    </row>
    <row r="4057" spans="1:2">
      <c r="A4057" t="s">
        <v>6677</v>
      </c>
      <c r="B4057">
        <v>5059323</v>
      </c>
    </row>
    <row r="4058" spans="1:2">
      <c r="A4058" t="s">
        <v>6530</v>
      </c>
      <c r="B4058" t="s">
        <v>1575</v>
      </c>
    </row>
    <row r="4059" spans="1:2">
      <c r="A4059" t="s">
        <v>6672</v>
      </c>
      <c r="B4059">
        <v>2183464</v>
      </c>
    </row>
    <row r="4060" spans="1:2">
      <c r="A4060" t="s">
        <v>6677</v>
      </c>
      <c r="B4060">
        <v>5059299</v>
      </c>
    </row>
    <row r="4061" spans="1:2">
      <c r="A4061" t="s">
        <v>6642</v>
      </c>
      <c r="B4061" t="s">
        <v>1574</v>
      </c>
    </row>
    <row r="4062" spans="1:2">
      <c r="A4062" t="s">
        <v>6529</v>
      </c>
      <c r="B4062">
        <v>3300012259</v>
      </c>
    </row>
    <row r="4063" spans="1:2">
      <c r="A4063" t="s">
        <v>6672</v>
      </c>
      <c r="B4063">
        <v>2183476</v>
      </c>
    </row>
    <row r="4064" spans="1:2">
      <c r="A4064" t="s">
        <v>6530</v>
      </c>
      <c r="B4064" t="s">
        <v>6827</v>
      </c>
    </row>
    <row r="4065" spans="1:2">
      <c r="A4065" t="s">
        <v>6645</v>
      </c>
      <c r="B4065" t="s">
        <v>5676</v>
      </c>
    </row>
    <row r="4066" spans="1:2">
      <c r="A4066" t="s">
        <v>6528</v>
      </c>
      <c r="B4066">
        <v>2172368</v>
      </c>
    </row>
    <row r="4067" spans="1:2">
      <c r="A4067" t="s">
        <v>6677</v>
      </c>
      <c r="B4067">
        <v>5050447</v>
      </c>
    </row>
    <row r="4068" spans="1:2">
      <c r="A4068" t="s">
        <v>6672</v>
      </c>
      <c r="B4068">
        <v>2171935</v>
      </c>
    </row>
    <row r="4069" spans="1:2">
      <c r="A4069" t="s">
        <v>6530</v>
      </c>
      <c r="B4069" t="s">
        <v>6828</v>
      </c>
    </row>
    <row r="4070" spans="1:2">
      <c r="A4070" t="s">
        <v>6672</v>
      </c>
      <c r="B4070">
        <v>2183518</v>
      </c>
    </row>
    <row r="4071" spans="1:2">
      <c r="A4071" t="s">
        <v>6677</v>
      </c>
      <c r="B4071">
        <v>5059338</v>
      </c>
    </row>
    <row r="4072" spans="1:2">
      <c r="A4072" t="s">
        <v>6645</v>
      </c>
      <c r="B4072" t="s">
        <v>4348</v>
      </c>
    </row>
    <row r="4073" spans="1:2">
      <c r="A4073" t="s">
        <v>6529</v>
      </c>
      <c r="B4073">
        <v>3300012291</v>
      </c>
    </row>
    <row r="4074" spans="1:2">
      <c r="A4074" t="s">
        <v>6632</v>
      </c>
      <c r="B4074" t="s">
        <v>4349</v>
      </c>
    </row>
    <row r="4075" spans="1:2">
      <c r="A4075" t="s">
        <v>6530</v>
      </c>
      <c r="B4075" t="s">
        <v>6829</v>
      </c>
    </row>
    <row r="4076" spans="1:2">
      <c r="A4076" t="s">
        <v>6528</v>
      </c>
      <c r="B4076">
        <v>2103461</v>
      </c>
    </row>
    <row r="4077" spans="1:2">
      <c r="A4077" t="s">
        <v>6677</v>
      </c>
      <c r="B4077">
        <v>5059345</v>
      </c>
    </row>
    <row r="4078" spans="1:2">
      <c r="A4078" t="s">
        <v>6530</v>
      </c>
      <c r="B4078" t="s">
        <v>3840</v>
      </c>
    </row>
    <row r="4079" spans="1:2">
      <c r="A4079" t="s">
        <v>6672</v>
      </c>
      <c r="B4079">
        <v>2183465</v>
      </c>
    </row>
    <row r="4080" spans="1:2">
      <c r="A4080" t="s">
        <v>6677</v>
      </c>
      <c r="B4080">
        <v>5059363</v>
      </c>
    </row>
    <row r="4081" spans="1:2">
      <c r="A4081" t="s">
        <v>6645</v>
      </c>
      <c r="B4081" t="s">
        <v>3839</v>
      </c>
    </row>
    <row r="4082" spans="1:2">
      <c r="A4082" t="s">
        <v>6529</v>
      </c>
      <c r="B4082">
        <v>3300009523</v>
      </c>
    </row>
    <row r="4083" spans="1:2">
      <c r="A4083" t="s">
        <v>6672</v>
      </c>
      <c r="B4083">
        <v>2183529</v>
      </c>
    </row>
    <row r="4084" spans="1:2">
      <c r="A4084" t="s">
        <v>6530</v>
      </c>
      <c r="B4084" t="s">
        <v>4549</v>
      </c>
    </row>
    <row r="4085" spans="1:2">
      <c r="A4085" t="s">
        <v>6528</v>
      </c>
      <c r="B4085">
        <v>2116261</v>
      </c>
    </row>
    <row r="4086" spans="1:2">
      <c r="A4086" t="s">
        <v>6529</v>
      </c>
      <c r="B4086">
        <v>3300011486</v>
      </c>
    </row>
    <row r="4087" spans="1:2">
      <c r="A4087" t="s">
        <v>6645</v>
      </c>
      <c r="B4087" t="s">
        <v>4548</v>
      </c>
    </row>
    <row r="4088" spans="1:2">
      <c r="A4088" t="s">
        <v>6530</v>
      </c>
      <c r="B4088" t="s">
        <v>3896</v>
      </c>
    </row>
    <row r="4089" spans="1:2">
      <c r="A4089" t="s">
        <v>6528</v>
      </c>
      <c r="B4089">
        <v>2116279</v>
      </c>
    </row>
    <row r="4090" spans="1:2">
      <c r="A4090" t="s">
        <v>6677</v>
      </c>
      <c r="B4090" t="s">
        <v>3894</v>
      </c>
    </row>
    <row r="4091" spans="1:2">
      <c r="A4091" t="s">
        <v>6645</v>
      </c>
      <c r="B4091" t="s">
        <v>3895</v>
      </c>
    </row>
    <row r="4092" spans="1:2">
      <c r="A4092" t="s">
        <v>6529</v>
      </c>
      <c r="B4092">
        <v>3300009741</v>
      </c>
    </row>
    <row r="4093" spans="1:2">
      <c r="A4093" t="s">
        <v>6530</v>
      </c>
      <c r="B4093" t="s">
        <v>5582</v>
      </c>
    </row>
    <row r="4094" spans="1:2">
      <c r="A4094" t="s">
        <v>6528</v>
      </c>
      <c r="B4094">
        <v>2115653</v>
      </c>
    </row>
    <row r="4095" spans="1:2">
      <c r="A4095" t="s">
        <v>6677</v>
      </c>
      <c r="B4095">
        <v>5031853</v>
      </c>
    </row>
    <row r="4096" spans="1:2">
      <c r="A4096" t="s">
        <v>6529</v>
      </c>
      <c r="B4096">
        <v>3300002986</v>
      </c>
    </row>
    <row r="4097" spans="1:2">
      <c r="A4097" t="s">
        <v>6530</v>
      </c>
      <c r="B4097" t="s">
        <v>6830</v>
      </c>
    </row>
    <row r="4098" spans="1:2">
      <c r="A4098" t="s">
        <v>6672</v>
      </c>
      <c r="B4098">
        <v>2183568</v>
      </c>
    </row>
    <row r="4099" spans="1:2">
      <c r="A4099" t="s">
        <v>6677</v>
      </c>
      <c r="B4099">
        <v>5059349</v>
      </c>
    </row>
    <row r="4100" spans="1:2">
      <c r="A4100" t="s">
        <v>6529</v>
      </c>
      <c r="B4100">
        <v>3300009532</v>
      </c>
    </row>
    <row r="4101" spans="1:2">
      <c r="A4101" t="s">
        <v>6530</v>
      </c>
      <c r="B4101" t="s">
        <v>6831</v>
      </c>
    </row>
    <row r="4102" spans="1:2">
      <c r="A4102" t="s">
        <v>6528</v>
      </c>
      <c r="B4102">
        <v>2170078</v>
      </c>
    </row>
    <row r="4103" spans="1:2">
      <c r="A4103" t="s">
        <v>6677</v>
      </c>
      <c r="B4103">
        <v>5059359</v>
      </c>
    </row>
    <row r="4104" spans="1:2">
      <c r="A4104" t="s">
        <v>6529</v>
      </c>
      <c r="B4104">
        <v>3300009714</v>
      </c>
    </row>
    <row r="4105" spans="1:2">
      <c r="A4105" t="s">
        <v>6530</v>
      </c>
      <c r="B4105" t="s">
        <v>6832</v>
      </c>
    </row>
    <row r="4106" spans="1:2">
      <c r="A4106" t="s">
        <v>6672</v>
      </c>
      <c r="B4106">
        <v>2183494</v>
      </c>
    </row>
    <row r="4107" spans="1:2">
      <c r="A4107" t="s">
        <v>6677</v>
      </c>
      <c r="B4107">
        <v>5059320</v>
      </c>
    </row>
    <row r="4108" spans="1:2">
      <c r="A4108" t="s">
        <v>6645</v>
      </c>
      <c r="B4108" t="s">
        <v>2586</v>
      </c>
    </row>
    <row r="4109" spans="1:2">
      <c r="A4109" t="s">
        <v>6672</v>
      </c>
      <c r="B4109">
        <v>2183549</v>
      </c>
    </row>
    <row r="4110" spans="1:2">
      <c r="A4110" t="s">
        <v>6530</v>
      </c>
      <c r="B4110" t="s">
        <v>3519</v>
      </c>
    </row>
    <row r="4111" spans="1:2">
      <c r="A4111" t="s">
        <v>6645</v>
      </c>
      <c r="B4111" t="s">
        <v>3517</v>
      </c>
    </row>
    <row r="4112" spans="1:2">
      <c r="A4112" t="s">
        <v>6528</v>
      </c>
      <c r="B4112">
        <v>2116302</v>
      </c>
    </row>
    <row r="4113" spans="1:2">
      <c r="A4113" t="s">
        <v>6677</v>
      </c>
      <c r="B4113" t="s">
        <v>3518</v>
      </c>
    </row>
    <row r="4114" spans="1:2">
      <c r="A4114" t="s">
        <v>6530</v>
      </c>
      <c r="B4114" t="s">
        <v>4082</v>
      </c>
    </row>
    <row r="4115" spans="1:2">
      <c r="A4115" t="s">
        <v>6645</v>
      </c>
      <c r="B4115" t="s">
        <v>4081</v>
      </c>
    </row>
    <row r="4116" spans="1:2">
      <c r="A4116" t="s">
        <v>6528</v>
      </c>
      <c r="B4116">
        <v>2096481</v>
      </c>
    </row>
    <row r="4117" spans="1:2">
      <c r="A4117" t="s">
        <v>6677</v>
      </c>
      <c r="B4117">
        <v>5040888</v>
      </c>
    </row>
    <row r="4118" spans="1:2">
      <c r="A4118" t="s">
        <v>6530</v>
      </c>
      <c r="B4118" t="s">
        <v>4720</v>
      </c>
    </row>
    <row r="4119" spans="1:2">
      <c r="A4119" t="s">
        <v>6528</v>
      </c>
      <c r="B4119">
        <v>2114753</v>
      </c>
    </row>
    <row r="4120" spans="1:2">
      <c r="A4120" t="s">
        <v>6645</v>
      </c>
      <c r="B4120" t="s">
        <v>4719</v>
      </c>
    </row>
    <row r="4121" spans="1:2">
      <c r="A4121" t="s">
        <v>6677</v>
      </c>
      <c r="B4121">
        <v>5059318</v>
      </c>
    </row>
    <row r="4122" spans="1:2">
      <c r="A4122" t="s">
        <v>6530</v>
      </c>
      <c r="B4122" t="s">
        <v>4707</v>
      </c>
    </row>
    <row r="4123" spans="1:2">
      <c r="A4123" t="s">
        <v>6672</v>
      </c>
      <c r="B4123">
        <v>2171983</v>
      </c>
    </row>
    <row r="4124" spans="1:2">
      <c r="A4124" t="s">
        <v>6677</v>
      </c>
      <c r="B4124">
        <v>5059376</v>
      </c>
    </row>
    <row r="4125" spans="1:2">
      <c r="A4125" t="s">
        <v>6642</v>
      </c>
      <c r="B4125" t="s">
        <v>4706</v>
      </c>
    </row>
    <row r="4126" spans="1:2">
      <c r="A4126" t="s">
        <v>6529</v>
      </c>
      <c r="B4126">
        <v>3300005141</v>
      </c>
    </row>
    <row r="4127" spans="1:2">
      <c r="A4127" t="s">
        <v>6672</v>
      </c>
      <c r="B4127">
        <v>2183510</v>
      </c>
    </row>
    <row r="4128" spans="1:2">
      <c r="A4128" t="s">
        <v>6530</v>
      </c>
      <c r="B4128" t="s">
        <v>5166</v>
      </c>
    </row>
    <row r="4129" spans="1:2">
      <c r="A4129" t="s">
        <v>6528</v>
      </c>
      <c r="B4129">
        <v>2117088</v>
      </c>
    </row>
    <row r="4130" spans="1:2">
      <c r="A4130" t="s">
        <v>6677</v>
      </c>
      <c r="B4130">
        <v>5031834</v>
      </c>
    </row>
    <row r="4131" spans="1:2">
      <c r="A4131" t="s">
        <v>6645</v>
      </c>
      <c r="B4131" t="s">
        <v>5165</v>
      </c>
    </row>
    <row r="4132" spans="1:2">
      <c r="A4132" t="s">
        <v>6529</v>
      </c>
      <c r="B4132">
        <v>3300009545</v>
      </c>
    </row>
    <row r="4133" spans="1:2">
      <c r="A4133" t="s">
        <v>6528</v>
      </c>
      <c r="B4133">
        <v>2117098</v>
      </c>
    </row>
    <row r="4134" spans="1:2">
      <c r="A4134" t="s">
        <v>6530</v>
      </c>
      <c r="B4134" t="s">
        <v>1866</v>
      </c>
    </row>
    <row r="4135" spans="1:2">
      <c r="A4135" t="s">
        <v>6675</v>
      </c>
      <c r="B4135">
        <v>3400002031</v>
      </c>
    </row>
    <row r="4136" spans="1:2">
      <c r="A4136" t="s">
        <v>6672</v>
      </c>
      <c r="B4136">
        <v>2159869</v>
      </c>
    </row>
    <row r="4137" spans="1:2">
      <c r="A4137" t="s">
        <v>6677</v>
      </c>
      <c r="B4137">
        <v>5031821</v>
      </c>
    </row>
    <row r="4138" spans="1:2">
      <c r="A4138" t="s">
        <v>6645</v>
      </c>
      <c r="B4138" t="s">
        <v>1865</v>
      </c>
    </row>
    <row r="4139" spans="1:2">
      <c r="A4139" t="s">
        <v>6675</v>
      </c>
      <c r="B4139">
        <v>3400002030</v>
      </c>
    </row>
    <row r="4140" spans="1:2">
      <c r="A4140" t="s">
        <v>6530</v>
      </c>
      <c r="B4140" t="s">
        <v>3986</v>
      </c>
    </row>
    <row r="4141" spans="1:2">
      <c r="A4141" t="s">
        <v>6677</v>
      </c>
      <c r="B4141">
        <v>5070882</v>
      </c>
    </row>
    <row r="4142" spans="1:2">
      <c r="A4142" t="s">
        <v>6529</v>
      </c>
      <c r="B4142">
        <v>3300001209</v>
      </c>
    </row>
    <row r="4143" spans="1:2">
      <c r="A4143" t="s">
        <v>6645</v>
      </c>
      <c r="B4143" t="s">
        <v>3984</v>
      </c>
    </row>
    <row r="4144" spans="1:2">
      <c r="A4144" t="s">
        <v>6672</v>
      </c>
      <c r="B4144">
        <v>2183483</v>
      </c>
    </row>
    <row r="4145" spans="1:2">
      <c r="A4145" t="s">
        <v>6677</v>
      </c>
      <c r="B4145" t="s">
        <v>3985</v>
      </c>
    </row>
    <row r="4146" spans="1:2">
      <c r="A4146" t="s">
        <v>6530</v>
      </c>
      <c r="B4146" t="s">
        <v>4795</v>
      </c>
    </row>
    <row r="4147" spans="1:2">
      <c r="A4147" t="s">
        <v>6672</v>
      </c>
      <c r="B4147">
        <v>2171888</v>
      </c>
    </row>
    <row r="4148" spans="1:2">
      <c r="A4148" t="s">
        <v>6677</v>
      </c>
      <c r="B4148">
        <v>5049683</v>
      </c>
    </row>
    <row r="4149" spans="1:2">
      <c r="A4149" t="s">
        <v>6529</v>
      </c>
      <c r="B4149">
        <v>3300001240</v>
      </c>
    </row>
    <row r="4150" spans="1:2">
      <c r="A4150" t="s">
        <v>6530</v>
      </c>
      <c r="B4150" t="s">
        <v>5696</v>
      </c>
    </row>
    <row r="4151" spans="1:2">
      <c r="A4151" t="s">
        <v>6528</v>
      </c>
      <c r="B4151">
        <v>2087130</v>
      </c>
    </row>
    <row r="4152" spans="1:2">
      <c r="A4152" t="s">
        <v>6677</v>
      </c>
      <c r="B4152" t="s">
        <v>5694</v>
      </c>
    </row>
    <row r="4153" spans="1:2">
      <c r="A4153" t="s">
        <v>6642</v>
      </c>
      <c r="B4153" t="s">
        <v>5695</v>
      </c>
    </row>
    <row r="4154" spans="1:2">
      <c r="A4154" t="s">
        <v>6529</v>
      </c>
      <c r="B4154">
        <v>3300012296</v>
      </c>
    </row>
    <row r="4155" spans="1:2">
      <c r="A4155" t="s">
        <v>6672</v>
      </c>
      <c r="B4155">
        <v>2183594</v>
      </c>
    </row>
    <row r="4156" spans="1:2">
      <c r="A4156" t="s">
        <v>6530</v>
      </c>
      <c r="B4156" t="s">
        <v>6411</v>
      </c>
    </row>
    <row r="4157" spans="1:2">
      <c r="A4157" t="s">
        <v>6672</v>
      </c>
      <c r="B4157">
        <v>2171908</v>
      </c>
    </row>
    <row r="4158" spans="1:2">
      <c r="A4158" t="s">
        <v>6677</v>
      </c>
      <c r="B4158">
        <v>5059321</v>
      </c>
    </row>
    <row r="4159" spans="1:2">
      <c r="A4159" t="s">
        <v>6530</v>
      </c>
      <c r="B4159" t="s">
        <v>3968</v>
      </c>
    </row>
    <row r="4160" spans="1:2">
      <c r="A4160" t="s">
        <v>6677</v>
      </c>
      <c r="B4160">
        <v>5070881</v>
      </c>
    </row>
    <row r="4161" spans="1:2">
      <c r="A4161" t="s">
        <v>6672</v>
      </c>
      <c r="B4161">
        <v>2183605</v>
      </c>
    </row>
    <row r="4162" spans="1:2">
      <c r="A4162" t="s">
        <v>6529</v>
      </c>
      <c r="B4162">
        <v>3300011802</v>
      </c>
    </row>
    <row r="4163" spans="1:2">
      <c r="A4163" t="s">
        <v>6530</v>
      </c>
      <c r="B4163" t="s">
        <v>2173</v>
      </c>
    </row>
    <row r="4164" spans="1:2">
      <c r="A4164" t="s">
        <v>6529</v>
      </c>
      <c r="B4164">
        <v>3300011816</v>
      </c>
    </row>
    <row r="4165" spans="1:2">
      <c r="A4165" t="s">
        <v>6677</v>
      </c>
      <c r="B4165" t="s">
        <v>2170</v>
      </c>
    </row>
    <row r="4166" spans="1:2">
      <c r="A4166" t="s">
        <v>6645</v>
      </c>
      <c r="B4166" t="s">
        <v>2171</v>
      </c>
    </row>
    <row r="4167" spans="1:2">
      <c r="A4167" t="s">
        <v>6528</v>
      </c>
      <c r="B4167">
        <v>2119257</v>
      </c>
    </row>
    <row r="4168" spans="1:2">
      <c r="A4168" t="s">
        <v>6642</v>
      </c>
      <c r="B4168" t="s">
        <v>2172</v>
      </c>
    </row>
    <row r="4169" spans="1:2">
      <c r="A4169" t="s">
        <v>6530</v>
      </c>
      <c r="B4169" t="s">
        <v>6098</v>
      </c>
    </row>
    <row r="4170" spans="1:2">
      <c r="A4170" t="s">
        <v>6677</v>
      </c>
      <c r="B4170">
        <v>5070905</v>
      </c>
    </row>
    <row r="4171" spans="1:2">
      <c r="A4171" t="s">
        <v>6529</v>
      </c>
      <c r="B4171">
        <v>3300010897</v>
      </c>
    </row>
    <row r="4172" spans="1:2">
      <c r="A4172" t="s">
        <v>6672</v>
      </c>
      <c r="B4172">
        <v>2183586</v>
      </c>
    </row>
    <row r="4173" spans="1:2">
      <c r="A4173" t="s">
        <v>6677</v>
      </c>
      <c r="B4173">
        <v>5032240</v>
      </c>
    </row>
    <row r="4174" spans="1:2">
      <c r="A4174" t="s">
        <v>6530</v>
      </c>
      <c r="B4174" t="s">
        <v>2740</v>
      </c>
    </row>
    <row r="4175" spans="1:2">
      <c r="A4175" t="s">
        <v>6528</v>
      </c>
      <c r="B4175">
        <v>2117091</v>
      </c>
    </row>
    <row r="4176" spans="1:2">
      <c r="A4176" t="s">
        <v>6677</v>
      </c>
      <c r="B4176">
        <v>5031903</v>
      </c>
    </row>
    <row r="4177" spans="1:2">
      <c r="A4177" t="s">
        <v>6683</v>
      </c>
      <c r="B4177" t="s">
        <v>2738</v>
      </c>
    </row>
    <row r="4178" spans="1:2">
      <c r="A4178" t="s">
        <v>6645</v>
      </c>
      <c r="B4178" t="s">
        <v>2739</v>
      </c>
    </row>
    <row r="4179" spans="1:2">
      <c r="A4179" t="s">
        <v>6529</v>
      </c>
      <c r="B4179">
        <v>3300010074</v>
      </c>
    </row>
    <row r="4180" spans="1:2">
      <c r="A4180" t="s">
        <v>6573</v>
      </c>
      <c r="B4180" t="s">
        <v>4894</v>
      </c>
    </row>
    <row r="4181" spans="1:2">
      <c r="A4181" t="s">
        <v>6528</v>
      </c>
      <c r="B4181">
        <v>2103864</v>
      </c>
    </row>
    <row r="4182" spans="1:2">
      <c r="A4182" t="s">
        <v>6529</v>
      </c>
      <c r="B4182">
        <v>3300005730</v>
      </c>
    </row>
    <row r="4183" spans="1:2">
      <c r="A4183" t="s">
        <v>6677</v>
      </c>
      <c r="B4183">
        <v>5059295</v>
      </c>
    </row>
    <row r="4184" spans="1:2">
      <c r="A4184" t="s">
        <v>6645</v>
      </c>
      <c r="B4184" t="s">
        <v>4893</v>
      </c>
    </row>
    <row r="4185" spans="1:2">
      <c r="A4185" t="s">
        <v>6530</v>
      </c>
      <c r="B4185" t="s">
        <v>4811</v>
      </c>
    </row>
    <row r="4186" spans="1:2">
      <c r="A4186" t="s">
        <v>6677</v>
      </c>
      <c r="B4186">
        <v>5070890</v>
      </c>
    </row>
    <row r="4187" spans="1:2">
      <c r="A4187" t="s">
        <v>6672</v>
      </c>
      <c r="B4187">
        <v>2183475</v>
      </c>
    </row>
    <row r="4188" spans="1:2">
      <c r="A4188" t="s">
        <v>6529</v>
      </c>
      <c r="B4188">
        <v>3300008165</v>
      </c>
    </row>
    <row r="4189" spans="1:2">
      <c r="A4189" t="s">
        <v>6645</v>
      </c>
      <c r="B4189" t="s">
        <v>4810</v>
      </c>
    </row>
    <row r="4190" spans="1:2">
      <c r="A4190" t="s">
        <v>6677</v>
      </c>
      <c r="B4190">
        <v>5042666</v>
      </c>
    </row>
    <row r="4191" spans="1:2">
      <c r="A4191" t="s">
        <v>6573</v>
      </c>
      <c r="B4191" t="s">
        <v>1277</v>
      </c>
    </row>
    <row r="4192" spans="1:2">
      <c r="A4192" t="s">
        <v>6677</v>
      </c>
      <c r="B4192" t="s">
        <v>1276</v>
      </c>
    </row>
    <row r="4193" spans="1:2">
      <c r="A4193" t="s">
        <v>6528</v>
      </c>
      <c r="B4193">
        <v>2116316</v>
      </c>
    </row>
    <row r="4194" spans="1:2">
      <c r="A4194" t="s">
        <v>6529</v>
      </c>
      <c r="B4194">
        <v>3300012829</v>
      </c>
    </row>
    <row r="4195" spans="1:2">
      <c r="A4195" t="s">
        <v>6530</v>
      </c>
      <c r="B4195" t="s">
        <v>3561</v>
      </c>
    </row>
    <row r="4196" spans="1:2">
      <c r="A4196" t="s">
        <v>6677</v>
      </c>
      <c r="B4196" t="s">
        <v>3559</v>
      </c>
    </row>
    <row r="4197" spans="1:2">
      <c r="A4197" t="s">
        <v>6529</v>
      </c>
      <c r="B4197">
        <v>3300012834</v>
      </c>
    </row>
    <row r="4198" spans="1:2">
      <c r="A4198" t="s">
        <v>6528</v>
      </c>
      <c r="B4198">
        <v>2114787</v>
      </c>
    </row>
    <row r="4199" spans="1:2">
      <c r="A4199" t="s">
        <v>6677</v>
      </c>
      <c r="B4199" t="s">
        <v>3560</v>
      </c>
    </row>
    <row r="4200" spans="1:2">
      <c r="A4200" t="s">
        <v>6530</v>
      </c>
      <c r="B4200" t="s">
        <v>6833</v>
      </c>
    </row>
    <row r="4201" spans="1:2">
      <c r="A4201" t="s">
        <v>6672</v>
      </c>
      <c r="B4201">
        <v>2183537</v>
      </c>
    </row>
    <row r="4202" spans="1:2">
      <c r="A4202" t="s">
        <v>6677</v>
      </c>
      <c r="B4202">
        <v>5059384</v>
      </c>
    </row>
    <row r="4203" spans="1:2">
      <c r="A4203" t="s">
        <v>6645</v>
      </c>
      <c r="B4203" t="s">
        <v>1519</v>
      </c>
    </row>
    <row r="4204" spans="1:2">
      <c r="A4204" t="s">
        <v>6529</v>
      </c>
      <c r="B4204">
        <v>3300012298</v>
      </c>
    </row>
    <row r="4205" spans="1:2">
      <c r="A4205" t="s">
        <v>6672</v>
      </c>
      <c r="B4205">
        <v>2183551</v>
      </c>
    </row>
    <row r="4206" spans="1:2">
      <c r="A4206" t="s">
        <v>6530</v>
      </c>
      <c r="B4206" t="s">
        <v>4344</v>
      </c>
    </row>
    <row r="4207" spans="1:2">
      <c r="A4207" t="s">
        <v>6677</v>
      </c>
      <c r="B4207">
        <v>5059313</v>
      </c>
    </row>
    <row r="4208" spans="1:2">
      <c r="A4208" t="s">
        <v>6529</v>
      </c>
      <c r="B4208">
        <v>3300009796</v>
      </c>
    </row>
    <row r="4209" spans="1:2">
      <c r="A4209" t="s">
        <v>6645</v>
      </c>
      <c r="B4209" t="s">
        <v>4343</v>
      </c>
    </row>
    <row r="4210" spans="1:2">
      <c r="A4210" t="s">
        <v>6672</v>
      </c>
      <c r="B4210">
        <v>2183489</v>
      </c>
    </row>
    <row r="4211" spans="1:2">
      <c r="A4211" t="s">
        <v>6677</v>
      </c>
      <c r="B4211">
        <v>5070893</v>
      </c>
    </row>
    <row r="4212" spans="1:2">
      <c r="A4212" t="s">
        <v>6530</v>
      </c>
      <c r="B4212" t="s">
        <v>2411</v>
      </c>
    </row>
    <row r="4213" spans="1:2">
      <c r="A4213" t="s">
        <v>6677</v>
      </c>
      <c r="B4213">
        <v>5070897</v>
      </c>
    </row>
    <row r="4214" spans="1:2">
      <c r="A4214" t="s">
        <v>6529</v>
      </c>
      <c r="B4214">
        <v>3300009726</v>
      </c>
    </row>
    <row r="4215" spans="1:2">
      <c r="A4215" t="s">
        <v>6645</v>
      </c>
      <c r="B4215" t="s">
        <v>2409</v>
      </c>
    </row>
    <row r="4216" spans="1:2">
      <c r="A4216" t="s">
        <v>6677</v>
      </c>
      <c r="B4216" t="s">
        <v>2410</v>
      </c>
    </row>
    <row r="4217" spans="1:2">
      <c r="A4217" t="s">
        <v>6672</v>
      </c>
      <c r="B4217">
        <v>2171913</v>
      </c>
    </row>
    <row r="4218" spans="1:2">
      <c r="A4218" t="s">
        <v>6530</v>
      </c>
      <c r="B4218" t="s">
        <v>925</v>
      </c>
    </row>
    <row r="4219" spans="1:2">
      <c r="A4219" t="s">
        <v>6677</v>
      </c>
      <c r="B4219" t="s">
        <v>924</v>
      </c>
    </row>
    <row r="4220" spans="1:2">
      <c r="A4220" t="s">
        <v>6528</v>
      </c>
      <c r="B4220">
        <v>2103879</v>
      </c>
    </row>
    <row r="4221" spans="1:2">
      <c r="A4221" t="s">
        <v>6529</v>
      </c>
      <c r="B4221">
        <v>3300011793</v>
      </c>
    </row>
    <row r="4222" spans="1:2">
      <c r="A4222" t="s">
        <v>6530</v>
      </c>
      <c r="B4222" t="s">
        <v>4340</v>
      </c>
    </row>
    <row r="4223" spans="1:2">
      <c r="A4223" t="s">
        <v>6672</v>
      </c>
      <c r="B4223">
        <v>2183593</v>
      </c>
    </row>
    <row r="4224" spans="1:2">
      <c r="A4224" t="s">
        <v>6529</v>
      </c>
      <c r="B4224">
        <v>3300009751</v>
      </c>
    </row>
    <row r="4225" spans="1:2">
      <c r="A4225" t="s">
        <v>6645</v>
      </c>
      <c r="B4225" t="s">
        <v>4339</v>
      </c>
    </row>
    <row r="4226" spans="1:2">
      <c r="A4226" t="s">
        <v>6677</v>
      </c>
      <c r="B4226">
        <v>5031840</v>
      </c>
    </row>
    <row r="4227" spans="1:2">
      <c r="A4227" t="s">
        <v>6672</v>
      </c>
      <c r="B4227">
        <v>2183542</v>
      </c>
    </row>
    <row r="4228" spans="1:2">
      <c r="A4228" t="s">
        <v>6530</v>
      </c>
      <c r="B4228" t="s">
        <v>6297</v>
      </c>
    </row>
    <row r="4229" spans="1:2">
      <c r="A4229" t="s">
        <v>6677</v>
      </c>
      <c r="B4229">
        <v>5070901</v>
      </c>
    </row>
    <row r="4230" spans="1:2">
      <c r="A4230" t="s">
        <v>6672</v>
      </c>
      <c r="B4230">
        <v>2183574</v>
      </c>
    </row>
    <row r="4231" spans="1:2">
      <c r="A4231" t="s">
        <v>6529</v>
      </c>
      <c r="B4231">
        <v>3300009765</v>
      </c>
    </row>
    <row r="4232" spans="1:2">
      <c r="A4232" t="s">
        <v>6530</v>
      </c>
      <c r="B4232" t="s">
        <v>5007</v>
      </c>
    </row>
    <row r="4233" spans="1:2">
      <c r="A4233" t="s">
        <v>6642</v>
      </c>
      <c r="B4233" t="s">
        <v>5005</v>
      </c>
    </row>
    <row r="4234" spans="1:2">
      <c r="A4234" t="s">
        <v>6529</v>
      </c>
      <c r="B4234">
        <v>3300001695</v>
      </c>
    </row>
    <row r="4235" spans="1:2">
      <c r="A4235" t="s">
        <v>6528</v>
      </c>
      <c r="B4235">
        <v>2087341</v>
      </c>
    </row>
    <row r="4236" spans="1:2">
      <c r="A4236" t="s">
        <v>6645</v>
      </c>
      <c r="B4236" t="s">
        <v>5006</v>
      </c>
    </row>
    <row r="4237" spans="1:2">
      <c r="A4237" t="s">
        <v>6530</v>
      </c>
      <c r="B4237" t="s">
        <v>4304</v>
      </c>
    </row>
    <row r="4238" spans="1:2">
      <c r="A4238" t="s">
        <v>6677</v>
      </c>
      <c r="B4238">
        <v>5070888</v>
      </c>
    </row>
    <row r="4239" spans="1:2">
      <c r="A4239" t="s">
        <v>6529</v>
      </c>
      <c r="B4239">
        <v>3300006815</v>
      </c>
    </row>
    <row r="4240" spans="1:2">
      <c r="A4240" t="s">
        <v>6672</v>
      </c>
      <c r="B4240">
        <v>2183544</v>
      </c>
    </row>
    <row r="4241" spans="1:2">
      <c r="A4241" t="s">
        <v>6677</v>
      </c>
      <c r="B4241">
        <v>5059322</v>
      </c>
    </row>
    <row r="4242" spans="1:2">
      <c r="A4242" t="s">
        <v>6530</v>
      </c>
      <c r="B4242" t="s">
        <v>2247</v>
      </c>
    </row>
    <row r="4243" spans="1:2">
      <c r="A4243" t="s">
        <v>6677</v>
      </c>
      <c r="B4243">
        <v>5031876</v>
      </c>
    </row>
    <row r="4244" spans="1:2">
      <c r="A4244" t="s">
        <v>6529</v>
      </c>
      <c r="B4244">
        <v>3300002936</v>
      </c>
    </row>
    <row r="4245" spans="1:2">
      <c r="A4245" t="s">
        <v>6645</v>
      </c>
      <c r="B4245" t="s">
        <v>2246</v>
      </c>
    </row>
    <row r="4246" spans="1:2">
      <c r="A4246" t="s">
        <v>6528</v>
      </c>
      <c r="B4246">
        <v>2114724</v>
      </c>
    </row>
    <row r="4247" spans="1:2">
      <c r="A4247" t="s">
        <v>6677</v>
      </c>
      <c r="B4247">
        <v>5004781</v>
      </c>
    </row>
    <row r="4248" spans="1:2">
      <c r="A4248" t="s">
        <v>6530</v>
      </c>
      <c r="B4248" t="s">
        <v>3540</v>
      </c>
    </row>
    <row r="4249" spans="1:2">
      <c r="A4249" t="s">
        <v>6677</v>
      </c>
      <c r="B4249">
        <v>5070896</v>
      </c>
    </row>
    <row r="4250" spans="1:2">
      <c r="A4250" t="s">
        <v>6529</v>
      </c>
      <c r="B4250">
        <v>3300012818</v>
      </c>
    </row>
    <row r="4251" spans="1:2">
      <c r="A4251" t="s">
        <v>6672</v>
      </c>
      <c r="B4251">
        <v>2183519</v>
      </c>
    </row>
    <row r="4252" spans="1:2">
      <c r="A4252" t="s">
        <v>6677</v>
      </c>
      <c r="B4252">
        <v>5049694</v>
      </c>
    </row>
    <row r="4253" spans="1:2">
      <c r="A4253" t="s">
        <v>6530</v>
      </c>
      <c r="B4253" t="s">
        <v>3250</v>
      </c>
    </row>
    <row r="4254" spans="1:2">
      <c r="A4254" t="s">
        <v>6677</v>
      </c>
      <c r="B4254" t="s">
        <v>3248</v>
      </c>
    </row>
    <row r="4255" spans="1:2">
      <c r="A4255" t="s">
        <v>6529</v>
      </c>
      <c r="B4255">
        <v>3300012803</v>
      </c>
    </row>
    <row r="4256" spans="1:2">
      <c r="A4256" t="s">
        <v>6528</v>
      </c>
      <c r="B4256">
        <v>2103928</v>
      </c>
    </row>
    <row r="4257" spans="1:2">
      <c r="A4257" t="s">
        <v>6677</v>
      </c>
      <c r="B4257" t="s">
        <v>3249</v>
      </c>
    </row>
    <row r="4258" spans="1:2">
      <c r="A4258" t="s">
        <v>6530</v>
      </c>
      <c r="B4258" t="s">
        <v>3390</v>
      </c>
    </row>
    <row r="4259" spans="1:2">
      <c r="A4259" t="s">
        <v>6632</v>
      </c>
      <c r="B4259" t="s">
        <v>3388</v>
      </c>
    </row>
    <row r="4260" spans="1:2">
      <c r="A4260" t="s">
        <v>6529</v>
      </c>
      <c r="B4260">
        <v>3300012812</v>
      </c>
    </row>
    <row r="4261" spans="1:2">
      <c r="A4261" t="s">
        <v>6677</v>
      </c>
      <c r="B4261" t="s">
        <v>3389</v>
      </c>
    </row>
    <row r="4262" spans="1:2">
      <c r="A4262" t="s">
        <v>6673</v>
      </c>
      <c r="B4262">
        <v>2199630</v>
      </c>
    </row>
    <row r="4263" spans="1:2">
      <c r="A4263" t="s">
        <v>6672</v>
      </c>
      <c r="B4263">
        <v>2183533</v>
      </c>
    </row>
    <row r="4264" spans="1:2">
      <c r="A4264" t="s">
        <v>6530</v>
      </c>
      <c r="B4264" t="s">
        <v>4210</v>
      </c>
    </row>
    <row r="4265" spans="1:2">
      <c r="A4265" t="s">
        <v>6677</v>
      </c>
      <c r="B4265">
        <v>5070883</v>
      </c>
    </row>
    <row r="4266" spans="1:2">
      <c r="A4266" t="s">
        <v>6529</v>
      </c>
      <c r="B4266">
        <v>3300010073</v>
      </c>
    </row>
    <row r="4267" spans="1:2">
      <c r="A4267" t="s">
        <v>6645</v>
      </c>
      <c r="B4267" t="s">
        <v>4208</v>
      </c>
    </row>
    <row r="4268" spans="1:2">
      <c r="A4268" t="s">
        <v>6672</v>
      </c>
      <c r="B4268">
        <v>2183559</v>
      </c>
    </row>
    <row r="4269" spans="1:2">
      <c r="A4269" t="s">
        <v>6677</v>
      </c>
      <c r="B4269" t="s">
        <v>4209</v>
      </c>
    </row>
    <row r="4270" spans="1:2">
      <c r="A4270" t="s">
        <v>6569</v>
      </c>
      <c r="B4270" t="s">
        <v>987</v>
      </c>
    </row>
    <row r="4271" spans="1:2">
      <c r="A4271" t="s">
        <v>6529</v>
      </c>
      <c r="B4271">
        <v>3300012473</v>
      </c>
    </row>
    <row r="4272" spans="1:2">
      <c r="A4272" t="s">
        <v>6528</v>
      </c>
      <c r="B4272">
        <v>2084682</v>
      </c>
    </row>
    <row r="4273" spans="1:2">
      <c r="A4273" t="s">
        <v>6645</v>
      </c>
      <c r="B4273" t="s">
        <v>985</v>
      </c>
    </row>
    <row r="4274" spans="1:2">
      <c r="A4274" t="s">
        <v>6677</v>
      </c>
      <c r="B4274">
        <v>5053724</v>
      </c>
    </row>
    <row r="4275" spans="1:2">
      <c r="A4275" t="s">
        <v>6642</v>
      </c>
      <c r="B4275" t="s">
        <v>986</v>
      </c>
    </row>
    <row r="4276" spans="1:2">
      <c r="A4276" t="s">
        <v>6530</v>
      </c>
      <c r="B4276" t="s">
        <v>2565</v>
      </c>
    </row>
    <row r="4277" spans="1:2">
      <c r="A4277" t="s">
        <v>6632</v>
      </c>
      <c r="B4277" t="s">
        <v>2563</v>
      </c>
    </row>
    <row r="4278" spans="1:2">
      <c r="A4278" t="s">
        <v>6529</v>
      </c>
      <c r="B4278">
        <v>3300001668</v>
      </c>
    </row>
    <row r="4279" spans="1:2">
      <c r="A4279" t="s">
        <v>6528</v>
      </c>
      <c r="B4279">
        <v>2114772</v>
      </c>
    </row>
    <row r="4280" spans="1:2">
      <c r="A4280" t="s">
        <v>6645</v>
      </c>
      <c r="B4280" t="s">
        <v>2564</v>
      </c>
    </row>
    <row r="4281" spans="1:2">
      <c r="A4281" t="s">
        <v>6677</v>
      </c>
      <c r="B4281">
        <v>5031820</v>
      </c>
    </row>
    <row r="4282" spans="1:2">
      <c r="A4282" t="s">
        <v>6528</v>
      </c>
      <c r="B4282">
        <v>2103427</v>
      </c>
    </row>
    <row r="4283" spans="1:2">
      <c r="A4283" t="s">
        <v>6530</v>
      </c>
      <c r="B4283" t="s">
        <v>6834</v>
      </c>
    </row>
    <row r="4284" spans="1:2">
      <c r="A4284" t="s">
        <v>6529</v>
      </c>
      <c r="B4284">
        <v>3300013114</v>
      </c>
    </row>
    <row r="4285" spans="1:2">
      <c r="A4285" t="s">
        <v>6677</v>
      </c>
      <c r="B4285">
        <v>5001452</v>
      </c>
    </row>
    <row r="4286" spans="1:2">
      <c r="A4286" t="s">
        <v>6529</v>
      </c>
      <c r="B4286">
        <v>3300012507</v>
      </c>
    </row>
    <row r="4287" spans="1:2">
      <c r="A4287" t="s">
        <v>6645</v>
      </c>
      <c r="B4287" t="s">
        <v>3963</v>
      </c>
    </row>
    <row r="4288" spans="1:2">
      <c r="A4288" t="s">
        <v>6530</v>
      </c>
      <c r="B4288" t="s">
        <v>2855</v>
      </c>
    </row>
    <row r="4289" spans="1:2">
      <c r="A4289" t="s">
        <v>6642</v>
      </c>
      <c r="B4289" t="s">
        <v>2853</v>
      </c>
    </row>
    <row r="4290" spans="1:2">
      <c r="A4290" t="s">
        <v>6529</v>
      </c>
      <c r="B4290">
        <v>3300012276</v>
      </c>
    </row>
    <row r="4291" spans="1:2">
      <c r="A4291" t="s">
        <v>6677</v>
      </c>
      <c r="B4291" t="s">
        <v>2854</v>
      </c>
    </row>
    <row r="4292" spans="1:2">
      <c r="A4292" t="s">
        <v>6672</v>
      </c>
      <c r="B4292">
        <v>2183595</v>
      </c>
    </row>
    <row r="4293" spans="1:2">
      <c r="A4293" t="s">
        <v>6530</v>
      </c>
      <c r="B4293" t="s">
        <v>3769</v>
      </c>
    </row>
    <row r="4294" spans="1:2">
      <c r="A4294" t="s">
        <v>6642</v>
      </c>
      <c r="B4294" t="s">
        <v>3767</v>
      </c>
    </row>
    <row r="4295" spans="1:2">
      <c r="A4295" t="s">
        <v>6683</v>
      </c>
      <c r="B4295" t="s">
        <v>3768</v>
      </c>
    </row>
    <row r="4296" spans="1:2">
      <c r="A4296" t="s">
        <v>6677</v>
      </c>
      <c r="B4296">
        <v>5001479</v>
      </c>
    </row>
    <row r="4297" spans="1:2">
      <c r="A4297" t="s">
        <v>6529</v>
      </c>
      <c r="B4297">
        <v>3300002821</v>
      </c>
    </row>
    <row r="4298" spans="1:2">
      <c r="A4298" t="s">
        <v>6674</v>
      </c>
      <c r="B4298">
        <v>1744534</v>
      </c>
    </row>
    <row r="4299" spans="1:2">
      <c r="A4299" t="s">
        <v>6530</v>
      </c>
      <c r="B4299" t="s">
        <v>1187</v>
      </c>
    </row>
    <row r="4300" spans="1:2">
      <c r="A4300" t="s">
        <v>6677</v>
      </c>
      <c r="B4300">
        <v>5059360</v>
      </c>
    </row>
    <row r="4301" spans="1:2">
      <c r="A4301" t="s">
        <v>6672</v>
      </c>
      <c r="B4301">
        <v>2183504</v>
      </c>
    </row>
    <row r="4302" spans="1:2">
      <c r="A4302" t="s">
        <v>6683</v>
      </c>
      <c r="B4302" t="s">
        <v>1184</v>
      </c>
    </row>
    <row r="4303" spans="1:2">
      <c r="A4303" t="s">
        <v>6645</v>
      </c>
      <c r="B4303" t="s">
        <v>1185</v>
      </c>
    </row>
    <row r="4304" spans="1:2">
      <c r="A4304" t="s">
        <v>6632</v>
      </c>
      <c r="B4304" t="s">
        <v>1186</v>
      </c>
    </row>
    <row r="4305" spans="1:2">
      <c r="A4305" t="s">
        <v>6530</v>
      </c>
      <c r="B4305" t="s">
        <v>4601</v>
      </c>
    </row>
    <row r="4306" spans="1:2">
      <c r="A4306" t="s">
        <v>6677</v>
      </c>
      <c r="B4306">
        <v>5070885</v>
      </c>
    </row>
    <row r="4307" spans="1:2">
      <c r="A4307" t="s">
        <v>6672</v>
      </c>
      <c r="B4307">
        <v>2183567</v>
      </c>
    </row>
    <row r="4308" spans="1:2">
      <c r="A4308" t="s">
        <v>6529</v>
      </c>
      <c r="B4308">
        <v>3300009750</v>
      </c>
    </row>
    <row r="4309" spans="1:2">
      <c r="A4309" t="s">
        <v>6530</v>
      </c>
      <c r="B4309" t="s">
        <v>2107</v>
      </c>
    </row>
    <row r="4310" spans="1:2">
      <c r="A4310" t="s">
        <v>6677</v>
      </c>
      <c r="B4310">
        <v>5070899</v>
      </c>
    </row>
    <row r="4311" spans="1:2">
      <c r="A4311" t="s">
        <v>6529</v>
      </c>
      <c r="B4311">
        <v>3300012805</v>
      </c>
    </row>
    <row r="4312" spans="1:2">
      <c r="A4312" t="s">
        <v>6672</v>
      </c>
      <c r="B4312">
        <v>2171901</v>
      </c>
    </row>
    <row r="4313" spans="1:2">
      <c r="A4313" t="s">
        <v>6677</v>
      </c>
      <c r="B4313" t="s">
        <v>2106</v>
      </c>
    </row>
    <row r="4314" spans="1:2">
      <c r="A4314" t="s">
        <v>6530</v>
      </c>
      <c r="B4314" t="s">
        <v>4738</v>
      </c>
    </row>
    <row r="4315" spans="1:2">
      <c r="A4315" t="s">
        <v>6645</v>
      </c>
      <c r="B4315" t="s">
        <v>4736</v>
      </c>
    </row>
    <row r="4316" spans="1:2">
      <c r="A4316" t="s">
        <v>6529</v>
      </c>
      <c r="B4316">
        <v>3300002832</v>
      </c>
    </row>
    <row r="4317" spans="1:2">
      <c r="A4317" t="s">
        <v>6672</v>
      </c>
      <c r="B4317">
        <v>2183513</v>
      </c>
    </row>
    <row r="4318" spans="1:2">
      <c r="A4318" t="s">
        <v>6642</v>
      </c>
      <c r="B4318" t="s">
        <v>4737</v>
      </c>
    </row>
    <row r="4319" spans="1:2">
      <c r="A4319" t="s">
        <v>6673</v>
      </c>
      <c r="B4319">
        <v>2199638</v>
      </c>
    </row>
    <row r="4320" spans="1:2">
      <c r="A4320" t="s">
        <v>6530</v>
      </c>
      <c r="B4320" t="s">
        <v>5915</v>
      </c>
    </row>
    <row r="4321" spans="1:2">
      <c r="A4321" t="s">
        <v>6645</v>
      </c>
      <c r="B4321" t="s">
        <v>5913</v>
      </c>
    </row>
    <row r="4322" spans="1:2">
      <c r="A4322" t="s">
        <v>6529</v>
      </c>
      <c r="B4322">
        <v>3300005154</v>
      </c>
    </row>
    <row r="4323" spans="1:2">
      <c r="A4323" t="s">
        <v>6677</v>
      </c>
      <c r="B4323" t="s">
        <v>5914</v>
      </c>
    </row>
    <row r="4324" spans="1:2">
      <c r="A4324" t="s">
        <v>6672</v>
      </c>
      <c r="B4324">
        <v>2183570</v>
      </c>
    </row>
    <row r="4325" spans="1:2">
      <c r="A4325" t="s">
        <v>6530</v>
      </c>
      <c r="B4325" t="s">
        <v>1349</v>
      </c>
    </row>
    <row r="4326" spans="1:2">
      <c r="A4326" t="s">
        <v>6677</v>
      </c>
      <c r="B4326">
        <v>5070903</v>
      </c>
    </row>
    <row r="4327" spans="1:2">
      <c r="A4327" t="s">
        <v>6529</v>
      </c>
      <c r="B4327">
        <v>3300012826</v>
      </c>
    </row>
    <row r="4328" spans="1:2">
      <c r="A4328" t="s">
        <v>6672</v>
      </c>
      <c r="B4328">
        <v>2183592</v>
      </c>
    </row>
    <row r="4329" spans="1:2">
      <c r="A4329" t="s">
        <v>6677</v>
      </c>
      <c r="B4329">
        <v>5014452</v>
      </c>
    </row>
    <row r="4330" spans="1:2">
      <c r="A4330" t="s">
        <v>6530</v>
      </c>
      <c r="B4330" t="s">
        <v>4828</v>
      </c>
    </row>
    <row r="4331" spans="1:2">
      <c r="A4331" t="s">
        <v>6528</v>
      </c>
      <c r="B4331">
        <v>2115651</v>
      </c>
    </row>
    <row r="4332" spans="1:2">
      <c r="A4332" t="s">
        <v>6529</v>
      </c>
      <c r="B4332">
        <v>3300002947</v>
      </c>
    </row>
    <row r="4333" spans="1:2">
      <c r="A4333" t="s">
        <v>6677</v>
      </c>
      <c r="B4333">
        <v>5001462</v>
      </c>
    </row>
    <row r="4334" spans="1:2">
      <c r="A4334" t="s">
        <v>6645</v>
      </c>
      <c r="B4334" t="s">
        <v>4826</v>
      </c>
    </row>
    <row r="4335" spans="1:2">
      <c r="A4335" t="s">
        <v>6677</v>
      </c>
      <c r="B4335" t="s">
        <v>4827</v>
      </c>
    </row>
    <row r="4336" spans="1:2">
      <c r="A4336" t="s">
        <v>6530</v>
      </c>
      <c r="B4336" t="s">
        <v>5053</v>
      </c>
    </row>
    <row r="4337" spans="1:2">
      <c r="A4337" t="s">
        <v>6528</v>
      </c>
      <c r="B4337">
        <v>2180499</v>
      </c>
    </row>
    <row r="4338" spans="1:2">
      <c r="A4338" t="s">
        <v>6677</v>
      </c>
      <c r="B4338" t="s">
        <v>5051</v>
      </c>
    </row>
    <row r="4339" spans="1:2">
      <c r="A4339" t="s">
        <v>6642</v>
      </c>
      <c r="B4339" t="s">
        <v>5052</v>
      </c>
    </row>
    <row r="4340" spans="1:2">
      <c r="A4340" t="s">
        <v>6528</v>
      </c>
      <c r="B4340">
        <v>2087329</v>
      </c>
    </row>
    <row r="4341" spans="1:2">
      <c r="A4341" t="s">
        <v>6530</v>
      </c>
      <c r="B4341" t="s">
        <v>6209</v>
      </c>
    </row>
    <row r="4342" spans="1:2">
      <c r="A4342" t="s">
        <v>6677</v>
      </c>
      <c r="B4342" t="s">
        <v>6206</v>
      </c>
    </row>
    <row r="4343" spans="1:2">
      <c r="A4343" t="s">
        <v>6529</v>
      </c>
      <c r="B4343">
        <v>3300001210</v>
      </c>
    </row>
    <row r="4344" spans="1:2">
      <c r="A4344" t="s">
        <v>6645</v>
      </c>
      <c r="B4344" t="s">
        <v>6207</v>
      </c>
    </row>
    <row r="4345" spans="1:2">
      <c r="A4345" t="s">
        <v>6528</v>
      </c>
      <c r="B4345">
        <v>2177330</v>
      </c>
    </row>
    <row r="4346" spans="1:2">
      <c r="A4346" t="s">
        <v>6677</v>
      </c>
      <c r="B4346" t="s">
        <v>6208</v>
      </c>
    </row>
    <row r="4347" spans="1:2">
      <c r="A4347" t="s">
        <v>6530</v>
      </c>
      <c r="B4347" t="s">
        <v>4589</v>
      </c>
    </row>
    <row r="4348" spans="1:2">
      <c r="A4348" t="s">
        <v>6632</v>
      </c>
      <c r="B4348" t="s">
        <v>4587</v>
      </c>
    </row>
    <row r="4349" spans="1:2">
      <c r="A4349" t="s">
        <v>6529</v>
      </c>
      <c r="B4349">
        <v>3300001687</v>
      </c>
    </row>
    <row r="4350" spans="1:2">
      <c r="A4350" t="s">
        <v>6677</v>
      </c>
      <c r="B4350" t="s">
        <v>4588</v>
      </c>
    </row>
    <row r="4351" spans="1:2">
      <c r="A4351" t="s">
        <v>6672</v>
      </c>
      <c r="B4351">
        <v>2183554</v>
      </c>
    </row>
    <row r="4352" spans="1:2">
      <c r="A4352" t="s">
        <v>6528</v>
      </c>
      <c r="B4352">
        <v>2117371</v>
      </c>
    </row>
    <row r="4353" spans="1:2">
      <c r="A4353" t="s">
        <v>6530</v>
      </c>
      <c r="B4353" t="s">
        <v>3834</v>
      </c>
    </row>
    <row r="4354" spans="1:2">
      <c r="A4354" t="s">
        <v>6677</v>
      </c>
      <c r="B4354">
        <v>5070889</v>
      </c>
    </row>
    <row r="4355" spans="1:2">
      <c r="A4355" t="s">
        <v>6529</v>
      </c>
      <c r="B4355">
        <v>3300012820</v>
      </c>
    </row>
    <row r="4356" spans="1:2">
      <c r="A4356" t="s">
        <v>6645</v>
      </c>
      <c r="B4356" t="s">
        <v>3832</v>
      </c>
    </row>
    <row r="4357" spans="1:2">
      <c r="A4357" t="s">
        <v>6672</v>
      </c>
      <c r="B4357">
        <v>2171944</v>
      </c>
    </row>
    <row r="4358" spans="1:2">
      <c r="A4358" t="s">
        <v>6677</v>
      </c>
      <c r="B4358" t="s">
        <v>3833</v>
      </c>
    </row>
    <row r="4359" spans="1:2">
      <c r="A4359" t="s">
        <v>6530</v>
      </c>
      <c r="B4359" t="s">
        <v>3327</v>
      </c>
    </row>
    <row r="4360" spans="1:2">
      <c r="A4360" t="s">
        <v>6677</v>
      </c>
      <c r="B4360">
        <v>5070891</v>
      </c>
    </row>
    <row r="4361" spans="1:2">
      <c r="A4361" t="s">
        <v>6529</v>
      </c>
      <c r="B4361">
        <v>3300012825</v>
      </c>
    </row>
    <row r="4362" spans="1:2">
      <c r="A4362" t="s">
        <v>6645</v>
      </c>
      <c r="B4362" t="s">
        <v>3325</v>
      </c>
    </row>
    <row r="4363" spans="1:2">
      <c r="A4363" t="s">
        <v>6672</v>
      </c>
      <c r="B4363">
        <v>2183571</v>
      </c>
    </row>
    <row r="4364" spans="1:2">
      <c r="A4364" t="s">
        <v>6677</v>
      </c>
      <c r="B4364" t="s">
        <v>3326</v>
      </c>
    </row>
    <row r="4365" spans="1:2">
      <c r="A4365" t="s">
        <v>6530</v>
      </c>
      <c r="B4365" t="s">
        <v>3207</v>
      </c>
    </row>
    <row r="4366" spans="1:2">
      <c r="A4366" t="s">
        <v>6642</v>
      </c>
      <c r="B4366" t="s">
        <v>3205</v>
      </c>
    </row>
    <row r="4367" spans="1:2">
      <c r="A4367" t="s">
        <v>6529</v>
      </c>
      <c r="B4367">
        <v>3300009529</v>
      </c>
    </row>
    <row r="4368" spans="1:2">
      <c r="A4368" t="s">
        <v>6677</v>
      </c>
      <c r="B4368">
        <v>5059346</v>
      </c>
    </row>
    <row r="4369" spans="1:2">
      <c r="A4369" t="s">
        <v>6677</v>
      </c>
      <c r="B4369" t="s">
        <v>3206</v>
      </c>
    </row>
    <row r="4370" spans="1:2">
      <c r="A4370" t="s">
        <v>6530</v>
      </c>
      <c r="B4370" t="s">
        <v>2671</v>
      </c>
    </row>
    <row r="4371" spans="1:2">
      <c r="A4371" t="s">
        <v>6677</v>
      </c>
      <c r="B4371" t="s">
        <v>2669</v>
      </c>
    </row>
    <row r="4372" spans="1:2">
      <c r="A4372" t="s">
        <v>6529</v>
      </c>
      <c r="B4372">
        <v>3300012804</v>
      </c>
    </row>
    <row r="4373" spans="1:2">
      <c r="A4373" t="s">
        <v>6528</v>
      </c>
      <c r="B4373">
        <v>2083241</v>
      </c>
    </row>
    <row r="4374" spans="1:2">
      <c r="A4374" t="s">
        <v>6677</v>
      </c>
      <c r="B4374" t="s">
        <v>2670</v>
      </c>
    </row>
    <row r="4375" spans="1:2">
      <c r="A4375" t="s">
        <v>6530</v>
      </c>
      <c r="B4375" t="s">
        <v>5014</v>
      </c>
    </row>
    <row r="4376" spans="1:2">
      <c r="A4376" t="s">
        <v>6529</v>
      </c>
      <c r="B4376">
        <v>3300002938</v>
      </c>
    </row>
    <row r="4377" spans="1:2">
      <c r="A4377" t="s">
        <v>6642</v>
      </c>
      <c r="B4377" t="s">
        <v>5013</v>
      </c>
    </row>
    <row r="4378" spans="1:2">
      <c r="A4378" t="s">
        <v>6528</v>
      </c>
      <c r="B4378">
        <v>2177373</v>
      </c>
    </row>
    <row r="4379" spans="1:2">
      <c r="A4379" t="s">
        <v>6530</v>
      </c>
      <c r="B4379" t="s">
        <v>6155</v>
      </c>
    </row>
    <row r="4380" spans="1:2">
      <c r="A4380" t="s">
        <v>6645</v>
      </c>
      <c r="B4380" t="s">
        <v>6152</v>
      </c>
    </row>
    <row r="4381" spans="1:2">
      <c r="A4381" t="s">
        <v>6642</v>
      </c>
      <c r="B4381" t="s">
        <v>6153</v>
      </c>
    </row>
    <row r="4382" spans="1:2">
      <c r="A4382" t="s">
        <v>6677</v>
      </c>
      <c r="B4382" t="s">
        <v>6154</v>
      </c>
    </row>
    <row r="4383" spans="1:2">
      <c r="A4383" t="s">
        <v>6528</v>
      </c>
      <c r="B4383">
        <v>2103863</v>
      </c>
    </row>
    <row r="4384" spans="1:2">
      <c r="A4384" t="s">
        <v>6573</v>
      </c>
      <c r="B4384" t="s">
        <v>6168</v>
      </c>
    </row>
    <row r="4385" spans="1:2">
      <c r="A4385" t="s">
        <v>6645</v>
      </c>
      <c r="B4385" t="s">
        <v>6166</v>
      </c>
    </row>
    <row r="4386" spans="1:2">
      <c r="A4386" t="s">
        <v>6677</v>
      </c>
      <c r="B4386" t="s">
        <v>6167</v>
      </c>
    </row>
    <row r="4387" spans="1:2">
      <c r="A4387" t="s">
        <v>6529</v>
      </c>
      <c r="B4387">
        <v>3300010914</v>
      </c>
    </row>
    <row r="4388" spans="1:2">
      <c r="A4388" t="s">
        <v>6530</v>
      </c>
      <c r="B4388" t="s">
        <v>5533</v>
      </c>
    </row>
    <row r="4389" spans="1:2">
      <c r="A4389" t="s">
        <v>6632</v>
      </c>
      <c r="B4389" t="s">
        <v>5532</v>
      </c>
    </row>
    <row r="4390" spans="1:2">
      <c r="A4390" t="s">
        <v>6529</v>
      </c>
      <c r="B4390">
        <v>3300003625</v>
      </c>
    </row>
    <row r="4391" spans="1:2">
      <c r="A4391" t="s">
        <v>6677</v>
      </c>
      <c r="B4391">
        <v>5070902</v>
      </c>
    </row>
    <row r="4392" spans="1:2">
      <c r="A4392" t="s">
        <v>6672</v>
      </c>
      <c r="B4392">
        <v>2183498</v>
      </c>
    </row>
    <row r="4393" spans="1:2">
      <c r="A4393" t="s">
        <v>6528</v>
      </c>
      <c r="B4393">
        <v>2103522</v>
      </c>
    </row>
    <row r="4394" spans="1:2">
      <c r="A4394" t="s">
        <v>6530</v>
      </c>
      <c r="B4394" t="s">
        <v>1240</v>
      </c>
    </row>
    <row r="4395" spans="1:2">
      <c r="A4395" t="s">
        <v>6642</v>
      </c>
      <c r="B4395" t="s">
        <v>1238</v>
      </c>
    </row>
    <row r="4396" spans="1:2">
      <c r="A4396" t="s">
        <v>6528</v>
      </c>
      <c r="B4396">
        <v>2116246</v>
      </c>
    </row>
    <row r="4397" spans="1:2">
      <c r="A4397" t="s">
        <v>6677</v>
      </c>
      <c r="B4397" t="s">
        <v>1239</v>
      </c>
    </row>
    <row r="4398" spans="1:2">
      <c r="A4398" t="s">
        <v>6530</v>
      </c>
      <c r="B4398" t="s">
        <v>3973</v>
      </c>
    </row>
    <row r="4399" spans="1:2">
      <c r="A4399" t="s">
        <v>6674</v>
      </c>
      <c r="B4399">
        <v>1763220</v>
      </c>
    </row>
    <row r="4400" spans="1:2">
      <c r="A4400" t="s">
        <v>6675</v>
      </c>
      <c r="B4400">
        <v>3400002965</v>
      </c>
    </row>
    <row r="4401" spans="1:2">
      <c r="A4401" t="s">
        <v>6683</v>
      </c>
      <c r="B4401" t="s">
        <v>3972</v>
      </c>
    </row>
    <row r="4402" spans="1:2">
      <c r="A4402" t="s">
        <v>6530</v>
      </c>
      <c r="B4402" t="s">
        <v>2128</v>
      </c>
    </row>
    <row r="4403" spans="1:2">
      <c r="A4403" t="s">
        <v>6645</v>
      </c>
      <c r="B4403" t="s">
        <v>2126</v>
      </c>
    </row>
    <row r="4404" spans="1:2">
      <c r="A4404" t="s">
        <v>6528</v>
      </c>
      <c r="B4404">
        <v>2160454</v>
      </c>
    </row>
    <row r="4405" spans="1:2">
      <c r="A4405" t="s">
        <v>6529</v>
      </c>
      <c r="B4405">
        <v>3300012813</v>
      </c>
    </row>
    <row r="4406" spans="1:2">
      <c r="A4406" t="s">
        <v>6677</v>
      </c>
      <c r="B4406" t="s">
        <v>2127</v>
      </c>
    </row>
    <row r="4407" spans="1:2">
      <c r="A4407" t="s">
        <v>6528</v>
      </c>
      <c r="B4407">
        <v>2170084</v>
      </c>
    </row>
    <row r="4408" spans="1:2">
      <c r="A4408" t="s">
        <v>6530</v>
      </c>
      <c r="B4408" t="s">
        <v>2009</v>
      </c>
    </row>
    <row r="4409" spans="1:2">
      <c r="A4409" t="s">
        <v>6528</v>
      </c>
      <c r="B4409">
        <v>2087359</v>
      </c>
    </row>
    <row r="4410" spans="1:2">
      <c r="A4410" t="s">
        <v>6529</v>
      </c>
      <c r="B4410">
        <v>3300003018</v>
      </c>
    </row>
    <row r="4411" spans="1:2">
      <c r="A4411" t="s">
        <v>6677</v>
      </c>
      <c r="B4411" t="s">
        <v>2007</v>
      </c>
    </row>
    <row r="4412" spans="1:2">
      <c r="A4412" t="s">
        <v>6645</v>
      </c>
      <c r="B4412" t="s">
        <v>2008</v>
      </c>
    </row>
    <row r="4413" spans="1:2">
      <c r="A4413" t="s">
        <v>6528</v>
      </c>
      <c r="B4413">
        <v>2084092</v>
      </c>
    </row>
    <row r="4414" spans="1:2">
      <c r="A4414" t="s">
        <v>6530</v>
      </c>
      <c r="B4414" t="s">
        <v>6237</v>
      </c>
    </row>
    <row r="4415" spans="1:2">
      <c r="A4415" t="s">
        <v>6645</v>
      </c>
      <c r="B4415" t="s">
        <v>6235</v>
      </c>
    </row>
    <row r="4416" spans="1:2">
      <c r="A4416" t="s">
        <v>6528</v>
      </c>
      <c r="B4416">
        <v>2096037</v>
      </c>
    </row>
    <row r="4417" spans="1:2">
      <c r="A4417" t="s">
        <v>6677</v>
      </c>
      <c r="B4417" t="s">
        <v>6236</v>
      </c>
    </row>
    <row r="4418" spans="1:2">
      <c r="A4418" t="s">
        <v>6530</v>
      </c>
      <c r="B4418" t="s">
        <v>3636</v>
      </c>
    </row>
    <row r="4419" spans="1:2">
      <c r="A4419" t="s">
        <v>6645</v>
      </c>
      <c r="B4419" t="s">
        <v>3635</v>
      </c>
    </row>
    <row r="4420" spans="1:2">
      <c r="A4420" t="s">
        <v>6528</v>
      </c>
      <c r="B4420">
        <v>2119210</v>
      </c>
    </row>
    <row r="4421" spans="1:2">
      <c r="A4421" t="s">
        <v>6677</v>
      </c>
      <c r="B4421">
        <v>5031871</v>
      </c>
    </row>
    <row r="4422" spans="1:2">
      <c r="A4422" t="s">
        <v>6530</v>
      </c>
      <c r="B4422" t="s">
        <v>5608</v>
      </c>
    </row>
    <row r="4423" spans="1:2">
      <c r="A4423" t="s">
        <v>6672</v>
      </c>
      <c r="B4423">
        <v>2183509</v>
      </c>
    </row>
    <row r="4424" spans="1:2">
      <c r="A4424" t="s">
        <v>6642</v>
      </c>
      <c r="B4424" t="s">
        <v>5607</v>
      </c>
    </row>
    <row r="4425" spans="1:2">
      <c r="A4425" t="s">
        <v>6530</v>
      </c>
      <c r="B4425" t="s">
        <v>3095</v>
      </c>
    </row>
    <row r="4426" spans="1:2">
      <c r="A4426" t="s">
        <v>6528</v>
      </c>
      <c r="B4426">
        <v>2103930</v>
      </c>
    </row>
    <row r="4427" spans="1:2">
      <c r="A4427" t="s">
        <v>6529</v>
      </c>
      <c r="B4427">
        <v>3300003153</v>
      </c>
    </row>
    <row r="4428" spans="1:2">
      <c r="A4428" t="s">
        <v>6528</v>
      </c>
      <c r="B4428">
        <v>2103467</v>
      </c>
    </row>
    <row r="4429" spans="1:2">
      <c r="A4429" t="s">
        <v>6642</v>
      </c>
      <c r="B4429" t="s">
        <v>3094</v>
      </c>
    </row>
    <row r="4430" spans="1:2">
      <c r="A4430" t="s">
        <v>6677</v>
      </c>
      <c r="B4430">
        <v>5032247</v>
      </c>
    </row>
    <row r="4431" spans="1:2">
      <c r="A4431" t="s">
        <v>6530</v>
      </c>
      <c r="B4431" t="s">
        <v>5239</v>
      </c>
    </row>
    <row r="4432" spans="1:2">
      <c r="A4432" t="s">
        <v>6645</v>
      </c>
      <c r="B4432" t="s">
        <v>5237</v>
      </c>
    </row>
    <row r="4433" spans="1:2">
      <c r="A4433" t="s">
        <v>6529</v>
      </c>
      <c r="B4433">
        <v>3300002948</v>
      </c>
    </row>
    <row r="4434" spans="1:2">
      <c r="A4434" t="s">
        <v>6677</v>
      </c>
      <c r="B4434" t="s">
        <v>5238</v>
      </c>
    </row>
    <row r="4435" spans="1:2">
      <c r="A4435" t="s">
        <v>6673</v>
      </c>
      <c r="B4435">
        <v>2199642</v>
      </c>
    </row>
    <row r="4436" spans="1:2">
      <c r="A4436" t="s">
        <v>6528</v>
      </c>
      <c r="B4436">
        <v>2103940</v>
      </c>
    </row>
    <row r="4437" spans="1:2">
      <c r="A4437" t="s">
        <v>6573</v>
      </c>
      <c r="B4437" t="s">
        <v>4391</v>
      </c>
    </row>
    <row r="4438" spans="1:2">
      <c r="A4438" t="s">
        <v>6528</v>
      </c>
      <c r="B4438">
        <v>2083295</v>
      </c>
    </row>
    <row r="4439" spans="1:2">
      <c r="A4439" t="s">
        <v>6529</v>
      </c>
      <c r="B4439">
        <v>3300005179</v>
      </c>
    </row>
    <row r="4440" spans="1:2">
      <c r="A4440" t="s">
        <v>6677</v>
      </c>
      <c r="B4440" t="s">
        <v>4390</v>
      </c>
    </row>
    <row r="4441" spans="1:2">
      <c r="A4441" t="s">
        <v>6528</v>
      </c>
      <c r="B4441">
        <v>2096061</v>
      </c>
    </row>
    <row r="4442" spans="1:2">
      <c r="A4442" t="s">
        <v>6530</v>
      </c>
      <c r="B4442" t="s">
        <v>2401</v>
      </c>
    </row>
    <row r="4443" spans="1:2">
      <c r="A4443" t="s">
        <v>6632</v>
      </c>
      <c r="B4443" t="s">
        <v>2399</v>
      </c>
    </row>
    <row r="4444" spans="1:2">
      <c r="A4444" t="s">
        <v>6675</v>
      </c>
      <c r="B4444">
        <v>3400002959</v>
      </c>
    </row>
    <row r="4445" spans="1:2">
      <c r="A4445" t="s">
        <v>6683</v>
      </c>
      <c r="B4445" t="s">
        <v>2400</v>
      </c>
    </row>
    <row r="4446" spans="1:2">
      <c r="A4446" t="s">
        <v>6673</v>
      </c>
      <c r="B4446">
        <v>2199639</v>
      </c>
    </row>
    <row r="4447" spans="1:2">
      <c r="A4447" t="s">
        <v>6675</v>
      </c>
      <c r="B4447">
        <v>3400002967</v>
      </c>
    </row>
    <row r="4448" spans="1:2">
      <c r="A4448" t="s">
        <v>6530</v>
      </c>
      <c r="B4448" t="s">
        <v>5359</v>
      </c>
    </row>
    <row r="4449" spans="1:2">
      <c r="A4449" t="s">
        <v>6528</v>
      </c>
      <c r="B4449">
        <v>2115870</v>
      </c>
    </row>
    <row r="4450" spans="1:2">
      <c r="A4450" t="s">
        <v>6529</v>
      </c>
      <c r="B4450">
        <v>3300002925</v>
      </c>
    </row>
    <row r="4451" spans="1:2">
      <c r="A4451" t="s">
        <v>6642</v>
      </c>
      <c r="B4451" t="s">
        <v>5358</v>
      </c>
    </row>
    <row r="4452" spans="1:2">
      <c r="A4452" t="s">
        <v>6677</v>
      </c>
      <c r="B4452">
        <v>5014442</v>
      </c>
    </row>
    <row r="4453" spans="1:2">
      <c r="A4453" t="s">
        <v>6528</v>
      </c>
      <c r="B4453">
        <v>2114770</v>
      </c>
    </row>
    <row r="4454" spans="1:2">
      <c r="A4454" t="s">
        <v>6530</v>
      </c>
      <c r="B4454" t="s">
        <v>3235</v>
      </c>
    </row>
    <row r="4455" spans="1:2">
      <c r="A4455" t="s">
        <v>6632</v>
      </c>
      <c r="B4455" t="s">
        <v>3234</v>
      </c>
    </row>
    <row r="4456" spans="1:2">
      <c r="A4456" t="s">
        <v>6529</v>
      </c>
      <c r="B4456">
        <v>3300009553</v>
      </c>
    </row>
    <row r="4457" spans="1:2">
      <c r="A4457" t="s">
        <v>6672</v>
      </c>
      <c r="B4457">
        <v>2172003</v>
      </c>
    </row>
    <row r="4458" spans="1:2">
      <c r="A4458" t="s">
        <v>6530</v>
      </c>
      <c r="B4458" t="s">
        <v>4266</v>
      </c>
    </row>
    <row r="4459" spans="1:2">
      <c r="A4459" t="s">
        <v>6528</v>
      </c>
      <c r="B4459">
        <v>2116303</v>
      </c>
    </row>
    <row r="4460" spans="1:2">
      <c r="A4460" t="s">
        <v>6632</v>
      </c>
      <c r="B4460" t="s">
        <v>4263</v>
      </c>
    </row>
    <row r="4461" spans="1:2">
      <c r="A4461" t="s">
        <v>6645</v>
      </c>
      <c r="B4461" t="s">
        <v>4264</v>
      </c>
    </row>
    <row r="4462" spans="1:2">
      <c r="A4462" t="s">
        <v>6529</v>
      </c>
      <c r="B4462">
        <v>3300004124</v>
      </c>
    </row>
    <row r="4463" spans="1:2">
      <c r="A4463" t="s">
        <v>6677</v>
      </c>
      <c r="B4463" t="s">
        <v>4265</v>
      </c>
    </row>
    <row r="4464" spans="1:2">
      <c r="A4464" t="s">
        <v>6530</v>
      </c>
      <c r="B4464" t="s">
        <v>4070</v>
      </c>
    </row>
    <row r="4465" spans="1:2">
      <c r="A4465" t="s">
        <v>6642</v>
      </c>
      <c r="B4465" t="s">
        <v>4069</v>
      </c>
    </row>
    <row r="4466" spans="1:2">
      <c r="A4466" t="s">
        <v>6528</v>
      </c>
      <c r="B4466">
        <v>2119209</v>
      </c>
    </row>
    <row r="4467" spans="1:2">
      <c r="A4467" t="s">
        <v>6530</v>
      </c>
      <c r="B4467" t="s">
        <v>2600</v>
      </c>
    </row>
    <row r="4468" spans="1:2">
      <c r="A4468" t="s">
        <v>6672</v>
      </c>
      <c r="B4468">
        <v>2183580</v>
      </c>
    </row>
    <row r="4469" spans="1:2">
      <c r="A4469" t="s">
        <v>6632</v>
      </c>
      <c r="B4469" t="s">
        <v>2598</v>
      </c>
    </row>
    <row r="4470" spans="1:2">
      <c r="A4470" t="s">
        <v>6677</v>
      </c>
      <c r="B4470" t="s">
        <v>2599</v>
      </c>
    </row>
    <row r="4471" spans="1:2">
      <c r="A4471" t="s">
        <v>6569</v>
      </c>
      <c r="B4471" t="s">
        <v>1778</v>
      </c>
    </row>
    <row r="4472" spans="1:2">
      <c r="A4472" t="s">
        <v>6529</v>
      </c>
      <c r="B4472">
        <v>3300012247</v>
      </c>
    </row>
    <row r="4473" spans="1:2">
      <c r="A4473" t="s">
        <v>6672</v>
      </c>
      <c r="B4473">
        <v>2182997</v>
      </c>
    </row>
    <row r="4474" spans="1:2">
      <c r="A4474" t="s">
        <v>6645</v>
      </c>
      <c r="B4474" t="s">
        <v>1776</v>
      </c>
    </row>
    <row r="4475" spans="1:2">
      <c r="A4475" t="s">
        <v>6677</v>
      </c>
      <c r="B4475">
        <v>5050545</v>
      </c>
    </row>
    <row r="4476" spans="1:2">
      <c r="A4476" t="s">
        <v>6642</v>
      </c>
      <c r="B4476" t="s">
        <v>1777</v>
      </c>
    </row>
    <row r="4477" spans="1:2">
      <c r="A4477" t="s">
        <v>6530</v>
      </c>
      <c r="B4477" t="s">
        <v>4744</v>
      </c>
    </row>
    <row r="4478" spans="1:2">
      <c r="A4478" t="s">
        <v>6677</v>
      </c>
      <c r="B4478">
        <v>5059292</v>
      </c>
    </row>
    <row r="4479" spans="1:2">
      <c r="A4479" t="s">
        <v>6642</v>
      </c>
      <c r="B4479" t="s">
        <v>4743</v>
      </c>
    </row>
    <row r="4480" spans="1:2">
      <c r="A4480" t="s">
        <v>6528</v>
      </c>
      <c r="B4480">
        <v>2114738</v>
      </c>
    </row>
    <row r="4481" spans="1:2">
      <c r="A4481" t="s">
        <v>6530</v>
      </c>
      <c r="B4481" t="s">
        <v>2537</v>
      </c>
    </row>
    <row r="4482" spans="1:2">
      <c r="A4482" t="s">
        <v>6642</v>
      </c>
      <c r="B4482" t="s">
        <v>2535</v>
      </c>
    </row>
    <row r="4483" spans="1:2">
      <c r="A4483" t="s">
        <v>6528</v>
      </c>
      <c r="B4483">
        <v>2114751</v>
      </c>
    </row>
    <row r="4484" spans="1:2">
      <c r="A4484" t="s">
        <v>6677</v>
      </c>
      <c r="B4484" t="s">
        <v>2536</v>
      </c>
    </row>
    <row r="4485" spans="1:2">
      <c r="A4485" t="s">
        <v>6530</v>
      </c>
      <c r="B4485" t="s">
        <v>5415</v>
      </c>
    </row>
    <row r="4486" spans="1:2">
      <c r="A4486" t="s">
        <v>6528</v>
      </c>
      <c r="B4486">
        <v>2103715</v>
      </c>
    </row>
    <row r="4487" spans="1:2">
      <c r="A4487" t="s">
        <v>6642</v>
      </c>
      <c r="B4487" t="s">
        <v>5414</v>
      </c>
    </row>
    <row r="4488" spans="1:2">
      <c r="A4488" t="s">
        <v>6529</v>
      </c>
      <c r="B4488">
        <v>3300001216</v>
      </c>
    </row>
    <row r="4489" spans="1:2">
      <c r="A4489" t="s">
        <v>6677</v>
      </c>
      <c r="B4489">
        <v>5070887</v>
      </c>
    </row>
    <row r="4490" spans="1:2">
      <c r="A4490" t="s">
        <v>6528</v>
      </c>
      <c r="B4490">
        <v>2103877</v>
      </c>
    </row>
    <row r="4491" spans="1:2">
      <c r="A4491" t="s">
        <v>6530</v>
      </c>
      <c r="B4491" t="s">
        <v>4596</v>
      </c>
    </row>
    <row r="4492" spans="1:2">
      <c r="A4492" t="s">
        <v>6672</v>
      </c>
      <c r="B4492">
        <v>2171990</v>
      </c>
    </row>
    <row r="4493" spans="1:2">
      <c r="A4493" t="s">
        <v>6677</v>
      </c>
      <c r="B4493">
        <v>5050438</v>
      </c>
    </row>
    <row r="4494" spans="1:2">
      <c r="A4494" t="s">
        <v>6645</v>
      </c>
      <c r="B4494" t="s">
        <v>4595</v>
      </c>
    </row>
    <row r="4495" spans="1:2">
      <c r="A4495" t="s">
        <v>6529</v>
      </c>
      <c r="B4495">
        <v>3300012290</v>
      </c>
    </row>
    <row r="4496" spans="1:2">
      <c r="A4496" t="s">
        <v>6672</v>
      </c>
      <c r="B4496">
        <v>2183552</v>
      </c>
    </row>
    <row r="4497" spans="1:2">
      <c r="A4497" t="s">
        <v>6530</v>
      </c>
      <c r="B4497" t="s">
        <v>4605</v>
      </c>
    </row>
    <row r="4498" spans="1:2">
      <c r="A4498" t="s">
        <v>6528</v>
      </c>
      <c r="B4498">
        <v>2177147</v>
      </c>
    </row>
    <row r="4499" spans="1:2">
      <c r="A4499" t="s">
        <v>6677</v>
      </c>
      <c r="B4499">
        <v>5059372</v>
      </c>
    </row>
    <row r="4500" spans="1:2">
      <c r="A4500" t="s">
        <v>6529</v>
      </c>
      <c r="B4500">
        <v>3300009563</v>
      </c>
    </row>
    <row r="4501" spans="1:2">
      <c r="A4501" t="s">
        <v>6530</v>
      </c>
      <c r="B4501" t="s">
        <v>1272</v>
      </c>
    </row>
    <row r="4502" spans="1:2">
      <c r="A4502" t="s">
        <v>6677</v>
      </c>
      <c r="B4502" t="s">
        <v>1269</v>
      </c>
    </row>
    <row r="4503" spans="1:2">
      <c r="A4503" t="s">
        <v>6529</v>
      </c>
      <c r="B4503">
        <v>3300012817</v>
      </c>
    </row>
    <row r="4504" spans="1:2">
      <c r="A4504" t="s">
        <v>6645</v>
      </c>
      <c r="B4504" t="s">
        <v>1270</v>
      </c>
    </row>
    <row r="4505" spans="1:2">
      <c r="A4505" t="s">
        <v>6528</v>
      </c>
      <c r="B4505">
        <v>2117090</v>
      </c>
    </row>
    <row r="4506" spans="1:2">
      <c r="A4506" t="s">
        <v>6677</v>
      </c>
      <c r="B4506" t="s">
        <v>1271</v>
      </c>
    </row>
    <row r="4507" spans="1:2">
      <c r="A4507" t="s">
        <v>6530</v>
      </c>
      <c r="B4507" t="s">
        <v>5339</v>
      </c>
    </row>
    <row r="4508" spans="1:2">
      <c r="A4508" t="s">
        <v>6632</v>
      </c>
      <c r="B4508" t="s">
        <v>5338</v>
      </c>
    </row>
    <row r="4509" spans="1:2">
      <c r="A4509" t="s">
        <v>6529</v>
      </c>
      <c r="B4509">
        <v>3300008163</v>
      </c>
    </row>
    <row r="4510" spans="1:2">
      <c r="A4510" t="s">
        <v>6677</v>
      </c>
      <c r="B4510">
        <v>5033025</v>
      </c>
    </row>
    <row r="4511" spans="1:2">
      <c r="A4511" t="s">
        <v>6673</v>
      </c>
      <c r="B4511">
        <v>2199637</v>
      </c>
    </row>
    <row r="4512" spans="1:2">
      <c r="A4512" t="s">
        <v>6528</v>
      </c>
      <c r="B4512">
        <v>2115665</v>
      </c>
    </row>
    <row r="4513" spans="1:2">
      <c r="A4513" t="s">
        <v>6530</v>
      </c>
      <c r="B4513" t="s">
        <v>1516</v>
      </c>
    </row>
    <row r="4514" spans="1:2">
      <c r="A4514" t="s">
        <v>6677</v>
      </c>
      <c r="B4514">
        <v>5070900</v>
      </c>
    </row>
    <row r="4515" spans="1:2">
      <c r="A4515" t="s">
        <v>6529</v>
      </c>
      <c r="B4515">
        <v>3300009777</v>
      </c>
    </row>
    <row r="4516" spans="1:2">
      <c r="A4516" t="s">
        <v>6672</v>
      </c>
      <c r="B4516">
        <v>2183543</v>
      </c>
    </row>
    <row r="4517" spans="1:2">
      <c r="A4517" t="s">
        <v>6677</v>
      </c>
      <c r="B4517" t="s">
        <v>1515</v>
      </c>
    </row>
    <row r="4518" spans="1:2">
      <c r="A4518" t="s">
        <v>6530</v>
      </c>
      <c r="B4518" t="s">
        <v>5489</v>
      </c>
    </row>
    <row r="4519" spans="1:2">
      <c r="A4519" t="s">
        <v>6677</v>
      </c>
      <c r="B4519">
        <v>5070892</v>
      </c>
    </row>
    <row r="4520" spans="1:2">
      <c r="A4520" t="s">
        <v>6529</v>
      </c>
      <c r="B4520">
        <v>3300012833</v>
      </c>
    </row>
    <row r="4521" spans="1:2">
      <c r="A4521" t="s">
        <v>6528</v>
      </c>
      <c r="B4521">
        <v>2170079</v>
      </c>
    </row>
    <row r="4522" spans="1:2">
      <c r="A4522" t="s">
        <v>6677</v>
      </c>
      <c r="B4522">
        <v>5059352</v>
      </c>
    </row>
    <row r="4523" spans="1:2">
      <c r="A4523" t="s">
        <v>6530</v>
      </c>
      <c r="B4523" t="s">
        <v>2790</v>
      </c>
    </row>
    <row r="4524" spans="1:2">
      <c r="A4524" t="s">
        <v>6632</v>
      </c>
      <c r="B4524" t="s">
        <v>2788</v>
      </c>
    </row>
    <row r="4525" spans="1:2">
      <c r="A4525" t="s">
        <v>6677</v>
      </c>
      <c r="B4525" t="s">
        <v>2789</v>
      </c>
    </row>
    <row r="4526" spans="1:2">
      <c r="A4526" t="s">
        <v>6673</v>
      </c>
      <c r="B4526">
        <v>2082656</v>
      </c>
    </row>
    <row r="4527" spans="1:2">
      <c r="A4527" t="s">
        <v>6530</v>
      </c>
      <c r="B4527" t="s">
        <v>1718</v>
      </c>
    </row>
    <row r="4528" spans="1:2">
      <c r="A4528" t="s">
        <v>6645</v>
      </c>
      <c r="B4528" t="s">
        <v>1716</v>
      </c>
    </row>
    <row r="4529" spans="1:2">
      <c r="A4529" t="s">
        <v>6529</v>
      </c>
      <c r="B4529">
        <v>3300012802</v>
      </c>
    </row>
    <row r="4530" spans="1:2">
      <c r="A4530" t="s">
        <v>6528</v>
      </c>
      <c r="B4530">
        <v>2117432</v>
      </c>
    </row>
    <row r="4531" spans="1:2">
      <c r="A4531" t="s">
        <v>6677</v>
      </c>
      <c r="B4531" t="s">
        <v>1717</v>
      </c>
    </row>
    <row r="4532" spans="1:2">
      <c r="A4532" t="s">
        <v>6530</v>
      </c>
      <c r="B4532" t="s">
        <v>2885</v>
      </c>
    </row>
    <row r="4533" spans="1:2">
      <c r="A4533" t="s">
        <v>6642</v>
      </c>
      <c r="B4533" t="s">
        <v>2882</v>
      </c>
    </row>
    <row r="4534" spans="1:2">
      <c r="A4534" t="s">
        <v>6528</v>
      </c>
      <c r="B4534">
        <v>2084655</v>
      </c>
    </row>
    <row r="4535" spans="1:2">
      <c r="A4535" t="s">
        <v>6677</v>
      </c>
      <c r="B4535" t="s">
        <v>2883</v>
      </c>
    </row>
    <row r="4536" spans="1:2">
      <c r="A4536" t="s">
        <v>6645</v>
      </c>
      <c r="B4536" t="s">
        <v>2884</v>
      </c>
    </row>
    <row r="4537" spans="1:2">
      <c r="A4537" t="s">
        <v>6529</v>
      </c>
      <c r="B4537">
        <v>3300006167</v>
      </c>
    </row>
    <row r="4538" spans="1:2">
      <c r="A4538" t="s">
        <v>6530</v>
      </c>
      <c r="B4538" t="s">
        <v>2393</v>
      </c>
    </row>
    <row r="4539" spans="1:2">
      <c r="A4539" t="s">
        <v>6642</v>
      </c>
      <c r="B4539" t="s">
        <v>2391</v>
      </c>
    </row>
    <row r="4540" spans="1:2">
      <c r="A4540" t="s">
        <v>6672</v>
      </c>
      <c r="B4540">
        <v>2183573</v>
      </c>
    </row>
    <row r="4541" spans="1:2">
      <c r="A4541" t="s">
        <v>6529</v>
      </c>
      <c r="B4541">
        <v>3300001690</v>
      </c>
    </row>
    <row r="4542" spans="1:2">
      <c r="A4542" t="s">
        <v>6677</v>
      </c>
      <c r="B4542" t="s">
        <v>2392</v>
      </c>
    </row>
    <row r="4543" spans="1:2">
      <c r="A4543" t="s">
        <v>6672</v>
      </c>
      <c r="B4543">
        <v>2183488</v>
      </c>
    </row>
    <row r="4544" spans="1:2">
      <c r="A4544" t="s">
        <v>6530</v>
      </c>
      <c r="B4544" t="s">
        <v>1643</v>
      </c>
    </row>
    <row r="4545" spans="1:2">
      <c r="A4545" t="s">
        <v>6677</v>
      </c>
      <c r="B4545" t="s">
        <v>1641</v>
      </c>
    </row>
    <row r="4546" spans="1:2">
      <c r="A4546" t="s">
        <v>6529</v>
      </c>
      <c r="B4546">
        <v>3300009742</v>
      </c>
    </row>
    <row r="4547" spans="1:2">
      <c r="A4547" t="s">
        <v>6645</v>
      </c>
      <c r="B4547" t="s">
        <v>1642</v>
      </c>
    </row>
    <row r="4548" spans="1:2">
      <c r="A4548" t="s">
        <v>6528</v>
      </c>
      <c r="B4548">
        <v>2084132</v>
      </c>
    </row>
    <row r="4549" spans="1:2">
      <c r="A4549" t="s">
        <v>6528</v>
      </c>
      <c r="B4549">
        <v>2096040</v>
      </c>
    </row>
    <row r="4550" spans="1:2">
      <c r="A4550" t="s">
        <v>6530</v>
      </c>
      <c r="B4550" t="s">
        <v>6835</v>
      </c>
    </row>
    <row r="4551" spans="1:2">
      <c r="A4551" t="s">
        <v>6528</v>
      </c>
      <c r="B4551">
        <v>2087293</v>
      </c>
    </row>
    <row r="4552" spans="1:2">
      <c r="A4552" t="s">
        <v>6529</v>
      </c>
      <c r="B4552">
        <v>3300013108</v>
      </c>
    </row>
    <row r="4553" spans="1:2">
      <c r="A4553" t="s">
        <v>6677</v>
      </c>
      <c r="B4553" t="s">
        <v>6836</v>
      </c>
    </row>
    <row r="4554" spans="1:2">
      <c r="A4554" t="s">
        <v>6645</v>
      </c>
      <c r="B4554" t="s">
        <v>6837</v>
      </c>
    </row>
    <row r="4555" spans="1:2">
      <c r="A4555" t="s">
        <v>6528</v>
      </c>
      <c r="B4555">
        <v>2103664</v>
      </c>
    </row>
    <row r="4556" spans="1:2">
      <c r="A4556" t="s">
        <v>6530</v>
      </c>
      <c r="B4556" t="s">
        <v>6288</v>
      </c>
    </row>
    <row r="4557" spans="1:2">
      <c r="A4557" t="s">
        <v>6528</v>
      </c>
      <c r="B4557">
        <v>2103486</v>
      </c>
    </row>
    <row r="4558" spans="1:2">
      <c r="A4558" t="s">
        <v>6529</v>
      </c>
      <c r="B4558">
        <v>3300001711</v>
      </c>
    </row>
    <row r="4559" spans="1:2">
      <c r="A4559" t="s">
        <v>6677</v>
      </c>
      <c r="B4559" t="s">
        <v>6287</v>
      </c>
    </row>
    <row r="4560" spans="1:2">
      <c r="A4560" t="s">
        <v>6530</v>
      </c>
      <c r="B4560" t="s">
        <v>6229</v>
      </c>
    </row>
    <row r="4561" spans="1:2">
      <c r="A4561" t="s">
        <v>6528</v>
      </c>
      <c r="B4561">
        <v>2116271</v>
      </c>
    </row>
    <row r="4562" spans="1:2">
      <c r="A4562" t="s">
        <v>6677</v>
      </c>
      <c r="B4562" t="s">
        <v>6228</v>
      </c>
    </row>
    <row r="4563" spans="1:2">
      <c r="A4563" t="s">
        <v>6530</v>
      </c>
      <c r="B4563" t="s">
        <v>3953</v>
      </c>
    </row>
    <row r="4564" spans="1:2">
      <c r="A4564" t="s">
        <v>6528</v>
      </c>
      <c r="B4564">
        <v>2103502</v>
      </c>
    </row>
    <row r="4565" spans="1:2">
      <c r="A4565" t="s">
        <v>6677</v>
      </c>
      <c r="B4565" t="s">
        <v>3951</v>
      </c>
    </row>
    <row r="4566" spans="1:2">
      <c r="A4566" t="s">
        <v>6642</v>
      </c>
      <c r="B4566" t="s">
        <v>3952</v>
      </c>
    </row>
    <row r="4567" spans="1:2">
      <c r="A4567" t="s">
        <v>6530</v>
      </c>
      <c r="B4567" t="s">
        <v>2429</v>
      </c>
    </row>
    <row r="4568" spans="1:2">
      <c r="A4568" t="s">
        <v>6645</v>
      </c>
      <c r="B4568" t="s">
        <v>2427</v>
      </c>
    </row>
    <row r="4569" spans="1:2">
      <c r="A4569" t="s">
        <v>6528</v>
      </c>
      <c r="B4569">
        <v>2110200</v>
      </c>
    </row>
    <row r="4570" spans="1:2">
      <c r="A4570" t="s">
        <v>6529</v>
      </c>
      <c r="B4570">
        <v>3300012807</v>
      </c>
    </row>
    <row r="4571" spans="1:2">
      <c r="A4571" t="s">
        <v>6528</v>
      </c>
      <c r="B4571">
        <v>2117075</v>
      </c>
    </row>
    <row r="4572" spans="1:2">
      <c r="A4572" t="s">
        <v>6677</v>
      </c>
      <c r="B4572" t="s">
        <v>2428</v>
      </c>
    </row>
    <row r="4573" spans="1:2">
      <c r="A4573" t="s">
        <v>6530</v>
      </c>
      <c r="B4573" t="s">
        <v>4503</v>
      </c>
    </row>
    <row r="4574" spans="1:2">
      <c r="A4574" t="s">
        <v>6528</v>
      </c>
      <c r="B4574">
        <v>2096030</v>
      </c>
    </row>
    <row r="4575" spans="1:2">
      <c r="A4575" t="s">
        <v>6529</v>
      </c>
      <c r="B4575">
        <v>3300001666</v>
      </c>
    </row>
    <row r="4576" spans="1:2">
      <c r="A4576" t="s">
        <v>6632</v>
      </c>
      <c r="B4576" t="s">
        <v>4502</v>
      </c>
    </row>
    <row r="4577" spans="1:2">
      <c r="A4577" t="s">
        <v>6529</v>
      </c>
      <c r="B4577">
        <v>3300011791</v>
      </c>
    </row>
    <row r="4578" spans="1:2">
      <c r="A4578" t="s">
        <v>6677</v>
      </c>
      <c r="B4578">
        <v>5040890</v>
      </c>
    </row>
    <row r="4579" spans="1:2">
      <c r="A4579" t="s">
        <v>6530</v>
      </c>
      <c r="B4579" t="s">
        <v>2377</v>
      </c>
    </row>
    <row r="4580" spans="1:2">
      <c r="A4580" t="s">
        <v>6529</v>
      </c>
      <c r="B4580">
        <v>3300008126</v>
      </c>
    </row>
    <row r="4581" spans="1:2">
      <c r="A4581" t="s">
        <v>6645</v>
      </c>
      <c r="B4581" t="s">
        <v>2375</v>
      </c>
    </row>
    <row r="4582" spans="1:2">
      <c r="A4582" t="s">
        <v>6672</v>
      </c>
      <c r="B4582">
        <v>2183508</v>
      </c>
    </row>
    <row r="4583" spans="1:2">
      <c r="A4583" t="s">
        <v>6529</v>
      </c>
      <c r="B4583">
        <v>3300008134</v>
      </c>
    </row>
    <row r="4584" spans="1:2">
      <c r="A4584" t="s">
        <v>6632</v>
      </c>
      <c r="B4584" t="s">
        <v>2376</v>
      </c>
    </row>
    <row r="4585" spans="1:2">
      <c r="A4585" t="s">
        <v>6530</v>
      </c>
      <c r="B4585" t="s">
        <v>3227</v>
      </c>
    </row>
    <row r="4586" spans="1:2">
      <c r="A4586" t="s">
        <v>6677</v>
      </c>
      <c r="B4586" t="s">
        <v>3225</v>
      </c>
    </row>
    <row r="4587" spans="1:2">
      <c r="A4587" t="s">
        <v>6528</v>
      </c>
      <c r="B4587">
        <v>2117605</v>
      </c>
    </row>
    <row r="4588" spans="1:2">
      <c r="A4588" t="s">
        <v>6645</v>
      </c>
      <c r="B4588" t="s">
        <v>3226</v>
      </c>
    </row>
    <row r="4589" spans="1:2">
      <c r="A4589" t="s">
        <v>6530</v>
      </c>
      <c r="B4589" t="s">
        <v>5172</v>
      </c>
    </row>
    <row r="4590" spans="1:2">
      <c r="A4590" t="s">
        <v>6528</v>
      </c>
      <c r="B4590">
        <v>2114727</v>
      </c>
    </row>
    <row r="4591" spans="1:2">
      <c r="A4591" t="s">
        <v>6642</v>
      </c>
      <c r="B4591" t="s">
        <v>5171</v>
      </c>
    </row>
    <row r="4592" spans="1:2">
      <c r="A4592" t="s">
        <v>6528</v>
      </c>
      <c r="B4592">
        <v>2103485</v>
      </c>
    </row>
    <row r="4593" spans="1:2">
      <c r="A4593" t="s">
        <v>6677</v>
      </c>
      <c r="B4593">
        <v>5059356</v>
      </c>
    </row>
    <row r="4594" spans="1:2">
      <c r="A4594" t="s">
        <v>6530</v>
      </c>
      <c r="B4594" t="s">
        <v>5953</v>
      </c>
    </row>
    <row r="4595" spans="1:2">
      <c r="A4595" t="s">
        <v>6677</v>
      </c>
      <c r="B4595">
        <v>5045667</v>
      </c>
    </row>
    <row r="4596" spans="1:2">
      <c r="A4596" t="s">
        <v>6645</v>
      </c>
      <c r="B4596" t="s">
        <v>5952</v>
      </c>
    </row>
    <row r="4597" spans="1:2">
      <c r="A4597" t="s">
        <v>6528</v>
      </c>
      <c r="B4597">
        <v>2087281</v>
      </c>
    </row>
    <row r="4598" spans="1:2">
      <c r="A4598" t="s">
        <v>6529</v>
      </c>
      <c r="B4598">
        <v>3300004119</v>
      </c>
    </row>
    <row r="4599" spans="1:2">
      <c r="A4599" t="s">
        <v>6530</v>
      </c>
      <c r="B4599" t="s">
        <v>4247</v>
      </c>
    </row>
    <row r="4600" spans="1:2">
      <c r="A4600" t="s">
        <v>6528</v>
      </c>
      <c r="B4600">
        <v>2115652</v>
      </c>
    </row>
    <row r="4601" spans="1:2">
      <c r="A4601" t="s">
        <v>6677</v>
      </c>
      <c r="B4601">
        <v>5001461</v>
      </c>
    </row>
    <row r="4602" spans="1:2">
      <c r="A4602" t="s">
        <v>6528</v>
      </c>
      <c r="B4602">
        <v>2115866</v>
      </c>
    </row>
    <row r="4603" spans="1:2">
      <c r="A4603" t="s">
        <v>6529</v>
      </c>
      <c r="B4603">
        <v>3300004122</v>
      </c>
    </row>
    <row r="4604" spans="1:2">
      <c r="A4604" t="s">
        <v>6677</v>
      </c>
      <c r="B4604">
        <v>5001451</v>
      </c>
    </row>
    <row r="4605" spans="1:2">
      <c r="A4605" t="s">
        <v>6530</v>
      </c>
      <c r="B4605" t="s">
        <v>6838</v>
      </c>
    </row>
    <row r="4606" spans="1:2">
      <c r="A4606" t="s">
        <v>6675</v>
      </c>
      <c r="B4606">
        <v>3400002974</v>
      </c>
    </row>
    <row r="4607" spans="1:2">
      <c r="A4607" t="s">
        <v>6632</v>
      </c>
      <c r="B4607" t="s">
        <v>6839</v>
      </c>
    </row>
    <row r="4608" spans="1:2">
      <c r="A4608" t="s">
        <v>6673</v>
      </c>
      <c r="B4608">
        <v>2199632</v>
      </c>
    </row>
    <row r="4609" spans="1:2">
      <c r="A4609" t="s">
        <v>6632</v>
      </c>
      <c r="B4609" t="s">
        <v>6840</v>
      </c>
    </row>
    <row r="4610" spans="1:2">
      <c r="A4610" t="s">
        <v>6675</v>
      </c>
      <c r="B4610">
        <v>3400002968</v>
      </c>
    </row>
    <row r="4611" spans="1:2">
      <c r="A4611" t="s">
        <v>6530</v>
      </c>
      <c r="B4611" t="s">
        <v>4377</v>
      </c>
    </row>
    <row r="4612" spans="1:2">
      <c r="A4612" t="s">
        <v>6528</v>
      </c>
      <c r="B4612">
        <v>2087319</v>
      </c>
    </row>
    <row r="4613" spans="1:2">
      <c r="A4613" t="s">
        <v>6645</v>
      </c>
      <c r="B4613" t="s">
        <v>4375</v>
      </c>
    </row>
    <row r="4614" spans="1:2">
      <c r="A4614" t="s">
        <v>6529</v>
      </c>
      <c r="B4614">
        <v>3300002833</v>
      </c>
    </row>
    <row r="4615" spans="1:2">
      <c r="A4615" t="s">
        <v>6677</v>
      </c>
      <c r="B4615" t="s">
        <v>4376</v>
      </c>
    </row>
    <row r="4616" spans="1:2">
      <c r="A4616" t="s">
        <v>6528</v>
      </c>
      <c r="B4616">
        <v>2087286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8324EF24DE8CA479C66ED9406AA8505" ma:contentTypeVersion="0" ma:contentTypeDescription="Create a new document." ma:contentTypeScope="" ma:versionID="f553f2788e6c50072ea7ad7b153b2681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A9C803E-6379-423A-932F-72D491673D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9C11192-C5AE-4A91-8B9D-84EAA89820F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Parts Request</vt:lpstr>
      <vt:lpstr>RMA Form</vt:lpstr>
      <vt:lpstr>Test</vt:lpstr>
      <vt:lpstr>VGT Locations</vt:lpstr>
      <vt:lpstr>Sheet2</vt:lpstr>
      <vt:lpstr>'Parts Request'!Print_Area</vt:lpstr>
      <vt:lpstr>'RMA Form'!Print_Area</vt:lpstr>
      <vt:lpstr>Test!Print_Area</vt:lpstr>
    </vt:vector>
  </TitlesOfParts>
  <Company>WMS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Shapiro, Bradley</dc:creator>
  <cp:lastModifiedBy>Brad Shapiro</cp:lastModifiedBy>
  <cp:lastPrinted>2016-12-20T17:59:11Z</cp:lastPrinted>
  <dcterms:created xsi:type="dcterms:W3CDTF">2013-01-23T17:24:13Z</dcterms:created>
  <dcterms:modified xsi:type="dcterms:W3CDTF">2017-01-04T17:20:31Z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0x010100E8324EF24DE8CA479C66ED9406AA8505</vt:lpwstr>
  </property>
</Properties>
</file>